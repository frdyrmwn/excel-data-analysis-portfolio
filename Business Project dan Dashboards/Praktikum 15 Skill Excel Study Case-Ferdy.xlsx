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80" windowHeight="3230" firstSheet="6" activeTab="11"/>
  </bookViews>
  <sheets>
    <sheet name="S1_XLOOKUP" sheetId="1" r:id="rId1"/>
    <sheet name="S2_UNIQUE" sheetId="3" r:id="rId2"/>
    <sheet name="S3_FILTER_SORT" sheetId="4" r:id="rId3"/>
    <sheet name="S4_NUMBERVALUE" sheetId="5" r:id="rId4"/>
    <sheet name="S5_SUBSTITUTE" sheetId="6" r:id="rId5"/>
    <sheet name="S6_TEXTJOIN" sheetId="7" r:id="rId6"/>
    <sheet name="S7_IFERROR" sheetId="8" r:id="rId7"/>
    <sheet name="S8_FORMATTING" sheetId="9" r:id="rId8"/>
    <sheet name="S10_DATEDIF" sheetId="10" r:id="rId9"/>
    <sheet name="S9_IFS" sheetId="11" r:id="rId10"/>
    <sheet name="S11_AGGREGATE" sheetId="12" r:id="rId11"/>
    <sheet name="S12_ISOWEEKNUM" sheetId="13" r:id="rId12"/>
    <sheet name="S13_PivotTable" sheetId="14" r:id="rId13"/>
    <sheet name="S14_Slicer" sheetId="15" r:id="rId14"/>
    <sheet name="S15_Dashboard" sheetId="16" r:id="rId15"/>
  </sheets>
  <calcPr calcId="152511"/>
  <fileRecoveryPr repairLoad="1"/>
  <extLst>
    <ext uri="GoogleSheetsCustomDataVersion2">
      <go:sheetsCustomData xmlns:go="http://customooxmlschemas.google.com/" r:id="rId20" roundtripDataChecksum="slb45t5aQNq2JTBFYOAcQ7HJKbtTkQCMKD69sI59+PE="/>
    </ext>
  </extLst>
</workbook>
</file>

<file path=xl/calcChain.xml><?xml version="1.0" encoding="utf-8"?>
<calcChain xmlns="http://schemas.openxmlformats.org/spreadsheetml/2006/main">
  <c r="E4" i="13" l="1"/>
  <c r="D9" i="12"/>
  <c r="D13" i="11"/>
  <c r="D12" i="11"/>
  <c r="D11" i="11"/>
  <c r="D10" i="11"/>
  <c r="D9" i="11"/>
  <c r="D8" i="11"/>
  <c r="D7" i="11"/>
  <c r="D6" i="11"/>
  <c r="D5" i="11"/>
  <c r="D4" i="11"/>
  <c r="G11" i="10"/>
  <c r="F11" i="10"/>
  <c r="E11" i="10"/>
  <c r="D11" i="10"/>
  <c r="G10" i="10"/>
  <c r="F10" i="10"/>
  <c r="E10" i="10"/>
  <c r="D10" i="10"/>
  <c r="G9" i="10"/>
  <c r="F9" i="10"/>
  <c r="E9" i="10"/>
  <c r="D9" i="10"/>
  <c r="G8" i="10"/>
  <c r="F8" i="10"/>
  <c r="E8" i="10"/>
  <c r="D8" i="10"/>
  <c r="G7" i="10"/>
  <c r="F7" i="10"/>
  <c r="E7" i="10"/>
  <c r="D7" i="10"/>
  <c r="G6" i="10"/>
  <c r="F6" i="10"/>
  <c r="E6" i="10"/>
  <c r="D6" i="10"/>
  <c r="G5" i="10"/>
  <c r="F5" i="10"/>
  <c r="E5" i="10"/>
  <c r="D5" i="10"/>
  <c r="G4" i="10"/>
  <c r="F4" i="10"/>
  <c r="E4" i="10"/>
  <c r="D4" i="10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D8" i="7"/>
  <c r="D6" i="7"/>
  <c r="D4" i="7"/>
  <c r="L25" i="4"/>
  <c r="N24" i="4"/>
  <c r="J24" i="4"/>
  <c r="L17" i="4"/>
  <c r="H17" i="4"/>
  <c r="J16" i="4"/>
  <c r="L15" i="4"/>
  <c r="H15" i="4"/>
  <c r="J13" i="4"/>
  <c r="L12" i="4"/>
  <c r="H12" i="4"/>
  <c r="J11" i="4"/>
  <c r="L10" i="4"/>
  <c r="H10" i="4"/>
  <c r="J8" i="4"/>
  <c r="L7" i="4"/>
  <c r="H7" i="4"/>
  <c r="J6" i="4"/>
  <c r="L5" i="4"/>
  <c r="H5" i="4"/>
  <c r="J4" i="4"/>
  <c r="G4" i="3"/>
  <c r="B17" i="1"/>
  <c r="G10" i="1"/>
  <c r="G6" i="1"/>
  <c r="B19" i="1"/>
  <c r="G12" i="1"/>
  <c r="O24" i="4"/>
  <c r="I17" i="4"/>
  <c r="I15" i="4"/>
  <c r="I12" i="4"/>
  <c r="I10" i="4"/>
  <c r="I7" i="4"/>
  <c r="I5" i="4"/>
  <c r="B18" i="1"/>
  <c r="H9" i="7"/>
  <c r="H7" i="7"/>
  <c r="H5" i="7"/>
  <c r="O25" i="4"/>
  <c r="K25" i="4"/>
  <c r="M24" i="4"/>
  <c r="M18" i="4"/>
  <c r="K17" i="4"/>
  <c r="M16" i="4"/>
  <c r="I16" i="4"/>
  <c r="K15" i="4"/>
  <c r="M13" i="4"/>
  <c r="I13" i="4"/>
  <c r="K12" i="4"/>
  <c r="M11" i="4"/>
  <c r="I11" i="4"/>
  <c r="K10" i="4"/>
  <c r="M8" i="4"/>
  <c r="I8" i="4"/>
  <c r="K7" i="4"/>
  <c r="M6" i="4"/>
  <c r="I6" i="4"/>
  <c r="K5" i="4"/>
  <c r="M4" i="4"/>
  <c r="I4" i="4"/>
  <c r="B20" i="1"/>
  <c r="G13" i="1"/>
  <c r="G9" i="1"/>
  <c r="G5" i="1"/>
  <c r="G8" i="1"/>
  <c r="M25" i="4"/>
  <c r="M17" i="4"/>
  <c r="M15" i="4"/>
  <c r="M12" i="4"/>
  <c r="M10" i="4"/>
  <c r="M7" i="4"/>
  <c r="M5" i="4"/>
  <c r="H4" i="3"/>
  <c r="G7" i="1"/>
  <c r="D9" i="7"/>
  <c r="D7" i="7"/>
  <c r="D5" i="7"/>
  <c r="N25" i="4"/>
  <c r="J25" i="4"/>
  <c r="L24" i="4"/>
  <c r="L18" i="4"/>
  <c r="J17" i="4"/>
  <c r="L16" i="4"/>
  <c r="H16" i="4"/>
  <c r="J15" i="4"/>
  <c r="L13" i="4"/>
  <c r="H13" i="4"/>
  <c r="J12" i="4"/>
  <c r="L11" i="4"/>
  <c r="H11" i="4"/>
  <c r="J10" i="4"/>
  <c r="L8" i="4"/>
  <c r="H8" i="4"/>
  <c r="J7" i="4"/>
  <c r="L6" i="4"/>
  <c r="H6" i="4"/>
  <c r="J5" i="4"/>
  <c r="L4" i="4"/>
  <c r="H4" i="4"/>
  <c r="G4" i="1"/>
  <c r="K24" i="4"/>
  <c r="K16" i="4"/>
  <c r="K13" i="4"/>
  <c r="K11" i="4"/>
  <c r="K8" i="4"/>
  <c r="K6" i="4"/>
  <c r="K4" i="4"/>
  <c r="G11" i="1"/>
  <c r="H8" i="7"/>
  <c r="H6" i="7"/>
  <c r="H4" i="7"/>
  <c r="E10" i="11"/>
  <c r="E6" i="11"/>
  <c r="E12" i="11"/>
  <c r="E4" i="11"/>
  <c r="E7" i="11"/>
  <c r="E13" i="11"/>
  <c r="E9" i="11"/>
  <c r="E5" i="11"/>
  <c r="E8" i="11"/>
  <c r="E11" i="11"/>
</calcChain>
</file>

<file path=xl/sharedStrings.xml><?xml version="1.0" encoding="utf-8"?>
<sst xmlns="http://schemas.openxmlformats.org/spreadsheetml/2006/main" count="759" uniqueCount="308">
  <si>
    <t>SKILL 1 – XLOOKUP  |  Studi Kasus: Cari Data Karyawan</t>
  </si>
  <si>
    <t>SKILL 2 – UNIQUE  |  Studi Kasus: Ekstrak Produk &amp; Kota Unik dari Data Penjualan</t>
  </si>
  <si>
    <t>ID Karyawan</t>
  </si>
  <si>
    <t>SKILL 3 – FILTER &amp; SORT (Dynamic Array)  |  Studi Kasus: Filter Data Penjualan per Kota &amp; Produk</t>
  </si>
  <si>
    <t>Nama</t>
  </si>
  <si>
    <t>No</t>
  </si>
  <si>
    <t>Departemen</t>
  </si>
  <si>
    <t>Gaji (Rp)</t>
  </si>
  <si>
    <t>Tanggal</t>
  </si>
  <si>
    <t>Kota</t>
  </si>
  <si>
    <t>Status</t>
  </si>
  <si>
    <t>Produk</t>
  </si>
  <si>
    <t>Sales</t>
  </si>
  <si>
    <t>UMR</t>
  </si>
  <si>
    <t>Jumlah</t>
  </si>
  <si>
    <t>K001</t>
  </si>
  <si>
    <t>Andi Saputra</t>
  </si>
  <si>
    <t>Produk Unik (UNIQUE)</t>
  </si>
  <si>
    <t>Nilai (Rp)</t>
  </si>
  <si>
    <t>Marketing</t>
  </si>
  <si>
    <t>Kota Unik (UNIQUE)</t>
  </si>
  <si>
    <t>Jakarta</t>
  </si>
  <si>
    <t>Aktif</t>
  </si>
  <si>
    <t>2025-01-03</t>
  </si>
  <si>
    <t>Laptop</t>
  </si>
  <si>
    <t>K002</t>
  </si>
  <si>
    <t>Budi Hartono</t>
  </si>
  <si>
    <t>Finance</t>
  </si>
  <si>
    <t>Andi</t>
  </si>
  <si>
    <t>Bandung</t>
  </si>
  <si>
    <t>K003</t>
  </si>
  <si>
    <t>2025-01-05</t>
  </si>
  <si>
    <t>Citra Dewi</t>
  </si>
  <si>
    <t>Mouse</t>
  </si>
  <si>
    <t>IT</t>
  </si>
  <si>
    <t>Surabaya</t>
  </si>
  <si>
    <t>Nonaktif</t>
  </si>
  <si>
    <t>K004</t>
  </si>
  <si>
    <t>SKILL 4 – NUMBERVALUE  |  Studi Kasus: Bersihkan Data Angka dari Sistem ERP</t>
  </si>
  <si>
    <t>2025-01-07</t>
  </si>
  <si>
    <t>Diana Kusuma</t>
  </si>
  <si>
    <t>HR</t>
  </si>
  <si>
    <t>Keyboard</t>
  </si>
  <si>
    <t>Qty (teks kotor)</t>
  </si>
  <si>
    <t>Qty (NUMBERVALUE)</t>
  </si>
  <si>
    <t>2025-01-08</t>
  </si>
  <si>
    <t>Harga (teks kotor)</t>
  </si>
  <si>
    <t>Harga (NUMBERVALUE)</t>
  </si>
  <si>
    <t>2</t>
  </si>
  <si>
    <t>K005</t>
  </si>
  <si>
    <t>8.500.000</t>
  </si>
  <si>
    <t>Eko Prasetyo</t>
  </si>
  <si>
    <t>Medan</t>
  </si>
  <si>
    <t>Budi</t>
  </si>
  <si>
    <t>3</t>
  </si>
  <si>
    <t>Monitor</t>
  </si>
  <si>
    <t>K006</t>
  </si>
  <si>
    <t>Fitri Anggraini</t>
  </si>
  <si>
    <t>250.000</t>
  </si>
  <si>
    <t>2025-01-10</t>
  </si>
  <si>
    <t>4</t>
  </si>
  <si>
    <t>K007</t>
  </si>
  <si>
    <t>Gilang Ramadan</t>
  </si>
  <si>
    <t>450.000</t>
  </si>
  <si>
    <t>2025-01-12</t>
  </si>
  <si>
    <t>Eko</t>
  </si>
  <si>
    <t>K008</t>
  </si>
  <si>
    <t>5</t>
  </si>
  <si>
    <t>Hana Putri</t>
  </si>
  <si>
    <t>3.200.000</t>
  </si>
  <si>
    <t>Citra</t>
  </si>
  <si>
    <t>2025-01-14</t>
  </si>
  <si>
    <t>Headset</t>
  </si>
  <si>
    <t>K009</t>
  </si>
  <si>
    <t>7</t>
  </si>
  <si>
    <t>Ivan Santoso</t>
  </si>
  <si>
    <t>550.000</t>
  </si>
  <si>
    <t>2025-01-15</t>
  </si>
  <si>
    <t>Webcam</t>
  </si>
  <si>
    <t>K010</t>
  </si>
  <si>
    <t>8</t>
  </si>
  <si>
    <t>Julia Wati</t>
  </si>
  <si>
    <t>2025-01-17</t>
  </si>
  <si>
    <t>750.000</t>
  </si>
  <si>
    <t>USB Hub</t>
  </si>
  <si>
    <t>2025-01-18</t>
  </si>
  <si>
    <t>9</t>
  </si>
  <si>
    <t>🔍 SOAL 1 – Gunakan XLOOKUP untuk mengambil UMR Kota berikut ini</t>
  </si>
  <si>
    <t>175.000</t>
  </si>
  <si>
    <t>2025-01-20</t>
  </si>
  <si>
    <t>Mouse Pad</t>
  </si>
  <si>
    <t>85.000</t>
  </si>
  <si>
    <t>Departe</t>
  </si>
  <si>
    <t>2025-01-21</t>
  </si>
  <si>
    <t>🔍 SOAL 1: Konversi teks qty ke angka</t>
  </si>
  <si>
    <t>🔍 SOAL 1: dapatkan daftar produk unik</t>
  </si>
  <si>
    <t>🔍 SOAL 2: Konversi teks harga ke angka</t>
  </si>
  <si>
    <t>Diana</t>
  </si>
  <si>
    <t>🔍 SOAL 2: dapatkan daftar kota unik</t>
  </si>
  <si>
    <t>SKILL 5– SUBSTITUTE  |  Studi Kasus: Bersihkan Data Nomor HP &amp; Kode Produk</t>
  </si>
  <si>
    <t>Nomor HP (kotor)</t>
  </si>
  <si>
    <t>Nomor HP (bersih)</t>
  </si>
  <si>
    <t>Kode Produk (kotor)</t>
  </si>
  <si>
    <t>Kode Produk (bersih)</t>
  </si>
  <si>
    <t>+62-812-3456-7890</t>
  </si>
  <si>
    <t>PRD/001/JKT-2024</t>
  </si>
  <si>
    <t>+62-821-9876-5432</t>
  </si>
  <si>
    <t>PRD/002/BDG-2024</t>
  </si>
  <si>
    <t>+62-813-1111-2222</t>
  </si>
  <si>
    <t>🔍 SOAL 1: Di sel H4, ketik =FILTER(A4:F15,E4:E15="Jakarta","Tidak ada data") untuk filter kota Jakarta</t>
  </si>
  <si>
    <t>PRD/003/SBY-2024</t>
  </si>
  <si>
    <t>+62-858-3333-4444</t>
  </si>
  <si>
    <t>SKILL 6 – TEXTJOIN / CONCATENATE  |  Studi Kasus: Gabung Data Alamat &amp; Nama Lengkap</t>
  </si>
  <si>
    <t>PRD/004/MDN-2024</t>
  </si>
  <si>
    <t>Nama Depan</t>
  </si>
  <si>
    <t>Nama Tengah</t>
  </si>
  <si>
    <t>+62-877-5555-6666</t>
  </si>
  <si>
    <t>SKILL 7 – IFERROR  |  Studi Kasus: Bersihkan Report dari Pesan Error</t>
  </si>
  <si>
    <t>Nama Belakang</t>
  </si>
  <si>
    <t>PRD/005/JKT-2024</t>
  </si>
  <si>
    <t>Nama Lengkap (TEXTJOIN)</t>
  </si>
  <si>
    <t>Jalan</t>
  </si>
  <si>
    <t>🔍 SOAL 2: Modifikasi SOAL 1 → tambah SORT() di luar agar hasil terurut berdasarkan Nilai (kolom 6, DESC)</t>
  </si>
  <si>
    <t>+62-895-7777-8888</t>
  </si>
  <si>
    <t>Kode Pos</t>
  </si>
  <si>
    <t>ID Target</t>
  </si>
  <si>
    <t>Alamat Lengkap (TEXTJOIN)</t>
  </si>
  <si>
    <t>PRD/006/BDG-2024</t>
  </si>
  <si>
    <t>Target (Rp) [VLOOKUP tanpa IFERROR]</t>
  </si>
  <si>
    <t>Target (Rp) [IFERROR]</t>
  </si>
  <si>
    <t>Saputra</t>
  </si>
  <si>
    <t>+62-831-9999-0000</t>
  </si>
  <si>
    <t>🔍 SOAL 3: Filter produk "Laptop" dari semua kota, urutkan nilai tertinggi ke terendah</t>
  </si>
  <si>
    <t>PRD/007/SBY-2024</t>
  </si>
  <si>
    <t>+62-856-2222-3333</t>
  </si>
  <si>
    <t>Jl. Sudirman No.1</t>
  </si>
  <si>
    <t>PRD/008/MDN-2024</t>
  </si>
  <si>
    <t>Realisasi</t>
  </si>
  <si>
    <t>10220</t>
  </si>
  <si>
    <t>Achievement %</t>
  </si>
  <si>
    <t>soal 3</t>
  </si>
  <si>
    <t>🔍 SOAL 1: Kolom C – Hapus tanda "-" dan "+62" ganti jadi "0"</t>
  </si>
  <si>
    <t>Tabel Referensi – ID &amp; Target</t>
  </si>
  <si>
    <t xml:space="preserve">🔍 SOAL 2: Kolom E – Hapus "/" dan "-2024" dari kode produk </t>
  </si>
  <si>
    <t>Cahyo</t>
  </si>
  <si>
    <t>Hartono</t>
  </si>
  <si>
    <t>dengan Xlookup</t>
  </si>
  <si>
    <t>realisasi/target</t>
  </si>
  <si>
    <t>Jl. Gatot Subroto No.5</t>
  </si>
  <si>
    <t>ID</t>
  </si>
  <si>
    <t>40112</t>
  </si>
  <si>
    <t>Target (Rp)</t>
  </si>
  <si>
    <t>T001</t>
  </si>
  <si>
    <t>Dewi</t>
  </si>
  <si>
    <t>Jl. Diponegoro No.10</t>
  </si>
  <si>
    <t>60251</t>
  </si>
  <si>
    <t>Ayu</t>
  </si>
  <si>
    <t>Kusuma</t>
  </si>
  <si>
    <t>Jl. Ahmad Yani No.20</t>
  </si>
  <si>
    <t>20111</t>
  </si>
  <si>
    <t>Prasetyo</t>
  </si>
  <si>
    <t>Jl. Imam Bonjol No.8</t>
  </si>
  <si>
    <t>10310</t>
  </si>
  <si>
    <t>Fitri</t>
  </si>
  <si>
    <t>Nur</t>
  </si>
  <si>
    <t>Anggraini</t>
  </si>
  <si>
    <t>urut based on Descending</t>
  </si>
  <si>
    <t>Jl. Thamrin No.15</t>
  </si>
  <si>
    <t>40111</t>
  </si>
  <si>
    <t xml:space="preserve">🔍 SOAL 1: Kolom D – Gabung nama dengan spasi, skip kosong </t>
  </si>
  <si>
    <t xml:space="preserve">🔍 SOAL 2: Kolom H – Gabung alamat lengkap dengan ", "  </t>
  </si>
  <si>
    <t>T099</t>
  </si>
  <si>
    <t>Kosong</t>
  </si>
  <si>
    <t>T002</t>
  </si>
  <si>
    <t>T003</t>
  </si>
  <si>
    <t>TXXX</t>
  </si>
  <si>
    <t>T004</t>
  </si>
  <si>
    <t>T005</t>
  </si>
  <si>
    <t>Gilang</t>
  </si>
  <si>
    <t>Hana</t>
  </si>
  <si>
    <t>T007</t>
  </si>
  <si>
    <t>SKILL 8 – FORMATTING TYPE DATA  |  Studi Kasus: Format Data Karyawan &amp; Keuangan</t>
  </si>
  <si>
    <t>🔍 SOAL 1: Kolom D – Bungkus VLOOKUP dengan IFERROR</t>
  </si>
  <si>
    <t>NIK (teks)</t>
  </si>
  <si>
    <t>🔍 SOAL 2: Kolom F – Hitung Achievement% dengan IFERROR agar jika D kosong tampil 0%</t>
  </si>
  <si>
    <t>Tgl Lahir</t>
  </si>
  <si>
    <t>Gaji Pokok (Rp)</t>
  </si>
  <si>
    <t>Persentase Bonus</t>
  </si>
  <si>
    <t>Tgl Mulai Kerja</t>
  </si>
  <si>
    <t>Nomor HP</t>
  </si>
  <si>
    <t>3201012345678900</t>
  </si>
  <si>
    <t>0812-3456-7890</t>
  </si>
  <si>
    <t>3201012345678901</t>
  </si>
  <si>
    <t>0821-9876-5432</t>
  </si>
  <si>
    <t>3201012345678902</t>
  </si>
  <si>
    <t>0813-1111-2222</t>
  </si>
  <si>
    <t>3201012345678903</t>
  </si>
  <si>
    <t>0858-3333-4444</t>
  </si>
  <si>
    <t>3201012345678904</t>
  </si>
  <si>
    <t>SKILL 10 – DATEDIF  |  Studi Kasus: Hitung Masa Kerja &amp; Usia Karyawan</t>
  </si>
  <si>
    <t>0877-5555-6666</t>
  </si>
  <si>
    <t>Tgl Masuk Kerja</t>
  </si>
  <si>
    <t>🔍 SOAL 1: Pastikan kolom A (NIK) diformat sebagai TEXT agar angka nol di depan tidak hilang</t>
  </si>
  <si>
    <t>Usia (Tahun)</t>
  </si>
  <si>
    <t>Masa Kerja (Tahun)</t>
  </si>
  <si>
    <t>Masa Kerja (Bulan)</t>
  </si>
  <si>
    <t>Masa Kerja (Hari)</t>
  </si>
  <si>
    <t>🔍 SOAL 2: Kolom D – Format sebagai Accounting (Rp) dengan 0 desimal</t>
  </si>
  <si>
    <t>🔍 SOAL 3: Kolom E – Format sebagai Percentage dengan 1 desimal (misal: 15.0%)</t>
  </si>
  <si>
    <t>🔍 SOAL 4: Kolom C dan F – Format sebagai Short Date (DD-MMM-YYYY)</t>
  </si>
  <si>
    <t xml:space="preserve">🔍 SOAL 1: Kolom D – Hitung Usia dalam Tahun </t>
  </si>
  <si>
    <t>🔍 SOAL 2: Kolom E – Masa Kerja dalam Tahun</t>
  </si>
  <si>
    <t xml:space="preserve">🔍 SOAL 3: Kolom F – Masa Kerja dalam Bulan   </t>
  </si>
  <si>
    <t xml:space="preserve">🔍 SOAL 4: Kolom G – Masa Kerja dalam Hari  </t>
  </si>
  <si>
    <t>SKILL 9 – IFS  |  Studi Kasus: Penilaian Kinerja Karyawan</t>
  </si>
  <si>
    <t>Skor KPI</t>
  </si>
  <si>
    <t>SKILL 11 – AGGREGATE  |  Studi Kasus: Rekap Penjualan dengan Data Error</t>
  </si>
  <si>
    <t>Grade (Manual)</t>
  </si>
  <si>
    <t>Grade (IFS)</t>
  </si>
  <si>
    <t>Salesperson</t>
  </si>
  <si>
    <t>Bonus (%)</t>
  </si>
  <si>
    <t>Realisasi (Rp)</t>
  </si>
  <si>
    <t>Achievement (%)</t>
  </si>
  <si>
    <t>Status Promosi</t>
  </si>
  <si>
    <t>A</t>
  </si>
  <si>
    <t>Ivan</t>
  </si>
  <si>
    <t>C</t>
  </si>
  <si>
    <t>Julia</t>
  </si>
  <si>
    <t>Metrik</t>
  </si>
  <si>
    <t>Rumus SUM Biasa</t>
  </si>
  <si>
    <t>Rumus AGGREGATE</t>
  </si>
  <si>
    <t>Total Realisasi</t>
  </si>
  <si>
    <t>E</t>
  </si>
  <si>
    <t>Rata-rata Achievement</t>
  </si>
  <si>
    <t>Max Realisasi</t>
  </si>
  <si>
    <t>Min Realisasi</t>
  </si>
  <si>
    <t>SKILL 12 – ISOWEEKNUM  |  Studi Kasus: Buat Laporan Mingguan Penjualan</t>
  </si>
  <si>
    <t>B</t>
  </si>
  <si>
    <t>Tanggal Transaksi</t>
  </si>
  <si>
    <t>Minggu ke- (ISOWEEKNUM)</t>
  </si>
  <si>
    <t>D</t>
  </si>
  <si>
    <t xml:space="preserve">🔍 SOAL 1: Kolom E – Hitung minggu ke berapa  </t>
  </si>
  <si>
    <t>🔍 SOAL: Lengkapi kolom 'Bonus (%)' menggunakan IFS  →  A=15%, B=10%, C=5%, D=2%, E=0%</t>
  </si>
  <si>
    <t>🔍 SOAL: Lengkapi kolom 'Status Promosi' menggunakan IFS  →  Skor ≥85: 'Promosi', 70-84: 'Pertahankan', &lt;70: 'Evaluasi'</t>
  </si>
  <si>
    <t>SKILL 13 – PIVOT TABLE  |  Data Mentah untuk Latihan Pivot (50 Baris)</t>
  </si>
  <si>
    <t>Kategori</t>
  </si>
  <si>
    <t>Electronics</t>
  </si>
  <si>
    <t>Makassar</t>
  </si>
  <si>
    <t>Accessories</t>
  </si>
  <si>
    <t>SKILL 14 – SLICER  |  Panduan Interaktif: Tambahkan Slicer ke Pivot Table</t>
  </si>
  <si>
    <t>LANGKAH</t>
  </si>
  <si>
    <t>INSTRUKSI</t>
  </si>
  <si>
    <t>CATATAN</t>
  </si>
  <si>
    <t>1</t>
  </si>
  <si>
    <t>Pergi ke sheet S13_PivotTable</t>
  </si>
  <si>
    <t>Data mentah sudah tersedia di sana</t>
  </si>
  <si>
    <t>Buat Pivot Table terlebih dahulu (lihat Soal di S13)</t>
  </si>
  <si>
    <t>Pivot harus ada sebelum bisa pasang Slicer</t>
  </si>
  <si>
    <t>Klik sembarang sel di dalam Pivot Table</t>
  </si>
  <si>
    <t>Tab 'PivotTable Analyze' akan muncul</t>
  </si>
  <si>
    <t>Klik Tab 'PivotTable Analyze' di ribbon atas</t>
  </si>
  <si>
    <t>Tab ini hanya muncul saat Pivot aktif</t>
  </si>
  <si>
    <t>Klik tombol 'Insert Slicer'</t>
  </si>
  <si>
    <t>Dialog box pilihan field akan muncul</t>
  </si>
  <si>
    <t>6</t>
  </si>
  <si>
    <t>Centang: Kota, Produk, Sales → klik OK</t>
  </si>
  <si>
    <t>Tiga slicer akan muncul sekaligus</t>
  </si>
  <si>
    <t>Klik tombol kota/produk/sales di slicer</t>
  </si>
  <si>
    <t>Pivot langsung berubah otomatis!</t>
  </si>
  <si>
    <t>Tahan Ctrl untuk pilih lebih dari 1 filter</t>
  </si>
  <si>
    <t>Multi-select dengan Ctrl+klik</t>
  </si>
  <si>
    <t>Klik ikon X di pojok kanan slicer untuk hapus filter</t>
  </si>
  <si>
    <t>Reset filter</t>
  </si>
  <si>
    <t>10</t>
  </si>
  <si>
    <t>Hubungkan 1 Slicer ke beberapa Pivot: klik kanan Slicer → Report Connections</t>
  </si>
  <si>
    <t>Satu slicer kontrol semua Pivot</t>
  </si>
  <si>
    <t>🔍 TUGAS: Setelah membuat Pivot Table dari S13, tambahkan Slicer untuk Produk, dan Sales</t>
  </si>
  <si>
    <t>🔍 BONUS: Hubungkan Slicer yang sama ke 2 Pivot Table berbeda menggunakan Report Connections</t>
  </si>
  <si>
    <t>SKILL 15 – DASHBOARD  |  Panduan &amp; Template Ringkasan KPI</t>
  </si>
  <si>
    <t>INSTRUKSI MEMBUAT DASHBOARD</t>
  </si>
  <si>
    <t>LANGKAH 1</t>
  </si>
  <si>
    <t>Buat sheet baru, namai 'Dashboard'</t>
  </si>
  <si>
    <t>LANGKAH 2</t>
  </si>
  <si>
    <t>Tab View → uncheck Gridlines (latar jadi putih bersih)</t>
  </si>
  <si>
    <t>LANGKAH 3</t>
  </si>
  <si>
    <t>Buat Pivot Table dari data S13 (Nilai per Kota, per Produk, per Sales)</t>
  </si>
  <si>
    <t>LANGKAH 4</t>
  </si>
  <si>
    <t>Insert → PivotChart untuk setiap Pivot Table</t>
  </si>
  <si>
    <t>LANGKAH 5</t>
  </si>
  <si>
    <t>Cut semua chart + slicer, Paste ke sheet Dashboard</t>
  </si>
  <si>
    <t>LANGKAH 6</t>
  </si>
  <si>
    <t>Atur layout: KPI cards di atas, chart di tengah, slicer di kanan</t>
  </si>
  <si>
    <t>LANGKAH 7</t>
  </si>
  <si>
    <t>Samakan tone warna semua chart (Tab Chart Design → Change Colors)</t>
  </si>
  <si>
    <t>LANGKAH 8</t>
  </si>
  <si>
    <t>Tambahkan judul dan logo perusahaan di header Dashboard</t>
  </si>
  <si>
    <t>LANGKAH 9</t>
  </si>
  <si>
    <t>Hide gridlines dan heading agar tampak seperti laporan profesional</t>
  </si>
  <si>
    <t>LANGKAH 10</t>
  </si>
  <si>
    <t>Protect sheet agar tidak ada yang tidak sengaja mengedit formula</t>
  </si>
  <si>
    <t>🔍 TUGAS AKHIR: Gabungkan semua skill! Buat Dashboard interaktif dari data S13 dengan minimal 3 chart + 2 slicer</t>
  </si>
  <si>
    <t>🔍 BONUS: Tambahkan tabel KPI seperti di atas (baris 4-9) ke Dashboard kamu sebagai scorecard</t>
  </si>
  <si>
    <t>🔍 SOAL 1: Buat Pivot Table dari data ini → Total Nilai per Kota</t>
  </si>
  <si>
    <t xml:space="preserve">🔍 SOAL 2: Buat Pivot Table → Total Nilai per Produk per Kota </t>
  </si>
  <si>
    <t>🔍 SOAL 3: Buat Pivot Table → Jumlah transaksi per Sales per Kategori Produk</t>
  </si>
  <si>
    <t>CARA: Klik sembarang sel di tabel → Insert → PivotTable → New Worksheet → drag field sesuai soal</t>
  </si>
  <si>
    <t>0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</si>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</sst>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;\(#,##0.00\)"/>
    <numFmt numFmtId="165" formatCode="dd\-mmm\-yyyy"/>
    <numFmt numFmtId="166" formatCode="#,##0;\(#,##0\)"/>
    <numFmt numFmtId="167" formatCode="0.0%"/>
    <numFmt numFmtId="168" formatCode="mm&quot;-&quot;dd&quot;-&quot;yyyy"/>
    <numFmt numFmtId="169" formatCode="&quot;$&quot;#,##0.00"/>
    <numFmt numFmtId="170" formatCode="m/d/yyyy"/>
  </numFmts>
  <fonts count="8" x14ac:knownFonts="1">
    <font>
      <sz val="11"/>
      <color rgb="FF000000"/>
      <name val="Calibri"/>
      <scheme val="minor"/>
    </font>
    <font>
      <b/>
      <sz val="13"/>
      <color rgb="FF1F4E79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7F600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64" fontId="4" fillId="0" borderId="0" xfId="0" applyNumberFormat="1" applyFont="1" applyAlignment="1"/>
    <xf numFmtId="165" fontId="3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0" fontId="4" fillId="0" borderId="0" xfId="0" applyFont="1" applyAlignment="1"/>
    <xf numFmtId="165" fontId="4" fillId="0" borderId="0" xfId="0" applyNumberFormat="1" applyFont="1" applyAlignment="1"/>
    <xf numFmtId="3" fontId="4" fillId="0" borderId="0" xfId="0" applyNumberFormat="1" applyFont="1" applyAlignment="1"/>
    <xf numFmtId="0" fontId="4" fillId="0" borderId="0" xfId="0" quotePrefix="1" applyFont="1" applyAlignment="1"/>
    <xf numFmtId="49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wrapText="1"/>
    </xf>
    <xf numFmtId="0" fontId="4" fillId="0" borderId="0" xfId="0" applyFont="1" applyAlignment="1"/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3" fontId="3" fillId="0" borderId="1" xfId="0" applyNumberFormat="1" applyFont="1" applyBorder="1" applyAlignment="1"/>
    <xf numFmtId="3" fontId="3" fillId="3" borderId="1" xfId="0" applyNumberFormat="1" applyFont="1" applyFill="1" applyBorder="1" applyAlignment="1">
      <alignment wrapText="1"/>
    </xf>
    <xf numFmtId="167" fontId="3" fillId="3" borderId="1" xfId="0" applyNumberFormat="1" applyFont="1" applyFill="1" applyBorder="1" applyAlignment="1">
      <alignment wrapText="1"/>
    </xf>
    <xf numFmtId="49" fontId="7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168" fontId="3" fillId="0" borderId="1" xfId="0" applyNumberFormat="1" applyFont="1" applyBorder="1" applyAlignment="1">
      <alignment wrapText="1"/>
    </xf>
    <xf numFmtId="169" fontId="3" fillId="0" borderId="1" xfId="0" applyNumberFormat="1" applyFont="1" applyBorder="1" applyAlignment="1">
      <alignment wrapText="1"/>
    </xf>
    <xf numFmtId="170" fontId="3" fillId="0" borderId="1" xfId="0" applyNumberFormat="1" applyFont="1" applyBorder="1" applyAlignment="1">
      <alignment wrapText="1"/>
    </xf>
    <xf numFmtId="167" fontId="3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/>
    <xf numFmtId="9" fontId="4" fillId="0" borderId="0" xfId="0" applyNumberFormat="1" applyFont="1" applyAlignment="1"/>
    <xf numFmtId="9" fontId="2" fillId="2" borderId="1" xfId="0" applyNumberFormat="1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/>
    <xf numFmtId="0" fontId="3" fillId="0" borderId="1" xfId="0" applyFont="1" applyBorder="1" applyAlignment="1"/>
    <xf numFmtId="9" fontId="3" fillId="3" borderId="1" xfId="0" applyNumberFormat="1" applyFont="1" applyFill="1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Font="1" applyAlignment="1">
      <alignment vertical="center"/>
    </xf>
    <xf numFmtId="0" fontId="5" fillId="4" borderId="2" xfId="0" applyFont="1" applyFill="1" applyBorder="1" applyAlignment="1">
      <alignment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49" fontId="1" fillId="0" borderId="0" xfId="0" applyNumberFormat="1" applyFont="1" applyAlignment="1">
      <alignment horizontal="left"/>
    </xf>
    <xf numFmtId="49" fontId="5" fillId="4" borderId="2" xfId="0" applyNumberFormat="1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2</xdr:row>
      <xdr:rowOff>28575</xdr:rowOff>
    </xdr:from>
    <xdr:ext cx="3124200" cy="2162175"/>
    <xdr:pic>
      <xdr:nvPicPr>
        <xdr:cNvPr id="2" name="image1.png" descr=" 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opLeftCell="A4" workbookViewId="0">
      <selection activeCell="B19" sqref="B19"/>
    </sheetView>
  </sheetViews>
  <sheetFormatPr defaultColWidth="14.453125" defaultRowHeight="15" customHeight="1" x14ac:dyDescent="0.35"/>
  <cols>
    <col min="1" max="1" width="14" customWidth="1"/>
    <col min="2" max="2" width="20" customWidth="1"/>
    <col min="3" max="3" width="16" customWidth="1"/>
    <col min="4" max="5" width="14" customWidth="1"/>
    <col min="6" max="6" width="12" customWidth="1"/>
    <col min="7" max="7" width="18.08984375" customWidth="1"/>
    <col min="8" max="26" width="14" customWidth="1"/>
  </cols>
  <sheetData>
    <row r="1" spans="1:7" ht="15.75" customHeight="1" x14ac:dyDescent="0.35">
      <c r="A1" s="37" t="s">
        <v>0</v>
      </c>
      <c r="B1" s="38"/>
      <c r="C1" s="38"/>
      <c r="D1" s="38"/>
      <c r="E1" s="38"/>
      <c r="F1" s="38"/>
    </row>
    <row r="3" spans="1:7" ht="14.5" x14ac:dyDescent="0.35">
      <c r="A3" s="1" t="s">
        <v>2</v>
      </c>
      <c r="B3" s="1" t="s">
        <v>4</v>
      </c>
      <c r="C3" s="1" t="s">
        <v>6</v>
      </c>
      <c r="D3" s="1" t="s">
        <v>7</v>
      </c>
      <c r="E3" s="1" t="s">
        <v>9</v>
      </c>
      <c r="F3" s="1" t="s">
        <v>10</v>
      </c>
      <c r="G3" s="1" t="s">
        <v>13</v>
      </c>
    </row>
    <row r="4" spans="1:7" ht="14.5" x14ac:dyDescent="0.35">
      <c r="A4" s="2" t="s">
        <v>15</v>
      </c>
      <c r="B4" s="2" t="s">
        <v>16</v>
      </c>
      <c r="C4" s="2" t="s">
        <v>19</v>
      </c>
      <c r="D4" s="2">
        <v>8500000</v>
      </c>
      <c r="E4" s="2" t="s">
        <v>21</v>
      </c>
      <c r="F4" s="2" t="s">
        <v>22</v>
      </c>
      <c r="G4" s="3" t="e">
        <f t="shared" ref="G4:G13" ca="1" si="0">XLOOKUP(E4,$A$17:$A$20,$B$17:$B$20,"tidak ditemukan")</f>
        <v>#NAME?</v>
      </c>
    </row>
    <row r="5" spans="1:7" ht="14.5" x14ac:dyDescent="0.35">
      <c r="A5" s="2" t="s">
        <v>25</v>
      </c>
      <c r="B5" s="2" t="s">
        <v>26</v>
      </c>
      <c r="C5" s="2" t="s">
        <v>27</v>
      </c>
      <c r="D5" s="2">
        <v>9200000</v>
      </c>
      <c r="E5" s="6" t="s">
        <v>29</v>
      </c>
      <c r="F5" s="2" t="s">
        <v>22</v>
      </c>
      <c r="G5" s="3" t="e">
        <f t="shared" ca="1" si="0"/>
        <v>#NAME?</v>
      </c>
    </row>
    <row r="6" spans="1:7" ht="14.5" x14ac:dyDescent="0.35">
      <c r="A6" s="2" t="s">
        <v>30</v>
      </c>
      <c r="B6" s="2" t="s">
        <v>32</v>
      </c>
      <c r="C6" s="2" t="s">
        <v>34</v>
      </c>
      <c r="D6" s="2">
        <v>11000000</v>
      </c>
      <c r="E6" s="2" t="s">
        <v>35</v>
      </c>
      <c r="F6" s="2" t="s">
        <v>36</v>
      </c>
      <c r="G6" s="3" t="e">
        <f t="shared" ca="1" si="0"/>
        <v>#NAME?</v>
      </c>
    </row>
    <row r="7" spans="1:7" ht="14.5" x14ac:dyDescent="0.35">
      <c r="A7" s="2" t="s">
        <v>37</v>
      </c>
      <c r="B7" s="2" t="s">
        <v>40</v>
      </c>
      <c r="C7" s="2" t="s">
        <v>41</v>
      </c>
      <c r="D7" s="2">
        <v>7800000</v>
      </c>
      <c r="E7" s="2" t="s">
        <v>21</v>
      </c>
      <c r="F7" s="2" t="s">
        <v>22</v>
      </c>
      <c r="G7" s="3" t="e">
        <f t="shared" ca="1" si="0"/>
        <v>#NAME?</v>
      </c>
    </row>
    <row r="8" spans="1:7" ht="14.5" x14ac:dyDescent="0.35">
      <c r="A8" s="2" t="s">
        <v>49</v>
      </c>
      <c r="B8" s="2" t="s">
        <v>51</v>
      </c>
      <c r="C8" s="2" t="s">
        <v>19</v>
      </c>
      <c r="D8" s="2">
        <v>8200000</v>
      </c>
      <c r="E8" s="2" t="s">
        <v>52</v>
      </c>
      <c r="F8" s="2" t="s">
        <v>22</v>
      </c>
      <c r="G8" s="3" t="e">
        <f t="shared" ca="1" si="0"/>
        <v>#NAME?</v>
      </c>
    </row>
    <row r="9" spans="1:7" ht="14.5" x14ac:dyDescent="0.35">
      <c r="A9" s="2" t="s">
        <v>56</v>
      </c>
      <c r="B9" s="2" t="s">
        <v>57</v>
      </c>
      <c r="C9" s="2" t="s">
        <v>27</v>
      </c>
      <c r="D9" s="2">
        <v>9500000</v>
      </c>
      <c r="E9" s="2" t="s">
        <v>21</v>
      </c>
      <c r="F9" s="2" t="s">
        <v>22</v>
      </c>
      <c r="G9" s="3" t="e">
        <f t="shared" ca="1" si="0"/>
        <v>#NAME?</v>
      </c>
    </row>
    <row r="10" spans="1:7" ht="14.5" x14ac:dyDescent="0.35">
      <c r="A10" s="2" t="s">
        <v>61</v>
      </c>
      <c r="B10" s="2" t="s">
        <v>62</v>
      </c>
      <c r="C10" s="2" t="s">
        <v>34</v>
      </c>
      <c r="D10" s="2">
        <v>12500000</v>
      </c>
      <c r="E10" s="2" t="s">
        <v>29</v>
      </c>
      <c r="F10" s="2" t="s">
        <v>22</v>
      </c>
      <c r="G10" s="3" t="e">
        <f t="shared" ca="1" si="0"/>
        <v>#NAME?</v>
      </c>
    </row>
    <row r="11" spans="1:7" ht="14.5" x14ac:dyDescent="0.35">
      <c r="A11" s="2" t="s">
        <v>66</v>
      </c>
      <c r="B11" s="2" t="s">
        <v>68</v>
      </c>
      <c r="C11" s="2" t="s">
        <v>41</v>
      </c>
      <c r="D11" s="2">
        <v>7500000</v>
      </c>
      <c r="E11" s="2" t="s">
        <v>35</v>
      </c>
      <c r="F11" s="2" t="s">
        <v>36</v>
      </c>
      <c r="G11" s="3" t="e">
        <f t="shared" ca="1" si="0"/>
        <v>#NAME?</v>
      </c>
    </row>
    <row r="12" spans="1:7" ht="14.5" x14ac:dyDescent="0.35">
      <c r="A12" s="2" t="s">
        <v>73</v>
      </c>
      <c r="B12" s="2" t="s">
        <v>75</v>
      </c>
      <c r="C12" s="2" t="s">
        <v>19</v>
      </c>
      <c r="D12" s="2">
        <v>8800000</v>
      </c>
      <c r="E12" s="2" t="s">
        <v>21</v>
      </c>
      <c r="F12" s="2" t="s">
        <v>22</v>
      </c>
      <c r="G12" s="3" t="e">
        <f t="shared" ca="1" si="0"/>
        <v>#NAME?</v>
      </c>
    </row>
    <row r="13" spans="1:7" ht="14.5" x14ac:dyDescent="0.35">
      <c r="A13" s="2" t="s">
        <v>79</v>
      </c>
      <c r="B13" s="2" t="s">
        <v>81</v>
      </c>
      <c r="C13" s="2" t="s">
        <v>34</v>
      </c>
      <c r="D13" s="2">
        <v>10500000</v>
      </c>
      <c r="E13" s="2" t="s">
        <v>29</v>
      </c>
      <c r="F13" s="2" t="s">
        <v>22</v>
      </c>
      <c r="G13" s="3" t="e">
        <f t="shared" ca="1" si="0"/>
        <v>#NAME?</v>
      </c>
    </row>
    <row r="15" spans="1:7" ht="14.5" x14ac:dyDescent="0.3">
      <c r="A15" s="39" t="s">
        <v>87</v>
      </c>
      <c r="B15" s="40"/>
      <c r="C15" s="40"/>
      <c r="D15" s="40"/>
      <c r="E15" s="40"/>
      <c r="F15" s="41"/>
    </row>
    <row r="16" spans="1:7" ht="39" customHeight="1" x14ac:dyDescent="0.35">
      <c r="A16" s="1" t="s">
        <v>9</v>
      </c>
      <c r="B16" s="1" t="s">
        <v>13</v>
      </c>
      <c r="C16" s="14" t="s">
        <v>92</v>
      </c>
      <c r="D16" s="15"/>
    </row>
    <row r="17" spans="1:4" ht="14.5" x14ac:dyDescent="0.35">
      <c r="A17" s="2" t="s">
        <v>21</v>
      </c>
      <c r="B17" s="16" t="e">
        <f t="shared" ref="B17:B20" ca="1" si="1">XLOOKUP(A17,$E$7:$E$13,$D$7:$D$13)</f>
        <v>#NAME?</v>
      </c>
      <c r="C17" s="17"/>
      <c r="D17" s="17"/>
    </row>
    <row r="18" spans="1:4" ht="14.5" x14ac:dyDescent="0.35">
      <c r="A18" s="2" t="s">
        <v>35</v>
      </c>
      <c r="B18" s="16" t="e">
        <f t="shared" ca="1" si="1"/>
        <v>#NAME?</v>
      </c>
      <c r="C18" s="17"/>
      <c r="D18" s="17"/>
    </row>
    <row r="19" spans="1:4" ht="14.5" x14ac:dyDescent="0.35">
      <c r="A19" s="2" t="s">
        <v>52</v>
      </c>
      <c r="B19" s="16" t="e">
        <f t="shared" ca="1" si="1"/>
        <v>#NAME?</v>
      </c>
      <c r="C19" s="17"/>
      <c r="D19" s="17"/>
    </row>
    <row r="20" spans="1:4" ht="14.5" x14ac:dyDescent="0.35">
      <c r="A20" s="2" t="s">
        <v>29</v>
      </c>
      <c r="B20" s="16" t="e">
        <f t="shared" ca="1" si="1"/>
        <v>#NAME?</v>
      </c>
      <c r="C20" s="17"/>
      <c r="D20" s="17"/>
    </row>
    <row r="21" spans="1:4" ht="15.75" customHeight="1" x14ac:dyDescent="0.35">
      <c r="C21" s="9"/>
      <c r="D21" s="9"/>
    </row>
    <row r="22" spans="1:4" ht="15.75" customHeight="1" x14ac:dyDescent="0.35"/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F1"/>
    <mergeCell ref="A15:F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G4" sqref="G4"/>
    </sheetView>
  </sheetViews>
  <sheetFormatPr defaultColWidth="14.453125" defaultRowHeight="15" customHeight="1" x14ac:dyDescent="0.35"/>
  <cols>
    <col min="1" max="1" width="6" customWidth="1"/>
    <col min="2" max="3" width="14" customWidth="1"/>
    <col min="4" max="4" width="12" customWidth="1"/>
    <col min="5" max="5" width="10" customWidth="1"/>
    <col min="6" max="6" width="5" customWidth="1"/>
    <col min="7" max="7" width="41.7265625" customWidth="1"/>
    <col min="8" max="8" width="18" customWidth="1"/>
    <col min="9" max="26" width="14" customWidth="1"/>
  </cols>
  <sheetData>
    <row r="1" spans="1:8" ht="15.75" customHeight="1" x14ac:dyDescent="0.35">
      <c r="A1" s="37" t="s">
        <v>1</v>
      </c>
      <c r="B1" s="38"/>
      <c r="C1" s="38"/>
      <c r="D1" s="38"/>
      <c r="E1" s="38"/>
      <c r="F1" s="38"/>
      <c r="G1" s="38"/>
    </row>
    <row r="3" spans="1:8" ht="26.25" customHeight="1" x14ac:dyDescent="0.35">
      <c r="A3" s="1" t="s">
        <v>5</v>
      </c>
      <c r="B3" s="1" t="s">
        <v>8</v>
      </c>
      <c r="C3" s="1" t="s">
        <v>11</v>
      </c>
      <c r="D3" s="1" t="s">
        <v>9</v>
      </c>
      <c r="E3" s="1" t="s">
        <v>14</v>
      </c>
      <c r="F3" s="1"/>
      <c r="G3" s="1" t="s">
        <v>17</v>
      </c>
      <c r="H3" s="1" t="s">
        <v>20</v>
      </c>
    </row>
    <row r="4" spans="1:8" ht="14.5" x14ac:dyDescent="0.25">
      <c r="A4" s="2">
        <v>1</v>
      </c>
      <c r="B4" s="2" t="s">
        <v>23</v>
      </c>
      <c r="C4" s="2" t="s">
        <v>24</v>
      </c>
      <c r="D4" s="2" t="s">
        <v>21</v>
      </c>
      <c r="E4" s="2">
        <v>2</v>
      </c>
      <c r="G4" s="5" t="e">
        <f t="shared" ref="G4:H4" ca="1" si="0">UNIQUE(C4:C15)</f>
        <v>#NAME?</v>
      </c>
      <c r="H4" s="7" t="e">
        <f t="shared" ca="1" si="0"/>
        <v>#NAME?</v>
      </c>
    </row>
    <row r="5" spans="1:8" ht="14.5" x14ac:dyDescent="0.35">
      <c r="A5" s="2">
        <v>2</v>
      </c>
      <c r="B5" s="2" t="s">
        <v>31</v>
      </c>
      <c r="C5" s="2" t="s">
        <v>33</v>
      </c>
      <c r="D5" s="2" t="s">
        <v>29</v>
      </c>
      <c r="E5" s="2">
        <v>5</v>
      </c>
      <c r="G5" s="9" t="s">
        <v>33</v>
      </c>
      <c r="H5" s="9" t="s">
        <v>29</v>
      </c>
    </row>
    <row r="6" spans="1:8" ht="14.5" x14ac:dyDescent="0.35">
      <c r="A6" s="2">
        <v>3</v>
      </c>
      <c r="B6" s="2" t="s">
        <v>39</v>
      </c>
      <c r="C6" s="2" t="s">
        <v>24</v>
      </c>
      <c r="D6" s="2" t="s">
        <v>35</v>
      </c>
      <c r="E6" s="2">
        <v>1</v>
      </c>
      <c r="G6" s="9" t="s">
        <v>42</v>
      </c>
      <c r="H6" s="9" t="s">
        <v>35</v>
      </c>
    </row>
    <row r="7" spans="1:8" ht="14.5" x14ac:dyDescent="0.35">
      <c r="A7" s="2">
        <v>4</v>
      </c>
      <c r="B7" s="2" t="s">
        <v>45</v>
      </c>
      <c r="C7" s="2" t="s">
        <v>42</v>
      </c>
      <c r="D7" s="2" t="s">
        <v>21</v>
      </c>
      <c r="E7" s="2">
        <v>3</v>
      </c>
      <c r="G7" s="9" t="s">
        <v>55</v>
      </c>
    </row>
    <row r="8" spans="1:8" ht="14.5" x14ac:dyDescent="0.25">
      <c r="A8" s="2">
        <v>5</v>
      </c>
      <c r="B8" s="2" t="s">
        <v>59</v>
      </c>
      <c r="C8" s="2" t="s">
        <v>33</v>
      </c>
      <c r="D8" s="2" t="s">
        <v>21</v>
      </c>
      <c r="E8" s="2">
        <v>7</v>
      </c>
    </row>
    <row r="9" spans="1:8" ht="14.5" x14ac:dyDescent="0.25">
      <c r="A9" s="2">
        <v>6</v>
      </c>
      <c r="B9" s="2" t="s">
        <v>64</v>
      </c>
      <c r="C9" s="2" t="s">
        <v>55</v>
      </c>
      <c r="D9" s="2" t="s">
        <v>29</v>
      </c>
      <c r="E9" s="2">
        <v>2</v>
      </c>
    </row>
    <row r="10" spans="1:8" ht="14.5" x14ac:dyDescent="0.25">
      <c r="A10" s="2">
        <v>7</v>
      </c>
      <c r="B10" s="2" t="s">
        <v>71</v>
      </c>
      <c r="C10" s="2" t="s">
        <v>24</v>
      </c>
      <c r="D10" s="2" t="s">
        <v>29</v>
      </c>
      <c r="E10" s="2">
        <v>1</v>
      </c>
    </row>
    <row r="11" spans="1:8" ht="14.5" x14ac:dyDescent="0.25">
      <c r="A11" s="2">
        <v>8</v>
      </c>
      <c r="B11" s="2" t="s">
        <v>77</v>
      </c>
      <c r="C11" s="2" t="s">
        <v>42</v>
      </c>
      <c r="D11" s="2" t="s">
        <v>35</v>
      </c>
      <c r="E11" s="2">
        <v>4</v>
      </c>
    </row>
    <row r="12" spans="1:8" ht="14.5" x14ac:dyDescent="0.25">
      <c r="A12" s="2">
        <v>9</v>
      </c>
      <c r="B12" s="2" t="s">
        <v>82</v>
      </c>
      <c r="C12" s="2" t="s">
        <v>55</v>
      </c>
      <c r="D12" s="2" t="s">
        <v>21</v>
      </c>
      <c r="E12" s="2">
        <v>1</v>
      </c>
    </row>
    <row r="13" spans="1:8" ht="14.5" x14ac:dyDescent="0.25">
      <c r="A13" s="2">
        <v>10</v>
      </c>
      <c r="B13" s="2" t="s">
        <v>85</v>
      </c>
      <c r="C13" s="2" t="s">
        <v>33</v>
      </c>
      <c r="D13" s="2" t="s">
        <v>35</v>
      </c>
      <c r="E13" s="2">
        <v>6</v>
      </c>
    </row>
    <row r="14" spans="1:8" ht="14.5" x14ac:dyDescent="0.25">
      <c r="A14" s="2">
        <v>11</v>
      </c>
      <c r="B14" s="2" t="s">
        <v>89</v>
      </c>
      <c r="C14" s="2" t="s">
        <v>24</v>
      </c>
      <c r="D14" s="2" t="s">
        <v>21</v>
      </c>
      <c r="E14" s="2">
        <v>3</v>
      </c>
    </row>
    <row r="15" spans="1:8" ht="14.5" x14ac:dyDescent="0.25">
      <c r="A15" s="2">
        <v>12</v>
      </c>
      <c r="B15" s="2" t="s">
        <v>93</v>
      </c>
      <c r="C15" s="2" t="s">
        <v>42</v>
      </c>
      <c r="D15" s="2" t="s">
        <v>29</v>
      </c>
      <c r="E15" s="2">
        <v>2</v>
      </c>
    </row>
    <row r="17" spans="1:8" ht="14.5" x14ac:dyDescent="0.3">
      <c r="A17" s="39" t="s">
        <v>95</v>
      </c>
      <c r="B17" s="40"/>
      <c r="C17" s="40"/>
      <c r="D17" s="40"/>
      <c r="E17" s="40"/>
      <c r="F17" s="40"/>
      <c r="G17" s="40"/>
      <c r="H17" s="41"/>
    </row>
    <row r="18" spans="1:8" ht="14.5" x14ac:dyDescent="0.3">
      <c r="A18" s="39" t="s">
        <v>98</v>
      </c>
      <c r="B18" s="40"/>
      <c r="C18" s="40"/>
      <c r="D18" s="40"/>
      <c r="E18" s="40"/>
      <c r="F18" s="40"/>
      <c r="G18" s="40"/>
      <c r="H18" s="41"/>
    </row>
    <row r="21" spans="1:8" ht="15.75" customHeight="1" x14ac:dyDescent="0.35"/>
    <row r="22" spans="1:8" ht="15.75" customHeight="1" x14ac:dyDescent="0.35"/>
    <row r="23" spans="1:8" ht="15.75" customHeight="1" x14ac:dyDescent="0.35"/>
    <row r="24" spans="1:8" ht="15.75" customHeight="1" x14ac:dyDescent="0.35"/>
    <row r="25" spans="1:8" ht="15.75" customHeight="1" x14ac:dyDescent="0.35"/>
    <row r="26" spans="1:8" ht="15.75" customHeight="1" x14ac:dyDescent="0.35"/>
    <row r="27" spans="1:8" ht="15.75" customHeight="1" x14ac:dyDescent="0.35"/>
    <row r="28" spans="1:8" ht="15.75" customHeight="1" x14ac:dyDescent="0.35"/>
    <row r="29" spans="1:8" ht="15.75" customHeight="1" x14ac:dyDescent="0.35"/>
    <row r="30" spans="1:8" ht="15.75" customHeight="1" x14ac:dyDescent="0.35"/>
    <row r="31" spans="1:8" ht="15.75" customHeight="1" x14ac:dyDescent="0.35"/>
    <row r="32" spans="1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G1"/>
    <mergeCell ref="A17:H17"/>
    <mergeCell ref="A18:H18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topLeftCell="A22" workbookViewId="0">
      <selection activeCell="H31" sqref="H31"/>
    </sheetView>
  </sheetViews>
  <sheetFormatPr defaultColWidth="14.453125" defaultRowHeight="15" customHeight="1" x14ac:dyDescent="0.35"/>
  <cols>
    <col min="1" max="1" width="6" customWidth="1"/>
    <col min="2" max="2" width="14" customWidth="1"/>
    <col min="3" max="5" width="12" customWidth="1"/>
    <col min="6" max="6" width="14" customWidth="1"/>
    <col min="7" max="7" width="11" customWidth="1"/>
    <col min="8" max="8" width="14" customWidth="1"/>
    <col min="9" max="10" width="12" customWidth="1"/>
    <col min="11" max="11" width="14" customWidth="1"/>
    <col min="12" max="12" width="8.7265625" customWidth="1"/>
    <col min="13" max="13" width="9.54296875" customWidth="1"/>
    <col min="14" max="25" width="8.7265625" customWidth="1"/>
    <col min="26" max="26" width="15.08984375" customWidth="1"/>
    <col min="27" max="30" width="8.7265625" customWidth="1"/>
  </cols>
  <sheetData>
    <row r="1" spans="1:30" ht="15.75" customHeight="1" x14ac:dyDescent="0.35">
      <c r="A1" s="37" t="s">
        <v>3</v>
      </c>
      <c r="B1" s="38"/>
      <c r="C1" s="38"/>
      <c r="D1" s="38"/>
      <c r="E1" s="38"/>
      <c r="F1" s="38"/>
      <c r="G1" s="38"/>
      <c r="H1" s="38"/>
      <c r="I1" s="38"/>
      <c r="J1" s="38"/>
    </row>
    <row r="3" spans="1:30" ht="26.25" customHeight="1" x14ac:dyDescent="0.35">
      <c r="A3" s="1" t="s">
        <v>5</v>
      </c>
      <c r="B3" s="1" t="s">
        <v>8</v>
      </c>
      <c r="C3" s="1" t="s">
        <v>12</v>
      </c>
      <c r="D3" s="1" t="s">
        <v>11</v>
      </c>
      <c r="E3" s="1" t="s">
        <v>9</v>
      </c>
      <c r="F3" s="1" t="s">
        <v>18</v>
      </c>
      <c r="H3" s="1" t="s">
        <v>5</v>
      </c>
      <c r="I3" s="1" t="s">
        <v>8</v>
      </c>
      <c r="J3" s="1" t="s">
        <v>12</v>
      </c>
      <c r="K3" s="1" t="s">
        <v>11</v>
      </c>
      <c r="L3" s="1" t="s">
        <v>9</v>
      </c>
      <c r="M3" s="1" t="s">
        <v>18</v>
      </c>
    </row>
    <row r="4" spans="1:30" ht="14.5" x14ac:dyDescent="0.35">
      <c r="A4" s="2">
        <v>1</v>
      </c>
      <c r="B4" s="4">
        <v>45660</v>
      </c>
      <c r="C4" s="2" t="s">
        <v>28</v>
      </c>
      <c r="D4" s="2" t="s">
        <v>24</v>
      </c>
      <c r="E4" s="2" t="s">
        <v>21</v>
      </c>
      <c r="F4" s="8">
        <v>8500000</v>
      </c>
      <c r="H4" s="5">
        <f ca="1">IFERROR(__xludf.DUMMYFUNCTION("filter(A4:F15,E4:E15=""jakarta"")"),1)</f>
        <v>1</v>
      </c>
      <c r="I4" s="10">
        <f ca="1">IFERROR(__xludf.DUMMYFUNCTION("""COMPUTED_VALUE"""),45660)</f>
        <v>45660</v>
      </c>
      <c r="J4" s="9" t="str">
        <f ca="1">IFERROR(__xludf.DUMMYFUNCTION("""COMPUTED_VALUE"""),"Andi")</f>
        <v>Andi</v>
      </c>
      <c r="K4" s="9" t="str">
        <f ca="1">IFERROR(__xludf.DUMMYFUNCTION("""COMPUTED_VALUE"""),"Laptop")</f>
        <v>Laptop</v>
      </c>
      <c r="L4" s="9" t="str">
        <f ca="1">IFERROR(__xludf.DUMMYFUNCTION("""COMPUTED_VALUE"""),"Jakarta")</f>
        <v>Jakarta</v>
      </c>
      <c r="M4" s="11">
        <f ca="1">IFERROR(__xludf.DUMMYFUNCTION("""COMPUTED_VALUE"""),8500000)</f>
        <v>8500000</v>
      </c>
      <c r="R4" s="9">
        <v>1</v>
      </c>
      <c r="S4" s="10">
        <v>45660</v>
      </c>
      <c r="T4" s="9" t="s">
        <v>28</v>
      </c>
      <c r="U4" s="9" t="s">
        <v>24</v>
      </c>
      <c r="V4" s="9" t="s">
        <v>21</v>
      </c>
      <c r="W4" s="11">
        <v>8500000</v>
      </c>
      <c r="Y4" s="9">
        <v>1</v>
      </c>
      <c r="Z4" s="10">
        <v>45660</v>
      </c>
      <c r="AA4" s="9" t="s">
        <v>28</v>
      </c>
      <c r="AB4" s="9" t="s">
        <v>24</v>
      </c>
      <c r="AC4" s="9" t="s">
        <v>21</v>
      </c>
      <c r="AD4" s="11">
        <v>8500000</v>
      </c>
    </row>
    <row r="5" spans="1:30" ht="14.5" x14ac:dyDescent="0.35">
      <c r="A5" s="2">
        <v>2</v>
      </c>
      <c r="B5" s="4">
        <v>45662</v>
      </c>
      <c r="C5" s="2" t="s">
        <v>53</v>
      </c>
      <c r="D5" s="2" t="s">
        <v>33</v>
      </c>
      <c r="E5" s="2" t="s">
        <v>29</v>
      </c>
      <c r="F5" s="8">
        <v>250000</v>
      </c>
      <c r="H5" s="9">
        <f ca="1">IFERROR(__xludf.DUMMYFUNCTION("""COMPUTED_VALUE"""),4)</f>
        <v>4</v>
      </c>
      <c r="I5" s="10">
        <f ca="1">IFERROR(__xludf.DUMMYFUNCTION("""COMPUTED_VALUE"""),45665)</f>
        <v>45665</v>
      </c>
      <c r="J5" s="9" t="str">
        <f ca="1">IFERROR(__xludf.DUMMYFUNCTION("""COMPUTED_VALUE"""),"Andi")</f>
        <v>Andi</v>
      </c>
      <c r="K5" s="9" t="str">
        <f ca="1">IFERROR(__xludf.DUMMYFUNCTION("""COMPUTED_VALUE"""),"Keyboard")</f>
        <v>Keyboard</v>
      </c>
      <c r="L5" s="9" t="str">
        <f ca="1">IFERROR(__xludf.DUMMYFUNCTION("""COMPUTED_VALUE"""),"Jakarta")</f>
        <v>Jakarta</v>
      </c>
      <c r="M5" s="11">
        <f ca="1">IFERROR(__xludf.DUMMYFUNCTION("""COMPUTED_VALUE"""),450000)</f>
        <v>450000</v>
      </c>
      <c r="R5" s="9">
        <v>11</v>
      </c>
      <c r="S5" s="10">
        <v>45677</v>
      </c>
      <c r="T5" s="9" t="s">
        <v>65</v>
      </c>
      <c r="U5" s="9" t="s">
        <v>24</v>
      </c>
      <c r="V5" s="9" t="s">
        <v>21</v>
      </c>
      <c r="W5" s="11">
        <v>8500000</v>
      </c>
      <c r="Y5" s="9">
        <v>3</v>
      </c>
      <c r="Z5" s="10">
        <v>45664</v>
      </c>
      <c r="AA5" s="9" t="s">
        <v>70</v>
      </c>
      <c r="AB5" s="9" t="s">
        <v>24</v>
      </c>
      <c r="AC5" s="9" t="s">
        <v>35</v>
      </c>
      <c r="AD5" s="11">
        <v>8500000</v>
      </c>
    </row>
    <row r="6" spans="1:30" ht="14.5" x14ac:dyDescent="0.35">
      <c r="A6" s="2">
        <v>3</v>
      </c>
      <c r="B6" s="4">
        <v>45664</v>
      </c>
      <c r="C6" s="2" t="s">
        <v>70</v>
      </c>
      <c r="D6" s="2" t="s">
        <v>24</v>
      </c>
      <c r="E6" s="2" t="s">
        <v>35</v>
      </c>
      <c r="F6" s="8">
        <v>8500000</v>
      </c>
      <c r="H6" s="9">
        <f ca="1">IFERROR(__xludf.DUMMYFUNCTION("""COMPUTED_VALUE"""),5)</f>
        <v>5</v>
      </c>
      <c r="I6" s="10">
        <f ca="1">IFERROR(__xludf.DUMMYFUNCTION("""COMPUTED_VALUE"""),45667)</f>
        <v>45667</v>
      </c>
      <c r="J6" s="9" t="str">
        <f ca="1">IFERROR(__xludf.DUMMYFUNCTION("""COMPUTED_VALUE"""),"Diana")</f>
        <v>Diana</v>
      </c>
      <c r="K6" s="9" t="str">
        <f ca="1">IFERROR(__xludf.DUMMYFUNCTION("""COMPUTED_VALUE"""),"Mouse")</f>
        <v>Mouse</v>
      </c>
      <c r="L6" s="9" t="str">
        <f ca="1">IFERROR(__xludf.DUMMYFUNCTION("""COMPUTED_VALUE"""),"Jakarta")</f>
        <v>Jakarta</v>
      </c>
      <c r="M6" s="11">
        <f ca="1">IFERROR(__xludf.DUMMYFUNCTION("""COMPUTED_VALUE"""),250000)</f>
        <v>250000</v>
      </c>
      <c r="Y6" s="9">
        <v>6</v>
      </c>
      <c r="Z6" s="10">
        <v>45669</v>
      </c>
      <c r="AA6" s="9" t="s">
        <v>65</v>
      </c>
      <c r="AB6" s="9" t="s">
        <v>55</v>
      </c>
      <c r="AC6" s="9" t="s">
        <v>29</v>
      </c>
      <c r="AD6" s="11">
        <v>3200000</v>
      </c>
    </row>
    <row r="7" spans="1:30" ht="14.5" x14ac:dyDescent="0.35">
      <c r="A7" s="2">
        <v>4</v>
      </c>
      <c r="B7" s="4">
        <v>45665</v>
      </c>
      <c r="C7" s="2" t="s">
        <v>28</v>
      </c>
      <c r="D7" s="2" t="s">
        <v>42</v>
      </c>
      <c r="E7" s="2" t="s">
        <v>21</v>
      </c>
      <c r="F7" s="8">
        <v>450000</v>
      </c>
      <c r="H7" s="9">
        <f ca="1">IFERROR(__xludf.DUMMYFUNCTION("""COMPUTED_VALUE"""),9)</f>
        <v>9</v>
      </c>
      <c r="I7" s="10">
        <f ca="1">IFERROR(__xludf.DUMMYFUNCTION("""COMPUTED_VALUE"""),45674)</f>
        <v>45674</v>
      </c>
      <c r="J7" s="9" t="str">
        <f ca="1">IFERROR(__xludf.DUMMYFUNCTION("""COMPUTED_VALUE"""),"Andi")</f>
        <v>Andi</v>
      </c>
      <c r="K7" s="9" t="str">
        <f ca="1">IFERROR(__xludf.DUMMYFUNCTION("""COMPUTED_VALUE"""),"Monitor")</f>
        <v>Monitor</v>
      </c>
      <c r="L7" s="9" t="str">
        <f ca="1">IFERROR(__xludf.DUMMYFUNCTION("""COMPUTED_VALUE"""),"Jakarta")</f>
        <v>Jakarta</v>
      </c>
      <c r="M7" s="11">
        <f ca="1">IFERROR(__xludf.DUMMYFUNCTION("""COMPUTED_VALUE"""),3200000)</f>
        <v>3200000</v>
      </c>
      <c r="Y7" s="9">
        <v>7</v>
      </c>
      <c r="Z7" s="10">
        <v>45671</v>
      </c>
      <c r="AA7" s="9" t="s">
        <v>53</v>
      </c>
      <c r="AB7" s="9" t="s">
        <v>24</v>
      </c>
      <c r="AC7" s="9" t="s">
        <v>29</v>
      </c>
      <c r="AD7" s="11">
        <v>8500000</v>
      </c>
    </row>
    <row r="8" spans="1:30" ht="14.5" x14ac:dyDescent="0.35">
      <c r="A8" s="2">
        <v>5</v>
      </c>
      <c r="B8" s="4">
        <v>45667</v>
      </c>
      <c r="C8" s="2" t="s">
        <v>97</v>
      </c>
      <c r="D8" s="2" t="s">
        <v>33</v>
      </c>
      <c r="E8" s="2" t="s">
        <v>21</v>
      </c>
      <c r="F8" s="8">
        <v>250000</v>
      </c>
      <c r="H8" s="18">
        <f ca="1">IFERROR(__xludf.DUMMYFUNCTION("""COMPUTED_VALUE"""),11)</f>
        <v>11</v>
      </c>
      <c r="I8" s="19">
        <f ca="1">IFERROR(__xludf.DUMMYFUNCTION("""COMPUTED_VALUE"""),45677)</f>
        <v>45677</v>
      </c>
      <c r="J8" s="18" t="str">
        <f ca="1">IFERROR(__xludf.DUMMYFUNCTION("""COMPUTED_VALUE"""),"Eko")</f>
        <v>Eko</v>
      </c>
      <c r="K8" s="18" t="str">
        <f ca="1">IFERROR(__xludf.DUMMYFUNCTION("""COMPUTED_VALUE"""),"Laptop")</f>
        <v>Laptop</v>
      </c>
      <c r="L8" s="18" t="str">
        <f ca="1">IFERROR(__xludf.DUMMYFUNCTION("""COMPUTED_VALUE"""),"Jakarta")</f>
        <v>Jakarta</v>
      </c>
      <c r="M8" s="20">
        <f ca="1">IFERROR(__xludf.DUMMYFUNCTION("""COMPUTED_VALUE"""),8500000)</f>
        <v>8500000</v>
      </c>
      <c r="Y8" s="9">
        <v>9</v>
      </c>
      <c r="Z8" s="10">
        <v>45674</v>
      </c>
      <c r="AA8" s="9" t="s">
        <v>28</v>
      </c>
      <c r="AB8" s="9" t="s">
        <v>55</v>
      </c>
      <c r="AC8" s="9" t="s">
        <v>21</v>
      </c>
      <c r="AD8" s="11">
        <v>3200000</v>
      </c>
    </row>
    <row r="9" spans="1:30" ht="14.5" x14ac:dyDescent="0.35">
      <c r="A9" s="2">
        <v>6</v>
      </c>
      <c r="B9" s="4">
        <v>45669</v>
      </c>
      <c r="C9" s="2" t="s">
        <v>65</v>
      </c>
      <c r="D9" s="2" t="s">
        <v>55</v>
      </c>
      <c r="E9" s="2" t="s">
        <v>29</v>
      </c>
      <c r="F9" s="8">
        <v>3200000</v>
      </c>
      <c r="Y9" s="9">
        <v>11</v>
      </c>
      <c r="Z9" s="10">
        <v>45677</v>
      </c>
      <c r="AA9" s="9" t="s">
        <v>65</v>
      </c>
      <c r="AB9" s="9" t="s">
        <v>24</v>
      </c>
      <c r="AC9" s="9" t="s">
        <v>21</v>
      </c>
      <c r="AD9" s="11">
        <v>8500000</v>
      </c>
    </row>
    <row r="10" spans="1:30" ht="14.5" x14ac:dyDescent="0.25">
      <c r="A10" s="2">
        <v>7</v>
      </c>
      <c r="B10" s="4">
        <v>45671</v>
      </c>
      <c r="C10" s="2" t="s">
        <v>53</v>
      </c>
      <c r="D10" s="2" t="s">
        <v>24</v>
      </c>
      <c r="E10" s="2" t="s">
        <v>29</v>
      </c>
      <c r="F10" s="8">
        <v>8500000</v>
      </c>
      <c r="H10" s="21">
        <f ca="1">IFERROR(__xludf.DUMMYFUNCTION("sort(FILTER(A4:F15,E4:E15=""Bandung""))"),2)</f>
        <v>2</v>
      </c>
      <c r="I10" s="19">
        <f ca="1">IFERROR(__xludf.DUMMYFUNCTION("""COMPUTED_VALUE"""),45662)</f>
        <v>45662</v>
      </c>
      <c r="J10" s="18" t="str">
        <f ca="1">IFERROR(__xludf.DUMMYFUNCTION("""COMPUTED_VALUE"""),"Budi")</f>
        <v>Budi</v>
      </c>
      <c r="K10" s="18" t="str">
        <f ca="1">IFERROR(__xludf.DUMMYFUNCTION("""COMPUTED_VALUE"""),"Mouse")</f>
        <v>Mouse</v>
      </c>
      <c r="L10" s="18" t="str">
        <f ca="1">IFERROR(__xludf.DUMMYFUNCTION("""COMPUTED_VALUE"""),"Bandung")</f>
        <v>Bandung</v>
      </c>
      <c r="M10" s="20">
        <f ca="1">IFERROR(__xludf.DUMMYFUNCTION("""COMPUTED_VALUE"""),250000)</f>
        <v>250000</v>
      </c>
    </row>
    <row r="11" spans="1:30" ht="14.5" x14ac:dyDescent="0.25">
      <c r="A11" s="2">
        <v>8</v>
      </c>
      <c r="B11" s="4">
        <v>45672</v>
      </c>
      <c r="C11" s="2" t="s">
        <v>70</v>
      </c>
      <c r="D11" s="2" t="s">
        <v>42</v>
      </c>
      <c r="E11" s="2" t="s">
        <v>35</v>
      </c>
      <c r="F11" s="8">
        <v>450000</v>
      </c>
      <c r="H11" s="18">
        <f ca="1">IFERROR(__xludf.DUMMYFUNCTION("""COMPUTED_VALUE"""),6)</f>
        <v>6</v>
      </c>
      <c r="I11" s="19">
        <f ca="1">IFERROR(__xludf.DUMMYFUNCTION("""COMPUTED_VALUE"""),45669)</f>
        <v>45669</v>
      </c>
      <c r="J11" s="18" t="str">
        <f ca="1">IFERROR(__xludf.DUMMYFUNCTION("""COMPUTED_VALUE"""),"Eko")</f>
        <v>Eko</v>
      </c>
      <c r="K11" s="18" t="str">
        <f ca="1">IFERROR(__xludf.DUMMYFUNCTION("""COMPUTED_VALUE"""),"Monitor")</f>
        <v>Monitor</v>
      </c>
      <c r="L11" s="18" t="str">
        <f ca="1">IFERROR(__xludf.DUMMYFUNCTION("""COMPUTED_VALUE"""),"Bandung")</f>
        <v>Bandung</v>
      </c>
      <c r="M11" s="20">
        <f ca="1">IFERROR(__xludf.DUMMYFUNCTION("""COMPUTED_VALUE"""),3200000)</f>
        <v>3200000</v>
      </c>
    </row>
    <row r="12" spans="1:30" ht="14.5" x14ac:dyDescent="0.25">
      <c r="A12" s="2">
        <v>9</v>
      </c>
      <c r="B12" s="4">
        <v>45674</v>
      </c>
      <c r="C12" s="2" t="s">
        <v>28</v>
      </c>
      <c r="D12" s="2" t="s">
        <v>55</v>
      </c>
      <c r="E12" s="2" t="s">
        <v>21</v>
      </c>
      <c r="F12" s="8">
        <v>3200000</v>
      </c>
      <c r="H12" s="18">
        <f ca="1">IFERROR(__xludf.DUMMYFUNCTION("""COMPUTED_VALUE"""),7)</f>
        <v>7</v>
      </c>
      <c r="I12" s="19">
        <f ca="1">IFERROR(__xludf.DUMMYFUNCTION("""COMPUTED_VALUE"""),45671)</f>
        <v>45671</v>
      </c>
      <c r="J12" s="18" t="str">
        <f ca="1">IFERROR(__xludf.DUMMYFUNCTION("""COMPUTED_VALUE"""),"Budi")</f>
        <v>Budi</v>
      </c>
      <c r="K12" s="18" t="str">
        <f ca="1">IFERROR(__xludf.DUMMYFUNCTION("""COMPUTED_VALUE"""),"Laptop")</f>
        <v>Laptop</v>
      </c>
      <c r="L12" s="18" t="str">
        <f ca="1">IFERROR(__xludf.DUMMYFUNCTION("""COMPUTED_VALUE"""),"Bandung")</f>
        <v>Bandung</v>
      </c>
      <c r="M12" s="20">
        <f ca="1">IFERROR(__xludf.DUMMYFUNCTION("""COMPUTED_VALUE"""),8500000)</f>
        <v>8500000</v>
      </c>
    </row>
    <row r="13" spans="1:30" ht="14.5" x14ac:dyDescent="0.25">
      <c r="A13" s="2">
        <v>10</v>
      </c>
      <c r="B13" s="4">
        <v>45675</v>
      </c>
      <c r="C13" s="2" t="s">
        <v>97</v>
      </c>
      <c r="D13" s="2" t="s">
        <v>33</v>
      </c>
      <c r="E13" s="2" t="s">
        <v>35</v>
      </c>
      <c r="F13" s="8">
        <v>250000</v>
      </c>
      <c r="H13" s="18">
        <f ca="1">IFERROR(__xludf.DUMMYFUNCTION("""COMPUTED_VALUE"""),12)</f>
        <v>12</v>
      </c>
      <c r="I13" s="19">
        <f ca="1">IFERROR(__xludf.DUMMYFUNCTION("""COMPUTED_VALUE"""),45678)</f>
        <v>45678</v>
      </c>
      <c r="J13" s="18" t="str">
        <f ca="1">IFERROR(__xludf.DUMMYFUNCTION("""COMPUTED_VALUE"""),"Andi")</f>
        <v>Andi</v>
      </c>
      <c r="K13" s="18" t="str">
        <f ca="1">IFERROR(__xludf.DUMMYFUNCTION("""COMPUTED_VALUE"""),"Keyboard")</f>
        <v>Keyboard</v>
      </c>
      <c r="L13" s="18" t="str">
        <f ca="1">IFERROR(__xludf.DUMMYFUNCTION("""COMPUTED_VALUE"""),"Bandung")</f>
        <v>Bandung</v>
      </c>
      <c r="M13" s="20">
        <f ca="1">IFERROR(__xludf.DUMMYFUNCTION("""COMPUTED_VALUE"""),450000)</f>
        <v>450000</v>
      </c>
    </row>
    <row r="14" spans="1:30" ht="14.5" x14ac:dyDescent="0.25">
      <c r="A14" s="2">
        <v>11</v>
      </c>
      <c r="B14" s="4">
        <v>45677</v>
      </c>
      <c r="C14" s="2" t="s">
        <v>65</v>
      </c>
      <c r="D14" s="2" t="s">
        <v>24</v>
      </c>
      <c r="E14" s="2" t="s">
        <v>21</v>
      </c>
      <c r="F14" s="8">
        <v>8500000</v>
      </c>
    </row>
    <row r="15" spans="1:30" ht="14.5" x14ac:dyDescent="0.25">
      <c r="A15" s="2">
        <v>12</v>
      </c>
      <c r="B15" s="4">
        <v>45678</v>
      </c>
      <c r="C15" s="2" t="s">
        <v>28</v>
      </c>
      <c r="D15" s="2" t="s">
        <v>42</v>
      </c>
      <c r="E15" s="2" t="s">
        <v>29</v>
      </c>
      <c r="F15" s="8">
        <v>450000</v>
      </c>
      <c r="H15" s="18">
        <f ca="1">IFERROR(__xludf.DUMMYFUNCTION("sort(filter(A4:F15,D4:D15=""laptop""))"),1)</f>
        <v>1</v>
      </c>
      <c r="I15" s="19">
        <f ca="1">IFERROR(__xludf.DUMMYFUNCTION("""COMPUTED_VALUE"""),45660)</f>
        <v>45660</v>
      </c>
      <c r="J15" s="18" t="str">
        <f ca="1">IFERROR(__xludf.DUMMYFUNCTION("""COMPUTED_VALUE"""),"Andi")</f>
        <v>Andi</v>
      </c>
      <c r="K15" s="18" t="str">
        <f ca="1">IFERROR(__xludf.DUMMYFUNCTION("""COMPUTED_VALUE"""),"Laptop")</f>
        <v>Laptop</v>
      </c>
      <c r="L15" s="18" t="str">
        <f ca="1">IFERROR(__xludf.DUMMYFUNCTION("""COMPUTED_VALUE"""),"Jakarta")</f>
        <v>Jakarta</v>
      </c>
      <c r="M15" s="20">
        <f ca="1">IFERROR(__xludf.DUMMYFUNCTION("""COMPUTED_VALUE"""),8500000)</f>
        <v>8500000</v>
      </c>
    </row>
    <row r="16" spans="1:30" ht="14.5" x14ac:dyDescent="0.35">
      <c r="H16" s="18">
        <f ca="1">IFERROR(__xludf.DUMMYFUNCTION("""COMPUTED_VALUE"""),3)</f>
        <v>3</v>
      </c>
      <c r="I16" s="19">
        <f ca="1">IFERROR(__xludf.DUMMYFUNCTION("""COMPUTED_VALUE"""),45664)</f>
        <v>45664</v>
      </c>
      <c r="J16" s="18" t="str">
        <f ca="1">IFERROR(__xludf.DUMMYFUNCTION("""COMPUTED_VALUE"""),"Citra")</f>
        <v>Citra</v>
      </c>
      <c r="K16" s="18" t="str">
        <f ca="1">IFERROR(__xludf.DUMMYFUNCTION("""COMPUTED_VALUE"""),"Laptop")</f>
        <v>Laptop</v>
      </c>
      <c r="L16" s="18" t="str">
        <f ca="1">IFERROR(__xludf.DUMMYFUNCTION("""COMPUTED_VALUE"""),"Surabaya")</f>
        <v>Surabaya</v>
      </c>
      <c r="M16" s="20">
        <f ca="1">IFERROR(__xludf.DUMMYFUNCTION("""COMPUTED_VALUE"""),8500000)</f>
        <v>8500000</v>
      </c>
    </row>
    <row r="17" spans="1:15" ht="14.5" x14ac:dyDescent="0.35">
      <c r="H17" s="18">
        <f ca="1">IFERROR(__xludf.DUMMYFUNCTION("""COMPUTED_VALUE"""),7)</f>
        <v>7</v>
      </c>
      <c r="I17" s="19">
        <f ca="1">IFERROR(__xludf.DUMMYFUNCTION("""COMPUTED_VALUE"""),45671)</f>
        <v>45671</v>
      </c>
      <c r="J17" s="18" t="str">
        <f ca="1">IFERROR(__xludf.DUMMYFUNCTION("""COMPUTED_VALUE"""),"Budi")</f>
        <v>Budi</v>
      </c>
      <c r="K17" s="18" t="str">
        <f ca="1">IFERROR(__xludf.DUMMYFUNCTION("""COMPUTED_VALUE"""),"Laptop")</f>
        <v>Laptop</v>
      </c>
      <c r="L17" s="18" t="str">
        <f ca="1">IFERROR(__xludf.DUMMYFUNCTION("""COMPUTED_VALUE"""),"Bandung")</f>
        <v>Bandung</v>
      </c>
      <c r="M17" s="20">
        <f ca="1">IFERROR(__xludf.DUMMYFUNCTION("""COMPUTED_VALUE"""),8500000)</f>
        <v>8500000</v>
      </c>
    </row>
    <row r="18" spans="1:15" ht="14.5" x14ac:dyDescent="0.3">
      <c r="A18" s="39" t="s">
        <v>109</v>
      </c>
      <c r="B18" s="40"/>
      <c r="C18" s="40"/>
      <c r="D18" s="40"/>
      <c r="E18" s="40"/>
      <c r="F18" s="40"/>
      <c r="G18" s="40"/>
      <c r="H18" s="40"/>
      <c r="I18" s="40"/>
      <c r="J18" s="40"/>
      <c r="K18" s="41"/>
      <c r="L18" s="18" t="str">
        <f ca="1">IFERROR(__xludf.DUMMYFUNCTION("""COMPUTED_VALUE"""),"Jakarta")</f>
        <v>Jakarta</v>
      </c>
      <c r="M18" s="20">
        <f ca="1">IFERROR(__xludf.DUMMYFUNCTION("""COMPUTED_VALUE"""),8500000)</f>
        <v>8500000</v>
      </c>
    </row>
    <row r="19" spans="1:15" ht="14.5" x14ac:dyDescent="0.3">
      <c r="A19" s="39" t="s">
        <v>122</v>
      </c>
      <c r="B19" s="40"/>
      <c r="C19" s="40"/>
      <c r="D19" s="40"/>
      <c r="E19" s="40"/>
      <c r="F19" s="40"/>
      <c r="G19" s="40"/>
      <c r="H19" s="40"/>
      <c r="I19" s="40"/>
      <c r="J19" s="40"/>
      <c r="K19" s="41"/>
    </row>
    <row r="20" spans="1:15" ht="14.5" x14ac:dyDescent="0.3">
      <c r="A20" s="39" t="s">
        <v>132</v>
      </c>
      <c r="B20" s="40"/>
      <c r="C20" s="40"/>
      <c r="D20" s="40"/>
      <c r="E20" s="40"/>
      <c r="F20" s="40"/>
      <c r="G20" s="40"/>
      <c r="H20" s="40"/>
      <c r="I20" s="40"/>
      <c r="J20" s="40"/>
      <c r="K20" s="41"/>
    </row>
    <row r="21" spans="1:15" ht="15.75" customHeight="1" x14ac:dyDescent="0.35"/>
    <row r="22" spans="1:15" ht="15.75" customHeight="1" x14ac:dyDescent="0.35"/>
    <row r="23" spans="1:15" ht="15.75" customHeight="1" x14ac:dyDescent="0.35">
      <c r="C23" s="9" t="s">
        <v>140</v>
      </c>
    </row>
    <row r="24" spans="1:15" ht="15.75" customHeight="1" x14ac:dyDescent="0.35">
      <c r="C24" s="9">
        <v>7</v>
      </c>
      <c r="D24" s="10">
        <v>45671</v>
      </c>
      <c r="E24" s="9" t="s">
        <v>53</v>
      </c>
      <c r="F24" s="9" t="s">
        <v>24</v>
      </c>
      <c r="G24" s="9" t="s">
        <v>29</v>
      </c>
      <c r="H24" s="11">
        <v>8500000</v>
      </c>
      <c r="J24" s="18">
        <f ca="1">IFERROR(__xludf.DUMMYFUNCTION("FILTER(A4:F15,D4:D15=""Monitor"")"),6)</f>
        <v>6</v>
      </c>
      <c r="K24" s="19">
        <f ca="1">IFERROR(__xludf.DUMMYFUNCTION("""COMPUTED_VALUE"""),45669)</f>
        <v>45669</v>
      </c>
      <c r="L24" s="18" t="str">
        <f ca="1">IFERROR(__xludf.DUMMYFUNCTION("""COMPUTED_VALUE"""),"Eko")</f>
        <v>Eko</v>
      </c>
      <c r="M24" s="18" t="str">
        <f ca="1">IFERROR(__xludf.DUMMYFUNCTION("""COMPUTED_VALUE"""),"Monitor")</f>
        <v>Monitor</v>
      </c>
      <c r="N24" s="18" t="str">
        <f ca="1">IFERROR(__xludf.DUMMYFUNCTION("""COMPUTED_VALUE"""),"Bandung")</f>
        <v>Bandung</v>
      </c>
      <c r="O24" s="20">
        <f ca="1">IFERROR(__xludf.DUMMYFUNCTION("""COMPUTED_VALUE"""),3200000)</f>
        <v>3200000</v>
      </c>
    </row>
    <row r="25" spans="1:15" ht="15.75" customHeight="1" x14ac:dyDescent="0.35">
      <c r="C25" s="9">
        <v>1</v>
      </c>
      <c r="D25" s="10">
        <v>45660</v>
      </c>
      <c r="E25" s="9" t="s">
        <v>28</v>
      </c>
      <c r="F25" s="9" t="s">
        <v>24</v>
      </c>
      <c r="G25" s="9" t="s">
        <v>21</v>
      </c>
      <c r="H25" s="11">
        <v>8500000</v>
      </c>
      <c r="J25" s="18">
        <f ca="1">IFERROR(__xludf.DUMMYFUNCTION("""COMPUTED_VALUE"""),9)</f>
        <v>9</v>
      </c>
      <c r="K25" s="19">
        <f ca="1">IFERROR(__xludf.DUMMYFUNCTION("""COMPUTED_VALUE"""),45674)</f>
        <v>45674</v>
      </c>
      <c r="L25" s="18" t="str">
        <f ca="1">IFERROR(__xludf.DUMMYFUNCTION("""COMPUTED_VALUE"""),"Andi")</f>
        <v>Andi</v>
      </c>
      <c r="M25" s="18" t="str">
        <f ca="1">IFERROR(__xludf.DUMMYFUNCTION("""COMPUTED_VALUE"""),"Monitor")</f>
        <v>Monitor</v>
      </c>
      <c r="N25" s="18" t="str">
        <f ca="1">IFERROR(__xludf.DUMMYFUNCTION("""COMPUTED_VALUE"""),"Jakarta")</f>
        <v>Jakarta</v>
      </c>
      <c r="O25" s="20">
        <f ca="1">IFERROR(__xludf.DUMMYFUNCTION("""COMPUTED_VALUE"""),3200000)</f>
        <v>3200000</v>
      </c>
    </row>
    <row r="26" spans="1:15" ht="15.75" customHeight="1" x14ac:dyDescent="0.35">
      <c r="C26" s="9">
        <v>11</v>
      </c>
      <c r="D26" s="10">
        <v>45677</v>
      </c>
      <c r="E26" s="9" t="s">
        <v>65</v>
      </c>
      <c r="F26" s="9" t="s">
        <v>24</v>
      </c>
      <c r="G26" s="9" t="s">
        <v>21</v>
      </c>
      <c r="H26" s="11">
        <v>8500000</v>
      </c>
    </row>
    <row r="27" spans="1:15" ht="15.75" customHeight="1" x14ac:dyDescent="0.35">
      <c r="C27" s="9">
        <v>3</v>
      </c>
      <c r="D27" s="10">
        <v>45664</v>
      </c>
      <c r="E27" s="9" t="s">
        <v>70</v>
      </c>
      <c r="F27" s="9" t="s">
        <v>24</v>
      </c>
      <c r="G27" s="9" t="s">
        <v>35</v>
      </c>
      <c r="H27" s="11">
        <v>8500000</v>
      </c>
    </row>
    <row r="28" spans="1:15" ht="15.75" customHeight="1" x14ac:dyDescent="0.35"/>
    <row r="29" spans="1:15" ht="15.75" customHeight="1" x14ac:dyDescent="0.35">
      <c r="C29" s="9" t="s">
        <v>166</v>
      </c>
    </row>
    <row r="30" spans="1:15" ht="15.75" customHeight="1" x14ac:dyDescent="0.35">
      <c r="C30" s="9">
        <v>3</v>
      </c>
      <c r="D30" s="10">
        <v>45664</v>
      </c>
      <c r="E30" s="9" t="s">
        <v>70</v>
      </c>
      <c r="F30" s="9" t="s">
        <v>24</v>
      </c>
      <c r="G30" s="9" t="s">
        <v>35</v>
      </c>
      <c r="H30" s="11">
        <v>8500000</v>
      </c>
    </row>
    <row r="31" spans="1:15" ht="15.75" customHeight="1" x14ac:dyDescent="0.35">
      <c r="C31" s="9">
        <v>1</v>
      </c>
      <c r="D31" s="10">
        <v>45660</v>
      </c>
      <c r="E31" s="9" t="s">
        <v>28</v>
      </c>
      <c r="F31" s="9" t="s">
        <v>24</v>
      </c>
      <c r="G31" s="9" t="s">
        <v>21</v>
      </c>
      <c r="H31" s="11">
        <v>8500000</v>
      </c>
    </row>
    <row r="32" spans="1:15" ht="15.75" customHeight="1" x14ac:dyDescent="0.35">
      <c r="C32" s="9">
        <v>11</v>
      </c>
      <c r="D32" s="10">
        <v>45677</v>
      </c>
      <c r="E32" s="9" t="s">
        <v>65</v>
      </c>
      <c r="F32" s="9" t="s">
        <v>24</v>
      </c>
      <c r="G32" s="9" t="s">
        <v>21</v>
      </c>
      <c r="H32" s="11">
        <v>8500000</v>
      </c>
    </row>
    <row r="33" spans="3:8" ht="15.75" customHeight="1" x14ac:dyDescent="0.35">
      <c r="C33" s="9">
        <v>7</v>
      </c>
      <c r="D33" s="10">
        <v>45671</v>
      </c>
      <c r="E33" s="9" t="s">
        <v>53</v>
      </c>
      <c r="F33" s="9" t="s">
        <v>24</v>
      </c>
      <c r="G33" s="9" t="s">
        <v>29</v>
      </c>
      <c r="H33" s="11">
        <v>8500000</v>
      </c>
    </row>
    <row r="34" spans="3:8" ht="15.75" customHeight="1" x14ac:dyDescent="0.35"/>
    <row r="35" spans="3:8" ht="15.75" customHeight="1" x14ac:dyDescent="0.35"/>
    <row r="36" spans="3:8" ht="15.75" customHeight="1" x14ac:dyDescent="0.35"/>
    <row r="37" spans="3:8" ht="15.75" customHeight="1" x14ac:dyDescent="0.35"/>
    <row r="38" spans="3:8" ht="15.75" customHeight="1" x14ac:dyDescent="0.35"/>
    <row r="39" spans="3:8" ht="15.75" customHeight="1" x14ac:dyDescent="0.35"/>
    <row r="40" spans="3:8" ht="15.75" customHeight="1" x14ac:dyDescent="0.35"/>
    <row r="41" spans="3:8" ht="15.75" customHeight="1" x14ac:dyDescent="0.35"/>
    <row r="42" spans="3:8" ht="15.75" customHeight="1" x14ac:dyDescent="0.35"/>
    <row r="43" spans="3:8" ht="15.75" customHeight="1" x14ac:dyDescent="0.35"/>
    <row r="44" spans="3:8" ht="15.75" customHeight="1" x14ac:dyDescent="0.35"/>
    <row r="45" spans="3:8" ht="15.75" customHeight="1" x14ac:dyDescent="0.35"/>
    <row r="46" spans="3:8" ht="15.75" customHeight="1" x14ac:dyDescent="0.35"/>
    <row r="47" spans="3:8" ht="15.75" customHeight="1" x14ac:dyDescent="0.35"/>
    <row r="48" spans="3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J1"/>
    <mergeCell ref="A18:K18"/>
    <mergeCell ref="A19:K19"/>
    <mergeCell ref="A20:K20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53125" defaultRowHeight="15" customHeight="1" x14ac:dyDescent="0.35"/>
  <cols>
    <col min="1" max="1" width="12.08984375" customWidth="1"/>
    <col min="2" max="2" width="16" customWidth="1"/>
    <col min="3" max="3" width="18" customWidth="1"/>
    <col min="4" max="4" width="20" customWidth="1"/>
    <col min="5" max="5" width="14" customWidth="1"/>
    <col min="6" max="6" width="20.453125" customWidth="1"/>
    <col min="7" max="26" width="14" customWidth="1"/>
  </cols>
  <sheetData>
    <row r="1" spans="1:6" ht="15.75" customHeight="1" x14ac:dyDescent="0.35">
      <c r="A1" s="37" t="s">
        <v>38</v>
      </c>
      <c r="B1" s="38"/>
      <c r="C1" s="38"/>
      <c r="D1" s="38"/>
      <c r="E1" s="38"/>
      <c r="F1" s="38"/>
    </row>
    <row r="3" spans="1:6" ht="39" customHeight="1" x14ac:dyDescent="0.35">
      <c r="A3" s="1" t="s">
        <v>5</v>
      </c>
      <c r="B3" s="1" t="s">
        <v>11</v>
      </c>
      <c r="C3" s="1" t="s">
        <v>43</v>
      </c>
      <c r="D3" s="1" t="s">
        <v>44</v>
      </c>
      <c r="E3" s="1" t="s">
        <v>46</v>
      </c>
      <c r="F3" s="1" t="s">
        <v>47</v>
      </c>
    </row>
    <row r="4" spans="1:6" ht="14.5" x14ac:dyDescent="0.35">
      <c r="A4" s="2">
        <v>1</v>
      </c>
      <c r="B4" s="2" t="s">
        <v>24</v>
      </c>
      <c r="C4" s="12" t="s">
        <v>48</v>
      </c>
      <c r="D4" s="11"/>
      <c r="E4" s="13" t="s">
        <v>50</v>
      </c>
      <c r="F4" s="13"/>
    </row>
    <row r="5" spans="1:6" ht="14.5" x14ac:dyDescent="0.35">
      <c r="A5" s="2">
        <v>2</v>
      </c>
      <c r="B5" s="2" t="s">
        <v>33</v>
      </c>
      <c r="C5" s="12" t="s">
        <v>54</v>
      </c>
      <c r="D5" s="11"/>
      <c r="E5" s="13" t="s">
        <v>58</v>
      </c>
      <c r="F5" s="13"/>
    </row>
    <row r="6" spans="1:6" ht="14.5" x14ac:dyDescent="0.35">
      <c r="A6" s="2">
        <v>3</v>
      </c>
      <c r="B6" s="2" t="s">
        <v>42</v>
      </c>
      <c r="C6" s="12" t="s">
        <v>60</v>
      </c>
      <c r="D6" s="11"/>
      <c r="E6" s="13" t="s">
        <v>63</v>
      </c>
      <c r="F6" s="13"/>
    </row>
    <row r="7" spans="1:6" ht="14.5" x14ac:dyDescent="0.35">
      <c r="A7" s="2">
        <v>4</v>
      </c>
      <c r="B7" s="2" t="s">
        <v>55</v>
      </c>
      <c r="C7" s="12" t="s">
        <v>67</v>
      </c>
      <c r="D7" s="11"/>
      <c r="E7" s="13" t="s">
        <v>69</v>
      </c>
      <c r="F7" s="13"/>
    </row>
    <row r="8" spans="1:6" ht="14.5" x14ac:dyDescent="0.35">
      <c r="A8" s="2">
        <v>5</v>
      </c>
      <c r="B8" s="2" t="s">
        <v>72</v>
      </c>
      <c r="C8" s="12" t="s">
        <v>74</v>
      </c>
      <c r="D8" s="11"/>
      <c r="E8" s="13" t="s">
        <v>76</v>
      </c>
      <c r="F8" s="13"/>
    </row>
    <row r="9" spans="1:6" ht="14.5" x14ac:dyDescent="0.35">
      <c r="A9" s="2">
        <v>6</v>
      </c>
      <c r="B9" s="2" t="s">
        <v>78</v>
      </c>
      <c r="C9" s="12" t="s">
        <v>80</v>
      </c>
      <c r="D9" s="11"/>
      <c r="E9" s="13" t="s">
        <v>83</v>
      </c>
      <c r="F9" s="13"/>
    </row>
    <row r="10" spans="1:6" ht="14.5" x14ac:dyDescent="0.35">
      <c r="A10" s="2">
        <v>7</v>
      </c>
      <c r="B10" s="2" t="s">
        <v>84</v>
      </c>
      <c r="C10" s="12" t="s">
        <v>86</v>
      </c>
      <c r="D10" s="11"/>
      <c r="E10" s="13" t="s">
        <v>88</v>
      </c>
      <c r="F10" s="13"/>
    </row>
    <row r="11" spans="1:6" ht="14.5" x14ac:dyDescent="0.35">
      <c r="A11" s="2">
        <v>8</v>
      </c>
      <c r="B11" s="2" t="s">
        <v>90</v>
      </c>
      <c r="C11" s="12" t="s">
        <v>48</v>
      </c>
      <c r="D11" s="11"/>
      <c r="E11" s="13" t="s">
        <v>91</v>
      </c>
      <c r="F11" s="13"/>
    </row>
    <row r="14" spans="1:6" ht="14.5" x14ac:dyDescent="0.3">
      <c r="A14" s="39" t="s">
        <v>94</v>
      </c>
      <c r="B14" s="40"/>
      <c r="C14" s="40"/>
      <c r="D14" s="40"/>
      <c r="E14" s="40"/>
      <c r="F14" s="41"/>
    </row>
    <row r="15" spans="1:6" ht="19.5" customHeight="1" x14ac:dyDescent="0.3">
      <c r="A15" s="39" t="s">
        <v>96</v>
      </c>
      <c r="B15" s="40"/>
      <c r="C15" s="40"/>
      <c r="D15" s="40"/>
      <c r="E15" s="40"/>
      <c r="F15" s="4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F1"/>
    <mergeCell ref="A14:F14"/>
    <mergeCell ref="A15:F15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E4" sqref="E4"/>
    </sheetView>
  </sheetViews>
  <sheetFormatPr defaultColWidth="14.453125" defaultRowHeight="15" customHeight="1" x14ac:dyDescent="0.35"/>
  <cols>
    <col min="1" max="1" width="6" customWidth="1"/>
    <col min="2" max="5" width="22" customWidth="1"/>
    <col min="6" max="6" width="34.26953125" customWidth="1"/>
    <col min="7" max="7" width="21" customWidth="1"/>
    <col min="8" max="26" width="14" customWidth="1"/>
  </cols>
  <sheetData>
    <row r="1" spans="1:7" ht="15.75" customHeight="1" x14ac:dyDescent="0.35">
      <c r="A1" s="37" t="s">
        <v>99</v>
      </c>
      <c r="B1" s="38"/>
      <c r="C1" s="38"/>
      <c r="D1" s="38"/>
      <c r="E1" s="38"/>
      <c r="F1" s="38"/>
    </row>
    <row r="3" spans="1:7" ht="14.5" x14ac:dyDescent="0.35">
      <c r="A3" s="1" t="s">
        <v>5</v>
      </c>
      <c r="B3" s="1" t="s">
        <v>100</v>
      </c>
      <c r="C3" s="1" t="s">
        <v>101</v>
      </c>
      <c r="D3" s="1" t="s">
        <v>102</v>
      </c>
      <c r="E3" s="1" t="s">
        <v>103</v>
      </c>
    </row>
    <row r="4" spans="1:7" ht="14.5" x14ac:dyDescent="0.35">
      <c r="A4" s="2">
        <v>1</v>
      </c>
      <c r="B4" s="2" t="s">
        <v>104</v>
      </c>
      <c r="C4" s="7" t="str">
        <f t="shared" ref="C4:C11" si="0">SUBSTITUTE(SUBSTITUTE(B4,"+62","0"),"-","")</f>
        <v>081234567890</v>
      </c>
      <c r="D4" s="2" t="s">
        <v>105</v>
      </c>
      <c r="E4" s="7" t="str">
        <f t="shared" ref="E4:E11" si="1">SUBSTITUTE(SUBSTITUTE(D4,"/","-"),"2024","")</f>
        <v>PRD-001-JKT-</v>
      </c>
      <c r="G4" s="9"/>
    </row>
    <row r="5" spans="1:7" ht="14.5" x14ac:dyDescent="0.35">
      <c r="A5" s="2">
        <v>2</v>
      </c>
      <c r="B5" s="2" t="s">
        <v>106</v>
      </c>
      <c r="C5" s="7" t="str">
        <f t="shared" si="0"/>
        <v>082198765432</v>
      </c>
      <c r="D5" s="2" t="s">
        <v>107</v>
      </c>
      <c r="E5" s="7" t="str">
        <f t="shared" si="1"/>
        <v>PRD-002-BDG-</v>
      </c>
      <c r="G5" s="9"/>
    </row>
    <row r="6" spans="1:7" ht="14.5" x14ac:dyDescent="0.35">
      <c r="A6" s="2">
        <v>3</v>
      </c>
      <c r="B6" s="2" t="s">
        <v>108</v>
      </c>
      <c r="C6" s="7" t="str">
        <f t="shared" si="0"/>
        <v>081311112222</v>
      </c>
      <c r="D6" s="2" t="s">
        <v>110</v>
      </c>
      <c r="E6" s="7" t="str">
        <f t="shared" si="1"/>
        <v>PRD-003-SBY-</v>
      </c>
      <c r="G6" s="9"/>
    </row>
    <row r="7" spans="1:7" ht="14.5" x14ac:dyDescent="0.35">
      <c r="A7" s="2">
        <v>4</v>
      </c>
      <c r="B7" s="2" t="s">
        <v>111</v>
      </c>
      <c r="C7" s="7" t="str">
        <f t="shared" si="0"/>
        <v>085833334444</v>
      </c>
      <c r="D7" s="2" t="s">
        <v>113</v>
      </c>
      <c r="E7" s="7" t="str">
        <f t="shared" si="1"/>
        <v>PRD-004-MDN-</v>
      </c>
      <c r="G7" s="9"/>
    </row>
    <row r="8" spans="1:7" ht="14.5" x14ac:dyDescent="0.35">
      <c r="A8" s="2">
        <v>5</v>
      </c>
      <c r="B8" s="2" t="s">
        <v>116</v>
      </c>
      <c r="C8" s="7" t="str">
        <f t="shared" si="0"/>
        <v>087755556666</v>
      </c>
      <c r="D8" s="2" t="s">
        <v>119</v>
      </c>
      <c r="E8" s="7" t="str">
        <f t="shared" si="1"/>
        <v>PRD-005-JKT-</v>
      </c>
      <c r="G8" s="9"/>
    </row>
    <row r="9" spans="1:7" ht="14.5" x14ac:dyDescent="0.35">
      <c r="A9" s="2">
        <v>6</v>
      </c>
      <c r="B9" s="2" t="s">
        <v>123</v>
      </c>
      <c r="C9" s="7" t="str">
        <f t="shared" si="0"/>
        <v>089577778888</v>
      </c>
      <c r="D9" s="2" t="s">
        <v>127</v>
      </c>
      <c r="E9" s="7" t="str">
        <f t="shared" si="1"/>
        <v>PRD-006-BDG-</v>
      </c>
      <c r="F9" s="21"/>
      <c r="G9" s="9"/>
    </row>
    <row r="10" spans="1:7" ht="14.5" x14ac:dyDescent="0.35">
      <c r="A10" s="2">
        <v>7</v>
      </c>
      <c r="B10" s="2" t="s">
        <v>131</v>
      </c>
      <c r="C10" s="7" t="str">
        <f t="shared" si="0"/>
        <v>083199990000</v>
      </c>
      <c r="D10" s="2" t="s">
        <v>133</v>
      </c>
      <c r="E10" s="7" t="str">
        <f t="shared" si="1"/>
        <v>PRD-007-SBY-</v>
      </c>
      <c r="G10" s="9"/>
    </row>
    <row r="11" spans="1:7" ht="14.5" x14ac:dyDescent="0.35">
      <c r="A11" s="2">
        <v>8</v>
      </c>
      <c r="B11" s="2" t="s">
        <v>134</v>
      </c>
      <c r="C11" s="7" t="str">
        <f t="shared" si="0"/>
        <v>085622223333</v>
      </c>
      <c r="D11" s="2" t="s">
        <v>136</v>
      </c>
      <c r="E11" s="7" t="str">
        <f t="shared" si="1"/>
        <v>PRD-008-MDN-</v>
      </c>
      <c r="G11" s="9"/>
    </row>
    <row r="14" spans="1:7" ht="41.25" customHeight="1" x14ac:dyDescent="0.3">
      <c r="A14" s="39" t="s">
        <v>141</v>
      </c>
      <c r="B14" s="40"/>
      <c r="C14" s="40"/>
      <c r="D14" s="40"/>
      <c r="E14" s="40"/>
      <c r="F14" s="41"/>
    </row>
    <row r="15" spans="1:7" ht="39.75" customHeight="1" x14ac:dyDescent="0.3">
      <c r="A15" s="39" t="s">
        <v>143</v>
      </c>
      <c r="B15" s="40"/>
      <c r="C15" s="40"/>
      <c r="D15" s="40"/>
      <c r="E15" s="40"/>
      <c r="F15" s="4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F1"/>
    <mergeCell ref="A14:F14"/>
    <mergeCell ref="A15:F15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D5" sqref="D5"/>
    </sheetView>
  </sheetViews>
  <sheetFormatPr defaultColWidth="14.453125" defaultRowHeight="15" customHeight="1" x14ac:dyDescent="0.35"/>
  <cols>
    <col min="1" max="2" width="14" customWidth="1"/>
    <col min="3" max="3" width="16" customWidth="1"/>
    <col min="4" max="4" width="24" customWidth="1"/>
    <col min="5" max="5" width="22" customWidth="1"/>
    <col min="6" max="6" width="14" customWidth="1"/>
    <col min="7" max="7" width="10" customWidth="1"/>
    <col min="8" max="8" width="28" customWidth="1"/>
    <col min="9" max="26" width="14" customWidth="1"/>
  </cols>
  <sheetData>
    <row r="1" spans="1:8" ht="15.75" customHeight="1" x14ac:dyDescent="0.35">
      <c r="A1" s="37" t="s">
        <v>112</v>
      </c>
      <c r="B1" s="38"/>
      <c r="C1" s="38"/>
      <c r="D1" s="38"/>
      <c r="E1" s="38"/>
      <c r="F1" s="38"/>
      <c r="G1" s="38"/>
      <c r="H1" s="38"/>
    </row>
    <row r="3" spans="1:8" ht="26.25" customHeight="1" x14ac:dyDescent="0.35">
      <c r="A3" s="1" t="s">
        <v>114</v>
      </c>
      <c r="B3" s="1" t="s">
        <v>115</v>
      </c>
      <c r="C3" s="1" t="s">
        <v>118</v>
      </c>
      <c r="D3" s="1" t="s">
        <v>120</v>
      </c>
      <c r="E3" s="1" t="s">
        <v>121</v>
      </c>
      <c r="F3" s="1" t="s">
        <v>9</v>
      </c>
      <c r="G3" s="1" t="s">
        <v>124</v>
      </c>
      <c r="H3" s="1" t="s">
        <v>126</v>
      </c>
    </row>
    <row r="4" spans="1:8" ht="14.5" x14ac:dyDescent="0.25">
      <c r="A4" s="2" t="s">
        <v>28</v>
      </c>
      <c r="B4" s="2"/>
      <c r="C4" s="2" t="s">
        <v>130</v>
      </c>
      <c r="D4" s="7" t="e">
        <f t="shared" ref="D4:D9" ca="1" si="0">TEXTJOIN(" ",FALSE,A4,B4,C4)</f>
        <v>#NAME?</v>
      </c>
      <c r="E4" s="2" t="s">
        <v>135</v>
      </c>
      <c r="F4" s="2" t="s">
        <v>21</v>
      </c>
      <c r="G4" s="2" t="s">
        <v>138</v>
      </c>
      <c r="H4" s="7" t="e">
        <f t="shared" ref="H4:H9" ca="1" si="1">TEXTJOIN(" ",FALSE,E4,F4,G4)</f>
        <v>#NAME?</v>
      </c>
    </row>
    <row r="5" spans="1:8" ht="25" x14ac:dyDescent="0.25">
      <c r="A5" s="2" t="s">
        <v>53</v>
      </c>
      <c r="B5" s="2" t="s">
        <v>144</v>
      </c>
      <c r="C5" s="2" t="s">
        <v>145</v>
      </c>
      <c r="D5" s="7" t="e">
        <f t="shared" ca="1" si="0"/>
        <v>#NAME?</v>
      </c>
      <c r="E5" s="2" t="s">
        <v>148</v>
      </c>
      <c r="F5" s="2" t="s">
        <v>29</v>
      </c>
      <c r="G5" s="2" t="s">
        <v>150</v>
      </c>
      <c r="H5" s="7" t="e">
        <f t="shared" ca="1" si="1"/>
        <v>#NAME?</v>
      </c>
    </row>
    <row r="6" spans="1:8" ht="25" x14ac:dyDescent="0.25">
      <c r="A6" s="2" t="s">
        <v>70</v>
      </c>
      <c r="B6" s="2"/>
      <c r="C6" s="2" t="s">
        <v>153</v>
      </c>
      <c r="D6" s="7" t="e">
        <f t="shared" ca="1" si="0"/>
        <v>#NAME?</v>
      </c>
      <c r="E6" s="2" t="s">
        <v>154</v>
      </c>
      <c r="F6" s="2" t="s">
        <v>35</v>
      </c>
      <c r="G6" s="2" t="s">
        <v>155</v>
      </c>
      <c r="H6" s="7" t="e">
        <f t="shared" ca="1" si="1"/>
        <v>#NAME?</v>
      </c>
    </row>
    <row r="7" spans="1:8" ht="25" x14ac:dyDescent="0.25">
      <c r="A7" s="2" t="s">
        <v>97</v>
      </c>
      <c r="B7" s="2" t="s">
        <v>156</v>
      </c>
      <c r="C7" s="2" t="s">
        <v>157</v>
      </c>
      <c r="D7" s="7" t="e">
        <f t="shared" ca="1" si="0"/>
        <v>#NAME?</v>
      </c>
      <c r="E7" s="2" t="s">
        <v>158</v>
      </c>
      <c r="F7" s="2" t="s">
        <v>52</v>
      </c>
      <c r="G7" s="2" t="s">
        <v>159</v>
      </c>
      <c r="H7" s="7" t="e">
        <f t="shared" ca="1" si="1"/>
        <v>#NAME?</v>
      </c>
    </row>
    <row r="8" spans="1:8" ht="25" x14ac:dyDescent="0.25">
      <c r="A8" s="2" t="s">
        <v>65</v>
      </c>
      <c r="B8" s="2"/>
      <c r="C8" s="2" t="s">
        <v>160</v>
      </c>
      <c r="D8" s="7" t="e">
        <f t="shared" ca="1" si="0"/>
        <v>#NAME?</v>
      </c>
      <c r="E8" s="2" t="s">
        <v>161</v>
      </c>
      <c r="F8" s="2" t="s">
        <v>21</v>
      </c>
      <c r="G8" s="2" t="s">
        <v>162</v>
      </c>
      <c r="H8" s="7" t="e">
        <f t="shared" ca="1" si="1"/>
        <v>#NAME?</v>
      </c>
    </row>
    <row r="9" spans="1:8" ht="25" x14ac:dyDescent="0.25">
      <c r="A9" s="2" t="s">
        <v>163</v>
      </c>
      <c r="B9" s="2" t="s">
        <v>164</v>
      </c>
      <c r="C9" s="2" t="s">
        <v>165</v>
      </c>
      <c r="D9" s="7" t="e">
        <f t="shared" ca="1" si="0"/>
        <v>#NAME?</v>
      </c>
      <c r="E9" s="2" t="s">
        <v>167</v>
      </c>
      <c r="F9" s="2" t="s">
        <v>29</v>
      </c>
      <c r="G9" s="2" t="s">
        <v>168</v>
      </c>
      <c r="H9" s="7" t="e">
        <f t="shared" ca="1" si="1"/>
        <v>#NAME?</v>
      </c>
    </row>
    <row r="12" spans="1:8" ht="14.5" x14ac:dyDescent="0.3">
      <c r="A12" s="39" t="s">
        <v>169</v>
      </c>
      <c r="B12" s="40"/>
      <c r="C12" s="40"/>
      <c r="D12" s="40"/>
      <c r="E12" s="40"/>
      <c r="F12" s="40"/>
      <c r="G12" s="40"/>
      <c r="H12" s="41"/>
    </row>
    <row r="13" spans="1:8" ht="14.5" x14ac:dyDescent="0.3">
      <c r="A13" s="39" t="s">
        <v>170</v>
      </c>
      <c r="B13" s="40"/>
      <c r="C13" s="40"/>
      <c r="D13" s="40"/>
      <c r="E13" s="40"/>
      <c r="F13" s="40"/>
      <c r="G13" s="40"/>
      <c r="H13" s="4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H1"/>
    <mergeCell ref="A12:H12"/>
    <mergeCell ref="A13:H1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sqref="A1:G1"/>
    </sheetView>
  </sheetViews>
  <sheetFormatPr defaultColWidth="14.453125" defaultRowHeight="15" customHeight="1" x14ac:dyDescent="0.35"/>
  <cols>
    <col min="1" max="1" width="16" customWidth="1"/>
    <col min="2" max="2" width="10" customWidth="1"/>
    <col min="3" max="3" width="48.7265625" customWidth="1"/>
    <col min="4" max="4" width="25.26953125" customWidth="1"/>
    <col min="5" max="5" width="25.453125" customWidth="1"/>
    <col min="6" max="6" width="14" customWidth="1"/>
    <col min="7" max="7" width="18.453125" customWidth="1"/>
    <col min="8" max="8" width="3" customWidth="1"/>
    <col min="9" max="9" width="16.26953125" customWidth="1"/>
    <col min="10" max="10" width="18.81640625" customWidth="1"/>
    <col min="11" max="11" width="8.7265625" customWidth="1"/>
    <col min="12" max="26" width="14" customWidth="1"/>
  </cols>
  <sheetData>
    <row r="1" spans="1:11" ht="15.75" customHeight="1" x14ac:dyDescent="0.35">
      <c r="A1" s="37" t="s">
        <v>117</v>
      </c>
      <c r="B1" s="38"/>
      <c r="C1" s="38"/>
      <c r="D1" s="38"/>
      <c r="E1" s="38"/>
      <c r="F1" s="38"/>
      <c r="G1" s="38"/>
    </row>
    <row r="3" spans="1:11" ht="51.75" customHeight="1" x14ac:dyDescent="0.35">
      <c r="A3" s="1" t="s">
        <v>4</v>
      </c>
      <c r="B3" s="1" t="s">
        <v>125</v>
      </c>
      <c r="C3" s="1" t="s">
        <v>128</v>
      </c>
      <c r="D3" s="1" t="s">
        <v>129</v>
      </c>
      <c r="E3" s="1" t="s">
        <v>129</v>
      </c>
      <c r="F3" s="1" t="s">
        <v>137</v>
      </c>
      <c r="G3" s="1" t="s">
        <v>139</v>
      </c>
      <c r="I3" s="1" t="s">
        <v>142</v>
      </c>
      <c r="J3" s="1"/>
      <c r="K3" s="1"/>
    </row>
    <row r="4" spans="1:11" ht="14.5" x14ac:dyDescent="0.35">
      <c r="D4" s="7"/>
      <c r="E4" s="9" t="s">
        <v>146</v>
      </c>
      <c r="G4" s="9" t="s">
        <v>147</v>
      </c>
      <c r="I4" s="1" t="s">
        <v>149</v>
      </c>
      <c r="J4" s="1" t="s">
        <v>151</v>
      </c>
    </row>
    <row r="5" spans="1:11" ht="14.5" x14ac:dyDescent="0.25">
      <c r="A5" s="2" t="s">
        <v>28</v>
      </c>
      <c r="B5" s="2" t="s">
        <v>152</v>
      </c>
      <c r="C5" s="22">
        <f t="shared" ref="C5:C12" si="0">VLOOKUP(B5,$I$5:$J$9,2,0)</f>
        <v>50000000</v>
      </c>
      <c r="D5" s="18">
        <f t="shared" ref="D5:D12" si="1">IFERROR(VLOOKUP(B5,$I$4:$J$9,2,0),"TIDAK ADA")</f>
        <v>50000000</v>
      </c>
      <c r="E5" s="23">
        <v>50000000</v>
      </c>
      <c r="F5" s="22">
        <v>48000000</v>
      </c>
      <c r="G5" s="24" t="s">
        <v>306</v>
      </c>
      <c r="I5" s="2" t="s">
        <v>152</v>
      </c>
      <c r="J5" s="22">
        <v>50000000</v>
      </c>
    </row>
    <row r="6" spans="1:11" ht="14.5" x14ac:dyDescent="0.25">
      <c r="A6" s="2" t="s">
        <v>53</v>
      </c>
      <c r="B6" s="2" t="s">
        <v>171</v>
      </c>
      <c r="C6" s="22" t="e">
        <f t="shared" si="0"/>
        <v>#N/A</v>
      </c>
      <c r="D6" s="18" t="str">
        <f t="shared" si="1"/>
        <v>TIDAK ADA</v>
      </c>
      <c r="E6" s="7" t="s">
        <v>172</v>
      </c>
      <c r="F6" s="22">
        <v>51000000</v>
      </c>
      <c r="G6" s="24" t="s">
        <v>306</v>
      </c>
      <c r="I6" s="2" t="s">
        <v>173</v>
      </c>
      <c r="J6" s="22">
        <v>60000000</v>
      </c>
    </row>
    <row r="7" spans="1:11" ht="14.5" x14ac:dyDescent="0.25">
      <c r="A7" s="2" t="s">
        <v>70</v>
      </c>
      <c r="B7" s="2" t="s">
        <v>174</v>
      </c>
      <c r="C7" s="22">
        <f t="shared" si="0"/>
        <v>55000000</v>
      </c>
      <c r="D7" s="18">
        <f t="shared" si="1"/>
        <v>55000000</v>
      </c>
      <c r="E7" s="23">
        <v>55000000</v>
      </c>
      <c r="F7" s="22">
        <v>62000000</v>
      </c>
      <c r="G7" s="24" t="s">
        <v>306</v>
      </c>
      <c r="I7" s="2" t="s">
        <v>174</v>
      </c>
      <c r="J7" s="22">
        <v>55000000</v>
      </c>
    </row>
    <row r="8" spans="1:11" ht="14.5" x14ac:dyDescent="0.25">
      <c r="A8" s="2" t="s">
        <v>97</v>
      </c>
      <c r="B8" s="2" t="s">
        <v>175</v>
      </c>
      <c r="C8" s="22" t="e">
        <f t="shared" si="0"/>
        <v>#N/A</v>
      </c>
      <c r="D8" s="18" t="str">
        <f t="shared" si="1"/>
        <v>TIDAK ADA</v>
      </c>
      <c r="E8" s="7" t="s">
        <v>172</v>
      </c>
      <c r="F8" s="22">
        <v>49000000</v>
      </c>
      <c r="G8" s="24" t="s">
        <v>306</v>
      </c>
      <c r="I8" s="2" t="s">
        <v>176</v>
      </c>
      <c r="J8" s="22">
        <v>70000000</v>
      </c>
    </row>
    <row r="9" spans="1:11" ht="14.5" x14ac:dyDescent="0.25">
      <c r="A9" s="2" t="s">
        <v>65</v>
      </c>
      <c r="B9" s="2" t="s">
        <v>177</v>
      </c>
      <c r="C9" s="22">
        <f t="shared" si="0"/>
        <v>45000000</v>
      </c>
      <c r="D9" s="18">
        <f t="shared" si="1"/>
        <v>45000000</v>
      </c>
      <c r="E9" s="23">
        <v>45000000</v>
      </c>
      <c r="F9" s="22">
        <v>44000000</v>
      </c>
      <c r="G9" s="24" t="s">
        <v>306</v>
      </c>
      <c r="I9" s="2" t="s">
        <v>177</v>
      </c>
      <c r="J9" s="22">
        <v>45000000</v>
      </c>
    </row>
    <row r="10" spans="1:11" ht="14.5" x14ac:dyDescent="0.25">
      <c r="A10" s="2" t="s">
        <v>163</v>
      </c>
      <c r="B10" s="2" t="s">
        <v>173</v>
      </c>
      <c r="C10" s="22">
        <f t="shared" si="0"/>
        <v>60000000</v>
      </c>
      <c r="D10" s="18">
        <f t="shared" si="1"/>
        <v>60000000</v>
      </c>
      <c r="E10" s="23">
        <v>60000000</v>
      </c>
      <c r="F10" s="22">
        <v>63000000</v>
      </c>
      <c r="G10" s="24" t="s">
        <v>306</v>
      </c>
    </row>
    <row r="11" spans="1:11" ht="14.5" x14ac:dyDescent="0.25">
      <c r="A11" s="2" t="s">
        <v>178</v>
      </c>
      <c r="B11" s="2" t="s">
        <v>176</v>
      </c>
      <c r="C11" s="22">
        <f t="shared" si="0"/>
        <v>70000000</v>
      </c>
      <c r="D11" s="18">
        <f t="shared" si="1"/>
        <v>70000000</v>
      </c>
      <c r="E11" s="23">
        <v>70000000</v>
      </c>
      <c r="F11" s="22">
        <v>75000000</v>
      </c>
      <c r="G11" s="24" t="s">
        <v>306</v>
      </c>
    </row>
    <row r="12" spans="1:11" ht="14.5" x14ac:dyDescent="0.25">
      <c r="A12" s="2" t="s">
        <v>179</v>
      </c>
      <c r="B12" s="2" t="s">
        <v>180</v>
      </c>
      <c r="C12" s="22" t="e">
        <f t="shared" si="0"/>
        <v>#N/A</v>
      </c>
      <c r="D12" s="18" t="str">
        <f t="shared" si="1"/>
        <v>TIDAK ADA</v>
      </c>
      <c r="E12" s="7" t="s">
        <v>172</v>
      </c>
      <c r="F12" s="22">
        <v>38000000</v>
      </c>
      <c r="G12" s="24" t="s">
        <v>306</v>
      </c>
    </row>
    <row r="15" spans="1:11" ht="14.5" x14ac:dyDescent="0.3">
      <c r="A15" s="39" t="s">
        <v>182</v>
      </c>
      <c r="B15" s="40"/>
      <c r="C15" s="40"/>
      <c r="D15" s="40"/>
      <c r="E15" s="40"/>
      <c r="F15" s="40"/>
      <c r="G15" s="40"/>
      <c r="H15" s="40"/>
      <c r="I15" s="40"/>
      <c r="J15" s="41"/>
    </row>
    <row r="16" spans="1:11" ht="14.5" x14ac:dyDescent="0.3">
      <c r="A16" s="39" t="s">
        <v>184</v>
      </c>
      <c r="B16" s="40"/>
      <c r="C16" s="40"/>
      <c r="D16" s="40"/>
      <c r="E16" s="40"/>
      <c r="F16" s="40"/>
      <c r="G16" s="40"/>
      <c r="H16" s="40"/>
      <c r="I16" s="40"/>
      <c r="J16" s="4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G1"/>
    <mergeCell ref="A15:J15"/>
    <mergeCell ref="A16:J16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sqref="A1:G1"/>
    </sheetView>
  </sheetViews>
  <sheetFormatPr defaultColWidth="14.453125" defaultRowHeight="15" customHeight="1" x14ac:dyDescent="0.35"/>
  <cols>
    <col min="1" max="1" width="20" customWidth="1"/>
    <col min="2" max="2" width="18" customWidth="1"/>
    <col min="3" max="3" width="27.26953125" customWidth="1"/>
    <col min="4" max="4" width="21" customWidth="1"/>
    <col min="5" max="5" width="18" customWidth="1"/>
    <col min="6" max="6" width="25.81640625" customWidth="1"/>
    <col min="7" max="7" width="23" customWidth="1"/>
    <col min="8" max="26" width="14" customWidth="1"/>
  </cols>
  <sheetData>
    <row r="1" spans="1:7" ht="15.75" customHeight="1" x14ac:dyDescent="0.35">
      <c r="A1" s="42" t="s">
        <v>181</v>
      </c>
      <c r="B1" s="38"/>
      <c r="C1" s="38"/>
      <c r="D1" s="38"/>
      <c r="E1" s="38"/>
      <c r="F1" s="38"/>
      <c r="G1" s="38"/>
    </row>
    <row r="2" spans="1:7" ht="14.5" x14ac:dyDescent="0.35">
      <c r="A2" s="25"/>
    </row>
    <row r="3" spans="1:7" ht="26.25" customHeight="1" x14ac:dyDescent="0.35">
      <c r="A3" s="26" t="s">
        <v>183</v>
      </c>
      <c r="B3" s="1" t="s">
        <v>4</v>
      </c>
      <c r="C3" s="1" t="s">
        <v>185</v>
      </c>
      <c r="D3" s="1" t="s">
        <v>186</v>
      </c>
      <c r="E3" s="1" t="s">
        <v>187</v>
      </c>
      <c r="F3" s="1" t="s">
        <v>188</v>
      </c>
      <c r="G3" s="1" t="s">
        <v>189</v>
      </c>
    </row>
    <row r="4" spans="1:7" ht="23.25" customHeight="1" x14ac:dyDescent="0.25">
      <c r="A4" s="13" t="s">
        <v>190</v>
      </c>
      <c r="B4" s="2" t="s">
        <v>16</v>
      </c>
      <c r="C4" s="27">
        <v>32947</v>
      </c>
      <c r="D4" s="28">
        <v>8500000</v>
      </c>
      <c r="E4" s="29">
        <v>0.15</v>
      </c>
      <c r="F4" s="27">
        <v>42156</v>
      </c>
      <c r="G4" s="2" t="s">
        <v>191</v>
      </c>
    </row>
    <row r="5" spans="1:7" ht="23.25" customHeight="1" x14ac:dyDescent="0.25">
      <c r="A5" s="13" t="s">
        <v>192</v>
      </c>
      <c r="B5" s="2" t="s">
        <v>26</v>
      </c>
      <c r="C5" s="27">
        <v>31250</v>
      </c>
      <c r="D5" s="28">
        <v>9200000</v>
      </c>
      <c r="E5" s="30">
        <v>0.1</v>
      </c>
      <c r="F5" s="27">
        <v>40188</v>
      </c>
      <c r="G5" s="2" t="s">
        <v>193</v>
      </c>
    </row>
    <row r="6" spans="1:7" ht="23.25" customHeight="1" x14ac:dyDescent="0.25">
      <c r="A6" s="13" t="s">
        <v>194</v>
      </c>
      <c r="B6" s="2" t="s">
        <v>32</v>
      </c>
      <c r="C6" s="27">
        <v>34281</v>
      </c>
      <c r="D6" s="28">
        <v>11000000</v>
      </c>
      <c r="E6" s="30">
        <v>0.12</v>
      </c>
      <c r="F6" s="27">
        <v>43184</v>
      </c>
      <c r="G6" s="2" t="s">
        <v>195</v>
      </c>
    </row>
    <row r="7" spans="1:7" ht="23.25" customHeight="1" x14ac:dyDescent="0.25">
      <c r="A7" s="13" t="s">
        <v>196</v>
      </c>
      <c r="B7" s="2" t="s">
        <v>40</v>
      </c>
      <c r="C7" s="27">
        <v>32293</v>
      </c>
      <c r="D7" s="28">
        <v>7800000</v>
      </c>
      <c r="E7" s="30">
        <v>0.08</v>
      </c>
      <c r="F7" s="27">
        <v>41136</v>
      </c>
      <c r="G7" s="2" t="s">
        <v>197</v>
      </c>
    </row>
    <row r="8" spans="1:7" ht="23.25" customHeight="1" x14ac:dyDescent="0.25">
      <c r="A8" s="13" t="s">
        <v>198</v>
      </c>
      <c r="B8" s="2" t="s">
        <v>51</v>
      </c>
      <c r="C8" s="27">
        <v>34744</v>
      </c>
      <c r="D8" s="28">
        <v>8200000</v>
      </c>
      <c r="E8" s="30">
        <v>0.1</v>
      </c>
      <c r="F8" s="27">
        <v>44136</v>
      </c>
      <c r="G8" s="2" t="s">
        <v>200</v>
      </c>
    </row>
    <row r="9" spans="1:7" ht="14.5" x14ac:dyDescent="0.35">
      <c r="A9" s="25"/>
    </row>
    <row r="10" spans="1:7" ht="14.5" x14ac:dyDescent="0.3">
      <c r="A10" s="43" t="s">
        <v>202</v>
      </c>
      <c r="B10" s="40"/>
      <c r="C10" s="40"/>
      <c r="D10" s="40"/>
      <c r="E10" s="40"/>
      <c r="F10" s="40"/>
      <c r="G10" s="41"/>
    </row>
    <row r="11" spans="1:7" ht="14.5" x14ac:dyDescent="0.3">
      <c r="A11" s="43" t="s">
        <v>207</v>
      </c>
      <c r="B11" s="40"/>
      <c r="C11" s="40"/>
      <c r="D11" s="40"/>
      <c r="E11" s="40"/>
      <c r="F11" s="40"/>
      <c r="G11" s="41"/>
    </row>
    <row r="12" spans="1:7" ht="14.5" x14ac:dyDescent="0.3">
      <c r="A12" s="43" t="s">
        <v>208</v>
      </c>
      <c r="B12" s="40"/>
      <c r="C12" s="40"/>
      <c r="D12" s="40"/>
      <c r="E12" s="40"/>
      <c r="F12" s="40"/>
      <c r="G12" s="41"/>
    </row>
    <row r="13" spans="1:7" ht="14.5" x14ac:dyDescent="0.3">
      <c r="A13" s="43" t="s">
        <v>209</v>
      </c>
      <c r="B13" s="40"/>
      <c r="C13" s="40"/>
      <c r="D13" s="40"/>
      <c r="E13" s="40"/>
      <c r="F13" s="40"/>
      <c r="G13" s="41"/>
    </row>
    <row r="14" spans="1:7" ht="14.5" x14ac:dyDescent="0.35">
      <c r="A14" s="25"/>
    </row>
    <row r="15" spans="1:7" ht="14.5" x14ac:dyDescent="0.35">
      <c r="A15" s="25"/>
    </row>
    <row r="16" spans="1:7" ht="14.5" x14ac:dyDescent="0.35">
      <c r="A16" s="25"/>
    </row>
    <row r="17" spans="1:1" ht="14.5" x14ac:dyDescent="0.35">
      <c r="A17" s="25"/>
    </row>
    <row r="18" spans="1:1" ht="14.5" x14ac:dyDescent="0.35">
      <c r="A18" s="25"/>
    </row>
    <row r="19" spans="1:1" ht="14.5" x14ac:dyDescent="0.35">
      <c r="A19" s="25"/>
    </row>
    <row r="20" spans="1:1" ht="14.5" x14ac:dyDescent="0.35">
      <c r="A20" s="25"/>
    </row>
    <row r="21" spans="1:1" ht="15.75" customHeight="1" x14ac:dyDescent="0.35">
      <c r="A21" s="25"/>
    </row>
    <row r="22" spans="1:1" ht="15.75" customHeight="1" x14ac:dyDescent="0.35">
      <c r="A22" s="25"/>
    </row>
    <row r="23" spans="1:1" ht="15.75" customHeight="1" x14ac:dyDescent="0.35">
      <c r="A23" s="25"/>
    </row>
    <row r="24" spans="1:1" ht="15.75" customHeight="1" x14ac:dyDescent="0.35">
      <c r="A24" s="25"/>
    </row>
    <row r="25" spans="1:1" ht="15.75" customHeight="1" x14ac:dyDescent="0.35">
      <c r="A25" s="25"/>
    </row>
    <row r="26" spans="1:1" ht="15.75" customHeight="1" x14ac:dyDescent="0.35">
      <c r="A26" s="25"/>
    </row>
    <row r="27" spans="1:1" ht="15.75" customHeight="1" x14ac:dyDescent="0.35">
      <c r="A27" s="25"/>
    </row>
    <row r="28" spans="1:1" ht="15.75" customHeight="1" x14ac:dyDescent="0.35">
      <c r="A28" s="25"/>
    </row>
    <row r="29" spans="1:1" ht="15.75" customHeight="1" x14ac:dyDescent="0.35">
      <c r="A29" s="25"/>
    </row>
    <row r="30" spans="1:1" ht="15.75" customHeight="1" x14ac:dyDescent="0.35">
      <c r="A30" s="25"/>
    </row>
    <row r="31" spans="1:1" ht="15.75" customHeight="1" x14ac:dyDescent="0.35">
      <c r="A31" s="25"/>
    </row>
    <row r="32" spans="1:1" ht="15.75" customHeight="1" x14ac:dyDescent="0.35">
      <c r="A32" s="25"/>
    </row>
    <row r="33" spans="1:1" ht="15.75" customHeight="1" x14ac:dyDescent="0.35">
      <c r="A33" s="25"/>
    </row>
    <row r="34" spans="1:1" ht="15.75" customHeight="1" x14ac:dyDescent="0.35">
      <c r="A34" s="25"/>
    </row>
    <row r="35" spans="1:1" ht="15.75" customHeight="1" x14ac:dyDescent="0.35">
      <c r="A35" s="25"/>
    </row>
    <row r="36" spans="1:1" ht="15.75" customHeight="1" x14ac:dyDescent="0.35">
      <c r="A36" s="25"/>
    </row>
    <row r="37" spans="1:1" ht="15.75" customHeight="1" x14ac:dyDescent="0.35">
      <c r="A37" s="25"/>
    </row>
    <row r="38" spans="1:1" ht="15.75" customHeight="1" x14ac:dyDescent="0.35">
      <c r="A38" s="25"/>
    </row>
    <row r="39" spans="1:1" ht="15.75" customHeight="1" x14ac:dyDescent="0.35">
      <c r="A39" s="25"/>
    </row>
    <row r="40" spans="1:1" ht="15.75" customHeight="1" x14ac:dyDescent="0.35">
      <c r="A40" s="25"/>
    </row>
    <row r="41" spans="1:1" ht="15.75" customHeight="1" x14ac:dyDescent="0.35">
      <c r="A41" s="25"/>
    </row>
    <row r="42" spans="1:1" ht="15.75" customHeight="1" x14ac:dyDescent="0.35">
      <c r="A42" s="25"/>
    </row>
    <row r="43" spans="1:1" ht="15.75" customHeight="1" x14ac:dyDescent="0.35">
      <c r="A43" s="25"/>
    </row>
    <row r="44" spans="1:1" ht="15.75" customHeight="1" x14ac:dyDescent="0.35">
      <c r="A44" s="25"/>
    </row>
    <row r="45" spans="1:1" ht="15.75" customHeight="1" x14ac:dyDescent="0.35">
      <c r="A45" s="25"/>
    </row>
    <row r="46" spans="1:1" ht="15.75" customHeight="1" x14ac:dyDescent="0.35">
      <c r="A46" s="25"/>
    </row>
    <row r="47" spans="1:1" ht="15.75" customHeight="1" x14ac:dyDescent="0.35">
      <c r="A47" s="25"/>
    </row>
    <row r="48" spans="1:1" ht="15.75" customHeight="1" x14ac:dyDescent="0.35">
      <c r="A48" s="25"/>
    </row>
    <row r="49" spans="1:1" ht="15.75" customHeight="1" x14ac:dyDescent="0.35">
      <c r="A49" s="25"/>
    </row>
    <row r="50" spans="1:1" ht="15.75" customHeight="1" x14ac:dyDescent="0.35">
      <c r="A50" s="25"/>
    </row>
    <row r="51" spans="1:1" ht="15.75" customHeight="1" x14ac:dyDescent="0.35">
      <c r="A51" s="25"/>
    </row>
    <row r="52" spans="1:1" ht="15.75" customHeight="1" x14ac:dyDescent="0.35">
      <c r="A52" s="25"/>
    </row>
    <row r="53" spans="1:1" ht="15.75" customHeight="1" x14ac:dyDescent="0.35">
      <c r="A53" s="25"/>
    </row>
    <row r="54" spans="1:1" ht="15.75" customHeight="1" x14ac:dyDescent="0.35">
      <c r="A54" s="25"/>
    </row>
    <row r="55" spans="1:1" ht="15.75" customHeight="1" x14ac:dyDescent="0.35">
      <c r="A55" s="25"/>
    </row>
    <row r="56" spans="1:1" ht="15.75" customHeight="1" x14ac:dyDescent="0.35">
      <c r="A56" s="25"/>
    </row>
    <row r="57" spans="1:1" ht="15.75" customHeight="1" x14ac:dyDescent="0.35">
      <c r="A57" s="25"/>
    </row>
    <row r="58" spans="1:1" ht="15.75" customHeight="1" x14ac:dyDescent="0.35">
      <c r="A58" s="25"/>
    </row>
    <row r="59" spans="1:1" ht="15.75" customHeight="1" x14ac:dyDescent="0.35">
      <c r="A59" s="25"/>
    </row>
    <row r="60" spans="1:1" ht="15.75" customHeight="1" x14ac:dyDescent="0.35">
      <c r="A60" s="25"/>
    </row>
    <row r="61" spans="1:1" ht="15.75" customHeight="1" x14ac:dyDescent="0.35">
      <c r="A61" s="25"/>
    </row>
    <row r="62" spans="1:1" ht="15.75" customHeight="1" x14ac:dyDescent="0.35">
      <c r="A62" s="25"/>
    </row>
    <row r="63" spans="1:1" ht="15.75" customHeight="1" x14ac:dyDescent="0.35">
      <c r="A63" s="25"/>
    </row>
    <row r="64" spans="1:1" ht="15.75" customHeight="1" x14ac:dyDescent="0.35">
      <c r="A64" s="25"/>
    </row>
    <row r="65" spans="1:1" ht="15.75" customHeight="1" x14ac:dyDescent="0.35">
      <c r="A65" s="25"/>
    </row>
    <row r="66" spans="1:1" ht="15.75" customHeight="1" x14ac:dyDescent="0.35">
      <c r="A66" s="25"/>
    </row>
    <row r="67" spans="1:1" ht="15.75" customHeight="1" x14ac:dyDescent="0.35">
      <c r="A67" s="25"/>
    </row>
    <row r="68" spans="1:1" ht="15.75" customHeight="1" x14ac:dyDescent="0.35">
      <c r="A68" s="25"/>
    </row>
    <row r="69" spans="1:1" ht="15.75" customHeight="1" x14ac:dyDescent="0.35">
      <c r="A69" s="25"/>
    </row>
    <row r="70" spans="1:1" ht="15.75" customHeight="1" x14ac:dyDescent="0.35">
      <c r="A70" s="25"/>
    </row>
    <row r="71" spans="1:1" ht="15.75" customHeight="1" x14ac:dyDescent="0.35">
      <c r="A71" s="25"/>
    </row>
    <row r="72" spans="1:1" ht="15.75" customHeight="1" x14ac:dyDescent="0.35">
      <c r="A72" s="25"/>
    </row>
    <row r="73" spans="1:1" ht="15.75" customHeight="1" x14ac:dyDescent="0.35">
      <c r="A73" s="25"/>
    </row>
    <row r="74" spans="1:1" ht="15.75" customHeight="1" x14ac:dyDescent="0.35">
      <c r="A74" s="25"/>
    </row>
    <row r="75" spans="1:1" ht="15.75" customHeight="1" x14ac:dyDescent="0.35">
      <c r="A75" s="25"/>
    </row>
    <row r="76" spans="1:1" ht="15.75" customHeight="1" x14ac:dyDescent="0.35">
      <c r="A76" s="25"/>
    </row>
    <row r="77" spans="1:1" ht="15.75" customHeight="1" x14ac:dyDescent="0.35">
      <c r="A77" s="25"/>
    </row>
    <row r="78" spans="1:1" ht="15.75" customHeight="1" x14ac:dyDescent="0.35">
      <c r="A78" s="25"/>
    </row>
    <row r="79" spans="1:1" ht="15.75" customHeight="1" x14ac:dyDescent="0.35">
      <c r="A79" s="25"/>
    </row>
    <row r="80" spans="1:1" ht="15.75" customHeight="1" x14ac:dyDescent="0.35">
      <c r="A80" s="25"/>
    </row>
    <row r="81" spans="1:1" ht="15.75" customHeight="1" x14ac:dyDescent="0.35">
      <c r="A81" s="25"/>
    </row>
    <row r="82" spans="1:1" ht="15.75" customHeight="1" x14ac:dyDescent="0.35">
      <c r="A82" s="25"/>
    </row>
    <row r="83" spans="1:1" ht="15.75" customHeight="1" x14ac:dyDescent="0.35">
      <c r="A83" s="25"/>
    </row>
    <row r="84" spans="1:1" ht="15.75" customHeight="1" x14ac:dyDescent="0.35">
      <c r="A84" s="25"/>
    </row>
    <row r="85" spans="1:1" ht="15.75" customHeight="1" x14ac:dyDescent="0.35">
      <c r="A85" s="25"/>
    </row>
    <row r="86" spans="1:1" ht="15.75" customHeight="1" x14ac:dyDescent="0.35">
      <c r="A86" s="25"/>
    </row>
    <row r="87" spans="1:1" ht="15.75" customHeight="1" x14ac:dyDescent="0.35">
      <c r="A87" s="25"/>
    </row>
    <row r="88" spans="1:1" ht="15.75" customHeight="1" x14ac:dyDescent="0.35">
      <c r="A88" s="25"/>
    </row>
    <row r="89" spans="1:1" ht="15.75" customHeight="1" x14ac:dyDescent="0.35">
      <c r="A89" s="25"/>
    </row>
    <row r="90" spans="1:1" ht="15.75" customHeight="1" x14ac:dyDescent="0.35">
      <c r="A90" s="25"/>
    </row>
    <row r="91" spans="1:1" ht="15.75" customHeight="1" x14ac:dyDescent="0.35">
      <c r="A91" s="25"/>
    </row>
    <row r="92" spans="1:1" ht="15.75" customHeight="1" x14ac:dyDescent="0.35">
      <c r="A92" s="25"/>
    </row>
    <row r="93" spans="1:1" ht="15.75" customHeight="1" x14ac:dyDescent="0.35">
      <c r="A93" s="25"/>
    </row>
    <row r="94" spans="1:1" ht="15.75" customHeight="1" x14ac:dyDescent="0.35">
      <c r="A94" s="25"/>
    </row>
    <row r="95" spans="1:1" ht="15.75" customHeight="1" x14ac:dyDescent="0.35">
      <c r="A95" s="25"/>
    </row>
    <row r="96" spans="1:1" ht="15.75" customHeight="1" x14ac:dyDescent="0.35">
      <c r="A96" s="25"/>
    </row>
    <row r="97" spans="1:1" ht="15.75" customHeight="1" x14ac:dyDescent="0.35">
      <c r="A97" s="25"/>
    </row>
    <row r="98" spans="1:1" ht="15.75" customHeight="1" x14ac:dyDescent="0.35">
      <c r="A98" s="25"/>
    </row>
    <row r="99" spans="1:1" ht="15.75" customHeight="1" x14ac:dyDescent="0.35">
      <c r="A99" s="25"/>
    </row>
    <row r="100" spans="1:1" ht="15.75" customHeight="1" x14ac:dyDescent="0.35">
      <c r="A100" s="25"/>
    </row>
    <row r="101" spans="1:1" ht="15.75" customHeight="1" x14ac:dyDescent="0.35">
      <c r="A101" s="25"/>
    </row>
    <row r="102" spans="1:1" ht="15.75" customHeight="1" x14ac:dyDescent="0.35">
      <c r="A102" s="25"/>
    </row>
    <row r="103" spans="1:1" ht="15.75" customHeight="1" x14ac:dyDescent="0.35">
      <c r="A103" s="25"/>
    </row>
    <row r="104" spans="1:1" ht="15.75" customHeight="1" x14ac:dyDescent="0.35">
      <c r="A104" s="25"/>
    </row>
    <row r="105" spans="1:1" ht="15.75" customHeight="1" x14ac:dyDescent="0.35">
      <c r="A105" s="25"/>
    </row>
    <row r="106" spans="1:1" ht="15.75" customHeight="1" x14ac:dyDescent="0.35">
      <c r="A106" s="25"/>
    </row>
    <row r="107" spans="1:1" ht="15.75" customHeight="1" x14ac:dyDescent="0.35">
      <c r="A107" s="25"/>
    </row>
    <row r="108" spans="1:1" ht="15.75" customHeight="1" x14ac:dyDescent="0.35">
      <c r="A108" s="25"/>
    </row>
    <row r="109" spans="1:1" ht="15.75" customHeight="1" x14ac:dyDescent="0.35">
      <c r="A109" s="25"/>
    </row>
    <row r="110" spans="1:1" ht="15.75" customHeight="1" x14ac:dyDescent="0.35">
      <c r="A110" s="25"/>
    </row>
    <row r="111" spans="1:1" ht="15.75" customHeight="1" x14ac:dyDescent="0.35">
      <c r="A111" s="25"/>
    </row>
    <row r="112" spans="1:1" ht="15.75" customHeight="1" x14ac:dyDescent="0.35">
      <c r="A112" s="25"/>
    </row>
    <row r="113" spans="1:1" ht="15.75" customHeight="1" x14ac:dyDescent="0.35">
      <c r="A113" s="25"/>
    </row>
    <row r="114" spans="1:1" ht="15.75" customHeight="1" x14ac:dyDescent="0.35">
      <c r="A114" s="25"/>
    </row>
    <row r="115" spans="1:1" ht="15.75" customHeight="1" x14ac:dyDescent="0.35">
      <c r="A115" s="25"/>
    </row>
    <row r="116" spans="1:1" ht="15.75" customHeight="1" x14ac:dyDescent="0.35">
      <c r="A116" s="25"/>
    </row>
    <row r="117" spans="1:1" ht="15.75" customHeight="1" x14ac:dyDescent="0.35">
      <c r="A117" s="25"/>
    </row>
    <row r="118" spans="1:1" ht="15.75" customHeight="1" x14ac:dyDescent="0.35">
      <c r="A118" s="25"/>
    </row>
    <row r="119" spans="1:1" ht="15.75" customHeight="1" x14ac:dyDescent="0.35">
      <c r="A119" s="25"/>
    </row>
    <row r="120" spans="1:1" ht="15.75" customHeight="1" x14ac:dyDescent="0.35">
      <c r="A120" s="25"/>
    </row>
    <row r="121" spans="1:1" ht="15.75" customHeight="1" x14ac:dyDescent="0.35">
      <c r="A121" s="25"/>
    </row>
    <row r="122" spans="1:1" ht="15.75" customHeight="1" x14ac:dyDescent="0.35">
      <c r="A122" s="25"/>
    </row>
    <row r="123" spans="1:1" ht="15.75" customHeight="1" x14ac:dyDescent="0.35">
      <c r="A123" s="25"/>
    </row>
    <row r="124" spans="1:1" ht="15.75" customHeight="1" x14ac:dyDescent="0.35">
      <c r="A124" s="25"/>
    </row>
    <row r="125" spans="1:1" ht="15.75" customHeight="1" x14ac:dyDescent="0.35">
      <c r="A125" s="25"/>
    </row>
    <row r="126" spans="1:1" ht="15.75" customHeight="1" x14ac:dyDescent="0.35">
      <c r="A126" s="25"/>
    </row>
    <row r="127" spans="1:1" ht="15.75" customHeight="1" x14ac:dyDescent="0.35">
      <c r="A127" s="25"/>
    </row>
    <row r="128" spans="1:1" ht="15.75" customHeight="1" x14ac:dyDescent="0.35">
      <c r="A128" s="25"/>
    </row>
    <row r="129" spans="1:1" ht="15.75" customHeight="1" x14ac:dyDescent="0.35">
      <c r="A129" s="25"/>
    </row>
    <row r="130" spans="1:1" ht="15.75" customHeight="1" x14ac:dyDescent="0.35">
      <c r="A130" s="25"/>
    </row>
    <row r="131" spans="1:1" ht="15.75" customHeight="1" x14ac:dyDescent="0.35">
      <c r="A131" s="25"/>
    </row>
    <row r="132" spans="1:1" ht="15.75" customHeight="1" x14ac:dyDescent="0.35">
      <c r="A132" s="25"/>
    </row>
    <row r="133" spans="1:1" ht="15.75" customHeight="1" x14ac:dyDescent="0.35">
      <c r="A133" s="25"/>
    </row>
    <row r="134" spans="1:1" ht="15.75" customHeight="1" x14ac:dyDescent="0.35">
      <c r="A134" s="25"/>
    </row>
    <row r="135" spans="1:1" ht="15.75" customHeight="1" x14ac:dyDescent="0.35">
      <c r="A135" s="25"/>
    </row>
    <row r="136" spans="1:1" ht="15.75" customHeight="1" x14ac:dyDescent="0.35">
      <c r="A136" s="25"/>
    </row>
    <row r="137" spans="1:1" ht="15.75" customHeight="1" x14ac:dyDescent="0.35">
      <c r="A137" s="25"/>
    </row>
    <row r="138" spans="1:1" ht="15.75" customHeight="1" x14ac:dyDescent="0.35">
      <c r="A138" s="25"/>
    </row>
    <row r="139" spans="1:1" ht="15.75" customHeight="1" x14ac:dyDescent="0.35">
      <c r="A139" s="25"/>
    </row>
    <row r="140" spans="1:1" ht="15.75" customHeight="1" x14ac:dyDescent="0.35">
      <c r="A140" s="25"/>
    </row>
    <row r="141" spans="1:1" ht="15.75" customHeight="1" x14ac:dyDescent="0.35">
      <c r="A141" s="25"/>
    </row>
    <row r="142" spans="1:1" ht="15.75" customHeight="1" x14ac:dyDescent="0.35">
      <c r="A142" s="25"/>
    </row>
    <row r="143" spans="1:1" ht="15.75" customHeight="1" x14ac:dyDescent="0.35">
      <c r="A143" s="25"/>
    </row>
    <row r="144" spans="1:1" ht="15.75" customHeight="1" x14ac:dyDescent="0.35">
      <c r="A144" s="25"/>
    </row>
    <row r="145" spans="1:1" ht="15.75" customHeight="1" x14ac:dyDescent="0.35">
      <c r="A145" s="25"/>
    </row>
    <row r="146" spans="1:1" ht="15.75" customHeight="1" x14ac:dyDescent="0.35">
      <c r="A146" s="25"/>
    </row>
    <row r="147" spans="1:1" ht="15.75" customHeight="1" x14ac:dyDescent="0.35">
      <c r="A147" s="25"/>
    </row>
    <row r="148" spans="1:1" ht="15.75" customHeight="1" x14ac:dyDescent="0.35">
      <c r="A148" s="25"/>
    </row>
    <row r="149" spans="1:1" ht="15.75" customHeight="1" x14ac:dyDescent="0.35">
      <c r="A149" s="25"/>
    </row>
    <row r="150" spans="1:1" ht="15.75" customHeight="1" x14ac:dyDescent="0.35">
      <c r="A150" s="25"/>
    </row>
    <row r="151" spans="1:1" ht="15.75" customHeight="1" x14ac:dyDescent="0.35">
      <c r="A151" s="25"/>
    </row>
    <row r="152" spans="1:1" ht="15.75" customHeight="1" x14ac:dyDescent="0.35">
      <c r="A152" s="25"/>
    </row>
    <row r="153" spans="1:1" ht="15.75" customHeight="1" x14ac:dyDescent="0.35">
      <c r="A153" s="25"/>
    </row>
    <row r="154" spans="1:1" ht="15.75" customHeight="1" x14ac:dyDescent="0.35">
      <c r="A154" s="25"/>
    </row>
    <row r="155" spans="1:1" ht="15.75" customHeight="1" x14ac:dyDescent="0.35">
      <c r="A155" s="25"/>
    </row>
    <row r="156" spans="1:1" ht="15.75" customHeight="1" x14ac:dyDescent="0.35">
      <c r="A156" s="25"/>
    </row>
    <row r="157" spans="1:1" ht="15.75" customHeight="1" x14ac:dyDescent="0.35">
      <c r="A157" s="25"/>
    </row>
    <row r="158" spans="1:1" ht="15.75" customHeight="1" x14ac:dyDescent="0.35">
      <c r="A158" s="25"/>
    </row>
    <row r="159" spans="1:1" ht="15.75" customHeight="1" x14ac:dyDescent="0.35">
      <c r="A159" s="25"/>
    </row>
    <row r="160" spans="1:1" ht="15.75" customHeight="1" x14ac:dyDescent="0.35">
      <c r="A160" s="25"/>
    </row>
    <row r="161" spans="1:1" ht="15.75" customHeight="1" x14ac:dyDescent="0.35">
      <c r="A161" s="25"/>
    </row>
    <row r="162" spans="1:1" ht="15.75" customHeight="1" x14ac:dyDescent="0.35">
      <c r="A162" s="25"/>
    </row>
    <row r="163" spans="1:1" ht="15.75" customHeight="1" x14ac:dyDescent="0.35">
      <c r="A163" s="25"/>
    </row>
    <row r="164" spans="1:1" ht="15.75" customHeight="1" x14ac:dyDescent="0.35">
      <c r="A164" s="25"/>
    </row>
    <row r="165" spans="1:1" ht="15.75" customHeight="1" x14ac:dyDescent="0.35">
      <c r="A165" s="25"/>
    </row>
    <row r="166" spans="1:1" ht="15.75" customHeight="1" x14ac:dyDescent="0.35">
      <c r="A166" s="25"/>
    </row>
    <row r="167" spans="1:1" ht="15.75" customHeight="1" x14ac:dyDescent="0.35">
      <c r="A167" s="25"/>
    </row>
    <row r="168" spans="1:1" ht="15.75" customHeight="1" x14ac:dyDescent="0.35">
      <c r="A168" s="25"/>
    </row>
    <row r="169" spans="1:1" ht="15.75" customHeight="1" x14ac:dyDescent="0.35">
      <c r="A169" s="25"/>
    </row>
    <row r="170" spans="1:1" ht="15.75" customHeight="1" x14ac:dyDescent="0.35">
      <c r="A170" s="25"/>
    </row>
    <row r="171" spans="1:1" ht="15.75" customHeight="1" x14ac:dyDescent="0.35">
      <c r="A171" s="25"/>
    </row>
    <row r="172" spans="1:1" ht="15.75" customHeight="1" x14ac:dyDescent="0.35">
      <c r="A172" s="25"/>
    </row>
    <row r="173" spans="1:1" ht="15.75" customHeight="1" x14ac:dyDescent="0.35">
      <c r="A173" s="25"/>
    </row>
    <row r="174" spans="1:1" ht="15.75" customHeight="1" x14ac:dyDescent="0.35">
      <c r="A174" s="25"/>
    </row>
    <row r="175" spans="1:1" ht="15.75" customHeight="1" x14ac:dyDescent="0.35">
      <c r="A175" s="25"/>
    </row>
    <row r="176" spans="1:1" ht="15.75" customHeight="1" x14ac:dyDescent="0.35">
      <c r="A176" s="25"/>
    </row>
    <row r="177" spans="1:1" ht="15.75" customHeight="1" x14ac:dyDescent="0.35">
      <c r="A177" s="25"/>
    </row>
    <row r="178" spans="1:1" ht="15.75" customHeight="1" x14ac:dyDescent="0.35">
      <c r="A178" s="25"/>
    </row>
    <row r="179" spans="1:1" ht="15.75" customHeight="1" x14ac:dyDescent="0.35">
      <c r="A179" s="25"/>
    </row>
    <row r="180" spans="1:1" ht="15.75" customHeight="1" x14ac:dyDescent="0.35">
      <c r="A180" s="25"/>
    </row>
    <row r="181" spans="1:1" ht="15.75" customHeight="1" x14ac:dyDescent="0.35">
      <c r="A181" s="25"/>
    </row>
    <row r="182" spans="1:1" ht="15.75" customHeight="1" x14ac:dyDescent="0.35">
      <c r="A182" s="25"/>
    </row>
    <row r="183" spans="1:1" ht="15.75" customHeight="1" x14ac:dyDescent="0.35">
      <c r="A183" s="25"/>
    </row>
    <row r="184" spans="1:1" ht="15.75" customHeight="1" x14ac:dyDescent="0.35">
      <c r="A184" s="25"/>
    </row>
    <row r="185" spans="1:1" ht="15.75" customHeight="1" x14ac:dyDescent="0.35">
      <c r="A185" s="25"/>
    </row>
    <row r="186" spans="1:1" ht="15.75" customHeight="1" x14ac:dyDescent="0.35">
      <c r="A186" s="25"/>
    </row>
    <row r="187" spans="1:1" ht="15.75" customHeight="1" x14ac:dyDescent="0.35">
      <c r="A187" s="25"/>
    </row>
    <row r="188" spans="1:1" ht="15.75" customHeight="1" x14ac:dyDescent="0.35">
      <c r="A188" s="25"/>
    </row>
    <row r="189" spans="1:1" ht="15.75" customHeight="1" x14ac:dyDescent="0.35">
      <c r="A189" s="25"/>
    </row>
    <row r="190" spans="1:1" ht="15.75" customHeight="1" x14ac:dyDescent="0.35">
      <c r="A190" s="25"/>
    </row>
    <row r="191" spans="1:1" ht="15.75" customHeight="1" x14ac:dyDescent="0.35">
      <c r="A191" s="25"/>
    </row>
    <row r="192" spans="1:1" ht="15.75" customHeight="1" x14ac:dyDescent="0.35">
      <c r="A192" s="25"/>
    </row>
    <row r="193" spans="1:1" ht="15.75" customHeight="1" x14ac:dyDescent="0.35">
      <c r="A193" s="25"/>
    </row>
    <row r="194" spans="1:1" ht="15.75" customHeight="1" x14ac:dyDescent="0.35">
      <c r="A194" s="25"/>
    </row>
    <row r="195" spans="1:1" ht="15.75" customHeight="1" x14ac:dyDescent="0.35">
      <c r="A195" s="25"/>
    </row>
    <row r="196" spans="1:1" ht="15.75" customHeight="1" x14ac:dyDescent="0.35">
      <c r="A196" s="25"/>
    </row>
    <row r="197" spans="1:1" ht="15.75" customHeight="1" x14ac:dyDescent="0.35">
      <c r="A197" s="25"/>
    </row>
    <row r="198" spans="1:1" ht="15.75" customHeight="1" x14ac:dyDescent="0.35">
      <c r="A198" s="25"/>
    </row>
    <row r="199" spans="1:1" ht="15.75" customHeight="1" x14ac:dyDescent="0.35">
      <c r="A199" s="25"/>
    </row>
    <row r="200" spans="1:1" ht="15.75" customHeight="1" x14ac:dyDescent="0.35">
      <c r="A200" s="25"/>
    </row>
    <row r="201" spans="1:1" ht="15.75" customHeight="1" x14ac:dyDescent="0.35">
      <c r="A201" s="25"/>
    </row>
    <row r="202" spans="1:1" ht="15.75" customHeight="1" x14ac:dyDescent="0.35">
      <c r="A202" s="25"/>
    </row>
    <row r="203" spans="1:1" ht="15.75" customHeight="1" x14ac:dyDescent="0.35">
      <c r="A203" s="25"/>
    </row>
    <row r="204" spans="1:1" ht="15.75" customHeight="1" x14ac:dyDescent="0.35">
      <c r="A204" s="25"/>
    </row>
    <row r="205" spans="1:1" ht="15.75" customHeight="1" x14ac:dyDescent="0.35">
      <c r="A205" s="25"/>
    </row>
    <row r="206" spans="1:1" ht="15.75" customHeight="1" x14ac:dyDescent="0.35">
      <c r="A206" s="25"/>
    </row>
    <row r="207" spans="1:1" ht="15.75" customHeight="1" x14ac:dyDescent="0.35">
      <c r="A207" s="25"/>
    </row>
    <row r="208" spans="1:1" ht="15.75" customHeight="1" x14ac:dyDescent="0.35">
      <c r="A208" s="25"/>
    </row>
    <row r="209" spans="1:1" ht="15.75" customHeight="1" x14ac:dyDescent="0.35">
      <c r="A209" s="25"/>
    </row>
    <row r="210" spans="1:1" ht="15.75" customHeight="1" x14ac:dyDescent="0.35">
      <c r="A210" s="25"/>
    </row>
    <row r="211" spans="1:1" ht="15.75" customHeight="1" x14ac:dyDescent="0.35">
      <c r="A211" s="25"/>
    </row>
    <row r="212" spans="1:1" ht="15.75" customHeight="1" x14ac:dyDescent="0.35">
      <c r="A212" s="25"/>
    </row>
    <row r="213" spans="1:1" ht="15.75" customHeight="1" x14ac:dyDescent="0.35">
      <c r="A213" s="25"/>
    </row>
    <row r="214" spans="1:1" ht="15.75" customHeight="1" x14ac:dyDescent="0.35">
      <c r="A214" s="25"/>
    </row>
    <row r="215" spans="1:1" ht="15.75" customHeight="1" x14ac:dyDescent="0.35">
      <c r="A215" s="25"/>
    </row>
    <row r="216" spans="1:1" ht="15.75" customHeight="1" x14ac:dyDescent="0.35">
      <c r="A216" s="25"/>
    </row>
    <row r="217" spans="1:1" ht="15.75" customHeight="1" x14ac:dyDescent="0.35">
      <c r="A217" s="25"/>
    </row>
    <row r="218" spans="1:1" ht="15.75" customHeight="1" x14ac:dyDescent="0.35">
      <c r="A218" s="25"/>
    </row>
    <row r="219" spans="1:1" ht="15.75" customHeight="1" x14ac:dyDescent="0.35">
      <c r="A219" s="25"/>
    </row>
    <row r="220" spans="1:1" ht="15.75" customHeight="1" x14ac:dyDescent="0.35">
      <c r="A220" s="25"/>
    </row>
    <row r="221" spans="1:1" ht="15.75" customHeight="1" x14ac:dyDescent="0.35">
      <c r="A221" s="25"/>
    </row>
    <row r="222" spans="1:1" ht="15.75" customHeight="1" x14ac:dyDescent="0.35">
      <c r="A222" s="25"/>
    </row>
    <row r="223" spans="1:1" ht="15.75" customHeight="1" x14ac:dyDescent="0.35">
      <c r="A223" s="25"/>
    </row>
    <row r="224" spans="1:1" ht="15.75" customHeight="1" x14ac:dyDescent="0.35">
      <c r="A224" s="25"/>
    </row>
    <row r="225" spans="1:1" ht="15.75" customHeight="1" x14ac:dyDescent="0.35">
      <c r="A225" s="25"/>
    </row>
    <row r="226" spans="1:1" ht="15.75" customHeight="1" x14ac:dyDescent="0.35">
      <c r="A226" s="25"/>
    </row>
    <row r="227" spans="1:1" ht="15.75" customHeight="1" x14ac:dyDescent="0.35">
      <c r="A227" s="25"/>
    </row>
    <row r="228" spans="1:1" ht="15.75" customHeight="1" x14ac:dyDescent="0.35">
      <c r="A228" s="25"/>
    </row>
    <row r="229" spans="1:1" ht="15.75" customHeight="1" x14ac:dyDescent="0.35">
      <c r="A229" s="25"/>
    </row>
    <row r="230" spans="1:1" ht="15.75" customHeight="1" x14ac:dyDescent="0.35">
      <c r="A230" s="25"/>
    </row>
    <row r="231" spans="1:1" ht="15.75" customHeight="1" x14ac:dyDescent="0.35">
      <c r="A231" s="25"/>
    </row>
    <row r="232" spans="1:1" ht="15.75" customHeight="1" x14ac:dyDescent="0.35">
      <c r="A232" s="25"/>
    </row>
    <row r="233" spans="1:1" ht="15.75" customHeight="1" x14ac:dyDescent="0.35">
      <c r="A233" s="25"/>
    </row>
    <row r="234" spans="1:1" ht="15.75" customHeight="1" x14ac:dyDescent="0.35">
      <c r="A234" s="25"/>
    </row>
    <row r="235" spans="1:1" ht="15.75" customHeight="1" x14ac:dyDescent="0.35">
      <c r="A235" s="25"/>
    </row>
    <row r="236" spans="1:1" ht="15.75" customHeight="1" x14ac:dyDescent="0.35">
      <c r="A236" s="25"/>
    </row>
    <row r="237" spans="1:1" ht="15.75" customHeight="1" x14ac:dyDescent="0.35">
      <c r="A237" s="25"/>
    </row>
    <row r="238" spans="1:1" ht="15.75" customHeight="1" x14ac:dyDescent="0.35">
      <c r="A238" s="25"/>
    </row>
    <row r="239" spans="1:1" ht="15.75" customHeight="1" x14ac:dyDescent="0.35">
      <c r="A239" s="25"/>
    </row>
    <row r="240" spans="1:1" ht="15.75" customHeight="1" x14ac:dyDescent="0.35">
      <c r="A240" s="25"/>
    </row>
    <row r="241" spans="1:1" ht="15.75" customHeight="1" x14ac:dyDescent="0.35">
      <c r="A241" s="25"/>
    </row>
    <row r="242" spans="1:1" ht="15.75" customHeight="1" x14ac:dyDescent="0.35">
      <c r="A242" s="25"/>
    </row>
    <row r="243" spans="1:1" ht="15.75" customHeight="1" x14ac:dyDescent="0.35">
      <c r="A243" s="25"/>
    </row>
    <row r="244" spans="1:1" ht="15.75" customHeight="1" x14ac:dyDescent="0.35">
      <c r="A244" s="25"/>
    </row>
    <row r="245" spans="1:1" ht="15.75" customHeight="1" x14ac:dyDescent="0.35">
      <c r="A245" s="25"/>
    </row>
    <row r="246" spans="1:1" ht="15.75" customHeight="1" x14ac:dyDescent="0.35">
      <c r="A246" s="25"/>
    </row>
    <row r="247" spans="1:1" ht="15.75" customHeight="1" x14ac:dyDescent="0.35">
      <c r="A247" s="25"/>
    </row>
    <row r="248" spans="1:1" ht="15.75" customHeight="1" x14ac:dyDescent="0.35">
      <c r="A248" s="25"/>
    </row>
    <row r="249" spans="1:1" ht="15.75" customHeight="1" x14ac:dyDescent="0.35">
      <c r="A249" s="25"/>
    </row>
    <row r="250" spans="1:1" ht="15.75" customHeight="1" x14ac:dyDescent="0.35">
      <c r="A250" s="25"/>
    </row>
    <row r="251" spans="1:1" ht="15.75" customHeight="1" x14ac:dyDescent="0.35">
      <c r="A251" s="25"/>
    </row>
    <row r="252" spans="1:1" ht="15.75" customHeight="1" x14ac:dyDescent="0.35">
      <c r="A252" s="25"/>
    </row>
    <row r="253" spans="1:1" ht="15.75" customHeight="1" x14ac:dyDescent="0.35">
      <c r="A253" s="25"/>
    </row>
    <row r="254" spans="1:1" ht="15.75" customHeight="1" x14ac:dyDescent="0.35">
      <c r="A254" s="25"/>
    </row>
    <row r="255" spans="1:1" ht="15.75" customHeight="1" x14ac:dyDescent="0.35">
      <c r="A255" s="25"/>
    </row>
    <row r="256" spans="1:1" ht="15.75" customHeight="1" x14ac:dyDescent="0.35">
      <c r="A256" s="25"/>
    </row>
    <row r="257" spans="1:1" ht="15.75" customHeight="1" x14ac:dyDescent="0.35">
      <c r="A257" s="25"/>
    </row>
    <row r="258" spans="1:1" ht="15.75" customHeight="1" x14ac:dyDescent="0.35">
      <c r="A258" s="25"/>
    </row>
    <row r="259" spans="1:1" ht="15.75" customHeight="1" x14ac:dyDescent="0.35">
      <c r="A259" s="25"/>
    </row>
    <row r="260" spans="1:1" ht="15.75" customHeight="1" x14ac:dyDescent="0.35">
      <c r="A260" s="25"/>
    </row>
    <row r="261" spans="1:1" ht="15.75" customHeight="1" x14ac:dyDescent="0.35">
      <c r="A261" s="25"/>
    </row>
    <row r="262" spans="1:1" ht="15.75" customHeight="1" x14ac:dyDescent="0.35">
      <c r="A262" s="25"/>
    </row>
    <row r="263" spans="1:1" ht="15.75" customHeight="1" x14ac:dyDescent="0.35">
      <c r="A263" s="25"/>
    </row>
    <row r="264" spans="1:1" ht="15.75" customHeight="1" x14ac:dyDescent="0.35">
      <c r="A264" s="25"/>
    </row>
    <row r="265" spans="1:1" ht="15.75" customHeight="1" x14ac:dyDescent="0.35">
      <c r="A265" s="25"/>
    </row>
    <row r="266" spans="1:1" ht="15.75" customHeight="1" x14ac:dyDescent="0.35">
      <c r="A266" s="25"/>
    </row>
    <row r="267" spans="1:1" ht="15.75" customHeight="1" x14ac:dyDescent="0.35">
      <c r="A267" s="25"/>
    </row>
    <row r="268" spans="1:1" ht="15.75" customHeight="1" x14ac:dyDescent="0.35">
      <c r="A268" s="25"/>
    </row>
    <row r="269" spans="1:1" ht="15.75" customHeight="1" x14ac:dyDescent="0.35">
      <c r="A269" s="25"/>
    </row>
    <row r="270" spans="1:1" ht="15.75" customHeight="1" x14ac:dyDescent="0.35">
      <c r="A270" s="25"/>
    </row>
    <row r="271" spans="1:1" ht="15.75" customHeight="1" x14ac:dyDescent="0.35">
      <c r="A271" s="25"/>
    </row>
    <row r="272" spans="1:1" ht="15.75" customHeight="1" x14ac:dyDescent="0.35">
      <c r="A272" s="25"/>
    </row>
    <row r="273" spans="1:1" ht="15.75" customHeight="1" x14ac:dyDescent="0.35">
      <c r="A273" s="25"/>
    </row>
    <row r="274" spans="1:1" ht="15.75" customHeight="1" x14ac:dyDescent="0.35">
      <c r="A274" s="25"/>
    </row>
    <row r="275" spans="1:1" ht="15.75" customHeight="1" x14ac:dyDescent="0.35">
      <c r="A275" s="25"/>
    </row>
    <row r="276" spans="1:1" ht="15.75" customHeight="1" x14ac:dyDescent="0.35">
      <c r="A276" s="25"/>
    </row>
    <row r="277" spans="1:1" ht="15.75" customHeight="1" x14ac:dyDescent="0.35">
      <c r="A277" s="25"/>
    </row>
    <row r="278" spans="1:1" ht="15.75" customHeight="1" x14ac:dyDescent="0.35">
      <c r="A278" s="25"/>
    </row>
    <row r="279" spans="1:1" ht="15.75" customHeight="1" x14ac:dyDescent="0.35">
      <c r="A279" s="25"/>
    </row>
    <row r="280" spans="1:1" ht="15.75" customHeight="1" x14ac:dyDescent="0.35">
      <c r="A280" s="25"/>
    </row>
    <row r="281" spans="1:1" ht="15.75" customHeight="1" x14ac:dyDescent="0.35">
      <c r="A281" s="25"/>
    </row>
    <row r="282" spans="1:1" ht="15.75" customHeight="1" x14ac:dyDescent="0.35">
      <c r="A282" s="25"/>
    </row>
    <row r="283" spans="1:1" ht="15.75" customHeight="1" x14ac:dyDescent="0.35">
      <c r="A283" s="25"/>
    </row>
    <row r="284" spans="1:1" ht="15.75" customHeight="1" x14ac:dyDescent="0.35">
      <c r="A284" s="25"/>
    </row>
    <row r="285" spans="1:1" ht="15.75" customHeight="1" x14ac:dyDescent="0.35">
      <c r="A285" s="25"/>
    </row>
    <row r="286" spans="1:1" ht="15.75" customHeight="1" x14ac:dyDescent="0.35">
      <c r="A286" s="25"/>
    </row>
    <row r="287" spans="1:1" ht="15.75" customHeight="1" x14ac:dyDescent="0.35">
      <c r="A287" s="25"/>
    </row>
    <row r="288" spans="1:1" ht="15.75" customHeight="1" x14ac:dyDescent="0.35">
      <c r="A288" s="25"/>
    </row>
    <row r="289" spans="1:1" ht="15.75" customHeight="1" x14ac:dyDescent="0.35">
      <c r="A289" s="25"/>
    </row>
    <row r="290" spans="1:1" ht="15.75" customHeight="1" x14ac:dyDescent="0.35">
      <c r="A290" s="25"/>
    </row>
    <row r="291" spans="1:1" ht="15.75" customHeight="1" x14ac:dyDescent="0.35">
      <c r="A291" s="25"/>
    </row>
    <row r="292" spans="1:1" ht="15.75" customHeight="1" x14ac:dyDescent="0.35">
      <c r="A292" s="25"/>
    </row>
    <row r="293" spans="1:1" ht="15.75" customHeight="1" x14ac:dyDescent="0.35">
      <c r="A293" s="25"/>
    </row>
    <row r="294" spans="1:1" ht="15.75" customHeight="1" x14ac:dyDescent="0.35">
      <c r="A294" s="25"/>
    </row>
    <row r="295" spans="1:1" ht="15.75" customHeight="1" x14ac:dyDescent="0.35">
      <c r="A295" s="25"/>
    </row>
    <row r="296" spans="1:1" ht="15.75" customHeight="1" x14ac:dyDescent="0.35">
      <c r="A296" s="25"/>
    </row>
    <row r="297" spans="1:1" ht="15.75" customHeight="1" x14ac:dyDescent="0.35">
      <c r="A297" s="25"/>
    </row>
    <row r="298" spans="1:1" ht="15.75" customHeight="1" x14ac:dyDescent="0.35">
      <c r="A298" s="25"/>
    </row>
    <row r="299" spans="1:1" ht="15.75" customHeight="1" x14ac:dyDescent="0.35">
      <c r="A299" s="25"/>
    </row>
    <row r="300" spans="1:1" ht="15.75" customHeight="1" x14ac:dyDescent="0.35">
      <c r="A300" s="25"/>
    </row>
    <row r="301" spans="1:1" ht="15.75" customHeight="1" x14ac:dyDescent="0.35">
      <c r="A301" s="25"/>
    </row>
    <row r="302" spans="1:1" ht="15.75" customHeight="1" x14ac:dyDescent="0.35">
      <c r="A302" s="25"/>
    </row>
    <row r="303" spans="1:1" ht="15.75" customHeight="1" x14ac:dyDescent="0.35">
      <c r="A303" s="25"/>
    </row>
    <row r="304" spans="1:1" ht="15.75" customHeight="1" x14ac:dyDescent="0.35">
      <c r="A304" s="25"/>
    </row>
    <row r="305" spans="1:1" ht="15.75" customHeight="1" x14ac:dyDescent="0.35">
      <c r="A305" s="25"/>
    </row>
    <row r="306" spans="1:1" ht="15.75" customHeight="1" x14ac:dyDescent="0.35">
      <c r="A306" s="25"/>
    </row>
    <row r="307" spans="1:1" ht="15.75" customHeight="1" x14ac:dyDescent="0.35">
      <c r="A307" s="25"/>
    </row>
    <row r="308" spans="1:1" ht="15.75" customHeight="1" x14ac:dyDescent="0.35">
      <c r="A308" s="25"/>
    </row>
    <row r="309" spans="1:1" ht="15.75" customHeight="1" x14ac:dyDescent="0.35">
      <c r="A309" s="25"/>
    </row>
    <row r="310" spans="1:1" ht="15.75" customHeight="1" x14ac:dyDescent="0.35">
      <c r="A310" s="25"/>
    </row>
    <row r="311" spans="1:1" ht="15.75" customHeight="1" x14ac:dyDescent="0.35">
      <c r="A311" s="25"/>
    </row>
    <row r="312" spans="1:1" ht="15.75" customHeight="1" x14ac:dyDescent="0.35">
      <c r="A312" s="25"/>
    </row>
    <row r="313" spans="1:1" ht="15.75" customHeight="1" x14ac:dyDescent="0.35">
      <c r="A313" s="25"/>
    </row>
    <row r="314" spans="1:1" ht="15.75" customHeight="1" x14ac:dyDescent="0.35">
      <c r="A314" s="25"/>
    </row>
    <row r="315" spans="1:1" ht="15.75" customHeight="1" x14ac:dyDescent="0.35">
      <c r="A315" s="25"/>
    </row>
    <row r="316" spans="1:1" ht="15.75" customHeight="1" x14ac:dyDescent="0.35">
      <c r="A316" s="25"/>
    </row>
    <row r="317" spans="1:1" ht="15.75" customHeight="1" x14ac:dyDescent="0.35">
      <c r="A317" s="25"/>
    </row>
    <row r="318" spans="1:1" ht="15.75" customHeight="1" x14ac:dyDescent="0.35">
      <c r="A318" s="25"/>
    </row>
    <row r="319" spans="1:1" ht="15.75" customHeight="1" x14ac:dyDescent="0.35">
      <c r="A319" s="25"/>
    </row>
    <row r="320" spans="1:1" ht="15.75" customHeight="1" x14ac:dyDescent="0.35">
      <c r="A320" s="25"/>
    </row>
    <row r="321" spans="1:1" ht="15.75" customHeight="1" x14ac:dyDescent="0.35">
      <c r="A321" s="25"/>
    </row>
    <row r="322" spans="1:1" ht="15.75" customHeight="1" x14ac:dyDescent="0.35">
      <c r="A322" s="25"/>
    </row>
    <row r="323" spans="1:1" ht="15.75" customHeight="1" x14ac:dyDescent="0.35">
      <c r="A323" s="25"/>
    </row>
    <row r="324" spans="1:1" ht="15.75" customHeight="1" x14ac:dyDescent="0.35">
      <c r="A324" s="25"/>
    </row>
    <row r="325" spans="1:1" ht="15.75" customHeight="1" x14ac:dyDescent="0.35">
      <c r="A325" s="25"/>
    </row>
    <row r="326" spans="1:1" ht="15.75" customHeight="1" x14ac:dyDescent="0.35">
      <c r="A326" s="25"/>
    </row>
    <row r="327" spans="1:1" ht="15.75" customHeight="1" x14ac:dyDescent="0.35">
      <c r="A327" s="25"/>
    </row>
    <row r="328" spans="1:1" ht="15.75" customHeight="1" x14ac:dyDescent="0.35">
      <c r="A328" s="25"/>
    </row>
    <row r="329" spans="1:1" ht="15.75" customHeight="1" x14ac:dyDescent="0.35">
      <c r="A329" s="25"/>
    </row>
    <row r="330" spans="1:1" ht="15.75" customHeight="1" x14ac:dyDescent="0.35">
      <c r="A330" s="25"/>
    </row>
    <row r="331" spans="1:1" ht="15.75" customHeight="1" x14ac:dyDescent="0.35">
      <c r="A331" s="25"/>
    </row>
    <row r="332" spans="1:1" ht="15.75" customHeight="1" x14ac:dyDescent="0.35">
      <c r="A332" s="25"/>
    </row>
    <row r="333" spans="1:1" ht="15.75" customHeight="1" x14ac:dyDescent="0.35">
      <c r="A333" s="25"/>
    </row>
    <row r="334" spans="1:1" ht="15.75" customHeight="1" x14ac:dyDescent="0.35">
      <c r="A334" s="25"/>
    </row>
    <row r="335" spans="1:1" ht="15.75" customHeight="1" x14ac:dyDescent="0.35">
      <c r="A335" s="25"/>
    </row>
    <row r="336" spans="1:1" ht="15.75" customHeight="1" x14ac:dyDescent="0.35">
      <c r="A336" s="25"/>
    </row>
    <row r="337" spans="1:1" ht="15.75" customHeight="1" x14ac:dyDescent="0.35">
      <c r="A337" s="25"/>
    </row>
    <row r="338" spans="1:1" ht="15.75" customHeight="1" x14ac:dyDescent="0.35">
      <c r="A338" s="25"/>
    </row>
    <row r="339" spans="1:1" ht="15.75" customHeight="1" x14ac:dyDescent="0.35">
      <c r="A339" s="25"/>
    </row>
    <row r="340" spans="1:1" ht="15.75" customHeight="1" x14ac:dyDescent="0.35">
      <c r="A340" s="25"/>
    </row>
    <row r="341" spans="1:1" ht="15.75" customHeight="1" x14ac:dyDescent="0.35">
      <c r="A341" s="25"/>
    </row>
    <row r="342" spans="1:1" ht="15.75" customHeight="1" x14ac:dyDescent="0.35">
      <c r="A342" s="25"/>
    </row>
    <row r="343" spans="1:1" ht="15.75" customHeight="1" x14ac:dyDescent="0.35">
      <c r="A343" s="25"/>
    </row>
    <row r="344" spans="1:1" ht="15.75" customHeight="1" x14ac:dyDescent="0.35">
      <c r="A344" s="25"/>
    </row>
    <row r="345" spans="1:1" ht="15.75" customHeight="1" x14ac:dyDescent="0.35">
      <c r="A345" s="25"/>
    </row>
    <row r="346" spans="1:1" ht="15.75" customHeight="1" x14ac:dyDescent="0.35">
      <c r="A346" s="25"/>
    </row>
    <row r="347" spans="1:1" ht="15.75" customHeight="1" x14ac:dyDescent="0.35">
      <c r="A347" s="25"/>
    </row>
    <row r="348" spans="1:1" ht="15.75" customHeight="1" x14ac:dyDescent="0.35">
      <c r="A348" s="25"/>
    </row>
    <row r="349" spans="1:1" ht="15.75" customHeight="1" x14ac:dyDescent="0.35">
      <c r="A349" s="25"/>
    </row>
    <row r="350" spans="1:1" ht="15.75" customHeight="1" x14ac:dyDescent="0.35">
      <c r="A350" s="25"/>
    </row>
    <row r="351" spans="1:1" ht="15.75" customHeight="1" x14ac:dyDescent="0.35">
      <c r="A351" s="25"/>
    </row>
    <row r="352" spans="1:1" ht="15.75" customHeight="1" x14ac:dyDescent="0.35">
      <c r="A352" s="25"/>
    </row>
    <row r="353" spans="1:1" ht="15.75" customHeight="1" x14ac:dyDescent="0.35">
      <c r="A353" s="25"/>
    </row>
    <row r="354" spans="1:1" ht="15.75" customHeight="1" x14ac:dyDescent="0.35">
      <c r="A354" s="25"/>
    </row>
    <row r="355" spans="1:1" ht="15.75" customHeight="1" x14ac:dyDescent="0.35">
      <c r="A355" s="25"/>
    </row>
    <row r="356" spans="1:1" ht="15.75" customHeight="1" x14ac:dyDescent="0.35">
      <c r="A356" s="25"/>
    </row>
    <row r="357" spans="1:1" ht="15.75" customHeight="1" x14ac:dyDescent="0.35">
      <c r="A357" s="25"/>
    </row>
    <row r="358" spans="1:1" ht="15.75" customHeight="1" x14ac:dyDescent="0.35">
      <c r="A358" s="25"/>
    </row>
    <row r="359" spans="1:1" ht="15.75" customHeight="1" x14ac:dyDescent="0.35">
      <c r="A359" s="25"/>
    </row>
    <row r="360" spans="1:1" ht="15.75" customHeight="1" x14ac:dyDescent="0.35">
      <c r="A360" s="25"/>
    </row>
    <row r="361" spans="1:1" ht="15.75" customHeight="1" x14ac:dyDescent="0.35">
      <c r="A361" s="25"/>
    </row>
    <row r="362" spans="1:1" ht="15.75" customHeight="1" x14ac:dyDescent="0.35">
      <c r="A362" s="25"/>
    </row>
    <row r="363" spans="1:1" ht="15.75" customHeight="1" x14ac:dyDescent="0.35">
      <c r="A363" s="25"/>
    </row>
    <row r="364" spans="1:1" ht="15.75" customHeight="1" x14ac:dyDescent="0.35">
      <c r="A364" s="25"/>
    </row>
    <row r="365" spans="1:1" ht="15.75" customHeight="1" x14ac:dyDescent="0.35">
      <c r="A365" s="25"/>
    </row>
    <row r="366" spans="1:1" ht="15.75" customHeight="1" x14ac:dyDescent="0.35">
      <c r="A366" s="25"/>
    </row>
    <row r="367" spans="1:1" ht="15.75" customHeight="1" x14ac:dyDescent="0.35">
      <c r="A367" s="25"/>
    </row>
    <row r="368" spans="1:1" ht="15.75" customHeight="1" x14ac:dyDescent="0.35">
      <c r="A368" s="25"/>
    </row>
    <row r="369" spans="1:1" ht="15.75" customHeight="1" x14ac:dyDescent="0.35">
      <c r="A369" s="25"/>
    </row>
    <row r="370" spans="1:1" ht="15.75" customHeight="1" x14ac:dyDescent="0.35">
      <c r="A370" s="25"/>
    </row>
    <row r="371" spans="1:1" ht="15.75" customHeight="1" x14ac:dyDescent="0.35">
      <c r="A371" s="25"/>
    </row>
    <row r="372" spans="1:1" ht="15.75" customHeight="1" x14ac:dyDescent="0.35">
      <c r="A372" s="25"/>
    </row>
    <row r="373" spans="1:1" ht="15.75" customHeight="1" x14ac:dyDescent="0.35">
      <c r="A373" s="25"/>
    </row>
    <row r="374" spans="1:1" ht="15.75" customHeight="1" x14ac:dyDescent="0.35">
      <c r="A374" s="25"/>
    </row>
    <row r="375" spans="1:1" ht="15.75" customHeight="1" x14ac:dyDescent="0.35">
      <c r="A375" s="25"/>
    </row>
    <row r="376" spans="1:1" ht="15.75" customHeight="1" x14ac:dyDescent="0.35">
      <c r="A376" s="25"/>
    </row>
    <row r="377" spans="1:1" ht="15.75" customHeight="1" x14ac:dyDescent="0.35">
      <c r="A377" s="25"/>
    </row>
    <row r="378" spans="1:1" ht="15.75" customHeight="1" x14ac:dyDescent="0.35">
      <c r="A378" s="25"/>
    </row>
    <row r="379" spans="1:1" ht="15.75" customHeight="1" x14ac:dyDescent="0.35">
      <c r="A379" s="25"/>
    </row>
    <row r="380" spans="1:1" ht="15.75" customHeight="1" x14ac:dyDescent="0.35">
      <c r="A380" s="25"/>
    </row>
    <row r="381" spans="1:1" ht="15.75" customHeight="1" x14ac:dyDescent="0.35">
      <c r="A381" s="25"/>
    </row>
    <row r="382" spans="1:1" ht="15.75" customHeight="1" x14ac:dyDescent="0.35">
      <c r="A382" s="25"/>
    </row>
    <row r="383" spans="1:1" ht="15.75" customHeight="1" x14ac:dyDescent="0.35">
      <c r="A383" s="25"/>
    </row>
    <row r="384" spans="1:1" ht="15.75" customHeight="1" x14ac:dyDescent="0.35">
      <c r="A384" s="25"/>
    </row>
    <row r="385" spans="1:1" ht="15.75" customHeight="1" x14ac:dyDescent="0.35">
      <c r="A385" s="25"/>
    </row>
    <row r="386" spans="1:1" ht="15.75" customHeight="1" x14ac:dyDescent="0.35">
      <c r="A386" s="25"/>
    </row>
    <row r="387" spans="1:1" ht="15.75" customHeight="1" x14ac:dyDescent="0.35">
      <c r="A387" s="25"/>
    </row>
    <row r="388" spans="1:1" ht="15.75" customHeight="1" x14ac:dyDescent="0.35">
      <c r="A388" s="25"/>
    </row>
    <row r="389" spans="1:1" ht="15.75" customHeight="1" x14ac:dyDescent="0.35">
      <c r="A389" s="25"/>
    </row>
    <row r="390" spans="1:1" ht="15.75" customHeight="1" x14ac:dyDescent="0.35">
      <c r="A390" s="25"/>
    </row>
    <row r="391" spans="1:1" ht="15.75" customHeight="1" x14ac:dyDescent="0.35">
      <c r="A391" s="25"/>
    </row>
    <row r="392" spans="1:1" ht="15.75" customHeight="1" x14ac:dyDescent="0.35">
      <c r="A392" s="25"/>
    </row>
    <row r="393" spans="1:1" ht="15.75" customHeight="1" x14ac:dyDescent="0.35">
      <c r="A393" s="25"/>
    </row>
    <row r="394" spans="1:1" ht="15.75" customHeight="1" x14ac:dyDescent="0.35">
      <c r="A394" s="25"/>
    </row>
    <row r="395" spans="1:1" ht="15.75" customHeight="1" x14ac:dyDescent="0.35">
      <c r="A395" s="25"/>
    </row>
    <row r="396" spans="1:1" ht="15.75" customHeight="1" x14ac:dyDescent="0.35">
      <c r="A396" s="25"/>
    </row>
    <row r="397" spans="1:1" ht="15.75" customHeight="1" x14ac:dyDescent="0.35">
      <c r="A397" s="25"/>
    </row>
    <row r="398" spans="1:1" ht="15.75" customHeight="1" x14ac:dyDescent="0.35">
      <c r="A398" s="25"/>
    </row>
    <row r="399" spans="1:1" ht="15.75" customHeight="1" x14ac:dyDescent="0.35">
      <c r="A399" s="25"/>
    </row>
    <row r="400" spans="1:1" ht="15.75" customHeight="1" x14ac:dyDescent="0.35">
      <c r="A400" s="25"/>
    </row>
    <row r="401" spans="1:1" ht="15.75" customHeight="1" x14ac:dyDescent="0.35">
      <c r="A401" s="25"/>
    </row>
    <row r="402" spans="1:1" ht="15.75" customHeight="1" x14ac:dyDescent="0.35">
      <c r="A402" s="25"/>
    </row>
    <row r="403" spans="1:1" ht="15.75" customHeight="1" x14ac:dyDescent="0.35">
      <c r="A403" s="25"/>
    </row>
    <row r="404" spans="1:1" ht="15.75" customHeight="1" x14ac:dyDescent="0.35">
      <c r="A404" s="25"/>
    </row>
    <row r="405" spans="1:1" ht="15.75" customHeight="1" x14ac:dyDescent="0.35">
      <c r="A405" s="25"/>
    </row>
    <row r="406" spans="1:1" ht="15.75" customHeight="1" x14ac:dyDescent="0.35">
      <c r="A406" s="25"/>
    </row>
    <row r="407" spans="1:1" ht="15.75" customHeight="1" x14ac:dyDescent="0.35">
      <c r="A407" s="25"/>
    </row>
    <row r="408" spans="1:1" ht="15.75" customHeight="1" x14ac:dyDescent="0.35">
      <c r="A408" s="25"/>
    </row>
    <row r="409" spans="1:1" ht="15.75" customHeight="1" x14ac:dyDescent="0.35">
      <c r="A409" s="25"/>
    </row>
    <row r="410" spans="1:1" ht="15.75" customHeight="1" x14ac:dyDescent="0.35">
      <c r="A410" s="25"/>
    </row>
    <row r="411" spans="1:1" ht="15.75" customHeight="1" x14ac:dyDescent="0.35">
      <c r="A411" s="25"/>
    </row>
    <row r="412" spans="1:1" ht="15.75" customHeight="1" x14ac:dyDescent="0.35">
      <c r="A412" s="25"/>
    </row>
    <row r="413" spans="1:1" ht="15.75" customHeight="1" x14ac:dyDescent="0.35">
      <c r="A413" s="25"/>
    </row>
    <row r="414" spans="1:1" ht="15.75" customHeight="1" x14ac:dyDescent="0.35">
      <c r="A414" s="25"/>
    </row>
    <row r="415" spans="1:1" ht="15.75" customHeight="1" x14ac:dyDescent="0.35">
      <c r="A415" s="25"/>
    </row>
    <row r="416" spans="1:1" ht="15.75" customHeight="1" x14ac:dyDescent="0.35">
      <c r="A416" s="25"/>
    </row>
    <row r="417" spans="1:1" ht="15.75" customHeight="1" x14ac:dyDescent="0.35">
      <c r="A417" s="25"/>
    </row>
    <row r="418" spans="1:1" ht="15.75" customHeight="1" x14ac:dyDescent="0.35">
      <c r="A418" s="25"/>
    </row>
    <row r="419" spans="1:1" ht="15.75" customHeight="1" x14ac:dyDescent="0.35">
      <c r="A419" s="25"/>
    </row>
    <row r="420" spans="1:1" ht="15.75" customHeight="1" x14ac:dyDescent="0.35">
      <c r="A420" s="25"/>
    </row>
    <row r="421" spans="1:1" ht="15.75" customHeight="1" x14ac:dyDescent="0.35">
      <c r="A421" s="25"/>
    </row>
    <row r="422" spans="1:1" ht="15.75" customHeight="1" x14ac:dyDescent="0.35">
      <c r="A422" s="25"/>
    </row>
    <row r="423" spans="1:1" ht="15.75" customHeight="1" x14ac:dyDescent="0.35">
      <c r="A423" s="25"/>
    </row>
    <row r="424" spans="1:1" ht="15.75" customHeight="1" x14ac:dyDescent="0.35">
      <c r="A424" s="25"/>
    </row>
    <row r="425" spans="1:1" ht="15.75" customHeight="1" x14ac:dyDescent="0.35">
      <c r="A425" s="25"/>
    </row>
    <row r="426" spans="1:1" ht="15.75" customHeight="1" x14ac:dyDescent="0.35">
      <c r="A426" s="25"/>
    </row>
    <row r="427" spans="1:1" ht="15.75" customHeight="1" x14ac:dyDescent="0.35">
      <c r="A427" s="25"/>
    </row>
    <row r="428" spans="1:1" ht="15.75" customHeight="1" x14ac:dyDescent="0.35">
      <c r="A428" s="25"/>
    </row>
    <row r="429" spans="1:1" ht="15.75" customHeight="1" x14ac:dyDescent="0.35">
      <c r="A429" s="25"/>
    </row>
    <row r="430" spans="1:1" ht="15.75" customHeight="1" x14ac:dyDescent="0.35">
      <c r="A430" s="25"/>
    </row>
    <row r="431" spans="1:1" ht="15.75" customHeight="1" x14ac:dyDescent="0.35">
      <c r="A431" s="25"/>
    </row>
    <row r="432" spans="1:1" ht="15.75" customHeight="1" x14ac:dyDescent="0.35">
      <c r="A432" s="25"/>
    </row>
    <row r="433" spans="1:1" ht="15.75" customHeight="1" x14ac:dyDescent="0.35">
      <c r="A433" s="25"/>
    </row>
    <row r="434" spans="1:1" ht="15.75" customHeight="1" x14ac:dyDescent="0.35">
      <c r="A434" s="25"/>
    </row>
    <row r="435" spans="1:1" ht="15.75" customHeight="1" x14ac:dyDescent="0.35">
      <c r="A435" s="25"/>
    </row>
    <row r="436" spans="1:1" ht="15.75" customHeight="1" x14ac:dyDescent="0.35">
      <c r="A436" s="25"/>
    </row>
    <row r="437" spans="1:1" ht="15.75" customHeight="1" x14ac:dyDescent="0.35">
      <c r="A437" s="25"/>
    </row>
    <row r="438" spans="1:1" ht="15.75" customHeight="1" x14ac:dyDescent="0.35">
      <c r="A438" s="25"/>
    </row>
    <row r="439" spans="1:1" ht="15.75" customHeight="1" x14ac:dyDescent="0.35">
      <c r="A439" s="25"/>
    </row>
    <row r="440" spans="1:1" ht="15.75" customHeight="1" x14ac:dyDescent="0.35">
      <c r="A440" s="25"/>
    </row>
    <row r="441" spans="1:1" ht="15.75" customHeight="1" x14ac:dyDescent="0.35">
      <c r="A441" s="25"/>
    </row>
    <row r="442" spans="1:1" ht="15.75" customHeight="1" x14ac:dyDescent="0.35">
      <c r="A442" s="25"/>
    </row>
    <row r="443" spans="1:1" ht="15.75" customHeight="1" x14ac:dyDescent="0.35">
      <c r="A443" s="25"/>
    </row>
    <row r="444" spans="1:1" ht="15.75" customHeight="1" x14ac:dyDescent="0.35">
      <c r="A444" s="25"/>
    </row>
    <row r="445" spans="1:1" ht="15.75" customHeight="1" x14ac:dyDescent="0.35">
      <c r="A445" s="25"/>
    </row>
    <row r="446" spans="1:1" ht="15.75" customHeight="1" x14ac:dyDescent="0.35">
      <c r="A446" s="25"/>
    </row>
    <row r="447" spans="1:1" ht="15.75" customHeight="1" x14ac:dyDescent="0.35">
      <c r="A447" s="25"/>
    </row>
    <row r="448" spans="1:1" ht="15.75" customHeight="1" x14ac:dyDescent="0.35">
      <c r="A448" s="25"/>
    </row>
    <row r="449" spans="1:1" ht="15.75" customHeight="1" x14ac:dyDescent="0.35">
      <c r="A449" s="25"/>
    </row>
    <row r="450" spans="1:1" ht="15.75" customHeight="1" x14ac:dyDescent="0.35">
      <c r="A450" s="25"/>
    </row>
    <row r="451" spans="1:1" ht="15.75" customHeight="1" x14ac:dyDescent="0.35">
      <c r="A451" s="25"/>
    </row>
    <row r="452" spans="1:1" ht="15.75" customHeight="1" x14ac:dyDescent="0.35">
      <c r="A452" s="25"/>
    </row>
    <row r="453" spans="1:1" ht="15.75" customHeight="1" x14ac:dyDescent="0.35">
      <c r="A453" s="25"/>
    </row>
    <row r="454" spans="1:1" ht="15.75" customHeight="1" x14ac:dyDescent="0.35">
      <c r="A454" s="25"/>
    </row>
    <row r="455" spans="1:1" ht="15.75" customHeight="1" x14ac:dyDescent="0.35">
      <c r="A455" s="25"/>
    </row>
    <row r="456" spans="1:1" ht="15.75" customHeight="1" x14ac:dyDescent="0.35">
      <c r="A456" s="25"/>
    </row>
    <row r="457" spans="1:1" ht="15.75" customHeight="1" x14ac:dyDescent="0.35">
      <c r="A457" s="25"/>
    </row>
    <row r="458" spans="1:1" ht="15.75" customHeight="1" x14ac:dyDescent="0.35">
      <c r="A458" s="25"/>
    </row>
    <row r="459" spans="1:1" ht="15.75" customHeight="1" x14ac:dyDescent="0.35">
      <c r="A459" s="25"/>
    </row>
    <row r="460" spans="1:1" ht="15.75" customHeight="1" x14ac:dyDescent="0.35">
      <c r="A460" s="25"/>
    </row>
    <row r="461" spans="1:1" ht="15.75" customHeight="1" x14ac:dyDescent="0.35">
      <c r="A461" s="25"/>
    </row>
    <row r="462" spans="1:1" ht="15.75" customHeight="1" x14ac:dyDescent="0.35">
      <c r="A462" s="25"/>
    </row>
    <row r="463" spans="1:1" ht="15.75" customHeight="1" x14ac:dyDescent="0.35">
      <c r="A463" s="25"/>
    </row>
    <row r="464" spans="1:1" ht="15.75" customHeight="1" x14ac:dyDescent="0.35">
      <c r="A464" s="25"/>
    </row>
    <row r="465" spans="1:1" ht="15.75" customHeight="1" x14ac:dyDescent="0.35">
      <c r="A465" s="25"/>
    </row>
    <row r="466" spans="1:1" ht="15.75" customHeight="1" x14ac:dyDescent="0.35">
      <c r="A466" s="25"/>
    </row>
    <row r="467" spans="1:1" ht="15.75" customHeight="1" x14ac:dyDescent="0.35">
      <c r="A467" s="25"/>
    </row>
    <row r="468" spans="1:1" ht="15.75" customHeight="1" x14ac:dyDescent="0.35">
      <c r="A468" s="25"/>
    </row>
    <row r="469" spans="1:1" ht="15.75" customHeight="1" x14ac:dyDescent="0.35">
      <c r="A469" s="25"/>
    </row>
    <row r="470" spans="1:1" ht="15.75" customHeight="1" x14ac:dyDescent="0.35">
      <c r="A470" s="25"/>
    </row>
    <row r="471" spans="1:1" ht="15.75" customHeight="1" x14ac:dyDescent="0.35">
      <c r="A471" s="25"/>
    </row>
    <row r="472" spans="1:1" ht="15.75" customHeight="1" x14ac:dyDescent="0.35">
      <c r="A472" s="25"/>
    </row>
    <row r="473" spans="1:1" ht="15.75" customHeight="1" x14ac:dyDescent="0.35">
      <c r="A473" s="25"/>
    </row>
    <row r="474" spans="1:1" ht="15.75" customHeight="1" x14ac:dyDescent="0.35">
      <c r="A474" s="25"/>
    </row>
    <row r="475" spans="1:1" ht="15.75" customHeight="1" x14ac:dyDescent="0.35">
      <c r="A475" s="25"/>
    </row>
    <row r="476" spans="1:1" ht="15.75" customHeight="1" x14ac:dyDescent="0.35">
      <c r="A476" s="25"/>
    </row>
    <row r="477" spans="1:1" ht="15.75" customHeight="1" x14ac:dyDescent="0.35">
      <c r="A477" s="25"/>
    </row>
    <row r="478" spans="1:1" ht="15.75" customHeight="1" x14ac:dyDescent="0.35">
      <c r="A478" s="25"/>
    </row>
    <row r="479" spans="1:1" ht="15.75" customHeight="1" x14ac:dyDescent="0.35">
      <c r="A479" s="25"/>
    </row>
    <row r="480" spans="1:1" ht="15.75" customHeight="1" x14ac:dyDescent="0.35">
      <c r="A480" s="25"/>
    </row>
    <row r="481" spans="1:1" ht="15.75" customHeight="1" x14ac:dyDescent="0.35">
      <c r="A481" s="25"/>
    </row>
    <row r="482" spans="1:1" ht="15.75" customHeight="1" x14ac:dyDescent="0.35">
      <c r="A482" s="25"/>
    </row>
    <row r="483" spans="1:1" ht="15.75" customHeight="1" x14ac:dyDescent="0.35">
      <c r="A483" s="25"/>
    </row>
    <row r="484" spans="1:1" ht="15.75" customHeight="1" x14ac:dyDescent="0.35">
      <c r="A484" s="25"/>
    </row>
    <row r="485" spans="1:1" ht="15.75" customHeight="1" x14ac:dyDescent="0.35">
      <c r="A485" s="25"/>
    </row>
    <row r="486" spans="1:1" ht="15.75" customHeight="1" x14ac:dyDescent="0.35">
      <c r="A486" s="25"/>
    </row>
    <row r="487" spans="1:1" ht="15.75" customHeight="1" x14ac:dyDescent="0.35">
      <c r="A487" s="25"/>
    </row>
    <row r="488" spans="1:1" ht="15.75" customHeight="1" x14ac:dyDescent="0.35">
      <c r="A488" s="25"/>
    </row>
    <row r="489" spans="1:1" ht="15.75" customHeight="1" x14ac:dyDescent="0.35">
      <c r="A489" s="25"/>
    </row>
    <row r="490" spans="1:1" ht="15.75" customHeight="1" x14ac:dyDescent="0.35">
      <c r="A490" s="25"/>
    </row>
    <row r="491" spans="1:1" ht="15.75" customHeight="1" x14ac:dyDescent="0.35">
      <c r="A491" s="25"/>
    </row>
    <row r="492" spans="1:1" ht="15.75" customHeight="1" x14ac:dyDescent="0.35">
      <c r="A492" s="25"/>
    </row>
    <row r="493" spans="1:1" ht="15.75" customHeight="1" x14ac:dyDescent="0.35">
      <c r="A493" s="25"/>
    </row>
    <row r="494" spans="1:1" ht="15.75" customHeight="1" x14ac:dyDescent="0.35">
      <c r="A494" s="25"/>
    </row>
    <row r="495" spans="1:1" ht="15.75" customHeight="1" x14ac:dyDescent="0.35">
      <c r="A495" s="25"/>
    </row>
    <row r="496" spans="1:1" ht="15.75" customHeight="1" x14ac:dyDescent="0.35">
      <c r="A496" s="25"/>
    </row>
    <row r="497" spans="1:1" ht="15.75" customHeight="1" x14ac:dyDescent="0.35">
      <c r="A497" s="25"/>
    </row>
    <row r="498" spans="1:1" ht="15.75" customHeight="1" x14ac:dyDescent="0.35">
      <c r="A498" s="25"/>
    </row>
    <row r="499" spans="1:1" ht="15.75" customHeight="1" x14ac:dyDescent="0.35">
      <c r="A499" s="25"/>
    </row>
    <row r="500" spans="1:1" ht="15.75" customHeight="1" x14ac:dyDescent="0.35">
      <c r="A500" s="25"/>
    </row>
    <row r="501" spans="1:1" ht="15.75" customHeight="1" x14ac:dyDescent="0.35">
      <c r="A501" s="25"/>
    </row>
    <row r="502" spans="1:1" ht="15.75" customHeight="1" x14ac:dyDescent="0.35">
      <c r="A502" s="25"/>
    </row>
    <row r="503" spans="1:1" ht="15.75" customHeight="1" x14ac:dyDescent="0.35">
      <c r="A503" s="25"/>
    </row>
    <row r="504" spans="1:1" ht="15.75" customHeight="1" x14ac:dyDescent="0.35">
      <c r="A504" s="25"/>
    </row>
    <row r="505" spans="1:1" ht="15.75" customHeight="1" x14ac:dyDescent="0.35">
      <c r="A505" s="25"/>
    </row>
    <row r="506" spans="1:1" ht="15.75" customHeight="1" x14ac:dyDescent="0.35">
      <c r="A506" s="25"/>
    </row>
    <row r="507" spans="1:1" ht="15.75" customHeight="1" x14ac:dyDescent="0.35">
      <c r="A507" s="25"/>
    </row>
    <row r="508" spans="1:1" ht="15.75" customHeight="1" x14ac:dyDescent="0.35">
      <c r="A508" s="25"/>
    </row>
    <row r="509" spans="1:1" ht="15.75" customHeight="1" x14ac:dyDescent="0.35">
      <c r="A509" s="25"/>
    </row>
    <row r="510" spans="1:1" ht="15.75" customHeight="1" x14ac:dyDescent="0.35">
      <c r="A510" s="25"/>
    </row>
    <row r="511" spans="1:1" ht="15.75" customHeight="1" x14ac:dyDescent="0.35">
      <c r="A511" s="25"/>
    </row>
    <row r="512" spans="1:1" ht="15.75" customHeight="1" x14ac:dyDescent="0.35">
      <c r="A512" s="25"/>
    </row>
    <row r="513" spans="1:1" ht="15.75" customHeight="1" x14ac:dyDescent="0.35">
      <c r="A513" s="25"/>
    </row>
    <row r="514" spans="1:1" ht="15.75" customHeight="1" x14ac:dyDescent="0.35">
      <c r="A514" s="25"/>
    </row>
    <row r="515" spans="1:1" ht="15.75" customHeight="1" x14ac:dyDescent="0.35">
      <c r="A515" s="25"/>
    </row>
    <row r="516" spans="1:1" ht="15.75" customHeight="1" x14ac:dyDescent="0.35">
      <c r="A516" s="25"/>
    </row>
    <row r="517" spans="1:1" ht="15.75" customHeight="1" x14ac:dyDescent="0.35">
      <c r="A517" s="25"/>
    </row>
    <row r="518" spans="1:1" ht="15.75" customHeight="1" x14ac:dyDescent="0.35">
      <c r="A518" s="25"/>
    </row>
    <row r="519" spans="1:1" ht="15.75" customHeight="1" x14ac:dyDescent="0.35">
      <c r="A519" s="25"/>
    </row>
    <row r="520" spans="1:1" ht="15.75" customHeight="1" x14ac:dyDescent="0.35">
      <c r="A520" s="25"/>
    </row>
    <row r="521" spans="1:1" ht="15.75" customHeight="1" x14ac:dyDescent="0.35">
      <c r="A521" s="25"/>
    </row>
    <row r="522" spans="1:1" ht="15.75" customHeight="1" x14ac:dyDescent="0.35">
      <c r="A522" s="25"/>
    </row>
    <row r="523" spans="1:1" ht="15.75" customHeight="1" x14ac:dyDescent="0.35">
      <c r="A523" s="25"/>
    </row>
    <row r="524" spans="1:1" ht="15.75" customHeight="1" x14ac:dyDescent="0.35">
      <c r="A524" s="25"/>
    </row>
    <row r="525" spans="1:1" ht="15.75" customHeight="1" x14ac:dyDescent="0.35">
      <c r="A525" s="25"/>
    </row>
    <row r="526" spans="1:1" ht="15.75" customHeight="1" x14ac:dyDescent="0.35">
      <c r="A526" s="25"/>
    </row>
    <row r="527" spans="1:1" ht="15.75" customHeight="1" x14ac:dyDescent="0.35">
      <c r="A527" s="25"/>
    </row>
    <row r="528" spans="1:1" ht="15.75" customHeight="1" x14ac:dyDescent="0.35">
      <c r="A528" s="25"/>
    </row>
    <row r="529" spans="1:1" ht="15.75" customHeight="1" x14ac:dyDescent="0.35">
      <c r="A529" s="25"/>
    </row>
    <row r="530" spans="1:1" ht="15.75" customHeight="1" x14ac:dyDescent="0.35">
      <c r="A530" s="25"/>
    </row>
    <row r="531" spans="1:1" ht="15.75" customHeight="1" x14ac:dyDescent="0.35">
      <c r="A531" s="25"/>
    </row>
    <row r="532" spans="1:1" ht="15.75" customHeight="1" x14ac:dyDescent="0.35">
      <c r="A532" s="25"/>
    </row>
    <row r="533" spans="1:1" ht="15.75" customHeight="1" x14ac:dyDescent="0.35">
      <c r="A533" s="25"/>
    </row>
    <row r="534" spans="1:1" ht="15.75" customHeight="1" x14ac:dyDescent="0.35">
      <c r="A534" s="25"/>
    </row>
    <row r="535" spans="1:1" ht="15.75" customHeight="1" x14ac:dyDescent="0.35">
      <c r="A535" s="25"/>
    </row>
    <row r="536" spans="1:1" ht="15.75" customHeight="1" x14ac:dyDescent="0.35">
      <c r="A536" s="25"/>
    </row>
    <row r="537" spans="1:1" ht="15.75" customHeight="1" x14ac:dyDescent="0.35">
      <c r="A537" s="25"/>
    </row>
    <row r="538" spans="1:1" ht="15.75" customHeight="1" x14ac:dyDescent="0.35">
      <c r="A538" s="25"/>
    </row>
    <row r="539" spans="1:1" ht="15.75" customHeight="1" x14ac:dyDescent="0.35">
      <c r="A539" s="25"/>
    </row>
    <row r="540" spans="1:1" ht="15.75" customHeight="1" x14ac:dyDescent="0.35">
      <c r="A540" s="25"/>
    </row>
    <row r="541" spans="1:1" ht="15.75" customHeight="1" x14ac:dyDescent="0.35">
      <c r="A541" s="25"/>
    </row>
    <row r="542" spans="1:1" ht="15.75" customHeight="1" x14ac:dyDescent="0.35">
      <c r="A542" s="25"/>
    </row>
    <row r="543" spans="1:1" ht="15.75" customHeight="1" x14ac:dyDescent="0.35">
      <c r="A543" s="25"/>
    </row>
    <row r="544" spans="1:1" ht="15.75" customHeight="1" x14ac:dyDescent="0.35">
      <c r="A544" s="25"/>
    </row>
    <row r="545" spans="1:1" ht="15.75" customHeight="1" x14ac:dyDescent="0.35">
      <c r="A545" s="25"/>
    </row>
    <row r="546" spans="1:1" ht="15.75" customHeight="1" x14ac:dyDescent="0.35">
      <c r="A546" s="25"/>
    </row>
    <row r="547" spans="1:1" ht="15.75" customHeight="1" x14ac:dyDescent="0.35">
      <c r="A547" s="25"/>
    </row>
    <row r="548" spans="1:1" ht="15.75" customHeight="1" x14ac:dyDescent="0.35">
      <c r="A548" s="25"/>
    </row>
    <row r="549" spans="1:1" ht="15.75" customHeight="1" x14ac:dyDescent="0.35">
      <c r="A549" s="25"/>
    </row>
    <row r="550" spans="1:1" ht="15.75" customHeight="1" x14ac:dyDescent="0.35">
      <c r="A550" s="25"/>
    </row>
    <row r="551" spans="1:1" ht="15.75" customHeight="1" x14ac:dyDescent="0.35">
      <c r="A551" s="25"/>
    </row>
    <row r="552" spans="1:1" ht="15.75" customHeight="1" x14ac:dyDescent="0.35">
      <c r="A552" s="25"/>
    </row>
    <row r="553" spans="1:1" ht="15.75" customHeight="1" x14ac:dyDescent="0.35">
      <c r="A553" s="25"/>
    </row>
    <row r="554" spans="1:1" ht="15.75" customHeight="1" x14ac:dyDescent="0.35">
      <c r="A554" s="25"/>
    </row>
    <row r="555" spans="1:1" ht="15.75" customHeight="1" x14ac:dyDescent="0.35">
      <c r="A555" s="25"/>
    </row>
    <row r="556" spans="1:1" ht="15.75" customHeight="1" x14ac:dyDescent="0.35">
      <c r="A556" s="25"/>
    </row>
    <row r="557" spans="1:1" ht="15.75" customHeight="1" x14ac:dyDescent="0.35">
      <c r="A557" s="25"/>
    </row>
    <row r="558" spans="1:1" ht="15.75" customHeight="1" x14ac:dyDescent="0.35">
      <c r="A558" s="25"/>
    </row>
    <row r="559" spans="1:1" ht="15.75" customHeight="1" x14ac:dyDescent="0.35">
      <c r="A559" s="25"/>
    </row>
    <row r="560" spans="1:1" ht="15.75" customHeight="1" x14ac:dyDescent="0.35">
      <c r="A560" s="25"/>
    </row>
    <row r="561" spans="1:1" ht="15.75" customHeight="1" x14ac:dyDescent="0.35">
      <c r="A561" s="25"/>
    </row>
    <row r="562" spans="1:1" ht="15.75" customHeight="1" x14ac:dyDescent="0.35">
      <c r="A562" s="25"/>
    </row>
    <row r="563" spans="1:1" ht="15.75" customHeight="1" x14ac:dyDescent="0.35">
      <c r="A563" s="25"/>
    </row>
    <row r="564" spans="1:1" ht="15.75" customHeight="1" x14ac:dyDescent="0.35">
      <c r="A564" s="25"/>
    </row>
    <row r="565" spans="1:1" ht="15.75" customHeight="1" x14ac:dyDescent="0.35">
      <c r="A565" s="25"/>
    </row>
    <row r="566" spans="1:1" ht="15.75" customHeight="1" x14ac:dyDescent="0.35">
      <c r="A566" s="25"/>
    </row>
    <row r="567" spans="1:1" ht="15.75" customHeight="1" x14ac:dyDescent="0.35">
      <c r="A567" s="25"/>
    </row>
    <row r="568" spans="1:1" ht="15.75" customHeight="1" x14ac:dyDescent="0.35">
      <c r="A568" s="25"/>
    </row>
    <row r="569" spans="1:1" ht="15.75" customHeight="1" x14ac:dyDescent="0.35">
      <c r="A569" s="25"/>
    </row>
    <row r="570" spans="1:1" ht="15.75" customHeight="1" x14ac:dyDescent="0.35">
      <c r="A570" s="25"/>
    </row>
    <row r="571" spans="1:1" ht="15.75" customHeight="1" x14ac:dyDescent="0.35">
      <c r="A571" s="25"/>
    </row>
    <row r="572" spans="1:1" ht="15.75" customHeight="1" x14ac:dyDescent="0.35">
      <c r="A572" s="25"/>
    </row>
    <row r="573" spans="1:1" ht="15.75" customHeight="1" x14ac:dyDescent="0.35">
      <c r="A573" s="25"/>
    </row>
    <row r="574" spans="1:1" ht="15.75" customHeight="1" x14ac:dyDescent="0.35">
      <c r="A574" s="25"/>
    </row>
    <row r="575" spans="1:1" ht="15.75" customHeight="1" x14ac:dyDescent="0.35">
      <c r="A575" s="25"/>
    </row>
    <row r="576" spans="1:1" ht="15.75" customHeight="1" x14ac:dyDescent="0.35">
      <c r="A576" s="25"/>
    </row>
    <row r="577" spans="1:1" ht="15.75" customHeight="1" x14ac:dyDescent="0.35">
      <c r="A577" s="25"/>
    </row>
    <row r="578" spans="1:1" ht="15.75" customHeight="1" x14ac:dyDescent="0.35">
      <c r="A578" s="25"/>
    </row>
    <row r="579" spans="1:1" ht="15.75" customHeight="1" x14ac:dyDescent="0.35">
      <c r="A579" s="25"/>
    </row>
    <row r="580" spans="1:1" ht="15.75" customHeight="1" x14ac:dyDescent="0.35">
      <c r="A580" s="25"/>
    </row>
    <row r="581" spans="1:1" ht="15.75" customHeight="1" x14ac:dyDescent="0.35">
      <c r="A581" s="25"/>
    </row>
    <row r="582" spans="1:1" ht="15.75" customHeight="1" x14ac:dyDescent="0.35">
      <c r="A582" s="25"/>
    </row>
    <row r="583" spans="1:1" ht="15.75" customHeight="1" x14ac:dyDescent="0.35">
      <c r="A583" s="25"/>
    </row>
    <row r="584" spans="1:1" ht="15.75" customHeight="1" x14ac:dyDescent="0.35">
      <c r="A584" s="25"/>
    </row>
    <row r="585" spans="1:1" ht="15.75" customHeight="1" x14ac:dyDescent="0.35">
      <c r="A585" s="25"/>
    </row>
    <row r="586" spans="1:1" ht="15.75" customHeight="1" x14ac:dyDescent="0.35">
      <c r="A586" s="25"/>
    </row>
    <row r="587" spans="1:1" ht="15.75" customHeight="1" x14ac:dyDescent="0.35">
      <c r="A587" s="25"/>
    </row>
    <row r="588" spans="1:1" ht="15.75" customHeight="1" x14ac:dyDescent="0.35">
      <c r="A588" s="25"/>
    </row>
    <row r="589" spans="1:1" ht="15.75" customHeight="1" x14ac:dyDescent="0.35">
      <c r="A589" s="25"/>
    </row>
    <row r="590" spans="1:1" ht="15.75" customHeight="1" x14ac:dyDescent="0.35">
      <c r="A590" s="25"/>
    </row>
    <row r="591" spans="1:1" ht="15.75" customHeight="1" x14ac:dyDescent="0.35">
      <c r="A591" s="25"/>
    </row>
    <row r="592" spans="1:1" ht="15.75" customHeight="1" x14ac:dyDescent="0.35">
      <c r="A592" s="25"/>
    </row>
    <row r="593" spans="1:1" ht="15.75" customHeight="1" x14ac:dyDescent="0.35">
      <c r="A593" s="25"/>
    </row>
    <row r="594" spans="1:1" ht="15.75" customHeight="1" x14ac:dyDescent="0.35">
      <c r="A594" s="25"/>
    </row>
    <row r="595" spans="1:1" ht="15.75" customHeight="1" x14ac:dyDescent="0.35">
      <c r="A595" s="25"/>
    </row>
    <row r="596" spans="1:1" ht="15.75" customHeight="1" x14ac:dyDescent="0.35">
      <c r="A596" s="25"/>
    </row>
    <row r="597" spans="1:1" ht="15.75" customHeight="1" x14ac:dyDescent="0.35">
      <c r="A597" s="25"/>
    </row>
    <row r="598" spans="1:1" ht="15.75" customHeight="1" x14ac:dyDescent="0.35">
      <c r="A598" s="25"/>
    </row>
    <row r="599" spans="1:1" ht="15.75" customHeight="1" x14ac:dyDescent="0.35">
      <c r="A599" s="25"/>
    </row>
    <row r="600" spans="1:1" ht="15.75" customHeight="1" x14ac:dyDescent="0.35">
      <c r="A600" s="25"/>
    </row>
    <row r="601" spans="1:1" ht="15.75" customHeight="1" x14ac:dyDescent="0.35">
      <c r="A601" s="25"/>
    </row>
    <row r="602" spans="1:1" ht="15.75" customHeight="1" x14ac:dyDescent="0.35">
      <c r="A602" s="25"/>
    </row>
    <row r="603" spans="1:1" ht="15.75" customHeight="1" x14ac:dyDescent="0.35">
      <c r="A603" s="25"/>
    </row>
    <row r="604" spans="1:1" ht="15.75" customHeight="1" x14ac:dyDescent="0.35">
      <c r="A604" s="25"/>
    </row>
    <row r="605" spans="1:1" ht="15.75" customHeight="1" x14ac:dyDescent="0.35">
      <c r="A605" s="25"/>
    </row>
    <row r="606" spans="1:1" ht="15.75" customHeight="1" x14ac:dyDescent="0.35">
      <c r="A606" s="25"/>
    </row>
    <row r="607" spans="1:1" ht="15.75" customHeight="1" x14ac:dyDescent="0.35">
      <c r="A607" s="25"/>
    </row>
    <row r="608" spans="1:1" ht="15.75" customHeight="1" x14ac:dyDescent="0.35">
      <c r="A608" s="25"/>
    </row>
    <row r="609" spans="1:1" ht="15.75" customHeight="1" x14ac:dyDescent="0.35">
      <c r="A609" s="25"/>
    </row>
    <row r="610" spans="1:1" ht="15.75" customHeight="1" x14ac:dyDescent="0.35">
      <c r="A610" s="25"/>
    </row>
    <row r="611" spans="1:1" ht="15.75" customHeight="1" x14ac:dyDescent="0.35">
      <c r="A611" s="25"/>
    </row>
    <row r="612" spans="1:1" ht="15.75" customHeight="1" x14ac:dyDescent="0.35">
      <c r="A612" s="25"/>
    </row>
    <row r="613" spans="1:1" ht="15.75" customHeight="1" x14ac:dyDescent="0.35">
      <c r="A613" s="25"/>
    </row>
    <row r="614" spans="1:1" ht="15.75" customHeight="1" x14ac:dyDescent="0.35">
      <c r="A614" s="25"/>
    </row>
    <row r="615" spans="1:1" ht="15.75" customHeight="1" x14ac:dyDescent="0.35">
      <c r="A615" s="25"/>
    </row>
    <row r="616" spans="1:1" ht="15.75" customHeight="1" x14ac:dyDescent="0.35">
      <c r="A616" s="25"/>
    </row>
    <row r="617" spans="1:1" ht="15.75" customHeight="1" x14ac:dyDescent="0.35">
      <c r="A617" s="25"/>
    </row>
    <row r="618" spans="1:1" ht="15.75" customHeight="1" x14ac:dyDescent="0.35">
      <c r="A618" s="25"/>
    </row>
    <row r="619" spans="1:1" ht="15.75" customHeight="1" x14ac:dyDescent="0.35">
      <c r="A619" s="25"/>
    </row>
    <row r="620" spans="1:1" ht="15.75" customHeight="1" x14ac:dyDescent="0.35">
      <c r="A620" s="25"/>
    </row>
    <row r="621" spans="1:1" ht="15.75" customHeight="1" x14ac:dyDescent="0.35">
      <c r="A621" s="25"/>
    </row>
    <row r="622" spans="1:1" ht="15.75" customHeight="1" x14ac:dyDescent="0.35">
      <c r="A622" s="25"/>
    </row>
    <row r="623" spans="1:1" ht="15.75" customHeight="1" x14ac:dyDescent="0.35">
      <c r="A623" s="25"/>
    </row>
    <row r="624" spans="1:1" ht="15.75" customHeight="1" x14ac:dyDescent="0.35">
      <c r="A624" s="25"/>
    </row>
    <row r="625" spans="1:1" ht="15.75" customHeight="1" x14ac:dyDescent="0.35">
      <c r="A625" s="25"/>
    </row>
    <row r="626" spans="1:1" ht="15.75" customHeight="1" x14ac:dyDescent="0.35">
      <c r="A626" s="25"/>
    </row>
    <row r="627" spans="1:1" ht="15.75" customHeight="1" x14ac:dyDescent="0.35">
      <c r="A627" s="25"/>
    </row>
    <row r="628" spans="1:1" ht="15.75" customHeight="1" x14ac:dyDescent="0.35">
      <c r="A628" s="25"/>
    </row>
    <row r="629" spans="1:1" ht="15.75" customHeight="1" x14ac:dyDescent="0.35">
      <c r="A629" s="25"/>
    </row>
    <row r="630" spans="1:1" ht="15.75" customHeight="1" x14ac:dyDescent="0.35">
      <c r="A630" s="25"/>
    </row>
    <row r="631" spans="1:1" ht="15.75" customHeight="1" x14ac:dyDescent="0.35">
      <c r="A631" s="25"/>
    </row>
    <row r="632" spans="1:1" ht="15.75" customHeight="1" x14ac:dyDescent="0.35">
      <c r="A632" s="25"/>
    </row>
    <row r="633" spans="1:1" ht="15.75" customHeight="1" x14ac:dyDescent="0.35">
      <c r="A633" s="25"/>
    </row>
    <row r="634" spans="1:1" ht="15.75" customHeight="1" x14ac:dyDescent="0.35">
      <c r="A634" s="25"/>
    </row>
    <row r="635" spans="1:1" ht="15.75" customHeight="1" x14ac:dyDescent="0.35">
      <c r="A635" s="25"/>
    </row>
    <row r="636" spans="1:1" ht="15.75" customHeight="1" x14ac:dyDescent="0.35">
      <c r="A636" s="25"/>
    </row>
    <row r="637" spans="1:1" ht="15.75" customHeight="1" x14ac:dyDescent="0.35">
      <c r="A637" s="25"/>
    </row>
    <row r="638" spans="1:1" ht="15.75" customHeight="1" x14ac:dyDescent="0.35">
      <c r="A638" s="25"/>
    </row>
    <row r="639" spans="1:1" ht="15.75" customHeight="1" x14ac:dyDescent="0.35">
      <c r="A639" s="25"/>
    </row>
    <row r="640" spans="1:1" ht="15.75" customHeight="1" x14ac:dyDescent="0.35">
      <c r="A640" s="25"/>
    </row>
    <row r="641" spans="1:1" ht="15.75" customHeight="1" x14ac:dyDescent="0.35">
      <c r="A641" s="25"/>
    </row>
    <row r="642" spans="1:1" ht="15.75" customHeight="1" x14ac:dyDescent="0.35">
      <c r="A642" s="25"/>
    </row>
    <row r="643" spans="1:1" ht="15.75" customHeight="1" x14ac:dyDescent="0.35">
      <c r="A643" s="25"/>
    </row>
    <row r="644" spans="1:1" ht="15.75" customHeight="1" x14ac:dyDescent="0.35">
      <c r="A644" s="25"/>
    </row>
    <row r="645" spans="1:1" ht="15.75" customHeight="1" x14ac:dyDescent="0.35">
      <c r="A645" s="25"/>
    </row>
    <row r="646" spans="1:1" ht="15.75" customHeight="1" x14ac:dyDescent="0.35">
      <c r="A646" s="25"/>
    </row>
    <row r="647" spans="1:1" ht="15.75" customHeight="1" x14ac:dyDescent="0.35">
      <c r="A647" s="25"/>
    </row>
    <row r="648" spans="1:1" ht="15.75" customHeight="1" x14ac:dyDescent="0.35">
      <c r="A648" s="25"/>
    </row>
    <row r="649" spans="1:1" ht="15.75" customHeight="1" x14ac:dyDescent="0.35">
      <c r="A649" s="25"/>
    </row>
    <row r="650" spans="1:1" ht="15.75" customHeight="1" x14ac:dyDescent="0.35">
      <c r="A650" s="25"/>
    </row>
    <row r="651" spans="1:1" ht="15.75" customHeight="1" x14ac:dyDescent="0.35">
      <c r="A651" s="25"/>
    </row>
    <row r="652" spans="1:1" ht="15.75" customHeight="1" x14ac:dyDescent="0.35">
      <c r="A652" s="25"/>
    </row>
    <row r="653" spans="1:1" ht="15.75" customHeight="1" x14ac:dyDescent="0.35">
      <c r="A653" s="25"/>
    </row>
    <row r="654" spans="1:1" ht="15.75" customHeight="1" x14ac:dyDescent="0.35">
      <c r="A654" s="25"/>
    </row>
    <row r="655" spans="1:1" ht="15.75" customHeight="1" x14ac:dyDescent="0.35">
      <c r="A655" s="25"/>
    </row>
    <row r="656" spans="1:1" ht="15.75" customHeight="1" x14ac:dyDescent="0.35">
      <c r="A656" s="25"/>
    </row>
    <row r="657" spans="1:1" ht="15.75" customHeight="1" x14ac:dyDescent="0.35">
      <c r="A657" s="25"/>
    </row>
    <row r="658" spans="1:1" ht="15.75" customHeight="1" x14ac:dyDescent="0.35">
      <c r="A658" s="25"/>
    </row>
    <row r="659" spans="1:1" ht="15.75" customHeight="1" x14ac:dyDescent="0.35">
      <c r="A659" s="25"/>
    </row>
    <row r="660" spans="1:1" ht="15.75" customHeight="1" x14ac:dyDescent="0.35">
      <c r="A660" s="25"/>
    </row>
    <row r="661" spans="1:1" ht="15.75" customHeight="1" x14ac:dyDescent="0.35">
      <c r="A661" s="25"/>
    </row>
    <row r="662" spans="1:1" ht="15.75" customHeight="1" x14ac:dyDescent="0.35">
      <c r="A662" s="25"/>
    </row>
    <row r="663" spans="1:1" ht="15.75" customHeight="1" x14ac:dyDescent="0.35">
      <c r="A663" s="25"/>
    </row>
    <row r="664" spans="1:1" ht="15.75" customHeight="1" x14ac:dyDescent="0.35">
      <c r="A664" s="25"/>
    </row>
    <row r="665" spans="1:1" ht="15.75" customHeight="1" x14ac:dyDescent="0.35">
      <c r="A665" s="25"/>
    </row>
    <row r="666" spans="1:1" ht="15.75" customHeight="1" x14ac:dyDescent="0.35">
      <c r="A666" s="25"/>
    </row>
    <row r="667" spans="1:1" ht="15.75" customHeight="1" x14ac:dyDescent="0.35">
      <c r="A667" s="25"/>
    </row>
    <row r="668" spans="1:1" ht="15.75" customHeight="1" x14ac:dyDescent="0.35">
      <c r="A668" s="25"/>
    </row>
    <row r="669" spans="1:1" ht="15.75" customHeight="1" x14ac:dyDescent="0.35">
      <c r="A669" s="25"/>
    </row>
    <row r="670" spans="1:1" ht="15.75" customHeight="1" x14ac:dyDescent="0.35">
      <c r="A670" s="25"/>
    </row>
    <row r="671" spans="1:1" ht="15.75" customHeight="1" x14ac:dyDescent="0.35">
      <c r="A671" s="25"/>
    </row>
    <row r="672" spans="1:1" ht="15.75" customHeight="1" x14ac:dyDescent="0.35">
      <c r="A672" s="25"/>
    </row>
    <row r="673" spans="1:1" ht="15.75" customHeight="1" x14ac:dyDescent="0.35">
      <c r="A673" s="25"/>
    </row>
    <row r="674" spans="1:1" ht="15.75" customHeight="1" x14ac:dyDescent="0.35">
      <c r="A674" s="25"/>
    </row>
    <row r="675" spans="1:1" ht="15.75" customHeight="1" x14ac:dyDescent="0.35">
      <c r="A675" s="25"/>
    </row>
    <row r="676" spans="1:1" ht="15.75" customHeight="1" x14ac:dyDescent="0.35">
      <c r="A676" s="25"/>
    </row>
    <row r="677" spans="1:1" ht="15.75" customHeight="1" x14ac:dyDescent="0.35">
      <c r="A677" s="25"/>
    </row>
    <row r="678" spans="1:1" ht="15.75" customHeight="1" x14ac:dyDescent="0.35">
      <c r="A678" s="25"/>
    </row>
    <row r="679" spans="1:1" ht="15.75" customHeight="1" x14ac:dyDescent="0.35">
      <c r="A679" s="25"/>
    </row>
    <row r="680" spans="1:1" ht="15.75" customHeight="1" x14ac:dyDescent="0.35">
      <c r="A680" s="25"/>
    </row>
    <row r="681" spans="1:1" ht="15.75" customHeight="1" x14ac:dyDescent="0.35">
      <c r="A681" s="25"/>
    </row>
    <row r="682" spans="1:1" ht="15.75" customHeight="1" x14ac:dyDescent="0.35">
      <c r="A682" s="25"/>
    </row>
    <row r="683" spans="1:1" ht="15.75" customHeight="1" x14ac:dyDescent="0.35">
      <c r="A683" s="25"/>
    </row>
    <row r="684" spans="1:1" ht="15.75" customHeight="1" x14ac:dyDescent="0.35">
      <c r="A684" s="25"/>
    </row>
    <row r="685" spans="1:1" ht="15.75" customHeight="1" x14ac:dyDescent="0.35">
      <c r="A685" s="25"/>
    </row>
    <row r="686" spans="1:1" ht="15.75" customHeight="1" x14ac:dyDescent="0.35">
      <c r="A686" s="25"/>
    </row>
    <row r="687" spans="1:1" ht="15.75" customHeight="1" x14ac:dyDescent="0.35">
      <c r="A687" s="25"/>
    </row>
    <row r="688" spans="1:1" ht="15.75" customHeight="1" x14ac:dyDescent="0.35">
      <c r="A688" s="25"/>
    </row>
    <row r="689" spans="1:1" ht="15.75" customHeight="1" x14ac:dyDescent="0.35">
      <c r="A689" s="25"/>
    </row>
    <row r="690" spans="1:1" ht="15.75" customHeight="1" x14ac:dyDescent="0.35">
      <c r="A690" s="25"/>
    </row>
    <row r="691" spans="1:1" ht="15.75" customHeight="1" x14ac:dyDescent="0.35">
      <c r="A691" s="25"/>
    </row>
    <row r="692" spans="1:1" ht="15.75" customHeight="1" x14ac:dyDescent="0.35">
      <c r="A692" s="25"/>
    </row>
    <row r="693" spans="1:1" ht="15.75" customHeight="1" x14ac:dyDescent="0.35">
      <c r="A693" s="25"/>
    </row>
    <row r="694" spans="1:1" ht="15.75" customHeight="1" x14ac:dyDescent="0.35">
      <c r="A694" s="25"/>
    </row>
    <row r="695" spans="1:1" ht="15.75" customHeight="1" x14ac:dyDescent="0.35">
      <c r="A695" s="25"/>
    </row>
    <row r="696" spans="1:1" ht="15.75" customHeight="1" x14ac:dyDescent="0.35">
      <c r="A696" s="25"/>
    </row>
    <row r="697" spans="1:1" ht="15.75" customHeight="1" x14ac:dyDescent="0.35">
      <c r="A697" s="25"/>
    </row>
    <row r="698" spans="1:1" ht="15.75" customHeight="1" x14ac:dyDescent="0.35">
      <c r="A698" s="25"/>
    </row>
    <row r="699" spans="1:1" ht="15.75" customHeight="1" x14ac:dyDescent="0.35">
      <c r="A699" s="25"/>
    </row>
    <row r="700" spans="1:1" ht="15.75" customHeight="1" x14ac:dyDescent="0.35">
      <c r="A700" s="25"/>
    </row>
    <row r="701" spans="1:1" ht="15.75" customHeight="1" x14ac:dyDescent="0.35">
      <c r="A701" s="25"/>
    </row>
    <row r="702" spans="1:1" ht="15.75" customHeight="1" x14ac:dyDescent="0.35">
      <c r="A702" s="25"/>
    </row>
    <row r="703" spans="1:1" ht="15.75" customHeight="1" x14ac:dyDescent="0.35">
      <c r="A703" s="25"/>
    </row>
    <row r="704" spans="1:1" ht="15.75" customHeight="1" x14ac:dyDescent="0.35">
      <c r="A704" s="25"/>
    </row>
    <row r="705" spans="1:1" ht="15.75" customHeight="1" x14ac:dyDescent="0.35">
      <c r="A705" s="25"/>
    </row>
    <row r="706" spans="1:1" ht="15.75" customHeight="1" x14ac:dyDescent="0.35">
      <c r="A706" s="25"/>
    </row>
    <row r="707" spans="1:1" ht="15.75" customHeight="1" x14ac:dyDescent="0.35">
      <c r="A707" s="25"/>
    </row>
    <row r="708" spans="1:1" ht="15.75" customHeight="1" x14ac:dyDescent="0.35">
      <c r="A708" s="25"/>
    </row>
    <row r="709" spans="1:1" ht="15.75" customHeight="1" x14ac:dyDescent="0.35">
      <c r="A709" s="25"/>
    </row>
    <row r="710" spans="1:1" ht="15.75" customHeight="1" x14ac:dyDescent="0.35">
      <c r="A710" s="25"/>
    </row>
    <row r="711" spans="1:1" ht="15.75" customHeight="1" x14ac:dyDescent="0.35">
      <c r="A711" s="25"/>
    </row>
    <row r="712" spans="1:1" ht="15.75" customHeight="1" x14ac:dyDescent="0.35">
      <c r="A712" s="25"/>
    </row>
    <row r="713" spans="1:1" ht="15.75" customHeight="1" x14ac:dyDescent="0.35">
      <c r="A713" s="25"/>
    </row>
    <row r="714" spans="1:1" ht="15.75" customHeight="1" x14ac:dyDescent="0.35">
      <c r="A714" s="25"/>
    </row>
    <row r="715" spans="1:1" ht="15.75" customHeight="1" x14ac:dyDescent="0.35">
      <c r="A715" s="25"/>
    </row>
    <row r="716" spans="1:1" ht="15.75" customHeight="1" x14ac:dyDescent="0.35">
      <c r="A716" s="25"/>
    </row>
    <row r="717" spans="1:1" ht="15.75" customHeight="1" x14ac:dyDescent="0.35">
      <c r="A717" s="25"/>
    </row>
    <row r="718" spans="1:1" ht="15.75" customHeight="1" x14ac:dyDescent="0.35">
      <c r="A718" s="25"/>
    </row>
    <row r="719" spans="1:1" ht="15.75" customHeight="1" x14ac:dyDescent="0.35">
      <c r="A719" s="25"/>
    </row>
    <row r="720" spans="1:1" ht="15.75" customHeight="1" x14ac:dyDescent="0.35">
      <c r="A720" s="25"/>
    </row>
    <row r="721" spans="1:1" ht="15.75" customHeight="1" x14ac:dyDescent="0.35">
      <c r="A721" s="25"/>
    </row>
    <row r="722" spans="1:1" ht="15.75" customHeight="1" x14ac:dyDescent="0.35">
      <c r="A722" s="25"/>
    </row>
    <row r="723" spans="1:1" ht="15.75" customHeight="1" x14ac:dyDescent="0.35">
      <c r="A723" s="25"/>
    </row>
    <row r="724" spans="1:1" ht="15.75" customHeight="1" x14ac:dyDescent="0.35">
      <c r="A724" s="25"/>
    </row>
    <row r="725" spans="1:1" ht="15.75" customHeight="1" x14ac:dyDescent="0.35">
      <c r="A725" s="25"/>
    </row>
    <row r="726" spans="1:1" ht="15.75" customHeight="1" x14ac:dyDescent="0.35">
      <c r="A726" s="25"/>
    </row>
    <row r="727" spans="1:1" ht="15.75" customHeight="1" x14ac:dyDescent="0.35">
      <c r="A727" s="25"/>
    </row>
    <row r="728" spans="1:1" ht="15.75" customHeight="1" x14ac:dyDescent="0.35">
      <c r="A728" s="25"/>
    </row>
    <row r="729" spans="1:1" ht="15.75" customHeight="1" x14ac:dyDescent="0.35">
      <c r="A729" s="25"/>
    </row>
    <row r="730" spans="1:1" ht="15.75" customHeight="1" x14ac:dyDescent="0.35">
      <c r="A730" s="25"/>
    </row>
    <row r="731" spans="1:1" ht="15.75" customHeight="1" x14ac:dyDescent="0.35">
      <c r="A731" s="25"/>
    </row>
    <row r="732" spans="1:1" ht="15.75" customHeight="1" x14ac:dyDescent="0.35">
      <c r="A732" s="25"/>
    </row>
    <row r="733" spans="1:1" ht="15.75" customHeight="1" x14ac:dyDescent="0.35">
      <c r="A733" s="25"/>
    </row>
    <row r="734" spans="1:1" ht="15.75" customHeight="1" x14ac:dyDescent="0.35">
      <c r="A734" s="25"/>
    </row>
    <row r="735" spans="1:1" ht="15.75" customHeight="1" x14ac:dyDescent="0.35">
      <c r="A735" s="25"/>
    </row>
    <row r="736" spans="1:1" ht="15.75" customHeight="1" x14ac:dyDescent="0.35">
      <c r="A736" s="25"/>
    </row>
    <row r="737" spans="1:1" ht="15.75" customHeight="1" x14ac:dyDescent="0.35">
      <c r="A737" s="25"/>
    </row>
    <row r="738" spans="1:1" ht="15.75" customHeight="1" x14ac:dyDescent="0.35">
      <c r="A738" s="25"/>
    </row>
    <row r="739" spans="1:1" ht="15.75" customHeight="1" x14ac:dyDescent="0.35">
      <c r="A739" s="25"/>
    </row>
    <row r="740" spans="1:1" ht="15.75" customHeight="1" x14ac:dyDescent="0.35">
      <c r="A740" s="25"/>
    </row>
    <row r="741" spans="1:1" ht="15.75" customHeight="1" x14ac:dyDescent="0.35">
      <c r="A741" s="25"/>
    </row>
    <row r="742" spans="1:1" ht="15.75" customHeight="1" x14ac:dyDescent="0.35">
      <c r="A742" s="25"/>
    </row>
    <row r="743" spans="1:1" ht="15.75" customHeight="1" x14ac:dyDescent="0.35">
      <c r="A743" s="25"/>
    </row>
    <row r="744" spans="1:1" ht="15.75" customHeight="1" x14ac:dyDescent="0.35">
      <c r="A744" s="25"/>
    </row>
    <row r="745" spans="1:1" ht="15.75" customHeight="1" x14ac:dyDescent="0.35">
      <c r="A745" s="25"/>
    </row>
    <row r="746" spans="1:1" ht="15.75" customHeight="1" x14ac:dyDescent="0.35">
      <c r="A746" s="25"/>
    </row>
    <row r="747" spans="1:1" ht="15.75" customHeight="1" x14ac:dyDescent="0.35">
      <c r="A747" s="25"/>
    </row>
    <row r="748" spans="1:1" ht="15.75" customHeight="1" x14ac:dyDescent="0.35">
      <c r="A748" s="25"/>
    </row>
    <row r="749" spans="1:1" ht="15.75" customHeight="1" x14ac:dyDescent="0.35">
      <c r="A749" s="25"/>
    </row>
    <row r="750" spans="1:1" ht="15.75" customHeight="1" x14ac:dyDescent="0.35">
      <c r="A750" s="25"/>
    </row>
    <row r="751" spans="1:1" ht="15.75" customHeight="1" x14ac:dyDescent="0.35">
      <c r="A751" s="25"/>
    </row>
    <row r="752" spans="1:1" ht="15.75" customHeight="1" x14ac:dyDescent="0.35">
      <c r="A752" s="25"/>
    </row>
    <row r="753" spans="1:1" ht="15.75" customHeight="1" x14ac:dyDescent="0.35">
      <c r="A753" s="25"/>
    </row>
    <row r="754" spans="1:1" ht="15.75" customHeight="1" x14ac:dyDescent="0.35">
      <c r="A754" s="25"/>
    </row>
    <row r="755" spans="1:1" ht="15.75" customHeight="1" x14ac:dyDescent="0.35">
      <c r="A755" s="25"/>
    </row>
    <row r="756" spans="1:1" ht="15.75" customHeight="1" x14ac:dyDescent="0.35">
      <c r="A756" s="25"/>
    </row>
    <row r="757" spans="1:1" ht="15.75" customHeight="1" x14ac:dyDescent="0.35">
      <c r="A757" s="25"/>
    </row>
    <row r="758" spans="1:1" ht="15.75" customHeight="1" x14ac:dyDescent="0.35">
      <c r="A758" s="25"/>
    </row>
    <row r="759" spans="1:1" ht="15.75" customHeight="1" x14ac:dyDescent="0.35">
      <c r="A759" s="25"/>
    </row>
    <row r="760" spans="1:1" ht="15.75" customHeight="1" x14ac:dyDescent="0.35">
      <c r="A760" s="25"/>
    </row>
    <row r="761" spans="1:1" ht="15.75" customHeight="1" x14ac:dyDescent="0.35">
      <c r="A761" s="25"/>
    </row>
    <row r="762" spans="1:1" ht="15.75" customHeight="1" x14ac:dyDescent="0.35">
      <c r="A762" s="25"/>
    </row>
    <row r="763" spans="1:1" ht="15.75" customHeight="1" x14ac:dyDescent="0.35">
      <c r="A763" s="25"/>
    </row>
    <row r="764" spans="1:1" ht="15.75" customHeight="1" x14ac:dyDescent="0.35">
      <c r="A764" s="25"/>
    </row>
    <row r="765" spans="1:1" ht="15.75" customHeight="1" x14ac:dyDescent="0.35">
      <c r="A765" s="25"/>
    </row>
    <row r="766" spans="1:1" ht="15.75" customHeight="1" x14ac:dyDescent="0.35">
      <c r="A766" s="25"/>
    </row>
    <row r="767" spans="1:1" ht="15.75" customHeight="1" x14ac:dyDescent="0.35">
      <c r="A767" s="25"/>
    </row>
    <row r="768" spans="1:1" ht="15.75" customHeight="1" x14ac:dyDescent="0.35">
      <c r="A768" s="25"/>
    </row>
    <row r="769" spans="1:1" ht="15.75" customHeight="1" x14ac:dyDescent="0.35">
      <c r="A769" s="25"/>
    </row>
    <row r="770" spans="1:1" ht="15.75" customHeight="1" x14ac:dyDescent="0.35">
      <c r="A770" s="25"/>
    </row>
    <row r="771" spans="1:1" ht="15.75" customHeight="1" x14ac:dyDescent="0.35">
      <c r="A771" s="25"/>
    </row>
    <row r="772" spans="1:1" ht="15.75" customHeight="1" x14ac:dyDescent="0.35">
      <c r="A772" s="25"/>
    </row>
    <row r="773" spans="1:1" ht="15.75" customHeight="1" x14ac:dyDescent="0.35">
      <c r="A773" s="25"/>
    </row>
    <row r="774" spans="1:1" ht="15.75" customHeight="1" x14ac:dyDescent="0.35">
      <c r="A774" s="25"/>
    </row>
    <row r="775" spans="1:1" ht="15.75" customHeight="1" x14ac:dyDescent="0.35">
      <c r="A775" s="25"/>
    </row>
    <row r="776" spans="1:1" ht="15.75" customHeight="1" x14ac:dyDescent="0.35">
      <c r="A776" s="25"/>
    </row>
    <row r="777" spans="1:1" ht="15.75" customHeight="1" x14ac:dyDescent="0.35">
      <c r="A777" s="25"/>
    </row>
    <row r="778" spans="1:1" ht="15.75" customHeight="1" x14ac:dyDescent="0.35">
      <c r="A778" s="25"/>
    </row>
    <row r="779" spans="1:1" ht="15.75" customHeight="1" x14ac:dyDescent="0.35">
      <c r="A779" s="25"/>
    </row>
    <row r="780" spans="1:1" ht="15.75" customHeight="1" x14ac:dyDescent="0.35">
      <c r="A780" s="25"/>
    </row>
    <row r="781" spans="1:1" ht="15.75" customHeight="1" x14ac:dyDescent="0.35">
      <c r="A781" s="25"/>
    </row>
    <row r="782" spans="1:1" ht="15.75" customHeight="1" x14ac:dyDescent="0.35">
      <c r="A782" s="25"/>
    </row>
    <row r="783" spans="1:1" ht="15.75" customHeight="1" x14ac:dyDescent="0.35">
      <c r="A783" s="25"/>
    </row>
    <row r="784" spans="1:1" ht="15.75" customHeight="1" x14ac:dyDescent="0.35">
      <c r="A784" s="25"/>
    </row>
    <row r="785" spans="1:1" ht="15.75" customHeight="1" x14ac:dyDescent="0.35">
      <c r="A785" s="25"/>
    </row>
    <row r="786" spans="1:1" ht="15.75" customHeight="1" x14ac:dyDescent="0.35">
      <c r="A786" s="25"/>
    </row>
    <row r="787" spans="1:1" ht="15.75" customHeight="1" x14ac:dyDescent="0.35">
      <c r="A787" s="25"/>
    </row>
    <row r="788" spans="1:1" ht="15.75" customHeight="1" x14ac:dyDescent="0.35">
      <c r="A788" s="25"/>
    </row>
    <row r="789" spans="1:1" ht="15.75" customHeight="1" x14ac:dyDescent="0.35">
      <c r="A789" s="25"/>
    </row>
    <row r="790" spans="1:1" ht="15.75" customHeight="1" x14ac:dyDescent="0.35">
      <c r="A790" s="25"/>
    </row>
    <row r="791" spans="1:1" ht="15.75" customHeight="1" x14ac:dyDescent="0.35">
      <c r="A791" s="25"/>
    </row>
    <row r="792" spans="1:1" ht="15.75" customHeight="1" x14ac:dyDescent="0.35">
      <c r="A792" s="25"/>
    </row>
    <row r="793" spans="1:1" ht="15.75" customHeight="1" x14ac:dyDescent="0.35">
      <c r="A793" s="25"/>
    </row>
    <row r="794" spans="1:1" ht="15.75" customHeight="1" x14ac:dyDescent="0.35">
      <c r="A794" s="25"/>
    </row>
    <row r="795" spans="1:1" ht="15.75" customHeight="1" x14ac:dyDescent="0.35">
      <c r="A795" s="25"/>
    </row>
    <row r="796" spans="1:1" ht="15.75" customHeight="1" x14ac:dyDescent="0.35">
      <c r="A796" s="25"/>
    </row>
    <row r="797" spans="1:1" ht="15.75" customHeight="1" x14ac:dyDescent="0.35">
      <c r="A797" s="25"/>
    </row>
    <row r="798" spans="1:1" ht="15.75" customHeight="1" x14ac:dyDescent="0.35">
      <c r="A798" s="25"/>
    </row>
    <row r="799" spans="1:1" ht="15.75" customHeight="1" x14ac:dyDescent="0.35">
      <c r="A799" s="25"/>
    </row>
    <row r="800" spans="1:1" ht="15.75" customHeight="1" x14ac:dyDescent="0.35">
      <c r="A800" s="25"/>
    </row>
    <row r="801" spans="1:1" ht="15.75" customHeight="1" x14ac:dyDescent="0.35">
      <c r="A801" s="25"/>
    </row>
    <row r="802" spans="1:1" ht="15.75" customHeight="1" x14ac:dyDescent="0.35">
      <c r="A802" s="25"/>
    </row>
    <row r="803" spans="1:1" ht="15.75" customHeight="1" x14ac:dyDescent="0.35">
      <c r="A803" s="25"/>
    </row>
    <row r="804" spans="1:1" ht="15.75" customHeight="1" x14ac:dyDescent="0.35">
      <c r="A804" s="25"/>
    </row>
    <row r="805" spans="1:1" ht="15.75" customHeight="1" x14ac:dyDescent="0.35">
      <c r="A805" s="25"/>
    </row>
    <row r="806" spans="1:1" ht="15.75" customHeight="1" x14ac:dyDescent="0.35">
      <c r="A806" s="25"/>
    </row>
    <row r="807" spans="1:1" ht="15.75" customHeight="1" x14ac:dyDescent="0.35">
      <c r="A807" s="25"/>
    </row>
    <row r="808" spans="1:1" ht="15.75" customHeight="1" x14ac:dyDescent="0.35">
      <c r="A808" s="25"/>
    </row>
    <row r="809" spans="1:1" ht="15.75" customHeight="1" x14ac:dyDescent="0.35">
      <c r="A809" s="25"/>
    </row>
    <row r="810" spans="1:1" ht="15.75" customHeight="1" x14ac:dyDescent="0.35">
      <c r="A810" s="25"/>
    </row>
    <row r="811" spans="1:1" ht="15.75" customHeight="1" x14ac:dyDescent="0.35">
      <c r="A811" s="25"/>
    </row>
    <row r="812" spans="1:1" ht="15.75" customHeight="1" x14ac:dyDescent="0.35">
      <c r="A812" s="25"/>
    </row>
    <row r="813" spans="1:1" ht="15.75" customHeight="1" x14ac:dyDescent="0.35">
      <c r="A813" s="25"/>
    </row>
    <row r="814" spans="1:1" ht="15.75" customHeight="1" x14ac:dyDescent="0.35">
      <c r="A814" s="25"/>
    </row>
    <row r="815" spans="1:1" ht="15.75" customHeight="1" x14ac:dyDescent="0.35">
      <c r="A815" s="25"/>
    </row>
    <row r="816" spans="1:1" ht="15.75" customHeight="1" x14ac:dyDescent="0.35">
      <c r="A816" s="25"/>
    </row>
    <row r="817" spans="1:1" ht="15.75" customHeight="1" x14ac:dyDescent="0.35">
      <c r="A817" s="25"/>
    </row>
    <row r="818" spans="1:1" ht="15.75" customHeight="1" x14ac:dyDescent="0.35">
      <c r="A818" s="25"/>
    </row>
    <row r="819" spans="1:1" ht="15.75" customHeight="1" x14ac:dyDescent="0.35">
      <c r="A819" s="25"/>
    </row>
    <row r="820" spans="1:1" ht="15.75" customHeight="1" x14ac:dyDescent="0.35">
      <c r="A820" s="25"/>
    </row>
    <row r="821" spans="1:1" ht="15.75" customHeight="1" x14ac:dyDescent="0.35">
      <c r="A821" s="25"/>
    </row>
    <row r="822" spans="1:1" ht="15.75" customHeight="1" x14ac:dyDescent="0.35">
      <c r="A822" s="25"/>
    </row>
    <row r="823" spans="1:1" ht="15.75" customHeight="1" x14ac:dyDescent="0.35">
      <c r="A823" s="25"/>
    </row>
    <row r="824" spans="1:1" ht="15.75" customHeight="1" x14ac:dyDescent="0.35">
      <c r="A824" s="25"/>
    </row>
    <row r="825" spans="1:1" ht="15.75" customHeight="1" x14ac:dyDescent="0.35">
      <c r="A825" s="25"/>
    </row>
    <row r="826" spans="1:1" ht="15.75" customHeight="1" x14ac:dyDescent="0.35">
      <c r="A826" s="25"/>
    </row>
    <row r="827" spans="1:1" ht="15.75" customHeight="1" x14ac:dyDescent="0.35">
      <c r="A827" s="25"/>
    </row>
    <row r="828" spans="1:1" ht="15.75" customHeight="1" x14ac:dyDescent="0.35">
      <c r="A828" s="25"/>
    </row>
    <row r="829" spans="1:1" ht="15.75" customHeight="1" x14ac:dyDescent="0.35">
      <c r="A829" s="25"/>
    </row>
    <row r="830" spans="1:1" ht="15.75" customHeight="1" x14ac:dyDescent="0.35">
      <c r="A830" s="25"/>
    </row>
    <row r="831" spans="1:1" ht="15.75" customHeight="1" x14ac:dyDescent="0.35">
      <c r="A831" s="25"/>
    </row>
    <row r="832" spans="1:1" ht="15.75" customHeight="1" x14ac:dyDescent="0.35">
      <c r="A832" s="25"/>
    </row>
    <row r="833" spans="1:1" ht="15.75" customHeight="1" x14ac:dyDescent="0.35">
      <c r="A833" s="25"/>
    </row>
    <row r="834" spans="1:1" ht="15.75" customHeight="1" x14ac:dyDescent="0.35">
      <c r="A834" s="25"/>
    </row>
    <row r="835" spans="1:1" ht="15.75" customHeight="1" x14ac:dyDescent="0.35">
      <c r="A835" s="25"/>
    </row>
    <row r="836" spans="1:1" ht="15.75" customHeight="1" x14ac:dyDescent="0.35">
      <c r="A836" s="25"/>
    </row>
    <row r="837" spans="1:1" ht="15.75" customHeight="1" x14ac:dyDescent="0.35">
      <c r="A837" s="25"/>
    </row>
    <row r="838" spans="1:1" ht="15.75" customHeight="1" x14ac:dyDescent="0.35">
      <c r="A838" s="25"/>
    </row>
    <row r="839" spans="1:1" ht="15.75" customHeight="1" x14ac:dyDescent="0.35">
      <c r="A839" s="25"/>
    </row>
    <row r="840" spans="1:1" ht="15.75" customHeight="1" x14ac:dyDescent="0.35">
      <c r="A840" s="25"/>
    </row>
    <row r="841" spans="1:1" ht="15.75" customHeight="1" x14ac:dyDescent="0.35">
      <c r="A841" s="25"/>
    </row>
    <row r="842" spans="1:1" ht="15.75" customHeight="1" x14ac:dyDescent="0.35">
      <c r="A842" s="25"/>
    </row>
    <row r="843" spans="1:1" ht="15.75" customHeight="1" x14ac:dyDescent="0.35">
      <c r="A843" s="25"/>
    </row>
    <row r="844" spans="1:1" ht="15.75" customHeight="1" x14ac:dyDescent="0.35">
      <c r="A844" s="25"/>
    </row>
    <row r="845" spans="1:1" ht="15.75" customHeight="1" x14ac:dyDescent="0.35">
      <c r="A845" s="25"/>
    </row>
    <row r="846" spans="1:1" ht="15.75" customHeight="1" x14ac:dyDescent="0.35">
      <c r="A846" s="25"/>
    </row>
    <row r="847" spans="1:1" ht="15.75" customHeight="1" x14ac:dyDescent="0.35">
      <c r="A847" s="25"/>
    </row>
    <row r="848" spans="1:1" ht="15.75" customHeight="1" x14ac:dyDescent="0.35">
      <c r="A848" s="25"/>
    </row>
    <row r="849" spans="1:1" ht="15.75" customHeight="1" x14ac:dyDescent="0.35">
      <c r="A849" s="25"/>
    </row>
    <row r="850" spans="1:1" ht="15.75" customHeight="1" x14ac:dyDescent="0.35">
      <c r="A850" s="25"/>
    </row>
    <row r="851" spans="1:1" ht="15.75" customHeight="1" x14ac:dyDescent="0.35">
      <c r="A851" s="25"/>
    </row>
    <row r="852" spans="1:1" ht="15.75" customHeight="1" x14ac:dyDescent="0.35">
      <c r="A852" s="25"/>
    </row>
    <row r="853" spans="1:1" ht="15.75" customHeight="1" x14ac:dyDescent="0.35">
      <c r="A853" s="25"/>
    </row>
    <row r="854" spans="1:1" ht="15.75" customHeight="1" x14ac:dyDescent="0.35">
      <c r="A854" s="25"/>
    </row>
    <row r="855" spans="1:1" ht="15.75" customHeight="1" x14ac:dyDescent="0.35">
      <c r="A855" s="25"/>
    </row>
    <row r="856" spans="1:1" ht="15.75" customHeight="1" x14ac:dyDescent="0.35">
      <c r="A856" s="25"/>
    </row>
    <row r="857" spans="1:1" ht="15.75" customHeight="1" x14ac:dyDescent="0.35">
      <c r="A857" s="25"/>
    </row>
    <row r="858" spans="1:1" ht="15.75" customHeight="1" x14ac:dyDescent="0.35">
      <c r="A858" s="25"/>
    </row>
    <row r="859" spans="1:1" ht="15.75" customHeight="1" x14ac:dyDescent="0.35">
      <c r="A859" s="25"/>
    </row>
    <row r="860" spans="1:1" ht="15.75" customHeight="1" x14ac:dyDescent="0.35">
      <c r="A860" s="25"/>
    </row>
    <row r="861" spans="1:1" ht="15.75" customHeight="1" x14ac:dyDescent="0.35">
      <c r="A861" s="25"/>
    </row>
    <row r="862" spans="1:1" ht="15.75" customHeight="1" x14ac:dyDescent="0.35">
      <c r="A862" s="25"/>
    </row>
    <row r="863" spans="1:1" ht="15.75" customHeight="1" x14ac:dyDescent="0.35">
      <c r="A863" s="25"/>
    </row>
    <row r="864" spans="1:1" ht="15.75" customHeight="1" x14ac:dyDescent="0.35">
      <c r="A864" s="25"/>
    </row>
    <row r="865" spans="1:1" ht="15.75" customHeight="1" x14ac:dyDescent="0.35">
      <c r="A865" s="25"/>
    </row>
    <row r="866" spans="1:1" ht="15.75" customHeight="1" x14ac:dyDescent="0.35">
      <c r="A866" s="25"/>
    </row>
    <row r="867" spans="1:1" ht="15.75" customHeight="1" x14ac:dyDescent="0.35">
      <c r="A867" s="25"/>
    </row>
    <row r="868" spans="1:1" ht="15.75" customHeight="1" x14ac:dyDescent="0.35">
      <c r="A868" s="25"/>
    </row>
    <row r="869" spans="1:1" ht="15.75" customHeight="1" x14ac:dyDescent="0.35">
      <c r="A869" s="25"/>
    </row>
    <row r="870" spans="1:1" ht="15.75" customHeight="1" x14ac:dyDescent="0.35">
      <c r="A870" s="25"/>
    </row>
    <row r="871" spans="1:1" ht="15.75" customHeight="1" x14ac:dyDescent="0.35">
      <c r="A871" s="25"/>
    </row>
    <row r="872" spans="1:1" ht="15.75" customHeight="1" x14ac:dyDescent="0.35">
      <c r="A872" s="25"/>
    </row>
    <row r="873" spans="1:1" ht="15.75" customHeight="1" x14ac:dyDescent="0.35">
      <c r="A873" s="25"/>
    </row>
    <row r="874" spans="1:1" ht="15.75" customHeight="1" x14ac:dyDescent="0.35">
      <c r="A874" s="25"/>
    </row>
    <row r="875" spans="1:1" ht="15.75" customHeight="1" x14ac:dyDescent="0.35">
      <c r="A875" s="25"/>
    </row>
    <row r="876" spans="1:1" ht="15.75" customHeight="1" x14ac:dyDescent="0.35">
      <c r="A876" s="25"/>
    </row>
    <row r="877" spans="1:1" ht="15.75" customHeight="1" x14ac:dyDescent="0.35">
      <c r="A877" s="25"/>
    </row>
    <row r="878" spans="1:1" ht="15.75" customHeight="1" x14ac:dyDescent="0.35">
      <c r="A878" s="25"/>
    </row>
    <row r="879" spans="1:1" ht="15.75" customHeight="1" x14ac:dyDescent="0.35">
      <c r="A879" s="25"/>
    </row>
    <row r="880" spans="1:1" ht="15.75" customHeight="1" x14ac:dyDescent="0.35">
      <c r="A880" s="25"/>
    </row>
    <row r="881" spans="1:1" ht="15.75" customHeight="1" x14ac:dyDescent="0.35">
      <c r="A881" s="25"/>
    </row>
    <row r="882" spans="1:1" ht="15.75" customHeight="1" x14ac:dyDescent="0.35">
      <c r="A882" s="25"/>
    </row>
    <row r="883" spans="1:1" ht="15.75" customHeight="1" x14ac:dyDescent="0.35">
      <c r="A883" s="25"/>
    </row>
    <row r="884" spans="1:1" ht="15.75" customHeight="1" x14ac:dyDescent="0.35">
      <c r="A884" s="25"/>
    </row>
    <row r="885" spans="1:1" ht="15.75" customHeight="1" x14ac:dyDescent="0.35">
      <c r="A885" s="25"/>
    </row>
    <row r="886" spans="1:1" ht="15.75" customHeight="1" x14ac:dyDescent="0.35">
      <c r="A886" s="25"/>
    </row>
    <row r="887" spans="1:1" ht="15.75" customHeight="1" x14ac:dyDescent="0.35">
      <c r="A887" s="25"/>
    </row>
    <row r="888" spans="1:1" ht="15.75" customHeight="1" x14ac:dyDescent="0.35">
      <c r="A888" s="25"/>
    </row>
    <row r="889" spans="1:1" ht="15.75" customHeight="1" x14ac:dyDescent="0.35">
      <c r="A889" s="25"/>
    </row>
    <row r="890" spans="1:1" ht="15.75" customHeight="1" x14ac:dyDescent="0.35">
      <c r="A890" s="25"/>
    </row>
    <row r="891" spans="1:1" ht="15.75" customHeight="1" x14ac:dyDescent="0.35">
      <c r="A891" s="25"/>
    </row>
    <row r="892" spans="1:1" ht="15.75" customHeight="1" x14ac:dyDescent="0.35">
      <c r="A892" s="25"/>
    </row>
    <row r="893" spans="1:1" ht="15.75" customHeight="1" x14ac:dyDescent="0.35">
      <c r="A893" s="25"/>
    </row>
    <row r="894" spans="1:1" ht="15.75" customHeight="1" x14ac:dyDescent="0.35">
      <c r="A894" s="25"/>
    </row>
    <row r="895" spans="1:1" ht="15.75" customHeight="1" x14ac:dyDescent="0.35">
      <c r="A895" s="25"/>
    </row>
    <row r="896" spans="1:1" ht="15.75" customHeight="1" x14ac:dyDescent="0.35">
      <c r="A896" s="25"/>
    </row>
    <row r="897" spans="1:1" ht="15.75" customHeight="1" x14ac:dyDescent="0.35">
      <c r="A897" s="25"/>
    </row>
    <row r="898" spans="1:1" ht="15.75" customHeight="1" x14ac:dyDescent="0.35">
      <c r="A898" s="25"/>
    </row>
    <row r="899" spans="1:1" ht="15.75" customHeight="1" x14ac:dyDescent="0.35">
      <c r="A899" s="25"/>
    </row>
    <row r="900" spans="1:1" ht="15.75" customHeight="1" x14ac:dyDescent="0.35">
      <c r="A900" s="25"/>
    </row>
    <row r="901" spans="1:1" ht="15.75" customHeight="1" x14ac:dyDescent="0.35">
      <c r="A901" s="25"/>
    </row>
    <row r="902" spans="1:1" ht="15.75" customHeight="1" x14ac:dyDescent="0.35">
      <c r="A902" s="25"/>
    </row>
    <row r="903" spans="1:1" ht="15.75" customHeight="1" x14ac:dyDescent="0.35">
      <c r="A903" s="25"/>
    </row>
    <row r="904" spans="1:1" ht="15.75" customHeight="1" x14ac:dyDescent="0.35">
      <c r="A904" s="25"/>
    </row>
    <row r="905" spans="1:1" ht="15.75" customHeight="1" x14ac:dyDescent="0.35">
      <c r="A905" s="25"/>
    </row>
    <row r="906" spans="1:1" ht="15.75" customHeight="1" x14ac:dyDescent="0.35">
      <c r="A906" s="25"/>
    </row>
    <row r="907" spans="1:1" ht="15.75" customHeight="1" x14ac:dyDescent="0.35">
      <c r="A907" s="25"/>
    </row>
    <row r="908" spans="1:1" ht="15.75" customHeight="1" x14ac:dyDescent="0.35">
      <c r="A908" s="25"/>
    </row>
    <row r="909" spans="1:1" ht="15.75" customHeight="1" x14ac:dyDescent="0.35">
      <c r="A909" s="25"/>
    </row>
    <row r="910" spans="1:1" ht="15.75" customHeight="1" x14ac:dyDescent="0.35">
      <c r="A910" s="25"/>
    </row>
    <row r="911" spans="1:1" ht="15.75" customHeight="1" x14ac:dyDescent="0.35">
      <c r="A911" s="25"/>
    </row>
    <row r="912" spans="1:1" ht="15.75" customHeight="1" x14ac:dyDescent="0.35">
      <c r="A912" s="25"/>
    </row>
    <row r="913" spans="1:1" ht="15.75" customHeight="1" x14ac:dyDescent="0.35">
      <c r="A913" s="25"/>
    </row>
    <row r="914" spans="1:1" ht="15.75" customHeight="1" x14ac:dyDescent="0.35">
      <c r="A914" s="25"/>
    </row>
    <row r="915" spans="1:1" ht="15.75" customHeight="1" x14ac:dyDescent="0.35">
      <c r="A915" s="25"/>
    </row>
    <row r="916" spans="1:1" ht="15.75" customHeight="1" x14ac:dyDescent="0.35">
      <c r="A916" s="25"/>
    </row>
    <row r="917" spans="1:1" ht="15.75" customHeight="1" x14ac:dyDescent="0.35">
      <c r="A917" s="25"/>
    </row>
    <row r="918" spans="1:1" ht="15.75" customHeight="1" x14ac:dyDescent="0.35">
      <c r="A918" s="25"/>
    </row>
    <row r="919" spans="1:1" ht="15.75" customHeight="1" x14ac:dyDescent="0.35">
      <c r="A919" s="25"/>
    </row>
    <row r="920" spans="1:1" ht="15.75" customHeight="1" x14ac:dyDescent="0.35">
      <c r="A920" s="25"/>
    </row>
    <row r="921" spans="1:1" ht="15.75" customHeight="1" x14ac:dyDescent="0.35">
      <c r="A921" s="25"/>
    </row>
    <row r="922" spans="1:1" ht="15.75" customHeight="1" x14ac:dyDescent="0.35">
      <c r="A922" s="25"/>
    </row>
    <row r="923" spans="1:1" ht="15.75" customHeight="1" x14ac:dyDescent="0.35">
      <c r="A923" s="25"/>
    </row>
    <row r="924" spans="1:1" ht="15.75" customHeight="1" x14ac:dyDescent="0.35">
      <c r="A924" s="25"/>
    </row>
    <row r="925" spans="1:1" ht="15.75" customHeight="1" x14ac:dyDescent="0.35">
      <c r="A925" s="25"/>
    </row>
    <row r="926" spans="1:1" ht="15.75" customHeight="1" x14ac:dyDescent="0.35">
      <c r="A926" s="25"/>
    </row>
    <row r="927" spans="1:1" ht="15.75" customHeight="1" x14ac:dyDescent="0.35">
      <c r="A927" s="25"/>
    </row>
    <row r="928" spans="1:1" ht="15.75" customHeight="1" x14ac:dyDescent="0.35">
      <c r="A928" s="25"/>
    </row>
    <row r="929" spans="1:1" ht="15.75" customHeight="1" x14ac:dyDescent="0.35">
      <c r="A929" s="25"/>
    </row>
    <row r="930" spans="1:1" ht="15.75" customHeight="1" x14ac:dyDescent="0.35">
      <c r="A930" s="25"/>
    </row>
    <row r="931" spans="1:1" ht="15.75" customHeight="1" x14ac:dyDescent="0.35">
      <c r="A931" s="25"/>
    </row>
    <row r="932" spans="1:1" ht="15.75" customHeight="1" x14ac:dyDescent="0.35">
      <c r="A932" s="25"/>
    </row>
    <row r="933" spans="1:1" ht="15.75" customHeight="1" x14ac:dyDescent="0.35">
      <c r="A933" s="25"/>
    </row>
    <row r="934" spans="1:1" ht="15.75" customHeight="1" x14ac:dyDescent="0.35">
      <c r="A934" s="25"/>
    </row>
    <row r="935" spans="1:1" ht="15.75" customHeight="1" x14ac:dyDescent="0.35">
      <c r="A935" s="25"/>
    </row>
    <row r="936" spans="1:1" ht="15.75" customHeight="1" x14ac:dyDescent="0.35">
      <c r="A936" s="25"/>
    </row>
    <row r="937" spans="1:1" ht="15.75" customHeight="1" x14ac:dyDescent="0.35">
      <c r="A937" s="25"/>
    </row>
    <row r="938" spans="1:1" ht="15.75" customHeight="1" x14ac:dyDescent="0.35">
      <c r="A938" s="25"/>
    </row>
    <row r="939" spans="1:1" ht="15.75" customHeight="1" x14ac:dyDescent="0.35">
      <c r="A939" s="25"/>
    </row>
    <row r="940" spans="1:1" ht="15.75" customHeight="1" x14ac:dyDescent="0.35">
      <c r="A940" s="25"/>
    </row>
    <row r="941" spans="1:1" ht="15.75" customHeight="1" x14ac:dyDescent="0.35">
      <c r="A941" s="25"/>
    </row>
    <row r="942" spans="1:1" ht="15.75" customHeight="1" x14ac:dyDescent="0.35">
      <c r="A942" s="25"/>
    </row>
    <row r="943" spans="1:1" ht="15.75" customHeight="1" x14ac:dyDescent="0.35">
      <c r="A943" s="25"/>
    </row>
    <row r="944" spans="1:1" ht="15.75" customHeight="1" x14ac:dyDescent="0.35">
      <c r="A944" s="25"/>
    </row>
    <row r="945" spans="1:1" ht="15.75" customHeight="1" x14ac:dyDescent="0.35">
      <c r="A945" s="25"/>
    </row>
    <row r="946" spans="1:1" ht="15.75" customHeight="1" x14ac:dyDescent="0.35">
      <c r="A946" s="25"/>
    </row>
    <row r="947" spans="1:1" ht="15.75" customHeight="1" x14ac:dyDescent="0.35">
      <c r="A947" s="25"/>
    </row>
    <row r="948" spans="1:1" ht="15.75" customHeight="1" x14ac:dyDescent="0.35">
      <c r="A948" s="25"/>
    </row>
    <row r="949" spans="1:1" ht="15.75" customHeight="1" x14ac:dyDescent="0.35">
      <c r="A949" s="25"/>
    </row>
    <row r="950" spans="1:1" ht="15.75" customHeight="1" x14ac:dyDescent="0.35">
      <c r="A950" s="25"/>
    </row>
    <row r="951" spans="1:1" ht="15.75" customHeight="1" x14ac:dyDescent="0.35">
      <c r="A951" s="25"/>
    </row>
    <row r="952" spans="1:1" ht="15.75" customHeight="1" x14ac:dyDescent="0.35">
      <c r="A952" s="25"/>
    </row>
    <row r="953" spans="1:1" ht="15.75" customHeight="1" x14ac:dyDescent="0.35">
      <c r="A953" s="25"/>
    </row>
    <row r="954" spans="1:1" ht="15.75" customHeight="1" x14ac:dyDescent="0.35">
      <c r="A954" s="25"/>
    </row>
    <row r="955" spans="1:1" ht="15.75" customHeight="1" x14ac:dyDescent="0.35">
      <c r="A955" s="25"/>
    </row>
    <row r="956" spans="1:1" ht="15.75" customHeight="1" x14ac:dyDescent="0.35">
      <c r="A956" s="25"/>
    </row>
    <row r="957" spans="1:1" ht="15.75" customHeight="1" x14ac:dyDescent="0.35">
      <c r="A957" s="25"/>
    </row>
    <row r="958" spans="1:1" ht="15.75" customHeight="1" x14ac:dyDescent="0.35">
      <c r="A958" s="25"/>
    </row>
    <row r="959" spans="1:1" ht="15.75" customHeight="1" x14ac:dyDescent="0.35">
      <c r="A959" s="25"/>
    </row>
    <row r="960" spans="1:1" ht="15.75" customHeight="1" x14ac:dyDescent="0.35">
      <c r="A960" s="25"/>
    </row>
    <row r="961" spans="1:1" ht="15.75" customHeight="1" x14ac:dyDescent="0.35">
      <c r="A961" s="25"/>
    </row>
    <row r="962" spans="1:1" ht="15.75" customHeight="1" x14ac:dyDescent="0.35">
      <c r="A962" s="25"/>
    </row>
    <row r="963" spans="1:1" ht="15.75" customHeight="1" x14ac:dyDescent="0.35">
      <c r="A963" s="25"/>
    </row>
    <row r="964" spans="1:1" ht="15.75" customHeight="1" x14ac:dyDescent="0.35">
      <c r="A964" s="25"/>
    </row>
    <row r="965" spans="1:1" ht="15.75" customHeight="1" x14ac:dyDescent="0.35">
      <c r="A965" s="25"/>
    </row>
    <row r="966" spans="1:1" ht="15.75" customHeight="1" x14ac:dyDescent="0.35">
      <c r="A966" s="25"/>
    </row>
    <row r="967" spans="1:1" ht="15.75" customHeight="1" x14ac:dyDescent="0.35">
      <c r="A967" s="25"/>
    </row>
    <row r="968" spans="1:1" ht="15.75" customHeight="1" x14ac:dyDescent="0.35">
      <c r="A968" s="25"/>
    </row>
    <row r="969" spans="1:1" ht="15.75" customHeight="1" x14ac:dyDescent="0.35">
      <c r="A969" s="25"/>
    </row>
    <row r="970" spans="1:1" ht="15.75" customHeight="1" x14ac:dyDescent="0.35">
      <c r="A970" s="25"/>
    </row>
    <row r="971" spans="1:1" ht="15.75" customHeight="1" x14ac:dyDescent="0.35">
      <c r="A971" s="25"/>
    </row>
    <row r="972" spans="1:1" ht="15.75" customHeight="1" x14ac:dyDescent="0.35">
      <c r="A972" s="25"/>
    </row>
    <row r="973" spans="1:1" ht="15.75" customHeight="1" x14ac:dyDescent="0.35">
      <c r="A973" s="25"/>
    </row>
    <row r="974" spans="1:1" ht="15.75" customHeight="1" x14ac:dyDescent="0.35">
      <c r="A974" s="25"/>
    </row>
    <row r="975" spans="1:1" ht="15.75" customHeight="1" x14ac:dyDescent="0.35">
      <c r="A975" s="25"/>
    </row>
    <row r="976" spans="1:1" ht="15.75" customHeight="1" x14ac:dyDescent="0.35">
      <c r="A976" s="25"/>
    </row>
    <row r="977" spans="1:1" ht="15.75" customHeight="1" x14ac:dyDescent="0.35">
      <c r="A977" s="25"/>
    </row>
    <row r="978" spans="1:1" ht="15.75" customHeight="1" x14ac:dyDescent="0.35">
      <c r="A978" s="25"/>
    </row>
    <row r="979" spans="1:1" ht="15.75" customHeight="1" x14ac:dyDescent="0.35">
      <c r="A979" s="25"/>
    </row>
    <row r="980" spans="1:1" ht="15.75" customHeight="1" x14ac:dyDescent="0.35">
      <c r="A980" s="25"/>
    </row>
    <row r="981" spans="1:1" ht="15.75" customHeight="1" x14ac:dyDescent="0.35">
      <c r="A981" s="25"/>
    </row>
    <row r="982" spans="1:1" ht="15.75" customHeight="1" x14ac:dyDescent="0.35">
      <c r="A982" s="25"/>
    </row>
    <row r="983" spans="1:1" ht="15.75" customHeight="1" x14ac:dyDescent="0.35">
      <c r="A983" s="25"/>
    </row>
    <row r="984" spans="1:1" ht="15.75" customHeight="1" x14ac:dyDescent="0.35">
      <c r="A984" s="25"/>
    </row>
    <row r="985" spans="1:1" ht="15.75" customHeight="1" x14ac:dyDescent="0.35">
      <c r="A985" s="25"/>
    </row>
    <row r="986" spans="1:1" ht="15.75" customHeight="1" x14ac:dyDescent="0.35">
      <c r="A986" s="25"/>
    </row>
    <row r="987" spans="1:1" ht="15.75" customHeight="1" x14ac:dyDescent="0.35">
      <c r="A987" s="25"/>
    </row>
    <row r="988" spans="1:1" ht="15.75" customHeight="1" x14ac:dyDescent="0.35">
      <c r="A988" s="25"/>
    </row>
    <row r="989" spans="1:1" ht="15.75" customHeight="1" x14ac:dyDescent="0.35">
      <c r="A989" s="25"/>
    </row>
    <row r="990" spans="1:1" ht="15.75" customHeight="1" x14ac:dyDescent="0.35">
      <c r="A990" s="25"/>
    </row>
    <row r="991" spans="1:1" ht="15.75" customHeight="1" x14ac:dyDescent="0.35">
      <c r="A991" s="25"/>
    </row>
    <row r="992" spans="1:1" ht="15.75" customHeight="1" x14ac:dyDescent="0.35">
      <c r="A992" s="25"/>
    </row>
    <row r="993" spans="1:1" ht="15.75" customHeight="1" x14ac:dyDescent="0.35">
      <c r="A993" s="25"/>
    </row>
    <row r="994" spans="1:1" ht="15.75" customHeight="1" x14ac:dyDescent="0.35">
      <c r="A994" s="25"/>
    </row>
    <row r="995" spans="1:1" ht="15.75" customHeight="1" x14ac:dyDescent="0.35">
      <c r="A995" s="25"/>
    </row>
    <row r="996" spans="1:1" ht="15.75" customHeight="1" x14ac:dyDescent="0.35">
      <c r="A996" s="25"/>
    </row>
    <row r="997" spans="1:1" ht="15.75" customHeight="1" x14ac:dyDescent="0.35">
      <c r="A997" s="25"/>
    </row>
    <row r="998" spans="1:1" ht="15.75" customHeight="1" x14ac:dyDescent="0.35">
      <c r="A998" s="25"/>
    </row>
    <row r="999" spans="1:1" ht="15.75" customHeight="1" x14ac:dyDescent="0.35">
      <c r="A999" s="25"/>
    </row>
    <row r="1000" spans="1:1" ht="15.75" customHeight="1" x14ac:dyDescent="0.35">
      <c r="A1000" s="25"/>
    </row>
  </sheetData>
  <mergeCells count="5">
    <mergeCell ref="A1:G1"/>
    <mergeCell ref="A10:G10"/>
    <mergeCell ref="A11:G11"/>
    <mergeCell ref="A12:G12"/>
    <mergeCell ref="A13:G13"/>
  </mergeCells>
  <conditionalFormatting sqref="A1:A1000">
    <cfRule type="expression" dxfId="0" priority="1">
      <formula>"TEKS"</formula>
    </cfRule>
  </conditionalFormatting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sqref="A1:G1"/>
    </sheetView>
  </sheetViews>
  <sheetFormatPr defaultColWidth="14.453125" defaultRowHeight="15" customHeight="1" x14ac:dyDescent="0.35"/>
  <cols>
    <col min="1" max="1" width="20" customWidth="1"/>
    <col min="2" max="2" width="16" customWidth="1"/>
    <col min="3" max="3" width="18" customWidth="1"/>
    <col min="4" max="4" width="16" customWidth="1"/>
    <col min="5" max="6" width="18" customWidth="1"/>
    <col min="7" max="7" width="16" customWidth="1"/>
    <col min="8" max="26" width="14" customWidth="1"/>
  </cols>
  <sheetData>
    <row r="1" spans="1:7" ht="15.75" customHeight="1" x14ac:dyDescent="0.35">
      <c r="A1" s="37" t="s">
        <v>199</v>
      </c>
      <c r="B1" s="38"/>
      <c r="C1" s="38"/>
      <c r="D1" s="38"/>
      <c r="E1" s="38"/>
      <c r="F1" s="38"/>
      <c r="G1" s="38"/>
    </row>
    <row r="3" spans="1:7" ht="26.25" customHeight="1" x14ac:dyDescent="0.35">
      <c r="A3" s="1" t="s">
        <v>4</v>
      </c>
      <c r="B3" s="1" t="s">
        <v>185</v>
      </c>
      <c r="C3" s="1" t="s">
        <v>201</v>
      </c>
      <c r="D3" s="1" t="s">
        <v>203</v>
      </c>
      <c r="E3" s="1" t="s">
        <v>204</v>
      </c>
      <c r="F3" s="1" t="s">
        <v>205</v>
      </c>
      <c r="G3" s="1" t="s">
        <v>206</v>
      </c>
    </row>
    <row r="4" spans="1:7" ht="14.5" x14ac:dyDescent="0.25">
      <c r="A4" s="2" t="s">
        <v>16</v>
      </c>
      <c r="B4" s="31">
        <v>32947</v>
      </c>
      <c r="C4" s="31">
        <v>42156</v>
      </c>
      <c r="D4" s="7">
        <f t="shared" ref="D4:E4" ca="1" si="0">DATEDIF(B4,TODAY(),"Y")</f>
        <v>36</v>
      </c>
      <c r="E4" s="7">
        <f t="shared" ca="1" si="0"/>
        <v>11</v>
      </c>
      <c r="F4" s="7">
        <f t="shared" ref="F4:F11" ca="1" si="1">DATEDIF(C4,TODAY(),"m")</f>
        <v>133</v>
      </c>
      <c r="G4" s="7">
        <f t="shared" ref="G4:G11" ca="1" si="2">DATEDIF(C4,TODAY(),"d")</f>
        <v>4074</v>
      </c>
    </row>
    <row r="5" spans="1:7" ht="14.5" x14ac:dyDescent="0.25">
      <c r="A5" s="2" t="s">
        <v>26</v>
      </c>
      <c r="B5" s="31">
        <v>31250</v>
      </c>
      <c r="C5" s="31">
        <v>40188</v>
      </c>
      <c r="D5" s="7">
        <f t="shared" ref="D5:E5" ca="1" si="3">DATEDIF(B5,TODAY(),"Y")</f>
        <v>41</v>
      </c>
      <c r="E5" s="7">
        <f t="shared" ca="1" si="3"/>
        <v>16</v>
      </c>
      <c r="F5" s="7">
        <f t="shared" ca="1" si="1"/>
        <v>198</v>
      </c>
      <c r="G5" s="7">
        <f t="shared" ca="1" si="2"/>
        <v>6042</v>
      </c>
    </row>
    <row r="6" spans="1:7" ht="14.5" x14ac:dyDescent="0.25">
      <c r="A6" s="2" t="s">
        <v>32</v>
      </c>
      <c r="B6" s="31">
        <v>34281</v>
      </c>
      <c r="C6" s="31">
        <v>43184</v>
      </c>
      <c r="D6" s="7">
        <f t="shared" ref="D6:E6" ca="1" si="4">DATEDIF(B6,TODAY(),"Y")</f>
        <v>32</v>
      </c>
      <c r="E6" s="7">
        <f t="shared" ca="1" si="4"/>
        <v>8</v>
      </c>
      <c r="F6" s="7">
        <f t="shared" ca="1" si="1"/>
        <v>100</v>
      </c>
      <c r="G6" s="7">
        <f t="shared" ca="1" si="2"/>
        <v>3046</v>
      </c>
    </row>
    <row r="7" spans="1:7" ht="14.5" x14ac:dyDescent="0.25">
      <c r="A7" s="2" t="s">
        <v>40</v>
      </c>
      <c r="B7" s="31">
        <v>32293</v>
      </c>
      <c r="C7" s="31">
        <v>41136</v>
      </c>
      <c r="D7" s="7">
        <f t="shared" ref="D7:E7" ca="1" si="5">DATEDIF(B7,TODAY(),"Y")</f>
        <v>38</v>
      </c>
      <c r="E7" s="7">
        <f t="shared" ca="1" si="5"/>
        <v>13</v>
      </c>
      <c r="F7" s="7">
        <f t="shared" ca="1" si="1"/>
        <v>167</v>
      </c>
      <c r="G7" s="7">
        <f t="shared" ca="1" si="2"/>
        <v>5094</v>
      </c>
    </row>
    <row r="8" spans="1:7" ht="14.5" x14ac:dyDescent="0.25">
      <c r="A8" s="2" t="s">
        <v>51</v>
      </c>
      <c r="B8" s="31">
        <v>34744</v>
      </c>
      <c r="C8" s="31">
        <v>44136</v>
      </c>
      <c r="D8" s="7">
        <f t="shared" ref="D8:E8" ca="1" si="6">DATEDIF(B8,TODAY(),"Y")</f>
        <v>31</v>
      </c>
      <c r="E8" s="7">
        <f t="shared" ca="1" si="6"/>
        <v>5</v>
      </c>
      <c r="F8" s="7">
        <f t="shared" ca="1" si="1"/>
        <v>68</v>
      </c>
      <c r="G8" s="7">
        <f t="shared" ca="1" si="2"/>
        <v>2094</v>
      </c>
    </row>
    <row r="9" spans="1:7" ht="14.5" x14ac:dyDescent="0.25">
      <c r="A9" s="2" t="s">
        <v>57</v>
      </c>
      <c r="B9" s="31">
        <v>33484</v>
      </c>
      <c r="C9" s="31">
        <v>42480</v>
      </c>
      <c r="D9" s="7">
        <f t="shared" ref="D9:E9" ca="1" si="7">DATEDIF(B9,TODAY(),"Y")</f>
        <v>34</v>
      </c>
      <c r="E9" s="7">
        <f t="shared" ca="1" si="7"/>
        <v>10</v>
      </c>
      <c r="F9" s="7">
        <f t="shared" ca="1" si="1"/>
        <v>123</v>
      </c>
      <c r="G9" s="7">
        <f t="shared" ca="1" si="2"/>
        <v>3750</v>
      </c>
    </row>
    <row r="10" spans="1:7" ht="14.5" x14ac:dyDescent="0.25">
      <c r="A10" s="2" t="s">
        <v>62</v>
      </c>
      <c r="B10" s="31">
        <v>32136</v>
      </c>
      <c r="C10" s="31">
        <v>39999</v>
      </c>
      <c r="D10" s="7">
        <f t="shared" ref="D10:E10" ca="1" si="8">DATEDIF(B10,TODAY(),"Y")</f>
        <v>38</v>
      </c>
      <c r="E10" s="7">
        <f t="shared" ca="1" si="8"/>
        <v>17</v>
      </c>
      <c r="F10" s="7">
        <f t="shared" ca="1" si="1"/>
        <v>204</v>
      </c>
      <c r="G10" s="7">
        <f t="shared" ca="1" si="2"/>
        <v>6231</v>
      </c>
    </row>
    <row r="11" spans="1:7" ht="14.5" x14ac:dyDescent="0.25">
      <c r="A11" s="2" t="s">
        <v>68</v>
      </c>
      <c r="B11" s="31">
        <v>35234</v>
      </c>
      <c r="C11" s="31">
        <v>44576</v>
      </c>
      <c r="D11" s="7">
        <f t="shared" ref="D11:E11" ca="1" si="9">DATEDIF(B11,TODAY(),"Y")</f>
        <v>30</v>
      </c>
      <c r="E11" s="7">
        <f t="shared" ca="1" si="9"/>
        <v>4</v>
      </c>
      <c r="F11" s="7">
        <f t="shared" ca="1" si="1"/>
        <v>54</v>
      </c>
      <c r="G11" s="7">
        <f t="shared" ca="1" si="2"/>
        <v>1654</v>
      </c>
    </row>
    <row r="12" spans="1:7" ht="14.5" x14ac:dyDescent="0.25">
      <c r="G12" s="7"/>
    </row>
    <row r="14" spans="1:7" ht="14.5" x14ac:dyDescent="0.3">
      <c r="A14" s="39" t="s">
        <v>210</v>
      </c>
      <c r="B14" s="40"/>
      <c r="C14" s="40"/>
      <c r="D14" s="40"/>
      <c r="E14" s="40"/>
      <c r="F14" s="40"/>
      <c r="G14" s="41"/>
    </row>
    <row r="15" spans="1:7" ht="14.5" x14ac:dyDescent="0.3">
      <c r="A15" s="39" t="s">
        <v>211</v>
      </c>
      <c r="B15" s="40"/>
      <c r="C15" s="40"/>
      <c r="D15" s="40"/>
      <c r="E15" s="40"/>
      <c r="F15" s="40"/>
      <c r="G15" s="41"/>
    </row>
    <row r="16" spans="1:7" ht="14.5" x14ac:dyDescent="0.3">
      <c r="A16" s="39" t="s">
        <v>212</v>
      </c>
      <c r="B16" s="40"/>
      <c r="C16" s="40"/>
      <c r="D16" s="40"/>
      <c r="E16" s="40"/>
      <c r="F16" s="40"/>
      <c r="G16" s="41"/>
    </row>
    <row r="17" spans="1:7" ht="14.5" x14ac:dyDescent="0.3">
      <c r="A17" s="39" t="s">
        <v>213</v>
      </c>
      <c r="B17" s="40"/>
      <c r="C17" s="40"/>
      <c r="D17" s="40"/>
      <c r="E17" s="40"/>
      <c r="F17" s="40"/>
      <c r="G17" s="41"/>
    </row>
    <row r="21" spans="1:7" ht="15.75" customHeight="1" x14ac:dyDescent="0.35"/>
    <row r="22" spans="1:7" ht="15.75" customHeight="1" x14ac:dyDescent="0.35"/>
    <row r="23" spans="1:7" ht="15.75" customHeight="1" x14ac:dyDescent="0.35"/>
    <row r="24" spans="1:7" ht="15.75" customHeight="1" x14ac:dyDescent="0.35"/>
    <row r="25" spans="1:7" ht="15.75" customHeight="1" x14ac:dyDescent="0.35"/>
    <row r="26" spans="1:7" ht="15.75" customHeight="1" x14ac:dyDescent="0.35"/>
    <row r="27" spans="1:7" ht="15.75" customHeight="1" x14ac:dyDescent="0.35"/>
    <row r="28" spans="1:7" ht="15.75" customHeight="1" x14ac:dyDescent="0.35"/>
    <row r="29" spans="1:7" ht="15.75" customHeight="1" x14ac:dyDescent="0.35"/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G1"/>
    <mergeCell ref="A14:G14"/>
    <mergeCell ref="A15:G15"/>
    <mergeCell ref="A16:G16"/>
    <mergeCell ref="A17:G17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sqref="A1:G1"/>
    </sheetView>
  </sheetViews>
  <sheetFormatPr defaultColWidth="14.453125" defaultRowHeight="15" customHeight="1" x14ac:dyDescent="0.35"/>
  <cols>
    <col min="1" max="1" width="20" customWidth="1"/>
    <col min="2" max="2" width="12" customWidth="1"/>
    <col min="3" max="3" width="14" customWidth="1"/>
    <col min="4" max="5" width="12" customWidth="1"/>
    <col min="6" max="6" width="16" customWidth="1"/>
    <col min="7" max="7" width="8.7265625" customWidth="1"/>
    <col min="8" max="26" width="14" customWidth="1"/>
  </cols>
  <sheetData>
    <row r="1" spans="1:7" ht="15.75" customHeight="1" x14ac:dyDescent="0.35">
      <c r="A1" s="37" t="s">
        <v>214</v>
      </c>
      <c r="B1" s="38"/>
      <c r="C1" s="38"/>
      <c r="D1" s="38"/>
      <c r="E1" s="38"/>
      <c r="F1" s="38"/>
      <c r="G1" s="38"/>
    </row>
    <row r="2" spans="1:7" ht="14.5" x14ac:dyDescent="0.35">
      <c r="E2" s="32"/>
    </row>
    <row r="3" spans="1:7" ht="26.25" customHeight="1" x14ac:dyDescent="0.35">
      <c r="A3" s="1" t="s">
        <v>4</v>
      </c>
      <c r="B3" s="1" t="s">
        <v>215</v>
      </c>
      <c r="C3" s="1" t="s">
        <v>217</v>
      </c>
      <c r="D3" s="1" t="s">
        <v>218</v>
      </c>
      <c r="E3" s="33" t="s">
        <v>220</v>
      </c>
      <c r="F3" s="1" t="s">
        <v>223</v>
      </c>
    </row>
    <row r="4" spans="1:7" ht="14.5" x14ac:dyDescent="0.25">
      <c r="A4" s="2" t="s">
        <v>16</v>
      </c>
      <c r="B4" s="2">
        <v>91</v>
      </c>
      <c r="C4" s="2" t="s">
        <v>224</v>
      </c>
      <c r="D4" s="35" t="str">
        <f t="shared" ref="D4:D13" si="0">IF(B4&gt;=90,"A",IF(B4&gt;=80,"B",IF(B4&gt;=70,"C",IF(B4&gt;=60,"D","E"))))</f>
        <v>A</v>
      </c>
      <c r="E4" s="36" t="e">
        <f t="shared" ref="E4:E13" ca="1" si="1">IFS(D4="A",15,D4="B",10,D4="C",2,D4="D",5,D4="E",0)</f>
        <v>#NAME?</v>
      </c>
      <c r="F4" s="5" t="s">
        <v>307</v>
      </c>
    </row>
    <row r="5" spans="1:7" ht="14.5" x14ac:dyDescent="0.25">
      <c r="A5" s="2" t="s">
        <v>26</v>
      </c>
      <c r="B5" s="2">
        <v>76</v>
      </c>
      <c r="C5" s="2" t="s">
        <v>226</v>
      </c>
      <c r="D5" s="35" t="str">
        <f t="shared" si="0"/>
        <v>C</v>
      </c>
      <c r="E5" s="36" t="e">
        <f t="shared" ca="1" si="1"/>
        <v>#NAME?</v>
      </c>
      <c r="F5" s="7"/>
    </row>
    <row r="6" spans="1:7" ht="14.5" x14ac:dyDescent="0.25">
      <c r="A6" s="2" t="s">
        <v>32</v>
      </c>
      <c r="B6" s="2">
        <v>55</v>
      </c>
      <c r="C6" s="2" t="s">
        <v>232</v>
      </c>
      <c r="D6" s="35" t="str">
        <f t="shared" si="0"/>
        <v>E</v>
      </c>
      <c r="E6" s="36" t="e">
        <f t="shared" ca="1" si="1"/>
        <v>#NAME?</v>
      </c>
      <c r="F6" s="7"/>
    </row>
    <row r="7" spans="1:7" ht="14.5" x14ac:dyDescent="0.25">
      <c r="A7" s="2" t="s">
        <v>40</v>
      </c>
      <c r="B7" s="2">
        <v>83</v>
      </c>
      <c r="C7" s="2" t="s">
        <v>237</v>
      </c>
      <c r="D7" s="35" t="str">
        <f t="shared" si="0"/>
        <v>B</v>
      </c>
      <c r="E7" s="36" t="e">
        <f t="shared" ca="1" si="1"/>
        <v>#NAME?</v>
      </c>
      <c r="F7" s="7"/>
    </row>
    <row r="8" spans="1:7" ht="14.5" x14ac:dyDescent="0.25">
      <c r="A8" s="2" t="s">
        <v>51</v>
      </c>
      <c r="B8" s="2">
        <v>45</v>
      </c>
      <c r="C8" s="2" t="s">
        <v>232</v>
      </c>
      <c r="D8" s="35" t="str">
        <f t="shared" si="0"/>
        <v>E</v>
      </c>
      <c r="E8" s="36" t="e">
        <f t="shared" ca="1" si="1"/>
        <v>#NAME?</v>
      </c>
      <c r="F8" s="7"/>
    </row>
    <row r="9" spans="1:7" ht="14.5" x14ac:dyDescent="0.25">
      <c r="A9" s="2" t="s">
        <v>57</v>
      </c>
      <c r="B9" s="2">
        <v>68</v>
      </c>
      <c r="C9" s="2" t="s">
        <v>240</v>
      </c>
      <c r="D9" s="35" t="str">
        <f t="shared" si="0"/>
        <v>D</v>
      </c>
      <c r="E9" s="36" t="e">
        <f t="shared" ca="1" si="1"/>
        <v>#NAME?</v>
      </c>
      <c r="F9" s="7"/>
    </row>
    <row r="10" spans="1:7" ht="14.5" x14ac:dyDescent="0.25">
      <c r="A10" s="2" t="s">
        <v>62</v>
      </c>
      <c r="B10" s="2">
        <v>95</v>
      </c>
      <c r="C10" s="2" t="s">
        <v>224</v>
      </c>
      <c r="D10" s="35" t="str">
        <f t="shared" si="0"/>
        <v>A</v>
      </c>
      <c r="E10" s="36" t="e">
        <f t="shared" ca="1" si="1"/>
        <v>#NAME?</v>
      </c>
      <c r="F10" s="7"/>
    </row>
    <row r="11" spans="1:7" ht="14.5" x14ac:dyDescent="0.25">
      <c r="A11" s="2" t="s">
        <v>68</v>
      </c>
      <c r="B11" s="2">
        <v>72</v>
      </c>
      <c r="C11" s="2" t="s">
        <v>226</v>
      </c>
      <c r="D11" s="35" t="str">
        <f t="shared" si="0"/>
        <v>C</v>
      </c>
      <c r="E11" s="36" t="e">
        <f t="shared" ca="1" si="1"/>
        <v>#NAME?</v>
      </c>
      <c r="F11" s="7"/>
    </row>
    <row r="12" spans="1:7" ht="14.5" x14ac:dyDescent="0.25">
      <c r="A12" s="2" t="s">
        <v>75</v>
      </c>
      <c r="B12" s="2">
        <v>60</v>
      </c>
      <c r="C12" s="2" t="s">
        <v>240</v>
      </c>
      <c r="D12" s="35" t="str">
        <f t="shared" si="0"/>
        <v>D</v>
      </c>
      <c r="E12" s="36" t="e">
        <f t="shared" ca="1" si="1"/>
        <v>#NAME?</v>
      </c>
      <c r="F12" s="7"/>
    </row>
    <row r="13" spans="1:7" ht="14.5" x14ac:dyDescent="0.25">
      <c r="A13" s="2" t="s">
        <v>81</v>
      </c>
      <c r="B13" s="2">
        <v>88</v>
      </c>
      <c r="C13" s="2" t="s">
        <v>237</v>
      </c>
      <c r="D13" s="35" t="str">
        <f t="shared" si="0"/>
        <v>B</v>
      </c>
      <c r="E13" s="36" t="e">
        <f t="shared" ca="1" si="1"/>
        <v>#NAME?</v>
      </c>
      <c r="F13" s="7"/>
    </row>
    <row r="14" spans="1:7" ht="14.5" x14ac:dyDescent="0.35">
      <c r="E14" s="32"/>
    </row>
    <row r="15" spans="1:7" ht="14.5" x14ac:dyDescent="0.35">
      <c r="E15" s="32"/>
    </row>
    <row r="16" spans="1:7" ht="14.5" x14ac:dyDescent="0.3">
      <c r="A16" s="39" t="s">
        <v>242</v>
      </c>
      <c r="B16" s="40"/>
      <c r="C16" s="40"/>
      <c r="D16" s="40"/>
      <c r="E16" s="40"/>
      <c r="F16" s="40"/>
      <c r="G16" s="41"/>
    </row>
    <row r="17" spans="1:7" ht="43.5" customHeight="1" x14ac:dyDescent="0.3">
      <c r="A17" s="39" t="s">
        <v>243</v>
      </c>
      <c r="B17" s="40"/>
      <c r="C17" s="40"/>
      <c r="D17" s="40"/>
      <c r="E17" s="40"/>
      <c r="F17" s="40"/>
      <c r="G17" s="41"/>
    </row>
    <row r="18" spans="1:7" ht="14.5" x14ac:dyDescent="0.35">
      <c r="E18" s="32"/>
    </row>
    <row r="19" spans="1:7" ht="14.5" x14ac:dyDescent="0.35">
      <c r="E19" s="32"/>
    </row>
    <row r="20" spans="1:7" ht="14.5" x14ac:dyDescent="0.35">
      <c r="E20" s="32"/>
    </row>
    <row r="21" spans="1:7" ht="15.75" customHeight="1" x14ac:dyDescent="0.35">
      <c r="E21" s="32"/>
    </row>
    <row r="22" spans="1:7" ht="15.75" customHeight="1" x14ac:dyDescent="0.35">
      <c r="E22" s="32"/>
    </row>
    <row r="23" spans="1:7" ht="15.75" customHeight="1" x14ac:dyDescent="0.35">
      <c r="E23" s="32"/>
    </row>
    <row r="24" spans="1:7" ht="15.75" customHeight="1" x14ac:dyDescent="0.35">
      <c r="E24" s="32"/>
    </row>
    <row r="25" spans="1:7" ht="15.75" customHeight="1" x14ac:dyDescent="0.35">
      <c r="E25" s="32"/>
    </row>
    <row r="26" spans="1:7" ht="15.75" customHeight="1" x14ac:dyDescent="0.35">
      <c r="E26" s="32"/>
    </row>
    <row r="27" spans="1:7" ht="15.75" customHeight="1" x14ac:dyDescent="0.35">
      <c r="E27" s="32"/>
    </row>
    <row r="28" spans="1:7" ht="15.75" customHeight="1" x14ac:dyDescent="0.35">
      <c r="E28" s="32"/>
    </row>
    <row r="29" spans="1:7" ht="15.75" customHeight="1" x14ac:dyDescent="0.35">
      <c r="E29" s="32"/>
    </row>
    <row r="30" spans="1:7" ht="15.75" customHeight="1" x14ac:dyDescent="0.35">
      <c r="E30" s="32"/>
    </row>
    <row r="31" spans="1:7" ht="15.75" customHeight="1" x14ac:dyDescent="0.35">
      <c r="E31" s="32"/>
    </row>
    <row r="32" spans="1:7" ht="15.75" customHeight="1" x14ac:dyDescent="0.35">
      <c r="E32" s="32"/>
    </row>
    <row r="33" spans="5:5" ht="15.75" customHeight="1" x14ac:dyDescent="0.35">
      <c r="E33" s="32"/>
    </row>
    <row r="34" spans="5:5" ht="15.75" customHeight="1" x14ac:dyDescent="0.35">
      <c r="E34" s="32"/>
    </row>
    <row r="35" spans="5:5" ht="15.75" customHeight="1" x14ac:dyDescent="0.35">
      <c r="E35" s="32"/>
    </row>
    <row r="36" spans="5:5" ht="15.75" customHeight="1" x14ac:dyDescent="0.35">
      <c r="E36" s="32"/>
    </row>
    <row r="37" spans="5:5" ht="15.75" customHeight="1" x14ac:dyDescent="0.35">
      <c r="E37" s="32"/>
    </row>
    <row r="38" spans="5:5" ht="15.75" customHeight="1" x14ac:dyDescent="0.35">
      <c r="E38" s="32"/>
    </row>
    <row r="39" spans="5:5" ht="15.75" customHeight="1" x14ac:dyDescent="0.35">
      <c r="E39" s="32"/>
    </row>
    <row r="40" spans="5:5" ht="15.75" customHeight="1" x14ac:dyDescent="0.35">
      <c r="E40" s="32"/>
    </row>
    <row r="41" spans="5:5" ht="15.75" customHeight="1" x14ac:dyDescent="0.35">
      <c r="E41" s="32"/>
    </row>
    <row r="42" spans="5:5" ht="15.75" customHeight="1" x14ac:dyDescent="0.35">
      <c r="E42" s="32"/>
    </row>
    <row r="43" spans="5:5" ht="15.75" customHeight="1" x14ac:dyDescent="0.35">
      <c r="E43" s="32"/>
    </row>
    <row r="44" spans="5:5" ht="15.75" customHeight="1" x14ac:dyDescent="0.35">
      <c r="E44" s="32"/>
    </row>
    <row r="45" spans="5:5" ht="15.75" customHeight="1" x14ac:dyDescent="0.35">
      <c r="E45" s="32"/>
    </row>
    <row r="46" spans="5:5" ht="15.75" customHeight="1" x14ac:dyDescent="0.35">
      <c r="E46" s="32"/>
    </row>
    <row r="47" spans="5:5" ht="15.75" customHeight="1" x14ac:dyDescent="0.35">
      <c r="E47" s="32"/>
    </row>
    <row r="48" spans="5:5" ht="15.75" customHeight="1" x14ac:dyDescent="0.35">
      <c r="E48" s="32"/>
    </row>
    <row r="49" spans="5:5" ht="15.75" customHeight="1" x14ac:dyDescent="0.35">
      <c r="E49" s="32"/>
    </row>
    <row r="50" spans="5:5" ht="15.75" customHeight="1" x14ac:dyDescent="0.35">
      <c r="E50" s="32"/>
    </row>
    <row r="51" spans="5:5" ht="15.75" customHeight="1" x14ac:dyDescent="0.35">
      <c r="E51" s="32"/>
    </row>
    <row r="52" spans="5:5" ht="15.75" customHeight="1" x14ac:dyDescent="0.35">
      <c r="E52" s="32"/>
    </row>
    <row r="53" spans="5:5" ht="15.75" customHeight="1" x14ac:dyDescent="0.35">
      <c r="E53" s="32"/>
    </row>
    <row r="54" spans="5:5" ht="15.75" customHeight="1" x14ac:dyDescent="0.35">
      <c r="E54" s="32"/>
    </row>
    <row r="55" spans="5:5" ht="15.75" customHeight="1" x14ac:dyDescent="0.35">
      <c r="E55" s="32"/>
    </row>
    <row r="56" spans="5:5" ht="15.75" customHeight="1" x14ac:dyDescent="0.35">
      <c r="E56" s="32"/>
    </row>
    <row r="57" spans="5:5" ht="15.75" customHeight="1" x14ac:dyDescent="0.35">
      <c r="E57" s="32"/>
    </row>
    <row r="58" spans="5:5" ht="15.75" customHeight="1" x14ac:dyDescent="0.35">
      <c r="E58" s="32"/>
    </row>
    <row r="59" spans="5:5" ht="15.75" customHeight="1" x14ac:dyDescent="0.35">
      <c r="E59" s="32"/>
    </row>
    <row r="60" spans="5:5" ht="15.75" customHeight="1" x14ac:dyDescent="0.35">
      <c r="E60" s="32"/>
    </row>
    <row r="61" spans="5:5" ht="15.75" customHeight="1" x14ac:dyDescent="0.35">
      <c r="E61" s="32"/>
    </row>
    <row r="62" spans="5:5" ht="15.75" customHeight="1" x14ac:dyDescent="0.35">
      <c r="E62" s="32"/>
    </row>
    <row r="63" spans="5:5" ht="15.75" customHeight="1" x14ac:dyDescent="0.35">
      <c r="E63" s="32"/>
    </row>
    <row r="64" spans="5:5" ht="15.75" customHeight="1" x14ac:dyDescent="0.35">
      <c r="E64" s="32"/>
    </row>
    <row r="65" spans="5:5" ht="15.75" customHeight="1" x14ac:dyDescent="0.35">
      <c r="E65" s="32"/>
    </row>
    <row r="66" spans="5:5" ht="15.75" customHeight="1" x14ac:dyDescent="0.35">
      <c r="E66" s="32"/>
    </row>
    <row r="67" spans="5:5" ht="15.75" customHeight="1" x14ac:dyDescent="0.35">
      <c r="E67" s="32"/>
    </row>
    <row r="68" spans="5:5" ht="15.75" customHeight="1" x14ac:dyDescent="0.35">
      <c r="E68" s="32"/>
    </row>
    <row r="69" spans="5:5" ht="15.75" customHeight="1" x14ac:dyDescent="0.35">
      <c r="E69" s="32"/>
    </row>
    <row r="70" spans="5:5" ht="15.75" customHeight="1" x14ac:dyDescent="0.35">
      <c r="E70" s="32"/>
    </row>
    <row r="71" spans="5:5" ht="15.75" customHeight="1" x14ac:dyDescent="0.35">
      <c r="E71" s="32"/>
    </row>
    <row r="72" spans="5:5" ht="15.75" customHeight="1" x14ac:dyDescent="0.35">
      <c r="E72" s="32"/>
    </row>
    <row r="73" spans="5:5" ht="15.75" customHeight="1" x14ac:dyDescent="0.35">
      <c r="E73" s="32"/>
    </row>
    <row r="74" spans="5:5" ht="15.75" customHeight="1" x14ac:dyDescent="0.35">
      <c r="E74" s="32"/>
    </row>
    <row r="75" spans="5:5" ht="15.75" customHeight="1" x14ac:dyDescent="0.35">
      <c r="E75" s="32"/>
    </row>
    <row r="76" spans="5:5" ht="15.75" customHeight="1" x14ac:dyDescent="0.35">
      <c r="E76" s="32"/>
    </row>
    <row r="77" spans="5:5" ht="15.75" customHeight="1" x14ac:dyDescent="0.35">
      <c r="E77" s="32"/>
    </row>
    <row r="78" spans="5:5" ht="15.75" customHeight="1" x14ac:dyDescent="0.35">
      <c r="E78" s="32"/>
    </row>
    <row r="79" spans="5:5" ht="15.75" customHeight="1" x14ac:dyDescent="0.35">
      <c r="E79" s="32"/>
    </row>
    <row r="80" spans="5:5" ht="15.75" customHeight="1" x14ac:dyDescent="0.35">
      <c r="E80" s="32"/>
    </row>
    <row r="81" spans="5:5" ht="15.75" customHeight="1" x14ac:dyDescent="0.35">
      <c r="E81" s="32"/>
    </row>
    <row r="82" spans="5:5" ht="15.75" customHeight="1" x14ac:dyDescent="0.35">
      <c r="E82" s="32"/>
    </row>
    <row r="83" spans="5:5" ht="15.75" customHeight="1" x14ac:dyDescent="0.35">
      <c r="E83" s="32"/>
    </row>
    <row r="84" spans="5:5" ht="15.75" customHeight="1" x14ac:dyDescent="0.35">
      <c r="E84" s="32"/>
    </row>
    <row r="85" spans="5:5" ht="15.75" customHeight="1" x14ac:dyDescent="0.35">
      <c r="E85" s="32"/>
    </row>
    <row r="86" spans="5:5" ht="15.75" customHeight="1" x14ac:dyDescent="0.35">
      <c r="E86" s="32"/>
    </row>
    <row r="87" spans="5:5" ht="15.75" customHeight="1" x14ac:dyDescent="0.35">
      <c r="E87" s="32"/>
    </row>
    <row r="88" spans="5:5" ht="15.75" customHeight="1" x14ac:dyDescent="0.35">
      <c r="E88" s="32"/>
    </row>
    <row r="89" spans="5:5" ht="15.75" customHeight="1" x14ac:dyDescent="0.35">
      <c r="E89" s="32"/>
    </row>
    <row r="90" spans="5:5" ht="15.75" customHeight="1" x14ac:dyDescent="0.35">
      <c r="E90" s="32"/>
    </row>
    <row r="91" spans="5:5" ht="15.75" customHeight="1" x14ac:dyDescent="0.35">
      <c r="E91" s="32"/>
    </row>
    <row r="92" spans="5:5" ht="15.75" customHeight="1" x14ac:dyDescent="0.35">
      <c r="E92" s="32"/>
    </row>
    <row r="93" spans="5:5" ht="15.75" customHeight="1" x14ac:dyDescent="0.35">
      <c r="E93" s="32"/>
    </row>
    <row r="94" spans="5:5" ht="15.75" customHeight="1" x14ac:dyDescent="0.35">
      <c r="E94" s="32"/>
    </row>
    <row r="95" spans="5:5" ht="15.75" customHeight="1" x14ac:dyDescent="0.35">
      <c r="E95" s="32"/>
    </row>
    <row r="96" spans="5:5" ht="15.75" customHeight="1" x14ac:dyDescent="0.35">
      <c r="E96" s="32"/>
    </row>
    <row r="97" spans="5:5" ht="15.75" customHeight="1" x14ac:dyDescent="0.35">
      <c r="E97" s="32"/>
    </row>
    <row r="98" spans="5:5" ht="15.75" customHeight="1" x14ac:dyDescent="0.35">
      <c r="E98" s="32"/>
    </row>
    <row r="99" spans="5:5" ht="15.75" customHeight="1" x14ac:dyDescent="0.35">
      <c r="E99" s="32"/>
    </row>
    <row r="100" spans="5:5" ht="15.75" customHeight="1" x14ac:dyDescent="0.35">
      <c r="E100" s="32"/>
    </row>
    <row r="101" spans="5:5" ht="15.75" customHeight="1" x14ac:dyDescent="0.35">
      <c r="E101" s="32"/>
    </row>
    <row r="102" spans="5:5" ht="15.75" customHeight="1" x14ac:dyDescent="0.35">
      <c r="E102" s="32"/>
    </row>
    <row r="103" spans="5:5" ht="15.75" customHeight="1" x14ac:dyDescent="0.35">
      <c r="E103" s="32"/>
    </row>
    <row r="104" spans="5:5" ht="15.75" customHeight="1" x14ac:dyDescent="0.35">
      <c r="E104" s="32"/>
    </row>
    <row r="105" spans="5:5" ht="15.75" customHeight="1" x14ac:dyDescent="0.35">
      <c r="E105" s="32"/>
    </row>
    <row r="106" spans="5:5" ht="15.75" customHeight="1" x14ac:dyDescent="0.35">
      <c r="E106" s="32"/>
    </row>
    <row r="107" spans="5:5" ht="15.75" customHeight="1" x14ac:dyDescent="0.35">
      <c r="E107" s="32"/>
    </row>
    <row r="108" spans="5:5" ht="15.75" customHeight="1" x14ac:dyDescent="0.35">
      <c r="E108" s="32"/>
    </row>
    <row r="109" spans="5:5" ht="15.75" customHeight="1" x14ac:dyDescent="0.35">
      <c r="E109" s="32"/>
    </row>
    <row r="110" spans="5:5" ht="15.75" customHeight="1" x14ac:dyDescent="0.35">
      <c r="E110" s="32"/>
    </row>
    <row r="111" spans="5:5" ht="15.75" customHeight="1" x14ac:dyDescent="0.35">
      <c r="E111" s="32"/>
    </row>
    <row r="112" spans="5:5" ht="15.75" customHeight="1" x14ac:dyDescent="0.35">
      <c r="E112" s="32"/>
    </row>
    <row r="113" spans="5:5" ht="15.75" customHeight="1" x14ac:dyDescent="0.35">
      <c r="E113" s="32"/>
    </row>
    <row r="114" spans="5:5" ht="15.75" customHeight="1" x14ac:dyDescent="0.35">
      <c r="E114" s="32"/>
    </row>
    <row r="115" spans="5:5" ht="15.75" customHeight="1" x14ac:dyDescent="0.35">
      <c r="E115" s="32"/>
    </row>
    <row r="116" spans="5:5" ht="15.75" customHeight="1" x14ac:dyDescent="0.35">
      <c r="E116" s="32"/>
    </row>
    <row r="117" spans="5:5" ht="15.75" customHeight="1" x14ac:dyDescent="0.35">
      <c r="E117" s="32"/>
    </row>
    <row r="118" spans="5:5" ht="15.75" customHeight="1" x14ac:dyDescent="0.35">
      <c r="E118" s="32"/>
    </row>
    <row r="119" spans="5:5" ht="15.75" customHeight="1" x14ac:dyDescent="0.35">
      <c r="E119" s="32"/>
    </row>
    <row r="120" spans="5:5" ht="15.75" customHeight="1" x14ac:dyDescent="0.35">
      <c r="E120" s="32"/>
    </row>
    <row r="121" spans="5:5" ht="15.75" customHeight="1" x14ac:dyDescent="0.35">
      <c r="E121" s="32"/>
    </row>
    <row r="122" spans="5:5" ht="15.75" customHeight="1" x14ac:dyDescent="0.35">
      <c r="E122" s="32"/>
    </row>
    <row r="123" spans="5:5" ht="15.75" customHeight="1" x14ac:dyDescent="0.35">
      <c r="E123" s="32"/>
    </row>
    <row r="124" spans="5:5" ht="15.75" customHeight="1" x14ac:dyDescent="0.35">
      <c r="E124" s="32"/>
    </row>
    <row r="125" spans="5:5" ht="15.75" customHeight="1" x14ac:dyDescent="0.35">
      <c r="E125" s="32"/>
    </row>
    <row r="126" spans="5:5" ht="15.75" customHeight="1" x14ac:dyDescent="0.35">
      <c r="E126" s="32"/>
    </row>
    <row r="127" spans="5:5" ht="15.75" customHeight="1" x14ac:dyDescent="0.35">
      <c r="E127" s="32"/>
    </row>
    <row r="128" spans="5:5" ht="15.75" customHeight="1" x14ac:dyDescent="0.35">
      <c r="E128" s="32"/>
    </row>
    <row r="129" spans="5:5" ht="15.75" customHeight="1" x14ac:dyDescent="0.35">
      <c r="E129" s="32"/>
    </row>
    <row r="130" spans="5:5" ht="15.75" customHeight="1" x14ac:dyDescent="0.35">
      <c r="E130" s="32"/>
    </row>
    <row r="131" spans="5:5" ht="15.75" customHeight="1" x14ac:dyDescent="0.35">
      <c r="E131" s="32"/>
    </row>
    <row r="132" spans="5:5" ht="15.75" customHeight="1" x14ac:dyDescent="0.35">
      <c r="E132" s="32"/>
    </row>
    <row r="133" spans="5:5" ht="15.75" customHeight="1" x14ac:dyDescent="0.35">
      <c r="E133" s="32"/>
    </row>
    <row r="134" spans="5:5" ht="15.75" customHeight="1" x14ac:dyDescent="0.35">
      <c r="E134" s="32"/>
    </row>
    <row r="135" spans="5:5" ht="15.75" customHeight="1" x14ac:dyDescent="0.35">
      <c r="E135" s="32"/>
    </row>
    <row r="136" spans="5:5" ht="15.75" customHeight="1" x14ac:dyDescent="0.35">
      <c r="E136" s="32"/>
    </row>
    <row r="137" spans="5:5" ht="15.75" customHeight="1" x14ac:dyDescent="0.35">
      <c r="E137" s="32"/>
    </row>
    <row r="138" spans="5:5" ht="15.75" customHeight="1" x14ac:dyDescent="0.35">
      <c r="E138" s="32"/>
    </row>
    <row r="139" spans="5:5" ht="15.75" customHeight="1" x14ac:dyDescent="0.35">
      <c r="E139" s="32"/>
    </row>
    <row r="140" spans="5:5" ht="15.75" customHeight="1" x14ac:dyDescent="0.35">
      <c r="E140" s="32"/>
    </row>
    <row r="141" spans="5:5" ht="15.75" customHeight="1" x14ac:dyDescent="0.35">
      <c r="E141" s="32"/>
    </row>
    <row r="142" spans="5:5" ht="15.75" customHeight="1" x14ac:dyDescent="0.35">
      <c r="E142" s="32"/>
    </row>
    <row r="143" spans="5:5" ht="15.75" customHeight="1" x14ac:dyDescent="0.35">
      <c r="E143" s="32"/>
    </row>
    <row r="144" spans="5:5" ht="15.75" customHeight="1" x14ac:dyDescent="0.35">
      <c r="E144" s="32"/>
    </row>
    <row r="145" spans="5:5" ht="15.75" customHeight="1" x14ac:dyDescent="0.35">
      <c r="E145" s="32"/>
    </row>
    <row r="146" spans="5:5" ht="15.75" customHeight="1" x14ac:dyDescent="0.35">
      <c r="E146" s="32"/>
    </row>
    <row r="147" spans="5:5" ht="15.75" customHeight="1" x14ac:dyDescent="0.35">
      <c r="E147" s="32"/>
    </row>
    <row r="148" spans="5:5" ht="15.75" customHeight="1" x14ac:dyDescent="0.35">
      <c r="E148" s="32"/>
    </row>
    <row r="149" spans="5:5" ht="15.75" customHeight="1" x14ac:dyDescent="0.35">
      <c r="E149" s="32"/>
    </row>
    <row r="150" spans="5:5" ht="15.75" customHeight="1" x14ac:dyDescent="0.35">
      <c r="E150" s="32"/>
    </row>
    <row r="151" spans="5:5" ht="15.75" customHeight="1" x14ac:dyDescent="0.35">
      <c r="E151" s="32"/>
    </row>
    <row r="152" spans="5:5" ht="15.75" customHeight="1" x14ac:dyDescent="0.35">
      <c r="E152" s="32"/>
    </row>
    <row r="153" spans="5:5" ht="15.75" customHeight="1" x14ac:dyDescent="0.35">
      <c r="E153" s="32"/>
    </row>
    <row r="154" spans="5:5" ht="15.75" customHeight="1" x14ac:dyDescent="0.35">
      <c r="E154" s="32"/>
    </row>
    <row r="155" spans="5:5" ht="15.75" customHeight="1" x14ac:dyDescent="0.35">
      <c r="E155" s="32"/>
    </row>
    <row r="156" spans="5:5" ht="15.75" customHeight="1" x14ac:dyDescent="0.35">
      <c r="E156" s="32"/>
    </row>
    <row r="157" spans="5:5" ht="15.75" customHeight="1" x14ac:dyDescent="0.35">
      <c r="E157" s="32"/>
    </row>
    <row r="158" spans="5:5" ht="15.75" customHeight="1" x14ac:dyDescent="0.35">
      <c r="E158" s="32"/>
    </row>
    <row r="159" spans="5:5" ht="15.75" customHeight="1" x14ac:dyDescent="0.35">
      <c r="E159" s="32"/>
    </row>
    <row r="160" spans="5:5" ht="15.75" customHeight="1" x14ac:dyDescent="0.35">
      <c r="E160" s="32"/>
    </row>
    <row r="161" spans="5:5" ht="15.75" customHeight="1" x14ac:dyDescent="0.35">
      <c r="E161" s="32"/>
    </row>
    <row r="162" spans="5:5" ht="15.75" customHeight="1" x14ac:dyDescent="0.35">
      <c r="E162" s="32"/>
    </row>
    <row r="163" spans="5:5" ht="15.75" customHeight="1" x14ac:dyDescent="0.35">
      <c r="E163" s="32"/>
    </row>
    <row r="164" spans="5:5" ht="15.75" customHeight="1" x14ac:dyDescent="0.35">
      <c r="E164" s="32"/>
    </row>
    <row r="165" spans="5:5" ht="15.75" customHeight="1" x14ac:dyDescent="0.35">
      <c r="E165" s="32"/>
    </row>
    <row r="166" spans="5:5" ht="15.75" customHeight="1" x14ac:dyDescent="0.35">
      <c r="E166" s="32"/>
    </row>
    <row r="167" spans="5:5" ht="15.75" customHeight="1" x14ac:dyDescent="0.35">
      <c r="E167" s="32"/>
    </row>
    <row r="168" spans="5:5" ht="15.75" customHeight="1" x14ac:dyDescent="0.35">
      <c r="E168" s="32"/>
    </row>
    <row r="169" spans="5:5" ht="15.75" customHeight="1" x14ac:dyDescent="0.35">
      <c r="E169" s="32"/>
    </row>
    <row r="170" spans="5:5" ht="15.75" customHeight="1" x14ac:dyDescent="0.35">
      <c r="E170" s="32"/>
    </row>
    <row r="171" spans="5:5" ht="15.75" customHeight="1" x14ac:dyDescent="0.35">
      <c r="E171" s="32"/>
    </row>
    <row r="172" spans="5:5" ht="15.75" customHeight="1" x14ac:dyDescent="0.35">
      <c r="E172" s="32"/>
    </row>
    <row r="173" spans="5:5" ht="15.75" customHeight="1" x14ac:dyDescent="0.35">
      <c r="E173" s="32"/>
    </row>
    <row r="174" spans="5:5" ht="15.75" customHeight="1" x14ac:dyDescent="0.35">
      <c r="E174" s="32"/>
    </row>
    <row r="175" spans="5:5" ht="15.75" customHeight="1" x14ac:dyDescent="0.35">
      <c r="E175" s="32"/>
    </row>
    <row r="176" spans="5:5" ht="15.75" customHeight="1" x14ac:dyDescent="0.35">
      <c r="E176" s="32"/>
    </row>
    <row r="177" spans="5:5" ht="15.75" customHeight="1" x14ac:dyDescent="0.35">
      <c r="E177" s="32"/>
    </row>
    <row r="178" spans="5:5" ht="15.75" customHeight="1" x14ac:dyDescent="0.35">
      <c r="E178" s="32"/>
    </row>
    <row r="179" spans="5:5" ht="15.75" customHeight="1" x14ac:dyDescent="0.35">
      <c r="E179" s="32"/>
    </row>
    <row r="180" spans="5:5" ht="15.75" customHeight="1" x14ac:dyDescent="0.35">
      <c r="E180" s="32"/>
    </row>
    <row r="181" spans="5:5" ht="15.75" customHeight="1" x14ac:dyDescent="0.35">
      <c r="E181" s="32"/>
    </row>
    <row r="182" spans="5:5" ht="15.75" customHeight="1" x14ac:dyDescent="0.35">
      <c r="E182" s="32"/>
    </row>
    <row r="183" spans="5:5" ht="15.75" customHeight="1" x14ac:dyDescent="0.35">
      <c r="E183" s="32"/>
    </row>
    <row r="184" spans="5:5" ht="15.75" customHeight="1" x14ac:dyDescent="0.35">
      <c r="E184" s="32"/>
    </row>
    <row r="185" spans="5:5" ht="15.75" customHeight="1" x14ac:dyDescent="0.35">
      <c r="E185" s="32"/>
    </row>
    <row r="186" spans="5:5" ht="15.75" customHeight="1" x14ac:dyDescent="0.35">
      <c r="E186" s="32"/>
    </row>
    <row r="187" spans="5:5" ht="15.75" customHeight="1" x14ac:dyDescent="0.35">
      <c r="E187" s="32"/>
    </row>
    <row r="188" spans="5:5" ht="15.75" customHeight="1" x14ac:dyDescent="0.35">
      <c r="E188" s="32"/>
    </row>
    <row r="189" spans="5:5" ht="15.75" customHeight="1" x14ac:dyDescent="0.35">
      <c r="E189" s="32"/>
    </row>
    <row r="190" spans="5:5" ht="15.75" customHeight="1" x14ac:dyDescent="0.35">
      <c r="E190" s="32"/>
    </row>
    <row r="191" spans="5:5" ht="15.75" customHeight="1" x14ac:dyDescent="0.35">
      <c r="E191" s="32"/>
    </row>
    <row r="192" spans="5:5" ht="15.75" customHeight="1" x14ac:dyDescent="0.35">
      <c r="E192" s="32"/>
    </row>
    <row r="193" spans="5:5" ht="15.75" customHeight="1" x14ac:dyDescent="0.35">
      <c r="E193" s="32"/>
    </row>
    <row r="194" spans="5:5" ht="15.75" customHeight="1" x14ac:dyDescent="0.35">
      <c r="E194" s="32"/>
    </row>
    <row r="195" spans="5:5" ht="15.75" customHeight="1" x14ac:dyDescent="0.35">
      <c r="E195" s="32"/>
    </row>
    <row r="196" spans="5:5" ht="15.75" customHeight="1" x14ac:dyDescent="0.35">
      <c r="E196" s="32"/>
    </row>
    <row r="197" spans="5:5" ht="15.75" customHeight="1" x14ac:dyDescent="0.35">
      <c r="E197" s="32"/>
    </row>
    <row r="198" spans="5:5" ht="15.75" customHeight="1" x14ac:dyDescent="0.35">
      <c r="E198" s="32"/>
    </row>
    <row r="199" spans="5:5" ht="15.75" customHeight="1" x14ac:dyDescent="0.35">
      <c r="E199" s="32"/>
    </row>
    <row r="200" spans="5:5" ht="15.75" customHeight="1" x14ac:dyDescent="0.35">
      <c r="E200" s="32"/>
    </row>
    <row r="201" spans="5:5" ht="15.75" customHeight="1" x14ac:dyDescent="0.35">
      <c r="E201" s="32"/>
    </row>
    <row r="202" spans="5:5" ht="15.75" customHeight="1" x14ac:dyDescent="0.35">
      <c r="E202" s="32"/>
    </row>
    <row r="203" spans="5:5" ht="15.75" customHeight="1" x14ac:dyDescent="0.35">
      <c r="E203" s="32"/>
    </row>
    <row r="204" spans="5:5" ht="15.75" customHeight="1" x14ac:dyDescent="0.35">
      <c r="E204" s="32"/>
    </row>
    <row r="205" spans="5:5" ht="15.75" customHeight="1" x14ac:dyDescent="0.35">
      <c r="E205" s="32"/>
    </row>
    <row r="206" spans="5:5" ht="15.75" customHeight="1" x14ac:dyDescent="0.35">
      <c r="E206" s="32"/>
    </row>
    <row r="207" spans="5:5" ht="15.75" customHeight="1" x14ac:dyDescent="0.35">
      <c r="E207" s="32"/>
    </row>
    <row r="208" spans="5:5" ht="15.75" customHeight="1" x14ac:dyDescent="0.35">
      <c r="E208" s="32"/>
    </row>
    <row r="209" spans="5:5" ht="15.75" customHeight="1" x14ac:dyDescent="0.35">
      <c r="E209" s="32"/>
    </row>
    <row r="210" spans="5:5" ht="15.75" customHeight="1" x14ac:dyDescent="0.35">
      <c r="E210" s="32"/>
    </row>
    <row r="211" spans="5:5" ht="15.75" customHeight="1" x14ac:dyDescent="0.35">
      <c r="E211" s="32"/>
    </row>
    <row r="212" spans="5:5" ht="15.75" customHeight="1" x14ac:dyDescent="0.35">
      <c r="E212" s="32"/>
    </row>
    <row r="213" spans="5:5" ht="15.75" customHeight="1" x14ac:dyDescent="0.35">
      <c r="E213" s="32"/>
    </row>
    <row r="214" spans="5:5" ht="15.75" customHeight="1" x14ac:dyDescent="0.35">
      <c r="E214" s="32"/>
    </row>
    <row r="215" spans="5:5" ht="15.75" customHeight="1" x14ac:dyDescent="0.35">
      <c r="E215" s="32"/>
    </row>
    <row r="216" spans="5:5" ht="15.75" customHeight="1" x14ac:dyDescent="0.35">
      <c r="E216" s="32"/>
    </row>
    <row r="217" spans="5:5" ht="15.75" customHeight="1" x14ac:dyDescent="0.35">
      <c r="E217" s="32"/>
    </row>
    <row r="218" spans="5:5" ht="15.75" customHeight="1" x14ac:dyDescent="0.35">
      <c r="E218" s="32"/>
    </row>
    <row r="219" spans="5:5" ht="15.75" customHeight="1" x14ac:dyDescent="0.35">
      <c r="E219" s="32"/>
    </row>
    <row r="220" spans="5:5" ht="15.75" customHeight="1" x14ac:dyDescent="0.35">
      <c r="E220" s="32"/>
    </row>
    <row r="221" spans="5:5" ht="15.75" customHeight="1" x14ac:dyDescent="0.35"/>
    <row r="222" spans="5:5" ht="15.75" customHeight="1" x14ac:dyDescent="0.35"/>
    <row r="223" spans="5:5" ht="15.75" customHeight="1" x14ac:dyDescent="0.35"/>
    <row r="224" spans="5:5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G1"/>
    <mergeCell ref="A16:G16"/>
    <mergeCell ref="A17:G17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4.453125" defaultRowHeight="15" customHeight="1" x14ac:dyDescent="0.35"/>
  <cols>
    <col min="1" max="1" width="15.453125" customWidth="1"/>
    <col min="2" max="6" width="16" customWidth="1"/>
    <col min="7" max="26" width="14" customWidth="1"/>
  </cols>
  <sheetData>
    <row r="1" spans="1:6" ht="15.75" customHeight="1" x14ac:dyDescent="0.35">
      <c r="A1" s="37" t="s">
        <v>216</v>
      </c>
      <c r="B1" s="38"/>
      <c r="C1" s="38"/>
      <c r="D1" s="38"/>
      <c r="E1" s="38"/>
      <c r="F1" s="38"/>
    </row>
    <row r="3" spans="1:6" ht="26.25" customHeight="1" x14ac:dyDescent="0.35">
      <c r="A3" s="1" t="s">
        <v>5</v>
      </c>
      <c r="B3" s="1" t="s">
        <v>219</v>
      </c>
      <c r="C3" s="1" t="s">
        <v>151</v>
      </c>
      <c r="D3" s="1" t="s">
        <v>221</v>
      </c>
      <c r="E3" s="1" t="s">
        <v>222</v>
      </c>
    </row>
    <row r="4" spans="1:6" ht="14.5" x14ac:dyDescent="0.25">
      <c r="A4" s="2">
        <v>1</v>
      </c>
      <c r="B4" s="2" t="s">
        <v>28</v>
      </c>
      <c r="C4" s="8">
        <v>50000000</v>
      </c>
      <c r="D4" s="8">
        <v>48000000</v>
      </c>
      <c r="E4" s="34"/>
    </row>
    <row r="5" spans="1:6" ht="14.5" x14ac:dyDescent="0.25">
      <c r="A5" s="2">
        <v>2</v>
      </c>
      <c r="B5" s="2" t="s">
        <v>53</v>
      </c>
      <c r="C5" s="8">
        <v>50000000</v>
      </c>
      <c r="D5" s="8">
        <v>0</v>
      </c>
      <c r="E5" s="34"/>
    </row>
    <row r="6" spans="1:6" ht="14.5" x14ac:dyDescent="0.25">
      <c r="A6" s="2">
        <v>3</v>
      </c>
      <c r="B6" s="2" t="s">
        <v>70</v>
      </c>
      <c r="C6" s="8">
        <v>60000000</v>
      </c>
      <c r="D6" s="8">
        <v>62000000</v>
      </c>
      <c r="E6" s="34"/>
    </row>
    <row r="7" spans="1:6" ht="14.5" x14ac:dyDescent="0.25">
      <c r="A7" s="2">
        <v>4</v>
      </c>
      <c r="B7" s="2" t="s">
        <v>97</v>
      </c>
      <c r="C7" s="8">
        <v>55000000</v>
      </c>
      <c r="D7" s="8">
        <v>51000000</v>
      </c>
      <c r="E7" s="34"/>
    </row>
    <row r="8" spans="1:6" ht="14.5" x14ac:dyDescent="0.25">
      <c r="A8" s="2">
        <v>5</v>
      </c>
      <c r="B8" s="2" t="s">
        <v>65</v>
      </c>
      <c r="C8" s="8">
        <v>45000000</v>
      </c>
      <c r="D8" s="8">
        <v>45000000</v>
      </c>
      <c r="E8" s="34"/>
    </row>
    <row r="9" spans="1:6" ht="14.5" x14ac:dyDescent="0.25">
      <c r="A9" s="2">
        <v>6</v>
      </c>
      <c r="B9" s="2" t="s">
        <v>163</v>
      </c>
      <c r="C9" s="8">
        <v>50000000</v>
      </c>
      <c r="D9" s="34" t="e">
        <f>C9/B9</f>
        <v>#VALUE!</v>
      </c>
      <c r="E9" s="34"/>
    </row>
    <row r="10" spans="1:6" ht="14.5" x14ac:dyDescent="0.25">
      <c r="A10" s="2">
        <v>7</v>
      </c>
      <c r="B10" s="2" t="s">
        <v>178</v>
      </c>
      <c r="C10" s="8">
        <v>70000000</v>
      </c>
      <c r="D10" s="8">
        <v>75000000</v>
      </c>
      <c r="E10" s="34"/>
    </row>
    <row r="11" spans="1:6" ht="14.5" x14ac:dyDescent="0.25">
      <c r="A11" s="2">
        <v>8</v>
      </c>
      <c r="B11" s="2" t="s">
        <v>179</v>
      </c>
      <c r="C11" s="8">
        <v>40000000</v>
      </c>
      <c r="D11" s="8">
        <v>38000000</v>
      </c>
      <c r="E11" s="34"/>
    </row>
    <row r="12" spans="1:6" ht="14.5" x14ac:dyDescent="0.25">
      <c r="A12" s="2">
        <v>9</v>
      </c>
      <c r="B12" s="2" t="s">
        <v>225</v>
      </c>
      <c r="C12" s="8">
        <v>55000000</v>
      </c>
      <c r="D12" s="8">
        <v>52000000</v>
      </c>
      <c r="E12" s="34"/>
    </row>
    <row r="13" spans="1:6" ht="14.5" x14ac:dyDescent="0.25">
      <c r="A13" s="2">
        <v>10</v>
      </c>
      <c r="B13" s="2" t="s">
        <v>227</v>
      </c>
      <c r="C13" s="8">
        <v>60000000</v>
      </c>
      <c r="D13" s="8">
        <v>58000000</v>
      </c>
      <c r="E13" s="34"/>
    </row>
    <row r="16" spans="1:6" ht="26.25" customHeight="1" x14ac:dyDescent="0.35">
      <c r="A16" s="1" t="s">
        <v>228</v>
      </c>
      <c r="B16" s="1" t="s">
        <v>229</v>
      </c>
      <c r="C16" s="1" t="s">
        <v>230</v>
      </c>
    </row>
    <row r="17" spans="1:3" ht="34.5" customHeight="1" x14ac:dyDescent="0.25">
      <c r="A17" s="2" t="s">
        <v>231</v>
      </c>
      <c r="B17" s="23"/>
      <c r="C17" s="7"/>
    </row>
    <row r="18" spans="1:3" ht="45.75" customHeight="1" x14ac:dyDescent="0.25">
      <c r="A18" s="2" t="s">
        <v>233</v>
      </c>
      <c r="B18" s="36"/>
      <c r="C18" s="36"/>
    </row>
    <row r="19" spans="1:3" ht="34.5" customHeight="1" x14ac:dyDescent="0.25">
      <c r="A19" s="2" t="s">
        <v>234</v>
      </c>
      <c r="B19" s="7"/>
      <c r="C19" s="7"/>
    </row>
    <row r="20" spans="1:3" ht="34.5" customHeight="1" x14ac:dyDescent="0.25">
      <c r="A20" s="2" t="s">
        <v>235</v>
      </c>
      <c r="B20" s="7"/>
      <c r="C20" s="7"/>
    </row>
    <row r="21" spans="1:3" ht="15.75" customHeight="1" x14ac:dyDescent="0.35"/>
    <row r="22" spans="1:3" ht="15.75" customHeight="1" x14ac:dyDescent="0.35"/>
    <row r="23" spans="1:3" ht="15.75" customHeight="1" x14ac:dyDescent="0.35"/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F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E10" sqref="E10"/>
    </sheetView>
  </sheetViews>
  <sheetFormatPr defaultColWidth="14.453125" defaultRowHeight="15" customHeight="1" x14ac:dyDescent="0.35"/>
  <cols>
    <col min="1" max="1" width="6" customWidth="1"/>
    <col min="2" max="2" width="18" customWidth="1"/>
    <col min="3" max="4" width="14" customWidth="1"/>
    <col min="5" max="5" width="22" customWidth="1"/>
    <col min="6" max="6" width="8.7265625" customWidth="1"/>
    <col min="7" max="26" width="14" customWidth="1"/>
  </cols>
  <sheetData>
    <row r="1" spans="1:6" ht="15.75" customHeight="1" x14ac:dyDescent="0.35">
      <c r="A1" s="37" t="s">
        <v>236</v>
      </c>
      <c r="B1" s="38"/>
      <c r="C1" s="38"/>
      <c r="D1" s="38"/>
      <c r="E1" s="38"/>
      <c r="F1" s="38"/>
    </row>
    <row r="3" spans="1:6" ht="26.25" customHeight="1" x14ac:dyDescent="0.35">
      <c r="A3" s="1" t="s">
        <v>5</v>
      </c>
      <c r="B3" s="1" t="s">
        <v>238</v>
      </c>
      <c r="C3" s="1" t="s">
        <v>11</v>
      </c>
      <c r="D3" s="1" t="s">
        <v>18</v>
      </c>
      <c r="E3" s="1" t="s">
        <v>239</v>
      </c>
    </row>
    <row r="4" spans="1:6" ht="14.5" x14ac:dyDescent="0.25">
      <c r="A4" s="2">
        <v>1</v>
      </c>
      <c r="B4" s="31">
        <v>45660</v>
      </c>
      <c r="C4" s="2" t="s">
        <v>24</v>
      </c>
      <c r="D4" s="22">
        <v>8500000</v>
      </c>
      <c r="E4" s="7">
        <f>_xlfn.ISOWEEKNUM($B$4)</f>
        <v>1</v>
      </c>
    </row>
    <row r="5" spans="1:6" ht="14.5" x14ac:dyDescent="0.25">
      <c r="A5" s="2">
        <v>2</v>
      </c>
      <c r="B5" s="31">
        <v>45664</v>
      </c>
      <c r="C5" s="2" t="s">
        <v>33</v>
      </c>
      <c r="D5" s="22">
        <v>250000</v>
      </c>
      <c r="E5" s="7"/>
    </row>
    <row r="6" spans="1:6" ht="14.5" x14ac:dyDescent="0.25">
      <c r="A6" s="2">
        <v>3</v>
      </c>
      <c r="B6" s="31">
        <v>45671</v>
      </c>
      <c r="C6" s="2" t="s">
        <v>55</v>
      </c>
      <c r="D6" s="22">
        <v>3200000</v>
      </c>
      <c r="E6" s="7"/>
    </row>
    <row r="7" spans="1:6" ht="14.5" x14ac:dyDescent="0.25">
      <c r="A7" s="2">
        <v>4</v>
      </c>
      <c r="B7" s="31">
        <v>45677</v>
      </c>
      <c r="C7" s="2" t="s">
        <v>42</v>
      </c>
      <c r="D7" s="22">
        <v>450000</v>
      </c>
      <c r="E7" s="7"/>
    </row>
    <row r="8" spans="1:6" ht="14.5" x14ac:dyDescent="0.25">
      <c r="A8" s="2">
        <v>5</v>
      </c>
      <c r="B8" s="31">
        <v>45691</v>
      </c>
      <c r="C8" s="2" t="s">
        <v>24</v>
      </c>
      <c r="D8" s="22">
        <v>8500000</v>
      </c>
      <c r="E8" s="7"/>
    </row>
    <row r="9" spans="1:6" ht="14.5" x14ac:dyDescent="0.25">
      <c r="A9" s="2">
        <v>6</v>
      </c>
      <c r="B9" s="31">
        <v>45698</v>
      </c>
      <c r="C9" s="2" t="s">
        <v>72</v>
      </c>
      <c r="D9" s="22">
        <v>550000</v>
      </c>
      <c r="E9" s="7"/>
    </row>
    <row r="10" spans="1:6" ht="14.5" x14ac:dyDescent="0.25">
      <c r="A10" s="2">
        <v>7</v>
      </c>
      <c r="B10" s="31">
        <v>45705</v>
      </c>
      <c r="C10" s="2" t="s">
        <v>78</v>
      </c>
      <c r="D10" s="22">
        <v>750000</v>
      </c>
      <c r="E10" s="7"/>
    </row>
    <row r="11" spans="1:6" ht="14.5" x14ac:dyDescent="0.25">
      <c r="A11" s="2">
        <v>8</v>
      </c>
      <c r="B11" s="31">
        <v>45721</v>
      </c>
      <c r="C11" s="2" t="s">
        <v>33</v>
      </c>
      <c r="D11" s="22">
        <v>250000</v>
      </c>
      <c r="E11" s="7"/>
    </row>
    <row r="12" spans="1:6" ht="14.5" x14ac:dyDescent="0.25">
      <c r="A12" s="2">
        <v>9</v>
      </c>
      <c r="B12" s="31">
        <v>45728</v>
      </c>
      <c r="C12" s="2" t="s">
        <v>24</v>
      </c>
      <c r="D12" s="22">
        <v>8500000</v>
      </c>
      <c r="E12" s="7"/>
    </row>
    <row r="13" spans="1:6" ht="14.5" x14ac:dyDescent="0.25">
      <c r="A13" s="2">
        <v>10</v>
      </c>
      <c r="B13" s="31">
        <v>45740</v>
      </c>
      <c r="C13" s="2" t="s">
        <v>55</v>
      </c>
      <c r="D13" s="22">
        <v>3200000</v>
      </c>
      <c r="E13" s="7"/>
    </row>
    <row r="14" spans="1:6" ht="14.5" x14ac:dyDescent="0.25">
      <c r="A14" s="2">
        <v>11</v>
      </c>
      <c r="B14" s="31">
        <v>45748</v>
      </c>
      <c r="C14" s="2" t="s">
        <v>42</v>
      </c>
      <c r="D14" s="22">
        <v>450000</v>
      </c>
      <c r="E14" s="7"/>
    </row>
    <row r="15" spans="1:6" ht="14.5" x14ac:dyDescent="0.25">
      <c r="A15" s="2">
        <v>12</v>
      </c>
      <c r="B15" s="31">
        <v>45761</v>
      </c>
      <c r="C15" s="2" t="s">
        <v>24</v>
      </c>
      <c r="D15" s="22">
        <v>8500000</v>
      </c>
      <c r="E15" s="7"/>
    </row>
    <row r="18" spans="1:6" ht="14.5" x14ac:dyDescent="0.3">
      <c r="A18" s="39" t="s">
        <v>241</v>
      </c>
      <c r="B18" s="40"/>
      <c r="C18" s="40"/>
      <c r="D18" s="40"/>
      <c r="E18" s="40"/>
      <c r="F18" s="41"/>
    </row>
    <row r="21" spans="1:6" ht="15.75" customHeight="1" x14ac:dyDescent="0.35"/>
    <row r="22" spans="1:6" ht="15.75" customHeight="1" x14ac:dyDescent="0.35"/>
    <row r="23" spans="1:6" ht="15.75" customHeight="1" x14ac:dyDescent="0.35"/>
    <row r="24" spans="1:6" ht="15.75" customHeight="1" x14ac:dyDescent="0.35"/>
    <row r="25" spans="1:6" ht="15.75" customHeight="1" x14ac:dyDescent="0.35"/>
    <row r="26" spans="1:6" ht="15.75" customHeight="1" x14ac:dyDescent="0.35"/>
    <row r="27" spans="1:6" ht="15.75" customHeight="1" x14ac:dyDescent="0.35"/>
    <row r="28" spans="1:6" ht="15.75" customHeight="1" x14ac:dyDescent="0.35"/>
    <row r="29" spans="1:6" ht="15.75" customHeight="1" x14ac:dyDescent="0.35"/>
    <row r="30" spans="1:6" ht="15.75" customHeight="1" x14ac:dyDescent="0.35"/>
    <row r="31" spans="1:6" ht="15.75" customHeight="1" x14ac:dyDescent="0.35"/>
    <row r="32" spans="1: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F1"/>
    <mergeCell ref="A18:F18"/>
  </mergeCells>
  <pageMargins left="0.75" right="0.75" top="1" bottom="1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53125" defaultRowHeight="15" customHeight="1" x14ac:dyDescent="0.35"/>
  <cols>
    <col min="1" max="1" width="6" customWidth="1"/>
    <col min="2" max="2" width="14" customWidth="1"/>
    <col min="3" max="3" width="12" customWidth="1"/>
    <col min="4" max="4" width="14" customWidth="1"/>
    <col min="5" max="5" width="12" customWidth="1"/>
    <col min="6" max="6" width="14" customWidth="1"/>
    <col min="7" max="7" width="25" customWidth="1"/>
    <col min="8" max="26" width="14" customWidth="1"/>
  </cols>
  <sheetData>
    <row r="1" spans="1:7" ht="15.75" customHeight="1" x14ac:dyDescent="0.35">
      <c r="A1" s="37" t="s">
        <v>244</v>
      </c>
      <c r="B1" s="38"/>
      <c r="C1" s="38"/>
      <c r="D1" s="38"/>
      <c r="E1" s="38"/>
      <c r="F1" s="38"/>
      <c r="G1" s="38"/>
    </row>
    <row r="3" spans="1:7" ht="14.5" x14ac:dyDescent="0.35">
      <c r="A3" s="1" t="s">
        <v>5</v>
      </c>
      <c r="B3" s="1" t="s">
        <v>8</v>
      </c>
      <c r="C3" s="1" t="s">
        <v>12</v>
      </c>
      <c r="D3" s="1" t="s">
        <v>11</v>
      </c>
      <c r="E3" s="1" t="s">
        <v>9</v>
      </c>
      <c r="F3" s="1" t="s">
        <v>245</v>
      </c>
      <c r="G3" s="1" t="s">
        <v>18</v>
      </c>
    </row>
    <row r="4" spans="1:7" ht="14.5" x14ac:dyDescent="0.25">
      <c r="A4" s="2">
        <v>1</v>
      </c>
      <c r="B4" s="31">
        <v>45812</v>
      </c>
      <c r="C4" s="2" t="s">
        <v>28</v>
      </c>
      <c r="D4" s="2" t="s">
        <v>78</v>
      </c>
      <c r="E4" s="2" t="s">
        <v>35</v>
      </c>
      <c r="F4" s="2" t="s">
        <v>246</v>
      </c>
      <c r="G4" s="22">
        <v>1500000</v>
      </c>
    </row>
    <row r="5" spans="1:7" ht="14.5" x14ac:dyDescent="0.25">
      <c r="A5" s="2">
        <v>2</v>
      </c>
      <c r="B5" s="31">
        <v>45693</v>
      </c>
      <c r="C5" s="2" t="s">
        <v>53</v>
      </c>
      <c r="D5" s="2" t="s">
        <v>78</v>
      </c>
      <c r="E5" s="2" t="s">
        <v>247</v>
      </c>
      <c r="F5" s="2" t="s">
        <v>246</v>
      </c>
      <c r="G5" s="22">
        <v>750000</v>
      </c>
    </row>
    <row r="6" spans="1:7" ht="14.5" x14ac:dyDescent="0.25">
      <c r="A6" s="2">
        <v>3</v>
      </c>
      <c r="B6" s="31">
        <v>45791</v>
      </c>
      <c r="C6" s="2" t="s">
        <v>28</v>
      </c>
      <c r="D6" s="2" t="s">
        <v>24</v>
      </c>
      <c r="E6" s="2" t="s">
        <v>21</v>
      </c>
      <c r="F6" s="2" t="s">
        <v>246</v>
      </c>
      <c r="G6" s="22">
        <v>17000000</v>
      </c>
    </row>
    <row r="7" spans="1:7" ht="14.5" x14ac:dyDescent="0.25">
      <c r="A7" s="2">
        <v>4</v>
      </c>
      <c r="B7" s="31">
        <v>45705</v>
      </c>
      <c r="C7" s="2" t="s">
        <v>28</v>
      </c>
      <c r="D7" s="2" t="s">
        <v>72</v>
      </c>
      <c r="E7" s="2" t="s">
        <v>29</v>
      </c>
      <c r="F7" s="2" t="s">
        <v>248</v>
      </c>
      <c r="G7" s="22">
        <v>2750000</v>
      </c>
    </row>
    <row r="8" spans="1:7" ht="14.5" x14ac:dyDescent="0.25">
      <c r="A8" s="2">
        <v>5</v>
      </c>
      <c r="B8" s="31">
        <v>45755</v>
      </c>
      <c r="C8" s="2" t="s">
        <v>179</v>
      </c>
      <c r="D8" s="2" t="s">
        <v>72</v>
      </c>
      <c r="E8" s="2" t="s">
        <v>35</v>
      </c>
      <c r="F8" s="2" t="s">
        <v>248</v>
      </c>
      <c r="G8" s="22">
        <v>550000</v>
      </c>
    </row>
    <row r="9" spans="1:7" ht="14.5" x14ac:dyDescent="0.25">
      <c r="A9" s="2">
        <v>6</v>
      </c>
      <c r="B9" s="31">
        <v>45711</v>
      </c>
      <c r="C9" s="2" t="s">
        <v>178</v>
      </c>
      <c r="D9" s="2" t="s">
        <v>55</v>
      </c>
      <c r="E9" s="2" t="s">
        <v>35</v>
      </c>
      <c r="F9" s="2" t="s">
        <v>246</v>
      </c>
      <c r="G9" s="22">
        <v>6400000</v>
      </c>
    </row>
    <row r="10" spans="1:7" ht="14.5" x14ac:dyDescent="0.25">
      <c r="A10" s="2">
        <v>7</v>
      </c>
      <c r="B10" s="31">
        <v>45713</v>
      </c>
      <c r="C10" s="2" t="s">
        <v>163</v>
      </c>
      <c r="D10" s="2" t="s">
        <v>24</v>
      </c>
      <c r="E10" s="2" t="s">
        <v>21</v>
      </c>
      <c r="F10" s="2" t="s">
        <v>246</v>
      </c>
      <c r="G10" s="22">
        <v>34000000</v>
      </c>
    </row>
    <row r="11" spans="1:7" ht="14.5" x14ac:dyDescent="0.25">
      <c r="A11" s="2">
        <v>8</v>
      </c>
      <c r="B11" s="31">
        <v>45669</v>
      </c>
      <c r="C11" s="2" t="s">
        <v>163</v>
      </c>
      <c r="D11" s="2" t="s">
        <v>72</v>
      </c>
      <c r="E11" s="2" t="s">
        <v>35</v>
      </c>
      <c r="F11" s="2" t="s">
        <v>248</v>
      </c>
      <c r="G11" s="22">
        <v>550000</v>
      </c>
    </row>
    <row r="12" spans="1:7" ht="14.5" x14ac:dyDescent="0.25">
      <c r="A12" s="2">
        <v>9</v>
      </c>
      <c r="B12" s="31">
        <v>45823</v>
      </c>
      <c r="C12" s="2" t="s">
        <v>53</v>
      </c>
      <c r="D12" s="2" t="s">
        <v>42</v>
      </c>
      <c r="E12" s="2" t="s">
        <v>21</v>
      </c>
      <c r="F12" s="2" t="s">
        <v>248</v>
      </c>
      <c r="G12" s="22">
        <v>2250000</v>
      </c>
    </row>
    <row r="13" spans="1:7" ht="14.5" x14ac:dyDescent="0.25">
      <c r="A13" s="2">
        <v>10</v>
      </c>
      <c r="B13" s="31">
        <v>45743</v>
      </c>
      <c r="C13" s="2" t="s">
        <v>163</v>
      </c>
      <c r="D13" s="2" t="s">
        <v>72</v>
      </c>
      <c r="E13" s="2" t="s">
        <v>29</v>
      </c>
      <c r="F13" s="2" t="s">
        <v>248</v>
      </c>
      <c r="G13" s="22">
        <v>550000</v>
      </c>
    </row>
    <row r="14" spans="1:7" ht="14.5" x14ac:dyDescent="0.25">
      <c r="A14" s="2">
        <v>11</v>
      </c>
      <c r="B14" s="31">
        <v>45679</v>
      </c>
      <c r="C14" s="2" t="s">
        <v>97</v>
      </c>
      <c r="D14" s="2" t="s">
        <v>55</v>
      </c>
      <c r="E14" s="2" t="s">
        <v>21</v>
      </c>
      <c r="F14" s="2" t="s">
        <v>246</v>
      </c>
      <c r="G14" s="22">
        <v>6400000</v>
      </c>
    </row>
    <row r="15" spans="1:7" ht="14.5" x14ac:dyDescent="0.25">
      <c r="A15" s="2">
        <v>12</v>
      </c>
      <c r="B15" s="31">
        <v>45670</v>
      </c>
      <c r="C15" s="2" t="s">
        <v>65</v>
      </c>
      <c r="D15" s="2" t="s">
        <v>42</v>
      </c>
      <c r="E15" s="2" t="s">
        <v>35</v>
      </c>
      <c r="F15" s="2" t="s">
        <v>248</v>
      </c>
      <c r="G15" s="22">
        <v>900000</v>
      </c>
    </row>
    <row r="16" spans="1:7" ht="14.5" x14ac:dyDescent="0.25">
      <c r="A16" s="2">
        <v>13</v>
      </c>
      <c r="B16" s="31">
        <v>45728</v>
      </c>
      <c r="C16" s="2" t="s">
        <v>97</v>
      </c>
      <c r="D16" s="2" t="s">
        <v>78</v>
      </c>
      <c r="E16" s="2" t="s">
        <v>35</v>
      </c>
      <c r="F16" s="2" t="s">
        <v>246</v>
      </c>
      <c r="G16" s="22">
        <v>750000</v>
      </c>
    </row>
    <row r="17" spans="1:7" ht="14.5" x14ac:dyDescent="0.25">
      <c r="A17" s="2">
        <v>14</v>
      </c>
      <c r="B17" s="31">
        <v>45798</v>
      </c>
      <c r="C17" s="2" t="s">
        <v>70</v>
      </c>
      <c r="D17" s="2" t="s">
        <v>72</v>
      </c>
      <c r="E17" s="2" t="s">
        <v>29</v>
      </c>
      <c r="F17" s="2" t="s">
        <v>248</v>
      </c>
      <c r="G17" s="22">
        <v>1100000</v>
      </c>
    </row>
    <row r="18" spans="1:7" ht="14.5" x14ac:dyDescent="0.25">
      <c r="A18" s="2">
        <v>15</v>
      </c>
      <c r="B18" s="31">
        <v>45760</v>
      </c>
      <c r="C18" s="2" t="s">
        <v>65</v>
      </c>
      <c r="D18" s="2" t="s">
        <v>78</v>
      </c>
      <c r="E18" s="2" t="s">
        <v>247</v>
      </c>
      <c r="F18" s="2" t="s">
        <v>246</v>
      </c>
      <c r="G18" s="22">
        <v>1500000</v>
      </c>
    </row>
    <row r="19" spans="1:7" ht="14.5" x14ac:dyDescent="0.25">
      <c r="A19" s="2">
        <v>16</v>
      </c>
      <c r="B19" s="31">
        <v>45819</v>
      </c>
      <c r="C19" s="2" t="s">
        <v>28</v>
      </c>
      <c r="D19" s="2" t="s">
        <v>33</v>
      </c>
      <c r="E19" s="2" t="s">
        <v>21</v>
      </c>
      <c r="F19" s="2" t="s">
        <v>248</v>
      </c>
      <c r="G19" s="22">
        <v>750000</v>
      </c>
    </row>
    <row r="20" spans="1:7" ht="14.5" x14ac:dyDescent="0.25">
      <c r="A20" s="2">
        <v>17</v>
      </c>
      <c r="B20" s="31">
        <v>45756</v>
      </c>
      <c r="C20" s="2" t="s">
        <v>53</v>
      </c>
      <c r="D20" s="2" t="s">
        <v>33</v>
      </c>
      <c r="E20" s="2" t="s">
        <v>247</v>
      </c>
      <c r="F20" s="2" t="s">
        <v>248</v>
      </c>
      <c r="G20" s="22">
        <v>750000</v>
      </c>
    </row>
    <row r="21" spans="1:7" ht="15.75" customHeight="1" x14ac:dyDescent="0.25">
      <c r="A21" s="2">
        <v>18</v>
      </c>
      <c r="B21" s="31">
        <v>45709</v>
      </c>
      <c r="C21" s="2" t="s">
        <v>179</v>
      </c>
      <c r="D21" s="2" t="s">
        <v>42</v>
      </c>
      <c r="E21" s="2" t="s">
        <v>52</v>
      </c>
      <c r="F21" s="2" t="s">
        <v>248</v>
      </c>
      <c r="G21" s="22">
        <v>900000</v>
      </c>
    </row>
    <row r="22" spans="1:7" ht="15.75" customHeight="1" x14ac:dyDescent="0.25">
      <c r="A22" s="2">
        <v>19</v>
      </c>
      <c r="B22" s="31">
        <v>45721</v>
      </c>
      <c r="C22" s="2" t="s">
        <v>97</v>
      </c>
      <c r="D22" s="2" t="s">
        <v>78</v>
      </c>
      <c r="E22" s="2" t="s">
        <v>247</v>
      </c>
      <c r="F22" s="2" t="s">
        <v>246</v>
      </c>
      <c r="G22" s="22">
        <v>3750000</v>
      </c>
    </row>
    <row r="23" spans="1:7" ht="15.75" customHeight="1" x14ac:dyDescent="0.25">
      <c r="A23" s="2">
        <v>20</v>
      </c>
      <c r="B23" s="31">
        <v>45740</v>
      </c>
      <c r="C23" s="2" t="s">
        <v>178</v>
      </c>
      <c r="D23" s="2" t="s">
        <v>72</v>
      </c>
      <c r="E23" s="2" t="s">
        <v>52</v>
      </c>
      <c r="F23" s="2" t="s">
        <v>248</v>
      </c>
      <c r="G23" s="22">
        <v>1650000</v>
      </c>
    </row>
    <row r="24" spans="1:7" ht="15.75" customHeight="1" x14ac:dyDescent="0.25">
      <c r="A24" s="2">
        <v>21</v>
      </c>
      <c r="B24" s="31">
        <v>45693</v>
      </c>
      <c r="C24" s="2" t="s">
        <v>179</v>
      </c>
      <c r="D24" s="2" t="s">
        <v>24</v>
      </c>
      <c r="E24" s="2" t="s">
        <v>21</v>
      </c>
      <c r="F24" s="2" t="s">
        <v>246</v>
      </c>
      <c r="G24" s="22">
        <v>8500000</v>
      </c>
    </row>
    <row r="25" spans="1:7" ht="15.75" customHeight="1" x14ac:dyDescent="0.25">
      <c r="A25" s="2">
        <v>22</v>
      </c>
      <c r="B25" s="31">
        <v>45709</v>
      </c>
      <c r="C25" s="2" t="s">
        <v>70</v>
      </c>
      <c r="D25" s="2" t="s">
        <v>78</v>
      </c>
      <c r="E25" s="2" t="s">
        <v>52</v>
      </c>
      <c r="F25" s="2" t="s">
        <v>246</v>
      </c>
      <c r="G25" s="22">
        <v>3750000</v>
      </c>
    </row>
    <row r="26" spans="1:7" ht="15.75" customHeight="1" x14ac:dyDescent="0.25">
      <c r="A26" s="2">
        <v>23</v>
      </c>
      <c r="B26" s="31">
        <v>45670</v>
      </c>
      <c r="C26" s="2" t="s">
        <v>178</v>
      </c>
      <c r="D26" s="2" t="s">
        <v>72</v>
      </c>
      <c r="E26" s="2" t="s">
        <v>52</v>
      </c>
      <c r="F26" s="2" t="s">
        <v>248</v>
      </c>
      <c r="G26" s="22">
        <v>2750000</v>
      </c>
    </row>
    <row r="27" spans="1:7" ht="15.75" customHeight="1" x14ac:dyDescent="0.25">
      <c r="A27" s="2">
        <v>24</v>
      </c>
      <c r="B27" s="31">
        <v>45734</v>
      </c>
      <c r="C27" s="2" t="s">
        <v>28</v>
      </c>
      <c r="D27" s="2" t="s">
        <v>78</v>
      </c>
      <c r="E27" s="2" t="s">
        <v>21</v>
      </c>
      <c r="F27" s="2" t="s">
        <v>246</v>
      </c>
      <c r="G27" s="22">
        <v>3750000</v>
      </c>
    </row>
    <row r="28" spans="1:7" ht="15.75" customHeight="1" x14ac:dyDescent="0.25">
      <c r="A28" s="2">
        <v>25</v>
      </c>
      <c r="B28" s="31">
        <v>45741</v>
      </c>
      <c r="C28" s="2" t="s">
        <v>163</v>
      </c>
      <c r="D28" s="2" t="s">
        <v>24</v>
      </c>
      <c r="E28" s="2" t="s">
        <v>35</v>
      </c>
      <c r="F28" s="2" t="s">
        <v>246</v>
      </c>
      <c r="G28" s="22">
        <v>34000000</v>
      </c>
    </row>
    <row r="29" spans="1:7" ht="15.75" customHeight="1" x14ac:dyDescent="0.25">
      <c r="A29" s="2">
        <v>26</v>
      </c>
      <c r="B29" s="31">
        <v>45703</v>
      </c>
      <c r="C29" s="2" t="s">
        <v>28</v>
      </c>
      <c r="D29" s="2" t="s">
        <v>78</v>
      </c>
      <c r="E29" s="2" t="s">
        <v>35</v>
      </c>
      <c r="F29" s="2" t="s">
        <v>246</v>
      </c>
      <c r="G29" s="22">
        <v>3750000</v>
      </c>
    </row>
    <row r="30" spans="1:7" ht="15.75" customHeight="1" x14ac:dyDescent="0.25">
      <c r="A30" s="2">
        <v>27</v>
      </c>
      <c r="B30" s="31">
        <v>45705</v>
      </c>
      <c r="C30" s="2" t="s">
        <v>53</v>
      </c>
      <c r="D30" s="2" t="s">
        <v>78</v>
      </c>
      <c r="E30" s="2" t="s">
        <v>35</v>
      </c>
      <c r="F30" s="2" t="s">
        <v>246</v>
      </c>
      <c r="G30" s="22">
        <v>3750000</v>
      </c>
    </row>
    <row r="31" spans="1:7" ht="15.75" customHeight="1" x14ac:dyDescent="0.25">
      <c r="A31" s="2">
        <v>28</v>
      </c>
      <c r="B31" s="31">
        <v>45784</v>
      </c>
      <c r="C31" s="2" t="s">
        <v>70</v>
      </c>
      <c r="D31" s="2" t="s">
        <v>55</v>
      </c>
      <c r="E31" s="2" t="s">
        <v>29</v>
      </c>
      <c r="F31" s="2" t="s">
        <v>246</v>
      </c>
      <c r="G31" s="22">
        <v>16000000</v>
      </c>
    </row>
    <row r="32" spans="1:7" ht="15.75" customHeight="1" x14ac:dyDescent="0.25">
      <c r="A32" s="2">
        <v>29</v>
      </c>
      <c r="B32" s="31">
        <v>45778</v>
      </c>
      <c r="C32" s="2" t="s">
        <v>163</v>
      </c>
      <c r="D32" s="2" t="s">
        <v>42</v>
      </c>
      <c r="E32" s="2" t="s">
        <v>21</v>
      </c>
      <c r="F32" s="2" t="s">
        <v>248</v>
      </c>
      <c r="G32" s="22">
        <v>450000</v>
      </c>
    </row>
    <row r="33" spans="1:7" ht="15.75" customHeight="1" x14ac:dyDescent="0.25">
      <c r="A33" s="2">
        <v>30</v>
      </c>
      <c r="B33" s="31">
        <v>45743</v>
      </c>
      <c r="C33" s="2" t="s">
        <v>65</v>
      </c>
      <c r="D33" s="2" t="s">
        <v>33</v>
      </c>
      <c r="E33" s="2" t="s">
        <v>21</v>
      </c>
      <c r="F33" s="2" t="s">
        <v>248</v>
      </c>
      <c r="G33" s="22">
        <v>500000</v>
      </c>
    </row>
    <row r="34" spans="1:7" ht="15.75" customHeight="1" x14ac:dyDescent="0.25">
      <c r="A34" s="2">
        <v>31</v>
      </c>
      <c r="B34" s="31">
        <v>45780</v>
      </c>
      <c r="C34" s="2" t="s">
        <v>53</v>
      </c>
      <c r="D34" s="2" t="s">
        <v>78</v>
      </c>
      <c r="E34" s="2" t="s">
        <v>52</v>
      </c>
      <c r="F34" s="2" t="s">
        <v>246</v>
      </c>
      <c r="G34" s="22">
        <v>750000</v>
      </c>
    </row>
    <row r="35" spans="1:7" ht="15.75" customHeight="1" x14ac:dyDescent="0.25">
      <c r="A35" s="2">
        <v>32</v>
      </c>
      <c r="B35" s="31">
        <v>45802</v>
      </c>
      <c r="C35" s="2" t="s">
        <v>70</v>
      </c>
      <c r="D35" s="2" t="s">
        <v>33</v>
      </c>
      <c r="E35" s="2" t="s">
        <v>52</v>
      </c>
      <c r="F35" s="2" t="s">
        <v>248</v>
      </c>
      <c r="G35" s="22">
        <v>1250000</v>
      </c>
    </row>
    <row r="36" spans="1:7" ht="15.75" customHeight="1" x14ac:dyDescent="0.25">
      <c r="A36" s="2">
        <v>33</v>
      </c>
      <c r="B36" s="31">
        <v>45697</v>
      </c>
      <c r="C36" s="2" t="s">
        <v>178</v>
      </c>
      <c r="D36" s="2" t="s">
        <v>33</v>
      </c>
      <c r="E36" s="2" t="s">
        <v>247</v>
      </c>
      <c r="F36" s="2" t="s">
        <v>248</v>
      </c>
      <c r="G36" s="22">
        <v>500000</v>
      </c>
    </row>
    <row r="37" spans="1:7" ht="15.75" customHeight="1" x14ac:dyDescent="0.25">
      <c r="A37" s="2">
        <v>34</v>
      </c>
      <c r="B37" s="31">
        <v>45818</v>
      </c>
      <c r="C37" s="2" t="s">
        <v>178</v>
      </c>
      <c r="D37" s="2" t="s">
        <v>78</v>
      </c>
      <c r="E37" s="2" t="s">
        <v>35</v>
      </c>
      <c r="F37" s="2" t="s">
        <v>246</v>
      </c>
      <c r="G37" s="22">
        <v>3000000</v>
      </c>
    </row>
    <row r="38" spans="1:7" ht="15.75" customHeight="1" x14ac:dyDescent="0.25">
      <c r="A38" s="2">
        <v>35</v>
      </c>
      <c r="B38" s="31">
        <v>45792</v>
      </c>
      <c r="C38" s="2" t="s">
        <v>53</v>
      </c>
      <c r="D38" s="2" t="s">
        <v>33</v>
      </c>
      <c r="E38" s="2" t="s">
        <v>29</v>
      </c>
      <c r="F38" s="2" t="s">
        <v>248</v>
      </c>
      <c r="G38" s="22">
        <v>250000</v>
      </c>
    </row>
    <row r="39" spans="1:7" ht="15.75" customHeight="1" x14ac:dyDescent="0.25">
      <c r="A39" s="2">
        <v>36</v>
      </c>
      <c r="B39" s="31">
        <v>45717</v>
      </c>
      <c r="C39" s="2" t="s">
        <v>97</v>
      </c>
      <c r="D39" s="2" t="s">
        <v>72</v>
      </c>
      <c r="E39" s="2" t="s">
        <v>29</v>
      </c>
      <c r="F39" s="2" t="s">
        <v>248</v>
      </c>
      <c r="G39" s="22">
        <v>550000</v>
      </c>
    </row>
    <row r="40" spans="1:7" ht="15.75" customHeight="1" x14ac:dyDescent="0.25">
      <c r="A40" s="2">
        <v>37</v>
      </c>
      <c r="B40" s="31">
        <v>45680</v>
      </c>
      <c r="C40" s="2" t="s">
        <v>28</v>
      </c>
      <c r="D40" s="2" t="s">
        <v>33</v>
      </c>
      <c r="E40" s="2" t="s">
        <v>21</v>
      </c>
      <c r="F40" s="2" t="s">
        <v>248</v>
      </c>
      <c r="G40" s="22">
        <v>250000</v>
      </c>
    </row>
    <row r="41" spans="1:7" ht="15.75" customHeight="1" x14ac:dyDescent="0.25">
      <c r="A41" s="2">
        <v>38</v>
      </c>
      <c r="B41" s="31">
        <v>45719</v>
      </c>
      <c r="C41" s="2" t="s">
        <v>97</v>
      </c>
      <c r="D41" s="2" t="s">
        <v>55</v>
      </c>
      <c r="E41" s="2" t="s">
        <v>52</v>
      </c>
      <c r="F41" s="2" t="s">
        <v>246</v>
      </c>
      <c r="G41" s="22">
        <v>6400000</v>
      </c>
    </row>
    <row r="42" spans="1:7" ht="15.75" customHeight="1" x14ac:dyDescent="0.25">
      <c r="A42" s="2">
        <v>39</v>
      </c>
      <c r="B42" s="31">
        <v>45782</v>
      </c>
      <c r="C42" s="2" t="s">
        <v>179</v>
      </c>
      <c r="D42" s="2" t="s">
        <v>33</v>
      </c>
      <c r="E42" s="2" t="s">
        <v>52</v>
      </c>
      <c r="F42" s="2" t="s">
        <v>248</v>
      </c>
      <c r="G42" s="22">
        <v>1000000</v>
      </c>
    </row>
    <row r="43" spans="1:7" ht="15.75" customHeight="1" x14ac:dyDescent="0.25">
      <c r="A43" s="2">
        <v>40</v>
      </c>
      <c r="B43" s="31">
        <v>45692</v>
      </c>
      <c r="C43" s="2" t="s">
        <v>53</v>
      </c>
      <c r="D43" s="2" t="s">
        <v>78</v>
      </c>
      <c r="E43" s="2" t="s">
        <v>52</v>
      </c>
      <c r="F43" s="2" t="s">
        <v>246</v>
      </c>
      <c r="G43" s="22">
        <v>2250000</v>
      </c>
    </row>
    <row r="44" spans="1:7" ht="15.75" customHeight="1" x14ac:dyDescent="0.25">
      <c r="A44" s="2">
        <v>41</v>
      </c>
      <c r="B44" s="31">
        <v>45761</v>
      </c>
      <c r="C44" s="2" t="s">
        <v>179</v>
      </c>
      <c r="D44" s="2" t="s">
        <v>78</v>
      </c>
      <c r="E44" s="2" t="s">
        <v>21</v>
      </c>
      <c r="F44" s="2" t="s">
        <v>246</v>
      </c>
      <c r="G44" s="22">
        <v>750000</v>
      </c>
    </row>
    <row r="45" spans="1:7" ht="15.75" customHeight="1" x14ac:dyDescent="0.25">
      <c r="A45" s="2">
        <v>42</v>
      </c>
      <c r="B45" s="31">
        <v>45670</v>
      </c>
      <c r="C45" s="2" t="s">
        <v>163</v>
      </c>
      <c r="D45" s="2" t="s">
        <v>24</v>
      </c>
      <c r="E45" s="2" t="s">
        <v>29</v>
      </c>
      <c r="F45" s="2" t="s">
        <v>246</v>
      </c>
      <c r="G45" s="22">
        <v>17000000</v>
      </c>
    </row>
    <row r="46" spans="1:7" ht="15.75" customHeight="1" x14ac:dyDescent="0.25">
      <c r="A46" s="2">
        <v>43</v>
      </c>
      <c r="B46" s="31">
        <v>45706</v>
      </c>
      <c r="C46" s="2" t="s">
        <v>179</v>
      </c>
      <c r="D46" s="2" t="s">
        <v>33</v>
      </c>
      <c r="E46" s="2" t="s">
        <v>52</v>
      </c>
      <c r="F46" s="2" t="s">
        <v>248</v>
      </c>
      <c r="G46" s="22">
        <v>500000</v>
      </c>
    </row>
    <row r="47" spans="1:7" ht="15.75" customHeight="1" x14ac:dyDescent="0.25">
      <c r="A47" s="2">
        <v>44</v>
      </c>
      <c r="B47" s="31">
        <v>45731</v>
      </c>
      <c r="C47" s="2" t="s">
        <v>97</v>
      </c>
      <c r="D47" s="2" t="s">
        <v>24</v>
      </c>
      <c r="E47" s="2" t="s">
        <v>52</v>
      </c>
      <c r="F47" s="2" t="s">
        <v>246</v>
      </c>
      <c r="G47" s="22">
        <v>42500000</v>
      </c>
    </row>
    <row r="48" spans="1:7" ht="15.75" customHeight="1" x14ac:dyDescent="0.25">
      <c r="A48" s="2">
        <v>45</v>
      </c>
      <c r="B48" s="31">
        <v>45659</v>
      </c>
      <c r="C48" s="2" t="s">
        <v>28</v>
      </c>
      <c r="D48" s="2" t="s">
        <v>24</v>
      </c>
      <c r="E48" s="2" t="s">
        <v>29</v>
      </c>
      <c r="F48" s="2" t="s">
        <v>246</v>
      </c>
      <c r="G48" s="22">
        <v>17000000</v>
      </c>
    </row>
    <row r="49" spans="1:7" ht="15.75" customHeight="1" x14ac:dyDescent="0.25">
      <c r="A49" s="2">
        <v>46</v>
      </c>
      <c r="B49" s="31">
        <v>45763</v>
      </c>
      <c r="C49" s="2" t="s">
        <v>179</v>
      </c>
      <c r="D49" s="2" t="s">
        <v>33</v>
      </c>
      <c r="E49" s="2" t="s">
        <v>52</v>
      </c>
      <c r="F49" s="2" t="s">
        <v>248</v>
      </c>
      <c r="G49" s="22">
        <v>250000</v>
      </c>
    </row>
    <row r="50" spans="1:7" ht="15.75" customHeight="1" x14ac:dyDescent="0.25">
      <c r="A50" s="2">
        <v>47</v>
      </c>
      <c r="B50" s="31">
        <v>45701</v>
      </c>
      <c r="C50" s="2" t="s">
        <v>28</v>
      </c>
      <c r="D50" s="2" t="s">
        <v>42</v>
      </c>
      <c r="E50" s="2" t="s">
        <v>35</v>
      </c>
      <c r="F50" s="2" t="s">
        <v>248</v>
      </c>
      <c r="G50" s="22">
        <v>1800000</v>
      </c>
    </row>
    <row r="51" spans="1:7" ht="15.75" customHeight="1" x14ac:dyDescent="0.25">
      <c r="A51" s="2">
        <v>48</v>
      </c>
      <c r="B51" s="31">
        <v>45730</v>
      </c>
      <c r="C51" s="2" t="s">
        <v>179</v>
      </c>
      <c r="D51" s="2" t="s">
        <v>33</v>
      </c>
      <c r="E51" s="2" t="s">
        <v>29</v>
      </c>
      <c r="F51" s="2" t="s">
        <v>248</v>
      </c>
      <c r="G51" s="22">
        <v>750000</v>
      </c>
    </row>
    <row r="52" spans="1:7" ht="15.75" customHeight="1" x14ac:dyDescent="0.25">
      <c r="A52" s="2">
        <v>49</v>
      </c>
      <c r="B52" s="31">
        <v>45690</v>
      </c>
      <c r="C52" s="2" t="s">
        <v>28</v>
      </c>
      <c r="D52" s="2" t="s">
        <v>78</v>
      </c>
      <c r="E52" s="2" t="s">
        <v>35</v>
      </c>
      <c r="F52" s="2" t="s">
        <v>246</v>
      </c>
      <c r="G52" s="22">
        <v>750000</v>
      </c>
    </row>
    <row r="53" spans="1:7" ht="15.75" customHeight="1" x14ac:dyDescent="0.25">
      <c r="A53" s="2">
        <v>50</v>
      </c>
      <c r="B53" s="31">
        <v>45676</v>
      </c>
      <c r="C53" s="2" t="s">
        <v>179</v>
      </c>
      <c r="D53" s="2" t="s">
        <v>72</v>
      </c>
      <c r="E53" s="2" t="s">
        <v>247</v>
      </c>
      <c r="F53" s="2" t="s">
        <v>248</v>
      </c>
      <c r="G53" s="22">
        <v>1100000</v>
      </c>
    </row>
    <row r="54" spans="1:7" ht="15.75" customHeight="1" x14ac:dyDescent="0.35"/>
    <row r="55" spans="1:7" ht="15.75" customHeight="1" x14ac:dyDescent="0.35"/>
    <row r="56" spans="1:7" ht="27.75" customHeight="1" x14ac:dyDescent="0.3">
      <c r="A56" s="39" t="s">
        <v>302</v>
      </c>
      <c r="B56" s="40"/>
      <c r="C56" s="40"/>
      <c r="D56" s="40"/>
      <c r="E56" s="40"/>
      <c r="F56" s="40"/>
      <c r="G56" s="41"/>
    </row>
    <row r="57" spans="1:7" ht="15.75" customHeight="1" x14ac:dyDescent="0.3">
      <c r="A57" s="39" t="s">
        <v>303</v>
      </c>
      <c r="B57" s="40"/>
      <c r="C57" s="40"/>
      <c r="D57" s="40"/>
      <c r="E57" s="40"/>
      <c r="F57" s="40"/>
      <c r="G57" s="41"/>
    </row>
    <row r="58" spans="1:7" ht="15.75" customHeight="1" x14ac:dyDescent="0.3">
      <c r="A58" s="39" t="s">
        <v>304</v>
      </c>
      <c r="B58" s="40"/>
      <c r="C58" s="40"/>
      <c r="D58" s="40"/>
      <c r="E58" s="40"/>
      <c r="F58" s="40"/>
      <c r="G58" s="41"/>
    </row>
    <row r="59" spans="1:7" ht="23.25" customHeight="1" x14ac:dyDescent="0.3">
      <c r="A59" s="39" t="s">
        <v>305</v>
      </c>
      <c r="B59" s="40"/>
      <c r="C59" s="40"/>
      <c r="D59" s="40"/>
      <c r="E59" s="40"/>
      <c r="F59" s="40"/>
      <c r="G59" s="41"/>
    </row>
    <row r="60" spans="1:7" ht="15.75" customHeight="1" x14ac:dyDescent="0.35"/>
    <row r="61" spans="1:7" ht="15.75" customHeight="1" x14ac:dyDescent="0.35"/>
    <row r="62" spans="1:7" ht="15.75" customHeight="1" x14ac:dyDescent="0.35"/>
    <row r="63" spans="1:7" ht="15.75" customHeight="1" x14ac:dyDescent="0.35"/>
    <row r="64" spans="1:7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G1"/>
    <mergeCell ref="A56:G56"/>
    <mergeCell ref="A57:G57"/>
    <mergeCell ref="A58:G58"/>
    <mergeCell ref="A59:G59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53125" defaultRowHeight="15" customHeight="1" x14ac:dyDescent="0.35"/>
  <cols>
    <col min="1" max="1" width="12" customWidth="1"/>
    <col min="2" max="2" width="40" customWidth="1"/>
    <col min="3" max="3" width="45" customWidth="1"/>
    <col min="4" max="6" width="8.7265625" customWidth="1"/>
    <col min="7" max="26" width="14" customWidth="1"/>
  </cols>
  <sheetData>
    <row r="1" spans="1:4" ht="15.75" customHeight="1" x14ac:dyDescent="0.35">
      <c r="A1" s="37" t="s">
        <v>249</v>
      </c>
      <c r="B1" s="38"/>
      <c r="C1" s="38"/>
      <c r="D1" s="38"/>
    </row>
    <row r="3" spans="1:4" ht="14.5" x14ac:dyDescent="0.35">
      <c r="A3" s="1" t="s">
        <v>250</v>
      </c>
      <c r="B3" s="1" t="s">
        <v>251</v>
      </c>
      <c r="C3" s="1" t="s">
        <v>252</v>
      </c>
    </row>
    <row r="4" spans="1:4" ht="14.5" x14ac:dyDescent="0.25">
      <c r="A4" s="2" t="s">
        <v>253</v>
      </c>
      <c r="B4" s="2" t="s">
        <v>254</v>
      </c>
      <c r="C4" s="2" t="s">
        <v>255</v>
      </c>
    </row>
    <row r="5" spans="1:4" ht="31.5" customHeight="1" x14ac:dyDescent="0.25">
      <c r="A5" s="2" t="s">
        <v>48</v>
      </c>
      <c r="B5" s="2" t="s">
        <v>256</v>
      </c>
      <c r="C5" s="2" t="s">
        <v>257</v>
      </c>
    </row>
    <row r="6" spans="1:4" ht="14.5" x14ac:dyDescent="0.25">
      <c r="A6" s="2" t="s">
        <v>54</v>
      </c>
      <c r="B6" s="2" t="s">
        <v>258</v>
      </c>
      <c r="C6" s="2" t="s">
        <v>259</v>
      </c>
    </row>
    <row r="7" spans="1:4" ht="14.5" x14ac:dyDescent="0.25">
      <c r="A7" s="2" t="s">
        <v>60</v>
      </c>
      <c r="B7" s="2" t="s">
        <v>260</v>
      </c>
      <c r="C7" s="2" t="s">
        <v>261</v>
      </c>
    </row>
    <row r="8" spans="1:4" ht="14.5" x14ac:dyDescent="0.25">
      <c r="A8" s="2" t="s">
        <v>67</v>
      </c>
      <c r="B8" s="2" t="s">
        <v>262</v>
      </c>
      <c r="C8" s="2" t="s">
        <v>263</v>
      </c>
    </row>
    <row r="9" spans="1:4" ht="14.5" x14ac:dyDescent="0.25">
      <c r="A9" s="2" t="s">
        <v>264</v>
      </c>
      <c r="B9" s="2" t="s">
        <v>265</v>
      </c>
      <c r="C9" s="2" t="s">
        <v>266</v>
      </c>
    </row>
    <row r="10" spans="1:4" ht="14.5" x14ac:dyDescent="0.25">
      <c r="A10" s="2" t="s">
        <v>74</v>
      </c>
      <c r="B10" s="2" t="s">
        <v>267</v>
      </c>
      <c r="C10" s="2" t="s">
        <v>268</v>
      </c>
    </row>
    <row r="11" spans="1:4" ht="14.5" x14ac:dyDescent="0.25">
      <c r="A11" s="2" t="s">
        <v>80</v>
      </c>
      <c r="B11" s="2" t="s">
        <v>269</v>
      </c>
      <c r="C11" s="2" t="s">
        <v>270</v>
      </c>
    </row>
    <row r="12" spans="1:4" ht="23.25" customHeight="1" x14ac:dyDescent="0.25">
      <c r="A12" s="2" t="s">
        <v>86</v>
      </c>
      <c r="B12" s="2" t="s">
        <v>271</v>
      </c>
      <c r="C12" s="2" t="s">
        <v>272</v>
      </c>
    </row>
    <row r="13" spans="1:4" ht="23.25" customHeight="1" x14ac:dyDescent="0.25">
      <c r="A13" s="2" t="s">
        <v>273</v>
      </c>
      <c r="B13" s="2" t="s">
        <v>274</v>
      </c>
      <c r="C13" s="2" t="s">
        <v>275</v>
      </c>
    </row>
    <row r="16" spans="1:4" ht="41.25" customHeight="1" x14ac:dyDescent="0.3">
      <c r="A16" s="39" t="s">
        <v>276</v>
      </c>
      <c r="B16" s="40"/>
      <c r="C16" s="41"/>
    </row>
    <row r="17" spans="1:3" ht="39" customHeight="1" x14ac:dyDescent="0.3">
      <c r="A17" s="39" t="s">
        <v>277</v>
      </c>
      <c r="B17" s="40"/>
      <c r="C17" s="41"/>
    </row>
    <row r="21" spans="1:3" ht="15.75" customHeight="1" x14ac:dyDescent="0.35"/>
    <row r="22" spans="1:3" ht="15.75" customHeight="1" x14ac:dyDescent="0.35"/>
    <row r="23" spans="1:3" ht="15.75" customHeight="1" x14ac:dyDescent="0.35"/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D1"/>
    <mergeCell ref="A16:C16"/>
    <mergeCell ref="A17:C17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53125" defaultRowHeight="15" customHeight="1" x14ac:dyDescent="0.35"/>
  <cols>
    <col min="1" max="1" width="28" customWidth="1"/>
    <col min="2" max="3" width="18" customWidth="1"/>
    <col min="4" max="4" width="16" customWidth="1"/>
    <col min="5" max="5" width="18" customWidth="1"/>
    <col min="6" max="6" width="10" customWidth="1"/>
    <col min="7" max="26" width="14" customWidth="1"/>
  </cols>
  <sheetData>
    <row r="1" spans="1:6" ht="15.75" customHeight="1" x14ac:dyDescent="0.35">
      <c r="A1" s="37" t="s">
        <v>278</v>
      </c>
      <c r="B1" s="38"/>
      <c r="C1" s="38"/>
      <c r="D1" s="38"/>
      <c r="E1" s="38"/>
      <c r="F1" s="38"/>
    </row>
    <row r="5" spans="1:6" ht="14.5" x14ac:dyDescent="0.35">
      <c r="A5" s="1" t="s">
        <v>250</v>
      </c>
      <c r="B5" s="45" t="s">
        <v>279</v>
      </c>
      <c r="C5" s="40"/>
      <c r="D5" s="40"/>
      <c r="E5" s="40"/>
      <c r="F5" s="41"/>
    </row>
    <row r="6" spans="1:6" ht="14.5" x14ac:dyDescent="0.25">
      <c r="A6" s="2" t="s">
        <v>280</v>
      </c>
      <c r="B6" s="44" t="s">
        <v>281</v>
      </c>
      <c r="C6" s="40"/>
      <c r="D6" s="40"/>
      <c r="E6" s="40"/>
      <c r="F6" s="41"/>
    </row>
    <row r="7" spans="1:6" ht="14.5" x14ac:dyDescent="0.25">
      <c r="A7" s="2" t="s">
        <v>282</v>
      </c>
      <c r="B7" s="44" t="s">
        <v>283</v>
      </c>
      <c r="C7" s="40"/>
      <c r="D7" s="40"/>
      <c r="E7" s="40"/>
      <c r="F7" s="41"/>
    </row>
    <row r="8" spans="1:6" ht="14.5" x14ac:dyDescent="0.25">
      <c r="A8" s="2" t="s">
        <v>284</v>
      </c>
      <c r="B8" s="44" t="s">
        <v>285</v>
      </c>
      <c r="C8" s="40"/>
      <c r="D8" s="40"/>
      <c r="E8" s="40"/>
      <c r="F8" s="41"/>
    </row>
    <row r="9" spans="1:6" ht="14.5" x14ac:dyDescent="0.25">
      <c r="A9" s="2" t="s">
        <v>286</v>
      </c>
      <c r="B9" s="44" t="s">
        <v>287</v>
      </c>
      <c r="C9" s="40"/>
      <c r="D9" s="40"/>
      <c r="E9" s="40"/>
      <c r="F9" s="41"/>
    </row>
    <row r="10" spans="1:6" ht="14.5" x14ac:dyDescent="0.25">
      <c r="A10" s="2" t="s">
        <v>288</v>
      </c>
      <c r="B10" s="44" t="s">
        <v>289</v>
      </c>
      <c r="C10" s="40"/>
      <c r="D10" s="40"/>
      <c r="E10" s="40"/>
      <c r="F10" s="41"/>
    </row>
    <row r="11" spans="1:6" ht="14.5" x14ac:dyDescent="0.25">
      <c r="A11" s="2" t="s">
        <v>290</v>
      </c>
      <c r="B11" s="44" t="s">
        <v>291</v>
      </c>
      <c r="C11" s="40"/>
      <c r="D11" s="40"/>
      <c r="E11" s="40"/>
      <c r="F11" s="41"/>
    </row>
    <row r="12" spans="1:6" ht="14.5" x14ac:dyDescent="0.25">
      <c r="A12" s="2" t="s">
        <v>292</v>
      </c>
      <c r="B12" s="44" t="s">
        <v>293</v>
      </c>
      <c r="C12" s="40"/>
      <c r="D12" s="40"/>
      <c r="E12" s="40"/>
      <c r="F12" s="41"/>
    </row>
    <row r="13" spans="1:6" ht="14.5" x14ac:dyDescent="0.25">
      <c r="A13" s="2" t="s">
        <v>294</v>
      </c>
      <c r="B13" s="44" t="s">
        <v>295</v>
      </c>
      <c r="C13" s="40"/>
      <c r="D13" s="40"/>
      <c r="E13" s="40"/>
      <c r="F13" s="41"/>
    </row>
    <row r="14" spans="1:6" ht="14.5" x14ac:dyDescent="0.25">
      <c r="A14" s="2" t="s">
        <v>296</v>
      </c>
      <c r="B14" s="44" t="s">
        <v>297</v>
      </c>
      <c r="C14" s="40"/>
      <c r="D14" s="40"/>
      <c r="E14" s="40"/>
      <c r="F14" s="41"/>
    </row>
    <row r="15" spans="1:6" ht="14.5" x14ac:dyDescent="0.25">
      <c r="A15" s="2" t="s">
        <v>298</v>
      </c>
      <c r="B15" s="44" t="s">
        <v>299</v>
      </c>
      <c r="C15" s="40"/>
      <c r="D15" s="40"/>
      <c r="E15" s="40"/>
      <c r="F15" s="41"/>
    </row>
    <row r="18" spans="1:6" ht="14.5" x14ac:dyDescent="0.3">
      <c r="A18" s="39" t="s">
        <v>300</v>
      </c>
      <c r="B18" s="40"/>
      <c r="C18" s="40"/>
      <c r="D18" s="40"/>
      <c r="E18" s="40"/>
      <c r="F18" s="41"/>
    </row>
    <row r="19" spans="1:6" ht="14.5" x14ac:dyDescent="0.3">
      <c r="A19" s="39" t="s">
        <v>301</v>
      </c>
      <c r="B19" s="40"/>
      <c r="C19" s="40"/>
      <c r="D19" s="40"/>
      <c r="E19" s="40"/>
      <c r="F19" s="41"/>
    </row>
    <row r="21" spans="1:6" ht="15.75" customHeight="1" x14ac:dyDescent="0.35"/>
    <row r="22" spans="1:6" ht="15.75" customHeight="1" x14ac:dyDescent="0.35"/>
    <row r="23" spans="1:6" ht="15.75" customHeight="1" x14ac:dyDescent="0.35"/>
    <row r="24" spans="1:6" ht="15.75" customHeight="1" x14ac:dyDescent="0.35"/>
    <row r="25" spans="1:6" ht="15.75" customHeight="1" x14ac:dyDescent="0.35"/>
    <row r="26" spans="1:6" ht="15.75" customHeight="1" x14ac:dyDescent="0.35"/>
    <row r="27" spans="1:6" ht="15.75" customHeight="1" x14ac:dyDescent="0.35"/>
    <row r="28" spans="1:6" ht="15.75" customHeight="1" x14ac:dyDescent="0.35"/>
    <row r="29" spans="1:6" ht="15.75" customHeight="1" x14ac:dyDescent="0.35"/>
    <row r="30" spans="1:6" ht="15.75" customHeight="1" x14ac:dyDescent="0.35"/>
    <row r="31" spans="1:6" ht="15.75" customHeight="1" x14ac:dyDescent="0.35"/>
    <row r="32" spans="1: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18:F18"/>
    <mergeCell ref="A19:F19"/>
    <mergeCell ref="A1:F1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S1_XLOOKUP</vt:lpstr>
      <vt:lpstr>S2_UNIQUE</vt:lpstr>
      <vt:lpstr>S3_FILTER_SORT</vt:lpstr>
      <vt:lpstr>S4_NUMBERVALUE</vt:lpstr>
      <vt:lpstr>S5_SUBSTITUTE</vt:lpstr>
      <vt:lpstr>S6_TEXTJOIN</vt:lpstr>
      <vt:lpstr>S7_IFERROR</vt:lpstr>
      <vt:lpstr>S8_FORMATTING</vt:lpstr>
      <vt:lpstr>S10_DATEDIF</vt:lpstr>
      <vt:lpstr>S9_IFS</vt:lpstr>
      <vt:lpstr>S11_AGGREGATE</vt:lpstr>
      <vt:lpstr>S12_ISOWEEKNUM</vt:lpstr>
      <vt:lpstr>S13_PivotTable</vt:lpstr>
      <vt:lpstr>S14_Slicer</vt:lpstr>
      <vt:lpstr>S15_Dashboard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2026-06-23T21:42:00Z</dcterms:created>
  <dcterms:modified xsi:type="dcterms:W3CDTF">2026-07-27T04:21:53Z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90D2E613EDE44E5F9846448454FBC43E_12</vt:lpwstr>
  </property>
  <property fmtid="{D5CDD505-2E9C-101B-9397-08002B2CF9AE}" pid="4" name="KSOProductBuildVer">
    <vt:lpwstr>1033-12.1.0.26880</vt:lpwstr>
  </property>
</Properties>
</file>