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sus\Downloads\"/>
    </mc:Choice>
  </mc:AlternateContent>
  <bookViews>
    <workbookView xWindow="0" yWindow="0" windowWidth="19200" windowHeight="7740" activeTab="4"/>
  </bookViews>
  <sheets>
    <sheet name="Data Mentah" sheetId="1" r:id="rId1"/>
    <sheet name="Task" sheetId="3" r:id="rId2"/>
    <sheet name="Data Preparation" sheetId="2" r:id="rId3"/>
    <sheet name="Pivot" sheetId="5" r:id="rId4"/>
    <sheet name="Dashboard" sheetId="4" r:id="rId5"/>
  </sheets>
  <definedNames>
    <definedName name="NativeTimeline_order_date">#N/A</definedName>
    <definedName name="Slicer_shipping_method">#N/A</definedName>
    <definedName name="Slicer_weather_condition">#N/A</definedName>
  </definedNames>
  <calcPr calcId="0"/>
  <pivotCaches>
    <pivotCache cacheId="9"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W9" i="4"/>
  <c r="M9" i="4"/>
  <c r="E9" i="4"/>
</calcChain>
</file>

<file path=xl/sharedStrings.xml><?xml version="1.0" encoding="utf-8"?>
<sst xmlns="http://schemas.openxmlformats.org/spreadsheetml/2006/main" count="11269" uniqueCount="2861">
  <si>
    <t>order_id,order_date,supplier_reliability_score,warehouse_inventory_level,order_quantity,shipping_distance_km,shipping_method,weather_condition,processing_time_hours,order_priority,delayed</t>
  </si>
  <si>
    <t>1,2023-01-01 00:00:00,0.63,2869,253,1822.8,Sea,Fog,15.6,Low,1</t>
  </si>
  <si>
    <t>2,2023-01-01 01:00:00,0.91,2406,370,876.1,Road,Fog,53.2,Low,0</t>
  </si>
  <si>
    <t>3,2023-01-01 02:00:00,0.78,4665,198,134.2,Rail,Fog,62.2,Low,0</t>
  </si>
  <si>
    <t>4,2023-01-01 03:00:00,0.89,1545,363,817.9,Sea,Storm,8.2,High,0</t>
  </si>
  <si>
    <t>5,2023-01-01 04:00:00,0.99,511,454,984.3,Sea,Storm,46.5,High,1</t>
  </si>
  <si>
    <t>6,2023-01-01 05:00:00,0.82,1270,44,101.9,Air,Fog,19.1,High,1</t>
  </si>
  <si>
    <t>7,2023-01-01 06:00:00,0.8,3629,155,231.8,Road,Storm,45.5,Low,1</t>
  </si>
  <si>
    <t>8,2023-01-01 07:00:00,0.63,4468,66,1964.5,Rail,Rain,47.9,Medium,0</t>
  </si>
  <si>
    <t>9,2023-01-01 08:00:00,0.71,614,471,1710.2,Sea,Rain,3.3,Medium,0</t>
  </si>
  <si>
    <t>10,2023-01-01 09:00:00,0.8,3312,276,328.6,Rail,Storm,5.6,Medium,0</t>
  </si>
  <si>
    <t>11,2023-01-01 10:00:00,0.87,4686,233,1279.1,Road,Storm,6.7,Medium,0</t>
  </si>
  <si>
    <t>12,2023-01-01 11:00:00,0.92,1580,137,1383.9,Air,Rain,33.9,Low,1</t>
  </si>
  <si>
    <t>13,2023-01-01 12:00:00,0.75,1309,199,885.2,Rail,Fog,43.4,Low,0</t>
  </si>
  <si>
    <t>14,2023-01-01 13:00:00,0.63,3853,335,1636.8,Sea,Rain,45.9,Low,0</t>
  </si>
  <si>
    <t>15,2023-01-01 14:00:00,0.72,4802,177,1234.3,Sea,Storm,4.1,High,0</t>
  </si>
  <si>
    <t>16,2023-01-01 15:00:00,0.96,62,207,558.1,Road,Storm,70.6,High,0</t>
  </si>
  <si>
    <t>17,2023-01-01 16:00:00,0.69,2432,425,606.9,Sea,Storm,49.9,Low,0</t>
  </si>
  <si>
    <t>18,2023-01-01 17:00:00,0.78,4416,495,21.0,Sea,Clear,56.7,Medium,1</t>
  </si>
  <si>
    <t>19,2023-01-01 18:00:00,0.97,3172,422,1809.6,Sea,Rain,42.9,Medium,0</t>
  </si>
  <si>
    <t>20,2023-01-01 19:00:00,0.61,4051,124,1144.1,Sea,Storm,23.4,Low,0</t>
  </si>
  <si>
    <t>21,2023-01-01 20:00:00,0.84,639,27,192.7,Rail,Clear,28.8,Medium,1</t>
  </si>
  <si>
    <t>22,2023-01-01 21:00:00,0.98,485,4,857.7,Sea,Storm,7.3,Low,0</t>
  </si>
  <si>
    <t>23,2023-01-01 22:00:00,0.69,3454,21,513.3,Road,Clear,64.3,Medium,0</t>
  </si>
  <si>
    <t>24,2023-01-01 23:00:00,0.82,4182,285,591.1,Sea,Fog,45.7,Medium,0</t>
  </si>
  <si>
    <t>25,2023-01-02 00:00:00,0.96,4349,329,27.8,Rail,Fog,56.9,Medium,0</t>
  </si>
  <si>
    <t>26,2023-01-02 01:00:00,0.65,2011,393,1962.0,Rail,Fog,67.6,Low,0</t>
  </si>
  <si>
    <t>27,2023-01-02 02:00:00,0.81,4161,346,254.5,Road,Storm,64.4,Medium,0</t>
  </si>
  <si>
    <t>28,2023-01-02 03:00:00,0.9,303,455,67.5,Sea,Fog,18.9,Low,1</t>
  </si>
  <si>
    <t>29,2023-01-02 04:00:00,0.87,3180,121,900.4,Air,Rain,27.8,High,0</t>
  </si>
  <si>
    <t>30,2023-01-02 05:00:00,0.79,3364,290,1726.8,Rail,Rain,51.5,High,0</t>
  </si>
  <si>
    <t>31,2023-01-02 06:00:00,0.68,361,265,559.5,Road,Storm,6.5,Low,1</t>
  </si>
  <si>
    <t>32,2023-01-02 07:00:00,0.8,3415,136,653.6,Road,Fog,19.2,Low,0</t>
  </si>
  <si>
    <t>33,2023-01-02 08:00:00,0.75,4898,317,1582.8,Sea,Rain,3.6,High,0</t>
  </si>
  <si>
    <t>34,2023-01-02 09:00:00,0.79,2899,148,1615.7,Rail,Storm,32.4,High,1</t>
  </si>
  <si>
    <t>35,2023-01-02 10:00:00,0.75,407,485,831.9,Sea,Storm,34.8,High,1</t>
  </si>
  <si>
    <t>36,2023-01-02 11:00:00,0.94,4559,360,137.5,Air,Rain,46.9,Low,1</t>
  </si>
  <si>
    <t>37,2023-01-02 12:00:00,0.91,2124,434,1864.1,Air,Clear,56.3,Medium,1</t>
  </si>
  <si>
    <t>38,2023-01-02 13:00:00,0.73,775,478,1395.2,Road,Storm,71.5,High,0</t>
  </si>
  <si>
    <t>39,2023-01-02 14:00:00,0.83,1148,433,1390.2,Sea,Clear,35.4,High,1</t>
  </si>
  <si>
    <t>40,2023-01-02 15:00:00,0.71,4245,41,246.0,Road,Clear,18.9,Low,0</t>
  </si>
  <si>
    <t>41,2023-01-02 16:00:00,0.78,865,115,257.9,Road,Storm,38.1,Medium,1</t>
  </si>
  <si>
    <t>42,2023-01-02 17:00:00,0.74,4680,286,854.0,Sea,Clear,69.9,Medium,1</t>
  </si>
  <si>
    <t>43,2023-01-02 18:00:00,0.86,1658,191,775.8,Road,Rain,52.5,Low,0</t>
  </si>
  <si>
    <t>44,2023-01-02 19:00:00,0.75,642,193,320.9,Sea,Storm,43.6,Low,0</t>
  </si>
  <si>
    <t>45,2023-01-02 20:00:00,0.78,537,457,753.2,Road,Clear,7.2,Low,0</t>
  </si>
  <si>
    <t>46,2023-01-02 21:00:00,0.89,3086,351,951.0,Air,Fog,62.4,Low,0</t>
  </si>
  <si>
    <t>47,2023-01-02 22:00:00,0.77,757,201,935.6,Sea,Fog,28.3,Low,0</t>
  </si>
  <si>
    <t>48,2023-01-02 23:00:00,0.96,1743,460,43.4,Road,Clear,6.6,High,0</t>
  </si>
  <si>
    <t>49,2023-01-03 00:00:00,0.67,3206,252,1990.2,Road,Storm,14.7,Low,0</t>
  </si>
  <si>
    <t>50,2023-01-03 01:00:00,0.9,3889,105,337.6,Road,Rain,8.2,Low,0</t>
  </si>
  <si>
    <t>51,2023-01-03 02:00:00,0.77,522,38,737.2,Road,Clear,44.4,High,0</t>
  </si>
  <si>
    <t>52,2023-01-03 03:00:00,0.77,3285,492,1833.3,Air,Fog,68.4,Medium,0</t>
  </si>
  <si>
    <t>53,2023-01-03 04:00:00,0.85,2374,185,1906.6,Road,Fog,14.2,High,1</t>
  </si>
  <si>
    <t>54,2023-01-03 05:00:00,0.81,2889,410,691.9,Road,Storm,10.8,Low,0</t>
  </si>
  <si>
    <t>55,2023-01-03 06:00:00,0.77,2967,14,485.5,Road,Storm,28.9,High,0</t>
  </si>
  <si>
    <t>56,2023-01-03 07:00:00,0.6,4363,293,737.1,Road,Fog,36.2,High,0</t>
  </si>
  <si>
    <t>57,2023-01-03 08:00:00,0.64,3305,79,490.3,Sea,Fog,6.4,Low,0</t>
  </si>
  <si>
    <t>58,2023-01-03 09:00:00,0.88,3799,183,1718.7,Air,Clear,51.7,Low,0</t>
  </si>
  <si>
    <t>59,2023-01-03 10:00:00,0.81,2799,83,170.5,Road,Clear,41.9,Low,0</t>
  </si>
  <si>
    <t>60,2023-01-03 11:00:00,0.88,650,181,1524.2,Road,Storm,6.2,High,1</t>
  </si>
  <si>
    <t>61,2023-01-03 12:00:00,0.98,843,442,1004.2,Road,Fog,60.2,Low,0</t>
  </si>
  <si>
    <t>62,2023-01-03 13:00:00,0.87,1948,346,1850.5,Air,Storm,5.8,Medium,1</t>
  </si>
  <si>
    <t>63,2023-01-03 14:00:00,0.62,140,208,1510.5,Air,Clear,34.7,High,1</t>
  </si>
  <si>
    <t>64,2023-01-03 15:00:00,0.72,2098,112,900.3,Sea,Storm,31.9,Medium,0</t>
  </si>
  <si>
    <t>65,2023-01-03 16:00:00,0.84,1317,131,23.0,Road,Storm,36.9,Medium,1</t>
  </si>
  <si>
    <t>66,2023-01-03 17:00:00,0.69,566,476,1884.2,Road,Clear,47.1,High,0</t>
  </si>
  <si>
    <t>67,2023-01-03 18:00:00,0.99,4058,73,1467.8,Rail,Rain,61.5,Low,1</t>
  </si>
  <si>
    <t>68,2023-01-03 19:00:00,0.98,2727,260,897.5,Rail,Fog,71.2,High,1</t>
  </si>
  <si>
    <t>69,2023-01-03 20:00:00,0.94,4673,143,255.1,Sea,Rain,57.6,Low,1</t>
  </si>
  <si>
    <t>70,2023-01-03 21:00:00,0.79,871,257,918.6,Road,Clear,27.0,Low,0</t>
  </si>
  <si>
    <t>71,2023-01-03 22:00:00,0.94,2836,270,1278.6,Air,Storm,59.8,Medium,0</t>
  </si>
  <si>
    <t>72,2023-01-03 23:00:00,0.65,3693,177,287.5,Air,Clear,34.9,Low,0</t>
  </si>
  <si>
    <t>73,2023-01-04 00:00:00,0.72,1119,99,877.9,Air,Fog,19.9,Low,1</t>
  </si>
  <si>
    <t>74,2023-01-04 01:00:00,0.79,66,136,564.3,Sea,Clear,26.3,Medium,0</t>
  </si>
  <si>
    <t>75,2023-01-04 02:00:00,0.9,4279,134,631.0,Sea,Rain,36.7,Low,0</t>
  </si>
  <si>
    <t>76,2023-01-04 03:00:00,0.79,3592,164,906.2,Sea,Fog,9.4,Low,1</t>
  </si>
  <si>
    <t>77,2023-01-04 04:00:00,0.65,3857,270,1314.0,Air,Rain,17.3,High,0</t>
  </si>
  <si>
    <t>78,2023-01-04 05:00:00,0.74,2378,230,1460.7,Sea,Rain,41.1,Medium,0</t>
  </si>
  <si>
    <t>79,2023-01-04 06:00:00,0.73,3598,306,1659.3,Sea,Fog,44.8,High,0</t>
  </si>
  <si>
    <t>80,2023-01-04 07:00:00,0.72,1241,2,1099.0,Rail,Rain,18.5,High,0</t>
  </si>
  <si>
    <t>81,2023-01-04 08:00:00,0.67,269,227,1543.7,Rail,Storm,40.9,High,0</t>
  </si>
  <si>
    <t>82,2023-01-04 09:00:00,0.77,587,252,1634.3,Road,Fog,10.9,Low,0</t>
  </si>
  <si>
    <t>83,2023-01-04 10:00:00,0.78,1085,253,1164.9,Air,Fog,3.5,Medium,0</t>
  </si>
  <si>
    <t>84,2023-01-04 11:00:00,0.91,1522,493,1799.5,Sea,Fog,17.9,Medium,0</t>
  </si>
  <si>
    <t>85,2023-01-04 12:00:00,0.92,879,450,1801.1,Sea,Rain,36.5,High,0</t>
  </si>
  <si>
    <t>86,2023-01-04 13:00:00,0.81,753,472,1359.8,Road,Fog,22.3,Medium,1</t>
  </si>
  <si>
    <t>87,2023-01-04 14:00:00,0.78,2746,283,1591.5,Air,Fog,42.8,High,0</t>
  </si>
  <si>
    <t>88,2023-01-04 15:00:00,0.91,2802,285,732.6,Air,Clear,66.7,High,0</t>
  </si>
  <si>
    <t>89,2023-01-04 16:00:00,0.95,2256,400,1064.5,Air,Storm,53.0,Medium,0</t>
  </si>
  <si>
    <t>90,2023-01-04 17:00:00,0.87,3442,180,819.0,Sea,Fog,47.9,Low,0</t>
  </si>
  <si>
    <t>91,2023-01-04 18:00:00,0.92,2117,58,942.1,Road,Fog,19.9,Low,0</t>
  </si>
  <si>
    <t>92,2023-01-04 19:00:00,0.98,864,61,1467.8,Rail,Fog,10.2,High,0</t>
  </si>
  <si>
    <t>93,2023-01-04 20:00:00,0.62,4681,388,443.4,Road,Fog,2.1,Low,0</t>
  </si>
  <si>
    <t>94,2023-01-04 21:00:00,0.95,3091,174,677.3,Air,Clear,71.3,High,0</t>
  </si>
  <si>
    <t>95,2023-01-04 22:00:00,0.71,2594,111,126.3,Sea,Fog,29.6,Medium,0</t>
  </si>
  <si>
    <t>96,2023-01-04 23:00:00,0.79,4825,237,1170.4,Road,Clear,11.5,Low,0</t>
  </si>
  <si>
    <t>97,2023-01-05 00:00:00,0.92,2591,386,1817.4,Air,Fog,16.6,High,0</t>
  </si>
  <si>
    <t>98,2023-01-05 01:00:00,0.89,3212,232,935.4,Road,Fog,41.1,High,1</t>
  </si>
  <si>
    <t>99,2023-01-05 02:00:00,0.66,564,282,1591.6,Road,Rain,56.0,Low,1</t>
  </si>
  <si>
    <t>100,2023-01-05 03:00:00,0.86,1289,291,817.3,Air,Rain,24.1,Low,1</t>
  </si>
  <si>
    <t>101,2023-01-05 04:00:00,0.63,1826,86,1905.7,Road,Fog,67.0,Medium,0</t>
  </si>
  <si>
    <t>102,2023-01-05 05:00:00,0.74,4940,20,1321.4,Sea,Fog,36.0,High,1</t>
  </si>
  <si>
    <t>103,2023-01-05 06:00:00,0.93,3371,13,1130.5,Rail,Fog,71.8,Low,1</t>
  </si>
  <si>
    <t>104,2023-01-05 07:00:00,0.77,450,316,1016.4,Air,Rain,63.9,Medium,0</t>
  </si>
  <si>
    <t>105,2023-01-05 08:00:00,0.84,3594,280,1188.9,Rail,Rain,22.6,Medium,1</t>
  </si>
  <si>
    <t>106,2023-01-05 09:00:00,0.89,3152,357,1560.3,Sea,Rain,10.8,Low,0</t>
  </si>
  <si>
    <t>107,2023-01-05 10:00:00,0.93,3401,382,1890.3,Sea,Rain,56.8,High,0</t>
  </si>
  <si>
    <t>108,2023-01-05 11:00:00,0.9,1377,56,769.7,Rail,Storm,52.1,High,0</t>
  </si>
  <si>
    <t>109,2023-01-05 12:00:00,0.6,649,18,409.3,Sea,Fog,17.3,High,0</t>
  </si>
  <si>
    <t>110,2023-01-05 13:00:00,0.77,3114,310,1522.0,Road,Rain,69.0,Low,0</t>
  </si>
  <si>
    <t>111,2023-01-05 14:00:00,0.79,2369,298,41.3,Rail,Rain,25.0,Medium,0</t>
  </si>
  <si>
    <t>112,2023-01-05 15:00:00,0.62,1256,241,191.9,Road,Clear,31.0,Medium,0</t>
  </si>
  <si>
    <t>113,2023-01-05 16:00:00,0.82,2789,38,1642.4,Air,Fog,18.4,High,1</t>
  </si>
  <si>
    <t>114,2023-01-05 17:00:00,0.84,512,297,381.6,Rail,Fog,12.0,High,0</t>
  </si>
  <si>
    <t>115,2023-01-05 18:00:00,0.93,784,309,353.6,Road,Rain,33.6,Low,0</t>
  </si>
  <si>
    <t>116,2023-01-05 19:00:00,0.98,1892,479,1450.3,Road,Fog,54.3,Low,0</t>
  </si>
  <si>
    <t>117,2023-01-05 20:00:00,0.65,3711,78,146.3,Road,Fog,68.7,Medium,0</t>
  </si>
  <si>
    <t>118,2023-01-05 21:00:00,0.69,4346,259,1006.9,Sea,Rain,42.4,High,0</t>
  </si>
  <si>
    <t>119,2023-01-05 22:00:00,0.86,3496,153,274.0,Sea,Storm,14.7,Medium,1</t>
  </si>
  <si>
    <t>120,2023-01-05 23:00:00,0.65,3339,290,534.2,Air,Fog,10.9,Medium,1</t>
  </si>
  <si>
    <t>121,2023-01-06 00:00:00,0.69,2831,196,1598.5,Rail,Storm,30.6,Medium,1</t>
  </si>
  <si>
    <t>122,2023-01-06 01:00:00,0.83,2427,80,62.6,Sea,Fog,46.4,Low,1</t>
  </si>
  <si>
    <t>123,2023-01-06 02:00:00,0.67,1721,371,666.1,Air,Rain,42.2,Low,0</t>
  </si>
  <si>
    <t>124,2023-01-06 03:00:00,0.91,1286,489,1561.7,Road,Storm,2.7,Medium,1</t>
  </si>
  <si>
    <t>125,2023-01-06 04:00:00,0.94,2726,2,1791.3,Rail,Storm,30.1,High,0</t>
  </si>
  <si>
    <t>126,2023-01-06 05:00:00,0.61,4848,38,46.3,Road,Storm,7.7,Medium,0</t>
  </si>
  <si>
    <t>127,2023-01-06 06:00:00,0.81,3338,150,1605.3,Air,Fog,62.6,Low,0</t>
  </si>
  <si>
    <t>128,2023-01-06 07:00:00,0.92,2693,239,1364.0,Rail,Storm,1.6,High,0</t>
  </si>
  <si>
    <t>129,2023-01-06 08:00:00,0.99,1061,257,1590.0,Rail,Clear,60.9,High,1</t>
  </si>
  <si>
    <t>130,2023-01-06 09:00:00,0.71,3501,185,861.1,Rail,Storm,66.9,High,0</t>
  </si>
  <si>
    <t>131,2023-01-06 10:00:00,0.67,2435,270,378.5,Air,Clear,1.8,Low,1</t>
  </si>
  <si>
    <t>132,2023-01-06 11:00:00,0.95,4994,252,80.2,Sea,Storm,63.6,Low,0</t>
  </si>
  <si>
    <t>133,2023-01-06 12:00:00,0.96,1517,128,565.2,Rail,Clear,43.9,High,1</t>
  </si>
  <si>
    <t>134,2023-01-06 13:00:00,0.68,2335,146,1658.7,Road,Storm,70.3,Medium,0</t>
  </si>
  <si>
    <t>135,2023-01-06 14:00:00,0.78,1183,483,1486.9,Road,Rain,40.4,High,0</t>
  </si>
  <si>
    <t>136,2023-01-06 15:00:00,0.89,4562,68,1725.4,Rail,Storm,13.3,Medium,1</t>
  </si>
  <si>
    <t>137,2023-01-06 16:00:00,0.94,1246,109,401.6,Rail,Clear,49.0,Medium,0</t>
  </si>
  <si>
    <t>138,2023-01-06 17:00:00,0.67,2072,67,319.3,Air,Fog,8.9,Medium,0</t>
  </si>
  <si>
    <t>139,2023-01-06 18:00:00,0.87,4417,290,1283.9,Sea,Rain,69.1,Medium,0</t>
  </si>
  <si>
    <t>140,2023-01-06 19:00:00,0.92,4530,49,476.7,Sea,Storm,45.8,High,0</t>
  </si>
  <si>
    <t>141,2023-01-06 20:00:00,0.82,2330,490,1580.9,Road,Storm,26.9,High,0</t>
  </si>
  <si>
    <t>142,2023-01-06 21:00:00,0.67,2811,474,679.1,Sea,Clear,3.1,High,0</t>
  </si>
  <si>
    <t>143,2023-01-06 22:00:00,0.61,4816,146,1164.4,Rail,Rain,28.4,Low,1</t>
  </si>
  <si>
    <t>144,2023-01-06 23:00:00,0.71,1448,67,1820.9,Road,Storm,16.2,High,1</t>
  </si>
  <si>
    <t>145,2023-01-07 00:00:00,0.92,4547,89,1177.7,Air,Rain,12.4,Low,0</t>
  </si>
  <si>
    <t>146,2023-01-07 01:00:00,0.62,2101,201,1575.9,Rail,Rain,15.6,Medium,1</t>
  </si>
  <si>
    <t>147,2023-01-07 02:00:00,0.6,1515,40,323.1,Sea,Fog,22.2,Medium,1</t>
  </si>
  <si>
    <t>148,2023-01-07 03:00:00,0.74,4723,250,532.5,Air,Fog,51.7,High,0</t>
  </si>
  <si>
    <t>149,2023-01-07 04:00:00,0.63,1300,431,1289.9,Air,Storm,3.1,Low,0</t>
  </si>
  <si>
    <t>150,2023-01-07 05:00:00,0.66,2228,453,476.7,Air,Rain,15.5,Low,0</t>
  </si>
  <si>
    <t>151,2023-01-07 06:00:00,0.61,2645,16,113.6,Road,Clear,30.2,Medium,0</t>
  </si>
  <si>
    <t>152,2023-01-07 07:00:00,0.81,4942,29,1113.9,Road,Storm,48.0,High,0</t>
  </si>
  <si>
    <t>153,2023-01-07 08:00:00,0.88,4403,315,1308.8,Sea,Fog,13.2,High,0</t>
  </si>
  <si>
    <t>154,2023-01-07 09:00:00,0.77,4674,133,1188.0,Rail,Fog,35.9,Low,0</t>
  </si>
  <si>
    <t>155,2023-01-07 10:00:00,0.65,2032,365,1001.8,Sea,Storm,24.8,Low,1</t>
  </si>
  <si>
    <t>156,2023-01-07 11:00:00,0.73,1451,25,8.8,Air,Rain,66.0,High,0</t>
  </si>
  <si>
    <t>157,2023-01-07 12:00:00,0.84,148,482,945.3,Rail,Rain,54.1,High,0</t>
  </si>
  <si>
    <t>158,2023-01-07 13:00:00,0.98,1916,109,1513.1,Air,Clear,56.4,High,0</t>
  </si>
  <si>
    <t>159,2023-01-07 14:00:00,1.0,2390,472,1906.7,Road,Rain,17.1,Medium,0</t>
  </si>
  <si>
    <t>160,2023-01-07 15:00:00,0.7,760,393,5.8,Rail,Rain,39.5,Medium,0</t>
  </si>
  <si>
    <t>161,2023-01-07 16:00:00,0.6,3643,312,1747.4,Road,Rain,45.5,Medium,0</t>
  </si>
  <si>
    <t>162,2023-01-07 17:00:00,0.93,276,259,1199.5,Air,Storm,17.7,Low,0</t>
  </si>
  <si>
    <t>163,2023-01-07 18:00:00,0.97,1336,251,1844.2,Road,Rain,44.8,Low,0</t>
  </si>
  <si>
    <t>164,2023-01-07 19:00:00,0.78,4055,143,1028.0,Air,Rain,47.1,Medium,1</t>
  </si>
  <si>
    <t>165,2023-01-07 20:00:00,0.91,2490,91,964.5,Air,Fog,36.8,High,0</t>
  </si>
  <si>
    <t>166,2023-01-07 21:00:00,0.95,4732,208,1977.6,Sea,Fog,56.7,High,1</t>
  </si>
  <si>
    <t>167,2023-01-07 22:00:00,0.84,2576,46,1461.1,Road,Fog,16.9,High,0</t>
  </si>
  <si>
    <t>168,2023-01-07 23:00:00,0.95,3539,50,1264.1,Rail,Storm,43.9,Low,0</t>
  </si>
  <si>
    <t>169,2023-01-08 00:00:00,0.61,3444,208,211.8,Rail,Rain,34.5,Medium,0</t>
  </si>
  <si>
    <t>170,2023-01-08 01:00:00,0.71,2055,225,557.7,Sea,Clear,36.1,Medium,1</t>
  </si>
  <si>
    <t>171,2023-01-08 02:00:00,0.71,934,175,204.2,Rail,Clear,43.9,Medium,0</t>
  </si>
  <si>
    <t>172,2023-01-08 03:00:00,0.65,819,103,987.0,Air,Fog,40.2,Low,0</t>
  </si>
  <si>
    <t>173,2023-01-08 04:00:00,0.96,3854,349,377.1,Rail,Fog,23.4,High,0</t>
  </si>
  <si>
    <t>174,2023-01-08 05:00:00,0.61,3491,281,282.3,Air,Rain,24.8,Low,0</t>
  </si>
  <si>
    <t>175,2023-01-08 06:00:00,0.87,553,334,308.5,Air,Clear,43.5,Medium,0</t>
  </si>
  <si>
    <t>176,2023-01-08 07:00:00,0.63,4134,455,785.3,Sea,Fog,27.1,High,1</t>
  </si>
  <si>
    <t>177,2023-01-08 08:00:00,0.74,1918,401,946.1,Sea,Fog,71.5,Low,0</t>
  </si>
  <si>
    <t>178,2023-01-08 09:00:00,0.77,914,210,849.4,Air,Fog,14.2,Medium,0</t>
  </si>
  <si>
    <t>179,2023-01-08 10:00:00,0.67,518,133,462.2,Road,Clear,55.0,Low,1</t>
  </si>
  <si>
    <t>180,2023-01-08 11:00:00,0.81,4485,344,572.2,Road,Rain,61.2,High,0</t>
  </si>
  <si>
    <t>181,2023-01-08 12:00:00,0.81,2439,490,1490.3,Air,Rain,38.9,Low,0</t>
  </si>
  <si>
    <t>182,2023-01-08 13:00:00,0.73,3565,157,682.6,Road,Clear,58.9,Low,0</t>
  </si>
  <si>
    <t>183,2023-01-08 14:00:00,0.89,4907,291,1128.0,Sea,Storm,19.7,High,0</t>
  </si>
  <si>
    <t>184,2023-01-08 15:00:00,0.66,4566,323,1015.7,Rail,Fog,55.8,High,0</t>
  </si>
  <si>
    <t>185,2023-01-08 16:00:00,0.68,3653,79,1297.4,Road,Storm,57.6,Low,0</t>
  </si>
  <si>
    <t>186,2023-01-08 17:00:00,0.74,2879,475,1225.7,Air,Storm,25.9,Low,0</t>
  </si>
  <si>
    <t>187,2023-01-08 18:00:00,0.75,2464,430,398.7,Rail,Rain,63.8,Medium,0</t>
  </si>
  <si>
    <t>188,2023-01-08 19:00:00,0.68,4486,280,250.3,Road,Fog,34.1,High,0</t>
  </si>
  <si>
    <t>189,2023-01-08 20:00:00,0.97,2153,62,1232.1,Rail,Clear,30.7,Low,0</t>
  </si>
  <si>
    <t>190,2023-01-08 21:00:00,0.93,3624,168,1040.0,Rail,Fog,70.6,High,0</t>
  </si>
  <si>
    <t>191,2023-01-08 22:00:00,0.64,1336,468,1063.9,Air,Storm,64.8,Medium,1</t>
  </si>
  <si>
    <t>192,2023-01-08 23:00:00,0.75,291,109,1078.8,Air,Rain,62.3,Low,0</t>
  </si>
  <si>
    <t>193,2023-01-09 00:00:00,0.69,4091,337,245.7,Sea,Rain,33.5,High,0</t>
  </si>
  <si>
    <t>194,2023-01-09 01:00:00,0.78,2372,111,1660.4,Air,Storm,22.7,Low,1</t>
  </si>
  <si>
    <t>195,2023-01-09 02:00:00,0.71,2867,192,1901.4,Air,Fog,41.9,Low,1</t>
  </si>
  <si>
    <t>196,2023-01-09 03:00:00,0.8,3422,422,1334.6,Road,Rain,13.7,High,0</t>
  </si>
  <si>
    <t>197,2023-01-09 04:00:00,0.97,3238,348,1552.4,Road,Fog,16.8,High,0</t>
  </si>
  <si>
    <t>198,2023-01-09 05:00:00,0.75,1338,360,1052.8,Road,Fog,1.8,High,0</t>
  </si>
  <si>
    <t>199,2023-01-09 06:00:00,0.86,2369,279,1039.6,Sea,Fog,47.1,High,1</t>
  </si>
  <si>
    <t>200,2023-01-09 07:00:00,0.84,2756,55,625.3,Rail,Storm,13.0,Medium,0</t>
  </si>
  <si>
    <t>201,2023-01-09 08:00:00,0.9,2406,250,1634.8,Road,Clear,55.0,Medium,0</t>
  </si>
  <si>
    <t>202,2023-01-09 09:00:00,0.62,600,281,27.8,Air,Rain,19.1,Low,0</t>
  </si>
  <si>
    <t>203,2023-01-09 10:00:00,0.9,2848,238,1066.4,Road,Fog,66.2,Low,0</t>
  </si>
  <si>
    <t>204,2023-01-09 11:00:00,0.98,1857,467,1749.7,Air,Rain,56.1,Medium,0</t>
  </si>
  <si>
    <t>205,2023-01-09 12:00:00,0.84,1432,169,1867.3,Air,Fog,44.9,Medium,0</t>
  </si>
  <si>
    <t>206,2023-01-09 13:00:00,0.72,3912,268,1339.0,Rail,Rain,20.5,Medium,0</t>
  </si>
  <si>
    <t>207,2023-01-09 14:00:00,0.87,121,301,1174.6,Air,Rain,12.5,Low,0</t>
  </si>
  <si>
    <t>208,2023-01-09 15:00:00,0.88,2405,27,1987.8,Rail,Storm,8.3,Medium,0</t>
  </si>
  <si>
    <t>209,2023-01-09 16:00:00,0.86,4803,434,134.1,Rail,Fog,48.0,High,1</t>
  </si>
  <si>
    <t>210,2023-01-09 17:00:00,0.66,4588,169,504.2,Road,Rain,43.9,High,0</t>
  </si>
  <si>
    <t>211,2023-01-09 18:00:00,0.99,3028,465,908.5,Road,Clear,11.7,High,0</t>
  </si>
  <si>
    <t>212,2023-01-09 19:00:00,0.98,4975,193,895.2,Air,Rain,49.0,Low,0</t>
  </si>
  <si>
    <t>213,2023-01-09 20:00:00,0.77,283,146,1707.5,Road,Rain,61.0,High,1</t>
  </si>
  <si>
    <t>214,2023-01-09 21:00:00,0.84,2025,31,1308.1,Air,Clear,67.0,Low,0</t>
  </si>
  <si>
    <t>215,2023-01-09 22:00:00,0.62,72,1,337.7,Air,Fog,65.2,Medium,1</t>
  </si>
  <si>
    <t>216,2023-01-09 23:00:00,1.0,4021,68,1186.5,Rail,Fog,71.9,Low,0</t>
  </si>
  <si>
    <t>217,2023-01-10 00:00:00,0.93,200,215,1663.4,Rail,Storm,5.2,High,0</t>
  </si>
  <si>
    <t>218,2023-01-10 01:00:00,0.85,4956,363,104.1,Road,Rain,66.1,High,0</t>
  </si>
  <si>
    <t>219,2023-01-10 02:00:00,0.9,1534,187,155.2,Road,Fog,45.4,Low,0</t>
  </si>
  <si>
    <t>220,2023-01-10 03:00:00,0.68,239,345,1100.1,Sea,Storm,14.5,High,0</t>
  </si>
  <si>
    <t>221,2023-01-10 04:00:00,0.72,4321,45,986.6,Sea,Clear,3.5,Low,0</t>
  </si>
  <si>
    <t>222,2023-01-10 05:00:00,0.7,4354,326,1766.5,Sea,Rain,24.9,Medium,0</t>
  </si>
  <si>
    <t>223,2023-01-10 06:00:00,0.84,1681,491,147.9,Air,Fog,9.3,Medium,0</t>
  </si>
  <si>
    <t>224,2023-01-10 07:00:00,0.64,2238,139,326.2,Air,Rain,72.0,High,0</t>
  </si>
  <si>
    <t>225,2023-01-10 08:00:00,0.96,968,364,87.1,Air,Clear,48.3,High,1</t>
  </si>
  <si>
    <t>226,2023-01-10 09:00:00,0.78,3790,133,827.1,Road,Rain,68.1,Medium,0</t>
  </si>
  <si>
    <t>227,2023-01-10 10:00:00,0.78,2549,195,1992.8,Road,Clear,24.6,Medium,1</t>
  </si>
  <si>
    <t>228,2023-01-10 11:00:00,0.64,2096,30,124.7,Road,Fog,16.3,High,0</t>
  </si>
  <si>
    <t>229,2023-01-10 12:00:00,0.87,2916,293,719.3,Rail,Rain,18.5,High,0</t>
  </si>
  <si>
    <t>230,2023-01-10 13:00:00,0.93,3938,311,80.0,Air,Fog,39.6,Low,0</t>
  </si>
  <si>
    <t>231,2023-01-10 14:00:00,0.85,3647,466,678.7,Road,Clear,22.9,High,0</t>
  </si>
  <si>
    <t>232,2023-01-10 15:00:00,0.7,4465,386,1459.3,Air,Clear,12.6,Medium,0</t>
  </si>
  <si>
    <t>233,2023-01-10 16:00:00,0.91,70,272,257.5,Sea,Clear,35.4,High,0</t>
  </si>
  <si>
    <t>234,2023-01-10 17:00:00,0.66,4438,378,212.2,Rail,Rain,34.7,Medium,0</t>
  </si>
  <si>
    <t>235,2023-01-10 18:00:00,0.93,1770,426,144.4,Sea,Storm,59.2,Medium,1</t>
  </si>
  <si>
    <t>236,2023-01-10 19:00:00,0.83,240,271,1844.0,Rail,Storm,42.3,Medium,1</t>
  </si>
  <si>
    <t>237,2023-01-10 20:00:00,0.72,4100,384,588.0,Road,Rain,8.8,Medium,1</t>
  </si>
  <si>
    <t>238,2023-01-10 21:00:00,0.81,4914,363,1949.3,Rail,Clear,37.1,Medium,0</t>
  </si>
  <si>
    <t>239,2023-01-10 22:00:00,0.85,2630,165,670.0,Sea,Rain,64.3,Low,1</t>
  </si>
  <si>
    <t>240,2023-01-10 23:00:00,0.7,429,261,98.9,Sea,Fog,44.5,High,0</t>
  </si>
  <si>
    <t>241,2023-01-11 00:00:00,0.94,4296,59,1944.8,Rail,Storm,12.7,High,0</t>
  </si>
  <si>
    <t>242,2023-01-11 01:00:00,0.77,518,447,1751.7,Rail,Rain,57.1,Low,1</t>
  </si>
  <si>
    <t>243,2023-01-11 02:00:00,0.96,2832,175,813.9,Rail,Fog,20.2,Low,0</t>
  </si>
  <si>
    <t>244,2023-01-11 03:00:00,0.93,2596,256,1052.2,Rail,Fog,23.6,Low,0</t>
  </si>
  <si>
    <t>245,2023-01-11 04:00:00,0.64,548,263,370.8,Sea,Fog,17.6,High,0</t>
  </si>
  <si>
    <t>246,2023-01-11 05:00:00,0.86,2992,225,12.0,Air,Fog,59.2,Medium,0</t>
  </si>
  <si>
    <t>247,2023-01-11 06:00:00,0.72,1579,325,1141.2,Air,Fog,54.8,Low,0</t>
  </si>
  <si>
    <t>248,2023-01-11 07:00:00,0.9,336,20,1993.5,Air,Clear,43.3,Medium,0</t>
  </si>
  <si>
    <t>249,2023-01-11 08:00:00,0.82,774,194,988.3,Air,Fog,13.3,High,0</t>
  </si>
  <si>
    <t>250,2023-01-11 09:00:00,0.78,4720,478,218.7,Road,Rain,37.0,High,0</t>
  </si>
  <si>
    <t>251,2023-01-11 10:00:00,0.96,4472,330,1693.1,Rail,Storm,57.3,Low,1</t>
  </si>
  <si>
    <t>252,2023-01-11 11:00:00,0.62,3642,224,43.2,Air,Rain,70.7,Low,0</t>
  </si>
  <si>
    <t>253,2023-01-11 12:00:00,0.82,941,290,731.5,Road,Clear,63.4,Low,0</t>
  </si>
  <si>
    <t>254,2023-01-11 13:00:00,0.73,574,419,219.8,Sea,Storm,37.3,Medium,1</t>
  </si>
  <si>
    <t>255,2023-01-11 14:00:00,0.61,3296,28,1603.7,Road,Storm,52.0,Medium,0</t>
  </si>
  <si>
    <t>256,2023-01-11 15:00:00,0.9,4021,341,534.6,Air,Rain,14.1,High,0</t>
  </si>
  <si>
    <t>257,2023-01-11 16:00:00,0.82,3926,207,627.6,Rail,Rain,56.5,High,1</t>
  </si>
  <si>
    <t>258,2023-01-11 17:00:00,0.96,4571,377,373.5,Air,Storm,38.6,High,1</t>
  </si>
  <si>
    <t>259,2023-01-11 18:00:00,0.84,3468,180,1436.1,Rail,Fog,71.7,Low,0</t>
  </si>
  <si>
    <t>260,2023-01-11 19:00:00,0.73,870,121,226.0,Sea,Storm,40.4,Low,1</t>
  </si>
  <si>
    <t>261,2023-01-11 20:00:00,0.99,2086,344,1693.8,Air,Clear,69.0,Medium,0</t>
  </si>
  <si>
    <t>262,2023-01-11 21:00:00,0.65,3467,346,1110.0,Rail,Rain,42.2,High,1</t>
  </si>
  <si>
    <t>263,2023-01-11 22:00:00,0.62,334,492,307.9,Air,Clear,20.1,Low,0</t>
  </si>
  <si>
    <t>264,2023-01-11 23:00:00,0.89,3527,268,1468.3,Air,Fog,41.2,Medium,0</t>
  </si>
  <si>
    <t>265,2023-01-12 00:00:00,0.75,4176,266,351.5,Road,Fog,51.4,Medium,0</t>
  </si>
  <si>
    <t>266,2023-01-12 01:00:00,0.74,2543,24,421.4,Air,Fog,3.0,High,1</t>
  </si>
  <si>
    <t>267,2023-01-12 02:00:00,0.95,2953,132,1103.7,Sea,Clear,60.7,Low,1</t>
  </si>
  <si>
    <t>268,2023-01-12 03:00:00,0.73,2780,468,1798.5,Sea,Fog,50.6,Medium,0</t>
  </si>
  <si>
    <t>269,2023-01-12 04:00:00,0.96,2295,156,1669.3,Air,Storm,21.1,Medium,0</t>
  </si>
  <si>
    <t>270,2023-01-12 05:00:00,0.86,4294,383,1394.1,Rail,Clear,27.8,High,0</t>
  </si>
  <si>
    <t>271,2023-01-12 06:00:00,0.73,1532,280,84.2,Road,Rain,58.6,Medium,0</t>
  </si>
  <si>
    <t>272,2023-01-12 07:00:00,0.62,1590,42,1002.1,Road,Fog,42.6,High,1</t>
  </si>
  <si>
    <t>273,2023-01-12 08:00:00,0.7,2647,1,1218.5,Road,Clear,4.2,Medium,0</t>
  </si>
  <si>
    <t>274,2023-01-12 09:00:00,0.99,1525,462,1923.2,Sea,Clear,19.4,Low,0</t>
  </si>
  <si>
    <t>275,2023-01-12 10:00:00,0.76,3190,342,262.7,Road,Clear,49.2,Low,0</t>
  </si>
  <si>
    <t>276,2023-01-12 11:00:00,0.66,1416,7,1170.5,Rail,Storm,55.3,Low,1</t>
  </si>
  <si>
    <t>277,2023-01-12 12:00:00,0.72,2006,367,1941.8,Road,Fog,1.9,Low,0</t>
  </si>
  <si>
    <t>278,2023-01-12 13:00:00,0.96,1683,22,1062.0,Road,Storm,40.9,Medium,0</t>
  </si>
  <si>
    <t>279,2023-01-12 14:00:00,0.67,3115,125,991.1,Road,Rain,28.6,Medium,0</t>
  </si>
  <si>
    <t>280,2023-01-12 15:00:00,0.91,2503,471,509.8,Rail,Clear,5.5,Low,0</t>
  </si>
  <si>
    <t>281,2023-01-12 16:00:00,0.65,3874,18,1098.2,Rail,Clear,67.4,High,0</t>
  </si>
  <si>
    <t>282,2023-01-12 17:00:00,0.98,2949,241,1285.4,Rail,Clear,16.5,Low,0</t>
  </si>
  <si>
    <t>283,2023-01-12 18:00:00,0.81,59,63,1642.3,Sea,Storm,12.3,High,0</t>
  </si>
  <si>
    <t>284,2023-01-12 19:00:00,0.62,1023,251,1072.5,Rail,Rain,3.8,High,1</t>
  </si>
  <si>
    <t>285,2023-01-12 20:00:00,0.97,3462,390,224.5,Sea,Clear,61.5,Low,0</t>
  </si>
  <si>
    <t>286,2023-01-12 21:00:00,0.74,315,132,1282.5,Rail,Rain,20.5,Low,1</t>
  </si>
  <si>
    <t>287,2023-01-12 22:00:00,0.89,2706,67,566.8,Air,Rain,31.9,Low,1</t>
  </si>
  <si>
    <t>288,2023-01-12 23:00:00,0.81,497,10,1871.7,Rail,Rain,15.9,Low,0</t>
  </si>
  <si>
    <t>289,2023-01-13 00:00:00,0.64,2288,249,421.6,Sea,Fog,35.0,Medium,0</t>
  </si>
  <si>
    <t>290,2023-01-13 01:00:00,0.64,4108,414,1747.7,Rail,Rain,58.0,Medium,0</t>
  </si>
  <si>
    <t>291,2023-01-13 02:00:00,0.66,2945,316,1057.8,Rail,Rain,50.0,Low,0</t>
  </si>
  <si>
    <t>292,2023-01-13 03:00:00,0.66,3907,268,436.7,Air,Fog,66.6,Medium,0</t>
  </si>
  <si>
    <t>293,2023-01-13 04:00:00,0.62,2653,319,1309.1,Road,Storm,45.7,Low,1</t>
  </si>
  <si>
    <t>294,2023-01-13 05:00:00,0.62,3983,193,1657.1,Air,Rain,44.5,Low,0</t>
  </si>
  <si>
    <t>295,2023-01-13 06:00:00,0.98,126,194,312.6,Sea,Fog,2.5,High,0</t>
  </si>
  <si>
    <t>296,2023-01-13 07:00:00,0.64,2271,401,256.8,Rail,Storm,61.7,Medium,0</t>
  </si>
  <si>
    <t>297,2023-01-13 08:00:00,0.8,2687,447,1709.1,Sea,Fog,29.8,Low,0</t>
  </si>
  <si>
    <t>298,2023-01-13 09:00:00,0.65,2459,73,214.1,Sea,Clear,71.8,High,1</t>
  </si>
  <si>
    <t>299,2023-01-13 10:00:00,0.69,3246,181,1623.9,Sea,Rain,57.5,High,0</t>
  </si>
  <si>
    <t>300,2023-01-13 11:00:00,0.91,3382,216,1848.9,Rail,Storm,67.1,High,0</t>
  </si>
  <si>
    <t>301,2023-01-13 12:00:00,0.98,2676,118,927.5,Sea,Clear,12.5,High,0</t>
  </si>
  <si>
    <t>302,2023-01-13 13:00:00,0.79,4222,54,1333.3,Sea,Clear,62.1,Medium,1</t>
  </si>
  <si>
    <t>303,2023-01-13 14:00:00,0.6,172,89,321.6,Air,Clear,7.3,Low,0</t>
  </si>
  <si>
    <t>304,2023-01-13 15:00:00,1.0,120,1,853.5,Rail,Rain,5.1,High,1</t>
  </si>
  <si>
    <t>305,2023-01-13 16:00:00,0.62,2217,373,232.3,Sea,Storm,4.9,High,1</t>
  </si>
  <si>
    <t>306,2023-01-13 17:00:00,0.76,2132,444,716.1,Sea,Clear,2.6,Medium,0</t>
  </si>
  <si>
    <t>307,2023-01-13 18:00:00,0.82,4794,372,1975.0,Sea,Fog,33.6,High,0</t>
  </si>
  <si>
    <t>308,2023-01-13 19:00:00,0.96,712,492,943.7,Road,Clear,49.7,Medium,0</t>
  </si>
  <si>
    <t>309,2023-01-13 20:00:00,0.93,1066,493,1035.8,Road,Fog,63.3,Low,0</t>
  </si>
  <si>
    <t>310,2023-01-13 21:00:00,0.84,3642,5,1365.8,Rail,Fog,9.1,Medium,0</t>
  </si>
  <si>
    <t>311,2023-01-13 22:00:00,0.76,4463,194,860.4,Road,Rain,40.8,High,0</t>
  </si>
  <si>
    <t>312,2023-01-13 23:00:00,0.93,3348,410,1396.4,Air,Rain,22.6,High,1</t>
  </si>
  <si>
    <t>313,2023-01-14 00:00:00,0.95,693,292,729.5,Rail,Fog,31.1,Low,0</t>
  </si>
  <si>
    <t>314,2023-01-14 01:00:00,0.95,2697,266,417.2,Rail,Rain,71.0,Low,1</t>
  </si>
  <si>
    <t>315,2023-01-14 02:00:00,0.89,878,241,754.1,Sea,Fog,33.6,Low,0</t>
  </si>
  <si>
    <t>316,2023-01-14 03:00:00,0.64,599,490,208.8,Road,Clear,49.6,Low,0</t>
  </si>
  <si>
    <t>317,2023-01-14 04:00:00,0.72,2077,496,599.6,Air,Rain,63.1,High,1</t>
  </si>
  <si>
    <t>318,2023-01-14 05:00:00,0.79,412,69,332.2,Road,Storm,42.6,Low,0</t>
  </si>
  <si>
    <t>319,2023-01-14 06:00:00,0.8,4468,455,96.2,Sea,Fog,38.4,High,0</t>
  </si>
  <si>
    <t>320,2023-01-14 07:00:00,0.93,3098,239,1707.9,Sea,Storm,24.8,Low,1</t>
  </si>
  <si>
    <t>321,2023-01-14 08:00:00,0.7,4641,179,752.1,Road,Storm,56.6,Low,0</t>
  </si>
  <si>
    <t>322,2023-01-14 09:00:00,0.87,4048,363,1802.6,Air,Rain,29.4,Medium,0</t>
  </si>
  <si>
    <t>323,2023-01-14 10:00:00,0.75,444,254,1141.1,Air,Storm,66.6,Low,1</t>
  </si>
  <si>
    <t>324,2023-01-14 11:00:00,0.91,4132,184,1182.1,Road,Clear,8.4,Low,0</t>
  </si>
  <si>
    <t>325,2023-01-14 12:00:00,0.68,3740,201,1070.3,Sea,Clear,24.4,High,0</t>
  </si>
  <si>
    <t>326,2023-01-14 13:00:00,0.79,936,453,1649.7,Sea,Clear,23.1,Medium,0</t>
  </si>
  <si>
    <t>327,2023-01-14 14:00:00,0.64,3442,472,672.7,Rail,Clear,54.6,High,0</t>
  </si>
  <si>
    <t>328,2023-01-14 15:00:00,0.68,1770,338,1676.0,Road,Rain,62.3,High,0</t>
  </si>
  <si>
    <t>329,2023-01-14 16:00:00,0.97,640,132,1306.9,Rail,Rain,19.2,Low,0</t>
  </si>
  <si>
    <t>330,2023-01-14 17:00:00,0.73,2196,368,1255.9,Air,Fog,10.9,Medium,1</t>
  </si>
  <si>
    <t>331,2023-01-14 18:00:00,0.96,3554,307,722.1,Road,Clear,7.5,Low,0</t>
  </si>
  <si>
    <t>332,2023-01-14 19:00:00,0.81,3018,396,1512.8,Sea,Fog,65.7,Medium,0</t>
  </si>
  <si>
    <t>333,2023-01-14 20:00:00,0.62,4702,314,1526.4,Road,Clear,17.1,Low,0</t>
  </si>
  <si>
    <t>334,2023-01-14 21:00:00,0.92,683,298,471.5,Road,Rain,5.9,Low,0</t>
  </si>
  <si>
    <t>335,2023-01-14 22:00:00,0.62,2666,199,1948.6,Road,Fog,39.5,High,1</t>
  </si>
  <si>
    <t>336,2023-01-14 23:00:00,0.93,4019,403,267.0,Rail,Clear,71.5,High,0</t>
  </si>
  <si>
    <t>337,2023-01-15 00:00:00,0.6,4679,452,774.3,Rail,Clear,7.3,High,0</t>
  </si>
  <si>
    <t>338,2023-01-15 01:00:00,0.87,2639,475,307.5,Air,Storm,39.0,High,1</t>
  </si>
  <si>
    <t>339,2023-01-15 02:00:00,0.67,4405,234,1017.4,Sea,Storm,38.4,Low,1</t>
  </si>
  <si>
    <t>340,2023-01-15 03:00:00,0.74,3457,6,215.5,Road,Fog,6.9,High,1</t>
  </si>
  <si>
    <t>341,2023-01-15 04:00:00,0.98,794,480,183.6,Road,Storm,3.2,High,0</t>
  </si>
  <si>
    <t>342,2023-01-15 05:00:00,0.79,2135,34,1410.9,Air,Storm,18.7,Medium,1</t>
  </si>
  <si>
    <t>343,2023-01-15 06:00:00,0.86,3513,347,1411.6,Rail,Clear,20.6,High,0</t>
  </si>
  <si>
    <t>344,2023-01-15 07:00:00,0.9,3826,2,1842.5,Road,Storm,37.7,Medium,0</t>
  </si>
  <si>
    <t>345,2023-01-15 08:00:00,0.64,2883,147,279.7,Rail,Clear,66.0,Medium,0</t>
  </si>
  <si>
    <t>346,2023-01-15 09:00:00,0.94,4701,447,639.9,Sea,Fog,22.6,Low,0</t>
  </si>
  <si>
    <t>347,2023-01-15 10:00:00,0.97,703,476,47.8,Sea,Storm,61.9,Low,1</t>
  </si>
  <si>
    <t>348,2023-01-15 11:00:00,0.66,4463,255,835.6,Air,Storm,3.9,High,0</t>
  </si>
  <si>
    <t>349,2023-01-15 12:00:00,0.82,2583,98,980.6,Road,Storm,18.1,Low,0</t>
  </si>
  <si>
    <t>350,2023-01-15 13:00:00,0.71,2000,232,906.7,Road,Fog,9.5,Low,1</t>
  </si>
  <si>
    <t>351,2023-01-15 14:00:00,0.9,3445,338,1003.1,Rail,Clear,22.2,Low,0</t>
  </si>
  <si>
    <t>352,2023-01-15 15:00:00,0.61,3435,107,596.1,Air,Storm,28.4,Low,0</t>
  </si>
  <si>
    <t>353,2023-01-15 16:00:00,0.81,52,228,291.1,Road,Clear,13.1,Medium,0</t>
  </si>
  <si>
    <t>354,2023-01-15 17:00:00,0.92,2302,179,233.5,Air,Clear,59.3,Low,1</t>
  </si>
  <si>
    <t>355,2023-01-15 18:00:00,0.89,1906,427,567.2,Road,Fog,50.6,Low,0</t>
  </si>
  <si>
    <t>356,2023-01-15 19:00:00,0.64,1195,125,1127.2,Rail,Clear,20.7,Low,1</t>
  </si>
  <si>
    <t>357,2023-01-15 20:00:00,0.93,2452,215,1599.6,Rail,Clear,57.7,High,0</t>
  </si>
  <si>
    <t>358,2023-01-15 21:00:00,0.7,3624,480,1298.8,Road,Rain,18.6,Medium,1</t>
  </si>
  <si>
    <t>359,2023-01-15 22:00:00,0.92,994,410,223.3,Air,Rain,7.6,Low,0</t>
  </si>
  <si>
    <t>360,2023-01-15 23:00:00,0.8,3878,466,1158.2,Air,Rain,56.7,Medium,0</t>
  </si>
  <si>
    <t>361,2023-01-16 00:00:00,0.66,3134,216,342.7,Air,Storm,13.1,High,0</t>
  </si>
  <si>
    <t>362,2023-01-16 01:00:00,0.89,3501,372,351.7,Sea,Clear,15.9,Low,0</t>
  </si>
  <si>
    <t>363,2023-01-16 02:00:00,0.92,2537,261,1478.0,Rail,Clear,58.3,High,0</t>
  </si>
  <si>
    <t>364,2023-01-16 03:00:00,0.88,4923,136,466.2,Road,Clear,49.7,Low,0</t>
  </si>
  <si>
    <t>365,2023-01-16 04:00:00,0.99,3223,296,122.6,Road,Fog,57.4,Medium,0</t>
  </si>
  <si>
    <t>366,2023-01-16 05:00:00,0.7,3969,278,851.8,Sea,Clear,14.9,High,0</t>
  </si>
  <si>
    <t>367,2023-01-16 06:00:00,0.69,2824,318,708.2,Rail,Storm,57.8,Low,0</t>
  </si>
  <si>
    <t>368,2023-01-16 07:00:00,0.66,1608,71,1249.8,Road,Rain,29.3,Medium,1</t>
  </si>
  <si>
    <t>369,2023-01-16 08:00:00,0.82,2910,309,630.6,Sea,Clear,42.5,Low,0</t>
  </si>
  <si>
    <t>370,2023-01-16 09:00:00,0.76,1372,246,1591.4,Sea,Clear,12.1,Medium,0</t>
  </si>
  <si>
    <t>371,2023-01-16 10:00:00,0.74,3007,50,1671.6,Air,Clear,34.9,High,1</t>
  </si>
  <si>
    <t>372,2023-01-16 11:00:00,0.78,344,275,828.3,Road,Clear,28.7,High,0</t>
  </si>
  <si>
    <t>373,2023-01-16 12:00:00,0.71,4806,343,1288.0,Air,Storm,32.2,Low,0</t>
  </si>
  <si>
    <t>374,2023-01-16 13:00:00,0.6,1236,410,1249.7,Rail,Storm,34.1,Low,0</t>
  </si>
  <si>
    <t>375,2023-01-16 14:00:00,0.79,2930,85,1911.5,Air,Fog,23.0,Low,1</t>
  </si>
  <si>
    <t>376,2023-01-16 15:00:00,0.71,839,242,1436.8,Air,Fog,29.3,High,1</t>
  </si>
  <si>
    <t>377,2023-01-16 16:00:00,0.78,1071,226,214.0,Air,Rain,62.4,Medium,0</t>
  </si>
  <si>
    <t>378,2023-01-16 17:00:00,0.97,801,53,868.6,Rail,Storm,62.7,High,0</t>
  </si>
  <si>
    <t>379,2023-01-16 18:00:00,0.67,1937,447,1173.4,Sea,Clear,71.7,High,1</t>
  </si>
  <si>
    <t>380,2023-01-16 19:00:00,0.85,2979,329,1472.6,Air,Rain,69.5,Low,0</t>
  </si>
  <si>
    <t>381,2023-01-16 20:00:00,0.86,3355,54,1570.2,Rail,Rain,48.4,Low,1</t>
  </si>
  <si>
    <t>382,2023-01-16 21:00:00,0.71,82,189,1093.0,Sea,Clear,51.3,Medium,0</t>
  </si>
  <si>
    <t>383,2023-01-16 22:00:00,0.79,1308,370,557.4,Sea,Fog,27.0,High,1</t>
  </si>
  <si>
    <t>384,2023-01-16 23:00:00,0.99,1270,378,1468.0,Sea,Rain,32.1,Low,1</t>
  </si>
  <si>
    <t>385,2023-01-17 00:00:00,0.74,648,258,648.8,Air,Clear,5.6,Medium,0</t>
  </si>
  <si>
    <t>386,2023-01-17 01:00:00,0.88,1929,293,837.3,Road,Storm,30.6,Low,0</t>
  </si>
  <si>
    <t>387,2023-01-17 02:00:00,0.94,1786,474,423.4,Rail,Fog,47.8,High,0</t>
  </si>
  <si>
    <t>388,2023-01-17 03:00:00,0.74,1543,82,1757.0,Rail,Storm,66.1,Low,1</t>
  </si>
  <si>
    <t>389,2023-01-17 04:00:00,1.0,3634,385,281.5,Rail,Storm,46.1,Low,0</t>
  </si>
  <si>
    <t>390,2023-01-17 05:00:00,0.85,4930,49,518.0,Rail,Storm,46.4,Low,0</t>
  </si>
  <si>
    <t>391,2023-01-17 06:00:00,0.8,3104,381,1400.0,Rail,Clear,62.2,Medium,0</t>
  </si>
  <si>
    <t>392,2023-01-17 07:00:00,0.89,2499,54,1178.6,Rail,Rain,34.1,Medium,1</t>
  </si>
  <si>
    <t>393,2023-01-17 08:00:00,0.77,4221,270,786.4,Road,Clear,53.0,Low,0</t>
  </si>
  <si>
    <t>394,2023-01-17 09:00:00,0.88,1190,187,1201.1,Sea,Fog,48.6,Low,0</t>
  </si>
  <si>
    <t>395,2023-01-17 10:00:00,0.71,269,55,1464.0,Sea,Fog,20.1,Medium,0</t>
  </si>
  <si>
    <t>396,2023-01-17 11:00:00,0.97,4381,328,1167.0,Rail,Fog,16.7,High,0</t>
  </si>
  <si>
    <t>397,2023-01-17 12:00:00,0.82,1959,250,19.1,Rail,Storm,4.3,Medium,1</t>
  </si>
  <si>
    <t>398,2023-01-17 13:00:00,0.7,2312,223,1020.3,Rail,Rain,45.7,Medium,0</t>
  </si>
  <si>
    <t>399,2023-01-17 14:00:00,0.77,2658,176,207.2,Sea,Clear,50.7,High,1</t>
  </si>
  <si>
    <t>400,2023-01-17 15:00:00,0.96,2742,378,1459.7,Rail,Storm,30.0,Medium,0</t>
  </si>
  <si>
    <t>401,2023-01-17 16:00:00,0.92,718,68,12.7,Rail,Fog,2.1,Low,0</t>
  </si>
  <si>
    <t>402,2023-01-17 17:00:00,0.79,336,325,436.5,Road,Storm,55.2,Low,0</t>
  </si>
  <si>
    <t>403,2023-01-17 18:00:00,0.74,4153,288,1270.7,Rail,Clear,19.0,Low,0</t>
  </si>
  <si>
    <t>404,2023-01-17 19:00:00,0.75,83,257,1695.2,Sea,Clear,11.2,High,0</t>
  </si>
  <si>
    <t>405,2023-01-17 20:00:00,0.99,933,188,65.9,Sea,Storm,19.9,Low,1</t>
  </si>
  <si>
    <t>406,2023-01-17 21:00:00,0.64,1702,205,545.6,Rail,Clear,56.0,Low,0</t>
  </si>
  <si>
    <t>407,2023-01-17 22:00:00,0.96,2370,350,1151.5,Sea,Clear,66.3,Medium,0</t>
  </si>
  <si>
    <t>408,2023-01-17 23:00:00,0.94,2185,329,1116.6,Sea,Storm,11.4,Medium,0</t>
  </si>
  <si>
    <t>409,2023-01-18 00:00:00,0.69,59,274,1600.4,Air,Rain,2.4,High,0</t>
  </si>
  <si>
    <t>410,2023-01-18 01:00:00,0.74,4695,497,834.1,Road,Storm,52.9,High,0</t>
  </si>
  <si>
    <t>411,2023-01-18 02:00:00,0.83,1072,178,1721.6,Air,Fog,59.2,Low,0</t>
  </si>
  <si>
    <t>412,2023-01-18 03:00:00,0.92,719,412,773.4,Sea,Fog,41.3,Medium,0</t>
  </si>
  <si>
    <t>413,2023-01-18 04:00:00,0.98,2590,123,1089.7,Road,Rain,65.5,Medium,0</t>
  </si>
  <si>
    <t>414,2023-01-18 05:00:00,1.0,2627,395,899.1,Road,Storm,32.1,High,0</t>
  </si>
  <si>
    <t>415,2023-01-18 06:00:00,0.71,4721,401,1068.8,Sea,Fog,10.4,Low,0</t>
  </si>
  <si>
    <t>416,2023-01-18 07:00:00,0.68,4627,158,282.6,Sea,Fog,31.9,Medium,1</t>
  </si>
  <si>
    <t>417,2023-01-18 08:00:00,0.8,3501,180,1530.4,Air,Clear,40.6,Medium,1</t>
  </si>
  <si>
    <t>418,2023-01-18 09:00:00,0.82,206,404,286.7,Sea,Storm,58.1,High,1</t>
  </si>
  <si>
    <t>419,2023-01-18 10:00:00,0.86,2558,51,899.7,Sea,Storm,71.4,High,0</t>
  </si>
  <si>
    <t>420,2023-01-18 11:00:00,0.64,994,151,1275.6,Air,Storm,47.3,Medium,0</t>
  </si>
  <si>
    <t>421,2023-01-18 12:00:00,0.86,1979,62,445.5,Road,Fog,59.3,Medium,0</t>
  </si>
  <si>
    <t>422,2023-01-18 13:00:00,0.97,2349,406,1972.8,Rail,Rain,39.6,Medium,1</t>
  </si>
  <si>
    <t>423,2023-01-18 14:00:00,0.97,3172,489,1370.2,Road,Storm,1.1,High,0</t>
  </si>
  <si>
    <t>424,2023-01-18 15:00:00,0.98,537,156,260.4,Rail,Storm,6.1,Low,0</t>
  </si>
  <si>
    <t>425,2023-01-18 16:00:00,0.97,3338,379,1977.0,Air,Clear,9.5,Medium,1</t>
  </si>
  <si>
    <t>426,2023-01-18 17:00:00,0.98,1473,123,689.3,Sea,Fog,66.5,Low,0</t>
  </si>
  <si>
    <t>427,2023-01-18 18:00:00,0.62,4641,308,1700.0,Air,Fog,2.0,Low,0</t>
  </si>
  <si>
    <t>428,2023-01-18 19:00:00,0.97,3423,151,677.5,Air,Fog,36.2,Low,1</t>
  </si>
  <si>
    <t>429,2023-01-18 20:00:00,0.71,464,387,1197.7,Road,Fog,31.1,High,0</t>
  </si>
  <si>
    <t>430,2023-01-18 21:00:00,0.73,4285,143,1458.5,Air,Storm,57.8,Medium,0</t>
  </si>
  <si>
    <t>431,2023-01-18 22:00:00,0.78,4569,331,800.9,Air,Storm,50.8,High,1</t>
  </si>
  <si>
    <t>432,2023-01-18 23:00:00,0.98,3290,51,1967.8,Rail,Storm,3.3,Low,0</t>
  </si>
  <si>
    <t>433,2023-01-19 00:00:00,0.84,3198,124,1777.6,Road,Clear,32.9,Medium,0</t>
  </si>
  <si>
    <t>434,2023-01-19 01:00:00,0.74,1555,329,482.4,Air,Rain,52.0,High,0</t>
  </si>
  <si>
    <t>435,2023-01-19 02:00:00,0.75,546,440,1356.7,Air,Rain,32.9,Medium,0</t>
  </si>
  <si>
    <t>436,2023-01-19 03:00:00,0.96,4766,107,870.2,Sea,Storm,19.4,High,1</t>
  </si>
  <si>
    <t>437,2023-01-19 04:00:00,0.93,1570,314,1786.0,Road,Rain,29.8,Medium,0</t>
  </si>
  <si>
    <t>438,2023-01-19 05:00:00,0.66,3170,168,313.5,Sea,Storm,29.2,Medium,0</t>
  </si>
  <si>
    <t>439,2023-01-19 06:00:00,0.7,4813,426,1501.4,Road,Rain,42.8,High,0</t>
  </si>
  <si>
    <t>440,2023-01-19 07:00:00,0.75,4607,107,779.4,Sea,Clear,48.6,Low,0</t>
  </si>
  <si>
    <t>441,2023-01-19 08:00:00,0.69,2960,153,1024.9,Air,Rain,23.4,High,1</t>
  </si>
  <si>
    <t>442,2023-01-19 09:00:00,0.83,426,276,1384.5,Sea,Fog,3.5,High,0</t>
  </si>
  <si>
    <t>443,2023-01-19 10:00:00,0.69,4730,285,420.9,Road,Clear,52.2,Medium,0</t>
  </si>
  <si>
    <t>444,2023-01-19 11:00:00,0.83,3056,428,207.0,Road,Rain,6.1,Medium,0</t>
  </si>
  <si>
    <t>445,2023-01-19 12:00:00,0.97,3007,20,531.1,Road,Storm,48.4,Medium,0</t>
  </si>
  <si>
    <t>446,2023-01-19 13:00:00,0.94,3159,198,822.6,Air,Clear,68.7,Medium,0</t>
  </si>
  <si>
    <t>447,2023-01-19 14:00:00,0.64,3918,494,599.4,Sea,Rain,30.5,Medium,1</t>
  </si>
  <si>
    <t>448,2023-01-19 15:00:00,0.68,4506,455,438.5,Road,Clear,69.4,Medium,0</t>
  </si>
  <si>
    <t>449,2023-01-19 16:00:00,0.77,3190,474,1416.9,Road,Storm,67.4,Medium,1</t>
  </si>
  <si>
    <t>450,2023-01-19 17:00:00,0.86,4132,200,1519.3,Sea,Rain,64.9,Medium,0</t>
  </si>
  <si>
    <t>451,2023-01-19 18:00:00,0.75,719,342,1797.6,Rail,Clear,54.9,High,0</t>
  </si>
  <si>
    <t>452,2023-01-19 19:00:00,0.7,2290,56,589.1,Road,Rain,47.6,High,0</t>
  </si>
  <si>
    <t>453,2023-01-19 20:00:00,0.74,786,185,1448.3,Road,Storm,42.0,Low,0</t>
  </si>
  <si>
    <t>454,2023-01-19 21:00:00,0.68,1062,86,165.5,Air,Clear,44.0,Low,1</t>
  </si>
  <si>
    <t>455,2023-01-19 22:00:00,0.94,4788,171,418.4,Air,Storm,69.2,High,1</t>
  </si>
  <si>
    <t>456,2023-01-19 23:00:00,0.88,3924,487,280.3,Air,Fog,13.2,High,0</t>
  </si>
  <si>
    <t>457,2023-01-20 00:00:00,0.76,1069,47,472.1,Road,Clear,33.2,Medium,0</t>
  </si>
  <si>
    <t>458,2023-01-20 01:00:00,0.88,312,413,1410.8,Rail,Clear,38.1,Low,0</t>
  </si>
  <si>
    <t>459,2023-01-20 02:00:00,0.81,1938,419,359.1,Air,Rain,62.3,High,0</t>
  </si>
  <si>
    <t>460,2023-01-20 03:00:00,0.81,2876,15,1489.9,Air,Storm,2.6,High,0</t>
  </si>
  <si>
    <t>461,2023-01-20 04:00:00,0.75,2353,394,959.9,Rail,Storm,68.5,High,1</t>
  </si>
  <si>
    <t>462,2023-01-20 05:00:00,0.8,1224,168,1463.9,Rail,Clear,34.3,Medium,0</t>
  </si>
  <si>
    <t>463,2023-01-20 06:00:00,0.99,817,123,1030.2,Road,Clear,18.8,Low,0</t>
  </si>
  <si>
    <t>464,2023-01-20 07:00:00,0.91,289,66,809.8,Rail,Clear,41.0,Low,0</t>
  </si>
  <si>
    <t>465,2023-01-20 08:00:00,0.93,1174,189,1902.2,Sea,Fog,27.7,High,0</t>
  </si>
  <si>
    <t>466,2023-01-20 09:00:00,0.65,4057,448,1477.5,Air,Clear,55.6,Low,1</t>
  </si>
  <si>
    <t>467,2023-01-20 10:00:00,0.8,3506,410,1629.4,Road,Storm,24.7,Medium,1</t>
  </si>
  <si>
    <t>468,2023-01-20 11:00:00,0.75,3965,10,1000.4,Rail,Clear,58.2,High,0</t>
  </si>
  <si>
    <t>469,2023-01-20 12:00:00,0.64,3881,441,111.9,Road,Fog,15.6,High,0</t>
  </si>
  <si>
    <t>470,2023-01-20 13:00:00,0.76,3608,387,1138.4,Sea,Clear,30.2,Low,0</t>
  </si>
  <si>
    <t>471,2023-01-20 14:00:00,0.63,596,308,1125.8,Air,Rain,62.3,High,0</t>
  </si>
  <si>
    <t>472,2023-01-20 15:00:00,0.69,2406,451,1741.7,Air,Clear,44.9,High,0</t>
  </si>
  <si>
    <t>473,2023-01-20 16:00:00,0.92,4831,224,1339.7,Road,Fog,43.4,Low,0</t>
  </si>
  <si>
    <t>474,2023-01-20 17:00:00,0.87,4950,298,40.4,Sea,Rain,35.2,Low,0</t>
  </si>
  <si>
    <t>475,2023-01-20 18:00:00,0.88,3834,445,536.4,Rail,Storm,59.3,Low,0</t>
  </si>
  <si>
    <t>476,2023-01-20 19:00:00,0.63,3369,136,1516.1,Rail,Fog,36.4,High,1</t>
  </si>
  <si>
    <t>477,2023-01-20 20:00:00,0.67,2793,199,1016.5,Air,Clear,59.6,Medium,0</t>
  </si>
  <si>
    <t>478,2023-01-20 21:00:00,0.61,2988,406,1421.3,Sea,Rain,44.4,High,1</t>
  </si>
  <si>
    <t>479,2023-01-20 22:00:00,0.64,4969,200,1078.6,Road,Clear,67.5,High,0</t>
  </si>
  <si>
    <t>480,2023-01-20 23:00:00,0.64,1096,300,781.7,Air,Rain,39.1,Medium,1</t>
  </si>
  <si>
    <t>481,2023-01-21 00:00:00,0.98,1306,434,1712.0,Rail,Rain,8.6,High,0</t>
  </si>
  <si>
    <t>482,2023-01-21 01:00:00,0.96,3785,421,470.2,Air,Fog,55.6,High,0</t>
  </si>
  <si>
    <t>483,2023-01-21 02:00:00,0.68,4685,401,29.6,Road,Storm,57.2,Low,1</t>
  </si>
  <si>
    <t>484,2023-01-21 03:00:00,0.7,127,399,141.6,Rail,Storm,68.8,High,0</t>
  </si>
  <si>
    <t>485,2023-01-21 04:00:00,0.98,1321,196,209.1,Air,Storm,58.5,High,0</t>
  </si>
  <si>
    <t>486,2023-01-21 05:00:00,0.83,484,431,1115.5,Sea,Clear,29.1,Medium,1</t>
  </si>
  <si>
    <t>487,2023-01-21 06:00:00,0.75,4208,427,928.6,Air,Fog,32.6,Low,1</t>
  </si>
  <si>
    <t>488,2023-01-21 07:00:00,0.79,2448,355,498.9,Rail,Rain,65.5,Medium,0</t>
  </si>
  <si>
    <t>489,2023-01-21 08:00:00,0.71,311,25,131.8,Sea,Rain,42.8,High,1</t>
  </si>
  <si>
    <t>490,2023-01-21 09:00:00,0.83,4958,47,1392.5,Road,Clear,41.4,Low,0</t>
  </si>
  <si>
    <t>491,2023-01-21 10:00:00,0.89,711,185,1610.4,Rail,Rain,16.8,High,0</t>
  </si>
  <si>
    <t>492,2023-01-21 11:00:00,0.81,1778,371,1456.8,Road,Storm,6.5,Low,0</t>
  </si>
  <si>
    <t>493,2023-01-21 12:00:00,0.93,3605,364,1223.1,Rail,Storm,8.2,Low,0</t>
  </si>
  <si>
    <t>494,2023-01-21 13:00:00,0.65,4568,415,1674.5,Sea,Fog,68.1,Low,1</t>
  </si>
  <si>
    <t>495,2023-01-21 14:00:00,0.84,716,147,693.5,Air,Clear,23.5,Medium,0</t>
  </si>
  <si>
    <t>496,2023-01-21 15:00:00,1.0,4196,300,347.3,Air,Fog,40.2,High,0</t>
  </si>
  <si>
    <t>497,2023-01-21 16:00:00,0.66,1305,25,1629.0,Sea,Storm,40.2,High,1</t>
  </si>
  <si>
    <t>498,2023-01-21 17:00:00,0.8,328,49,1131.9,Road,Storm,56.1,Medium,0</t>
  </si>
  <si>
    <t>499,2023-01-21 18:00:00,0.85,4542,104,551.7,Road,Rain,61.9,Low,0</t>
  </si>
  <si>
    <t>500,2023-01-21 19:00:00,0.74,1325,57,1823.0,Sea,Clear,31.3,High,0</t>
  </si>
  <si>
    <t>501,2023-01-21 20:00:00,0.99,4132,308,699.2,Air,Storm,56.9,Low,0</t>
  </si>
  <si>
    <t>502,2023-01-21 21:00:00,0.79,2276,307,1933.9,Road,Fog,2.3,High,0</t>
  </si>
  <si>
    <t>503,2023-01-21 22:00:00,0.79,1381,425,1498.1,Sea,Clear,12.3,Medium,0</t>
  </si>
  <si>
    <t>504,2023-01-21 23:00:00,0.96,1677,325,648.3,Sea,Fog,70.8,Medium,1</t>
  </si>
  <si>
    <t>505,2023-01-22 00:00:00,0.61,3237,106,1915.6,Air,Clear,35.4,Medium,1</t>
  </si>
  <si>
    <t>506,2023-01-22 01:00:00,0.95,4580,373,18.6,Air,Fog,20.5,Medium,0</t>
  </si>
  <si>
    <t>507,2023-01-22 02:00:00,0.65,4358,482,623.4,Road,Storm,68.2,Medium,0</t>
  </si>
  <si>
    <t>508,2023-01-22 03:00:00,0.75,2246,335,1720.7,Air,Fog,20.0,High,0</t>
  </si>
  <si>
    <t>509,2023-01-22 04:00:00,0.8,349,351,490.9,Sea,Fog,54.0,Low,1</t>
  </si>
  <si>
    <t>510,2023-01-22 05:00:00,0.79,4820,73,1409.9,Sea,Fog,55.7,High,0</t>
  </si>
  <si>
    <t>511,2023-01-22 06:00:00,0.62,2105,209,1510.9,Air,Rain,23.9,High,0</t>
  </si>
  <si>
    <t>512,2023-01-22 07:00:00,0.73,1828,332,754.6,Rail,Storm,12.9,Medium,0</t>
  </si>
  <si>
    <t>513,2023-01-22 08:00:00,0.74,3938,82,429.2,Air,Storm,7.7,Medium,1</t>
  </si>
  <si>
    <t>514,2023-01-22 09:00:00,0.98,3817,397,798.8,Rail,Storm,47.5,Medium,0</t>
  </si>
  <si>
    <t>515,2023-01-22 10:00:00,0.97,819,326,249.1,Sea,Clear,35.3,Low,0</t>
  </si>
  <si>
    <t>516,2023-01-22 11:00:00,0.83,3168,145,1038.4,Sea,Clear,65.1,High,1</t>
  </si>
  <si>
    <t>517,2023-01-22 12:00:00,0.97,4197,329,1907.4,Road,Fog,23.8,Low,1</t>
  </si>
  <si>
    <t>518,2023-01-22 13:00:00,0.95,1745,303,1769.3,Rail,Storm,67.9,High,1</t>
  </si>
  <si>
    <t>519,2023-01-22 14:00:00,0.75,3856,17,1196.3,Air,Fog,4.5,Low,0</t>
  </si>
  <si>
    <t>520,2023-01-22 15:00:00,0.65,4790,49,1288.2,Rail,Rain,34.0,High,0</t>
  </si>
  <si>
    <t>521,2023-01-22 16:00:00,0.84,2562,97,1174.2,Rail,Clear,69.7,Medium,0</t>
  </si>
  <si>
    <t>522,2023-01-22 17:00:00,0.73,667,140,1438.4,Air,Rain,4.1,Medium,0</t>
  </si>
  <si>
    <t>523,2023-01-22 18:00:00,0.6,2884,202,441.3,Air,Fog,6.7,Low,1</t>
  </si>
  <si>
    <t>524,2023-01-22 19:00:00,0.99,2615,313,571.1,Rail,Storm,44.0,Low,0</t>
  </si>
  <si>
    <t>525,2023-01-22 20:00:00,0.99,3285,129,246.9,Rail,Fog,21.2,High,0</t>
  </si>
  <si>
    <t>526,2023-01-22 21:00:00,0.81,842,116,943.9,Rail,Rain,41.2,High,0</t>
  </si>
  <si>
    <t>527,2023-01-22 22:00:00,0.85,3495,131,291.4,Air,Rain,71.6,Medium,0</t>
  </si>
  <si>
    <t>528,2023-01-22 23:00:00,0.87,1367,181,868.6,Road,Storm,52.6,High,0</t>
  </si>
  <si>
    <t>529,2023-01-23 00:00:00,0.97,2616,168,1329.5,Road,Storm,61.9,High,0</t>
  </si>
  <si>
    <t>530,2023-01-23 01:00:00,0.79,3874,41,922.3,Sea,Fog,37.5,Medium,1</t>
  </si>
  <si>
    <t>531,2023-01-23 02:00:00,0.83,3854,473,1787.7,Air,Storm,19.1,Medium,0</t>
  </si>
  <si>
    <t>532,2023-01-23 03:00:00,0.69,4674,69,273.8,Sea,Clear,46.6,Medium,0</t>
  </si>
  <si>
    <t>533,2023-01-23 04:00:00,0.7,2669,277,803.4,Rail,Fog,20.0,Medium,1</t>
  </si>
  <si>
    <t>534,2023-01-23 05:00:00,0.81,1148,63,1948.4,Sea,Rain,67.3,Medium,0</t>
  </si>
  <si>
    <t>535,2023-01-23 06:00:00,0.69,4446,381,276.9,Road,Fog,69.0,Medium,0</t>
  </si>
  <si>
    <t>536,2023-01-23 07:00:00,0.61,3473,118,1130.2,Air,Clear,68.8,Medium,0</t>
  </si>
  <si>
    <t>537,2023-01-23 08:00:00,0.75,2421,17,1093.8,Road,Fog,50.6,Medium,0</t>
  </si>
  <si>
    <t>538,2023-01-23 09:00:00,0.9,1363,145,1844.4,Rail,Clear,13.3,Low,0</t>
  </si>
  <si>
    <t>539,2023-01-23 10:00:00,0.71,1549,285,1734.8,Rail,Rain,68.1,Medium,0</t>
  </si>
  <si>
    <t>540,2023-01-23 11:00:00,0.95,2931,152,1233.3,Air,Clear,8.0,Low,1</t>
  </si>
  <si>
    <t>541,2023-01-23 12:00:00,0.88,317,22,1978.9,Road,Clear,30.2,High,0</t>
  </si>
  <si>
    <t>542,2023-01-23 13:00:00,0.86,4407,250,244.3,Road,Storm,25.6,Medium,0</t>
  </si>
  <si>
    <t>543,2023-01-23 14:00:00,0.96,163,438,1403.6,Sea,Storm,20.1,Low,1</t>
  </si>
  <si>
    <t>544,2023-01-23 15:00:00,0.63,3887,28,1470.0,Rail,Clear,4.1,Low,1</t>
  </si>
  <si>
    <t>545,2023-01-23 16:00:00,0.67,3189,140,832.4,Road,Storm,27.2,Low,0</t>
  </si>
  <si>
    <t>546,2023-01-23 17:00:00,0.96,937,203,1801.5,Air,Storm,9.5,Medium,1</t>
  </si>
  <si>
    <t>547,2023-01-23 18:00:00,0.96,3106,247,391.9,Sea,Fog,4.5,High,1</t>
  </si>
  <si>
    <t>548,2023-01-23 19:00:00,0.63,2994,34,31.6,Rail,Fog,63.8,Medium,1</t>
  </si>
  <si>
    <t>549,2023-01-23 20:00:00,0.91,2682,343,40.7,Rail,Storm,43.7,High,1</t>
  </si>
  <si>
    <t>550,2023-01-23 21:00:00,0.61,4726,79,615.7,Sea,Storm,34.5,Low,0</t>
  </si>
  <si>
    <t>551,2023-01-23 22:00:00,0.65,3470,186,1627.9,Rail,Fog,28.9,High,0</t>
  </si>
  <si>
    <t>552,2023-01-23 23:00:00,0.64,1311,177,1594.8,Sea,Rain,24.0,Medium,1</t>
  </si>
  <si>
    <t>553,2023-01-24 00:00:00,0.72,4655,121,1063.6,Rail,Storm,29.5,Low,0</t>
  </si>
  <si>
    <t>554,2023-01-24 01:00:00,0.76,2168,359,771.9,Road,Storm,57.8,Low,1</t>
  </si>
  <si>
    <t>555,2023-01-24 02:00:00,0.96,688,384,1768.9,Sea,Rain,66.8,High,0</t>
  </si>
  <si>
    <t>556,2023-01-24 03:00:00,0.77,449,486,1856.4,Air,Rain,58.7,Medium,0</t>
  </si>
  <si>
    <t>557,2023-01-24 04:00:00,0.65,3897,154,1254.2,Sea,Fog,1.2,High,0</t>
  </si>
  <si>
    <t>558,2023-01-24 05:00:00,0.71,2002,150,1859.7,Air,Rain,42.8,Medium,0</t>
  </si>
  <si>
    <t>559,2023-01-24 06:00:00,0.6,468,44,895.8,Road,Rain,45.1,Medium,0</t>
  </si>
  <si>
    <t>560,2023-01-24 07:00:00,0.61,3624,230,1258.8,Air,Fog,4.2,High,1</t>
  </si>
  <si>
    <t>561,2023-01-24 08:00:00,0.77,391,172,728.5,Rail,Clear,52.2,Medium,0</t>
  </si>
  <si>
    <t>562,2023-01-24 09:00:00,0.8,639,199,1325.4,Rail,Clear,15.6,High,0</t>
  </si>
  <si>
    <t>563,2023-01-24 10:00:00,0.7,4260,319,1801.6,Air,Fog,8.1,High,0</t>
  </si>
  <si>
    <t>564,2023-01-24 11:00:00,0.75,1865,222,1079.9,Air,Fog,53.4,Medium,0</t>
  </si>
  <si>
    <t>565,2023-01-24 12:00:00,0.64,2584,188,899.2,Air,Clear,21.3,Medium,0</t>
  </si>
  <si>
    <t>566,2023-01-24 13:00:00,0.86,3243,168,1438.0,Road,Clear,17.9,High,0</t>
  </si>
  <si>
    <t>567,2023-01-24 14:00:00,0.76,4511,410,566.6,Rail,Storm,49.0,Low,0</t>
  </si>
  <si>
    <t>568,2023-01-24 15:00:00,0.66,2255,231,1162.3,Road,Storm,58.3,High,0</t>
  </si>
  <si>
    <t>569,2023-01-24 16:00:00,0.8,1373,439,1142.4,Road,Fog,7.2,Low,1</t>
  </si>
  <si>
    <t>570,2023-01-24 17:00:00,0.68,351,67,519.1,Road,Clear,21.9,Medium,0</t>
  </si>
  <si>
    <t>571,2023-01-24 18:00:00,0.72,406,264,170.8,Sea,Storm,44.1,Low,1</t>
  </si>
  <si>
    <t>572,2023-01-24 19:00:00,0.65,923,310,490.1,Air,Rain,24.4,Medium,0</t>
  </si>
  <si>
    <t>573,2023-01-24 20:00:00,0.91,2715,456,100.2,Rail,Clear,5.9,High,0</t>
  </si>
  <si>
    <t>574,2023-01-24 21:00:00,0.71,2519,421,268.4,Road,Rain,62.8,Low,0</t>
  </si>
  <si>
    <t>575,2023-01-24 22:00:00,0.98,2586,370,1210.2,Air,Rain,16.3,Low,1</t>
  </si>
  <si>
    <t>576,2023-01-24 23:00:00,0.76,4918,428,132.8,Rail,Fog,42.4,High,0</t>
  </si>
  <si>
    <t>577,2023-01-25 00:00:00,0.66,432,148,1642.0,Rail,Rain,68.0,Low,0</t>
  </si>
  <si>
    <t>578,2023-01-25 01:00:00,0.88,2130,469,259.1,Road,Clear,37.3,Medium,0</t>
  </si>
  <si>
    <t>579,2023-01-25 02:00:00,0.89,1552,124,168.1,Road,Rain,18.7,Medium,0</t>
  </si>
  <si>
    <t>580,2023-01-25 03:00:00,0.95,2108,492,65.9,Sea,Rain,22.2,High,1</t>
  </si>
  <si>
    <t>581,2023-01-25 04:00:00,0.65,4173,498,610.9,Sea,Rain,65.3,Low,0</t>
  </si>
  <si>
    <t>582,2023-01-25 05:00:00,0.92,3981,197,1149.2,Rail,Clear,9.3,High,1</t>
  </si>
  <si>
    <t>583,2023-01-25 06:00:00,0.94,814,415,926.0,Road,Fog,58.8,Low,0</t>
  </si>
  <si>
    <t>584,2023-01-25 07:00:00,0.72,1531,102,1441.7,Rail,Fog,20.6,Low,0</t>
  </si>
  <si>
    <t>585,2023-01-25 08:00:00,0.78,1211,85,1837.9,Road,Storm,1.1,Medium,0</t>
  </si>
  <si>
    <t>586,2023-01-25 09:00:00,0.85,530,46,1456.8,Sea,Storm,28.9,Low,1</t>
  </si>
  <si>
    <t>587,2023-01-25 10:00:00,0.7,1596,409,538.1,Road,Fog,8.4,Low,1</t>
  </si>
  <si>
    <t>588,2023-01-25 11:00:00,0.95,3038,176,78.7,Rail,Storm,4.0,Low,0</t>
  </si>
  <si>
    <t>589,2023-01-25 12:00:00,0.88,1449,477,1335.9,Air,Storm,54.5,Medium,0</t>
  </si>
  <si>
    <t>590,2023-01-25 13:00:00,0.94,2552,60,148.5,Air,Clear,68.0,Medium,0</t>
  </si>
  <si>
    <t>591,2023-01-25 14:00:00,0.78,3769,73,1066.8,Rail,Rain,40.8,Medium,0</t>
  </si>
  <si>
    <t>592,2023-01-25 15:00:00,0.81,2510,69,727.2,Air,Clear,31.6,Medium,1</t>
  </si>
  <si>
    <t>593,2023-01-25 16:00:00,0.68,535,328,1255.8,Road,Rain,27.1,High,0</t>
  </si>
  <si>
    <t>594,2023-01-25 17:00:00,0.73,758,157,1649.4,Road,Fog,16.2,Medium,0</t>
  </si>
  <si>
    <t>595,2023-01-25 18:00:00,0.89,731,217,1061.7,Rail,Storm,8.5,Low,0</t>
  </si>
  <si>
    <t>596,2023-01-25 19:00:00,0.98,3204,476,1220.5,Air,Clear,54.3,Low,1</t>
  </si>
  <si>
    <t>597,2023-01-25 20:00:00,0.66,1679,333,1577.6,Air,Storm,51.4,Low,1</t>
  </si>
  <si>
    <t>598,2023-01-25 21:00:00,0.62,3739,11,658.1,Road,Rain,45.0,High,0</t>
  </si>
  <si>
    <t>599,2023-01-25 22:00:00,0.63,1660,161,1267.6,Road,Storm,46.1,High,0</t>
  </si>
  <si>
    <t>600,2023-01-25 23:00:00,0.77,2580,371,145.7,Road,Rain,1.9,High,1</t>
  </si>
  <si>
    <t>601,2023-01-26 00:00:00,0.92,3806,135,631.7,Road,Fog,67.8,Low,1</t>
  </si>
  <si>
    <t>602,2023-01-26 01:00:00,0.69,4312,110,958.1,Rail,Storm,22.0,Medium,1</t>
  </si>
  <si>
    <t>603,2023-01-26 02:00:00,0.79,4349,156,1918.4,Road,Rain,29.7,Low,0</t>
  </si>
  <si>
    <t>604,2023-01-26 03:00:00,0.81,4734,67,340.0,Air,Clear,9.0,Low,1</t>
  </si>
  <si>
    <t>605,2023-01-26 04:00:00,0.94,2981,287,1495.0,Rail,Rain,44.2,Low,1</t>
  </si>
  <si>
    <t>606,2023-01-26 05:00:00,0.67,1901,96,1541.4,Air,Storm,2.8,Medium,0</t>
  </si>
  <si>
    <t>607,2023-01-26 06:00:00,0.61,1568,150,950.1,Sea,Rain,31.0,Low,0</t>
  </si>
  <si>
    <t>608,2023-01-26 07:00:00,0.8,861,426,301.6,Road,Rain,2.3,Medium,0</t>
  </si>
  <si>
    <t>609,2023-01-26 08:00:00,0.74,1743,491,384.2,Rail,Fog,28.5,Low,0</t>
  </si>
  <si>
    <t>610,2023-01-26 09:00:00,0.72,304,452,610.4,Road,Storm,6.1,Low,1</t>
  </si>
  <si>
    <t>611,2023-01-26 10:00:00,0.91,2187,174,1238.9,Rail,Rain,25.2,Low,0</t>
  </si>
  <si>
    <t>612,2023-01-26 11:00:00,0.87,1390,83,6.6,Sea,Clear,70.1,High,0</t>
  </si>
  <si>
    <t>613,2023-01-26 12:00:00,0.63,1100,436,1570.7,Air,Storm,35.7,Low,0</t>
  </si>
  <si>
    <t>614,2023-01-26 13:00:00,0.82,1112,302,481.6,Rail,Storm,26.7,Low,0</t>
  </si>
  <si>
    <t>615,2023-01-26 14:00:00,0.92,168,17,1288.7,Air,Storm,65.0,High,0</t>
  </si>
  <si>
    <t>616,2023-01-26 15:00:00,0.96,1977,408,1545.0,Rail,Storm,12.0,Medium,0</t>
  </si>
  <si>
    <t>617,2023-01-26 16:00:00,0.6,615,253,326.0,Rail,Fog,39.9,Low,0</t>
  </si>
  <si>
    <t>618,2023-01-26 17:00:00,0.92,2145,396,1742.8,Air,Clear,47.5,Low,0</t>
  </si>
  <si>
    <t>619,2023-01-26 18:00:00,0.62,475,438,1109.2,Road,Fog,33.3,Medium,0</t>
  </si>
  <si>
    <t>620,2023-01-26 19:00:00,0.87,1817,286,1935.6,Rail,Rain,54.2,Low,1</t>
  </si>
  <si>
    <t>621,2023-01-26 20:00:00,0.84,1744,303,1969.7,Road,Rain,6.5,High,1</t>
  </si>
  <si>
    <t>622,2023-01-26 21:00:00,0.98,1519,269,1265.5,Sea,Storm,2.3,Low,0</t>
  </si>
  <si>
    <t>623,2023-01-26 22:00:00,0.85,3217,87,455.9,Sea,Fog,68.3,High,0</t>
  </si>
  <si>
    <t>624,2023-01-26 23:00:00,0.63,2944,465,1996.1,Rail,Storm,5.3,Low,1</t>
  </si>
  <si>
    <t>625,2023-01-27 00:00:00,0.87,4249,430,1621.4,Air,Storm,45.8,High,0</t>
  </si>
  <si>
    <t>626,2023-01-27 01:00:00,0.7,2343,97,1957.1,Rail,Rain,48.2,Medium,0</t>
  </si>
  <si>
    <t>627,2023-01-27 02:00:00,0.93,3668,411,1262.6,Rail,Clear,22.0,Low,0</t>
  </si>
  <si>
    <t>628,2023-01-27 03:00:00,0.61,1958,30,1031.0,Road,Storm,33.4,Low,0</t>
  </si>
  <si>
    <t>629,2023-01-27 04:00:00,0.73,3261,143,1885.8,Rail,Rain,67.2,Medium,0</t>
  </si>
  <si>
    <t>630,2023-01-27 05:00:00,0.87,2229,395,1464.2,Rail,Fog,62.4,Low,0</t>
  </si>
  <si>
    <t>631,2023-01-27 06:00:00,0.66,891,58,427.9,Rail,Fog,7.9,High,0</t>
  </si>
  <si>
    <t>632,2023-01-27 07:00:00,0.86,3672,420,1262.2,Air,Storm,56.3,High,0</t>
  </si>
  <si>
    <t>633,2023-01-27 08:00:00,0.88,3672,434,1176.2,Air,Rain,41.4,Low,0</t>
  </si>
  <si>
    <t>634,2023-01-27 09:00:00,0.89,3926,162,1645.9,Sea,Rain,26.3,High,0</t>
  </si>
  <si>
    <t>635,2023-01-27 10:00:00,0.95,3714,214,329.0,Road,Fog,13.5,Medium,0</t>
  </si>
  <si>
    <t>636,2023-01-27 11:00:00,0.77,1004,342,1716.7,Sea,Clear,34.4,High,0</t>
  </si>
  <si>
    <t>637,2023-01-27 12:00:00,0.66,687,125,1709.2,Air,Clear,30.2,Low,1</t>
  </si>
  <si>
    <t>638,2023-01-27 13:00:00,0.7,4062,490,237.2,Sea,Clear,32.2,High,0</t>
  </si>
  <si>
    <t>639,2023-01-27 14:00:00,0.76,4160,149,239.8,Air,Clear,14.5,Low,0</t>
  </si>
  <si>
    <t>640,2023-01-27 15:00:00,0.62,3623,47,827.7,Road,Fog,53.3,Low,1</t>
  </si>
  <si>
    <t>641,2023-01-27 16:00:00,0.88,2911,457,661.1,Rail,Clear,29.4,High,0</t>
  </si>
  <si>
    <t>642,2023-01-27 17:00:00,0.63,2478,334,1506.6,Air,Fog,27.1,Medium,0</t>
  </si>
  <si>
    <t>643,2023-01-27 18:00:00,0.62,3348,497,136.1,Air,Storm,2.6,Medium,1</t>
  </si>
  <si>
    <t>644,2023-01-27 19:00:00,0.97,1424,13,1071.9,Rail,Storm,3.3,Medium,0</t>
  </si>
  <si>
    <t>645,2023-01-27 20:00:00,0.92,3287,251,506.6,Sea,Rain,33.7,High,0</t>
  </si>
  <si>
    <t>646,2023-01-27 21:00:00,0.7,1634,354,1678.8,Road,Storm,33.8,High,0</t>
  </si>
  <si>
    <t>647,2023-01-27 22:00:00,0.74,4909,79,990.7,Air,Rain,49.6,Low,0</t>
  </si>
  <si>
    <t>648,2023-01-27 23:00:00,0.93,67,13,1193.7,Sea,Clear,10.5,High,1</t>
  </si>
  <si>
    <t>649,2023-01-28 00:00:00,0.85,4632,214,104.0,Sea,Rain,67.3,Low,0</t>
  </si>
  <si>
    <t>650,2023-01-28 01:00:00,0.71,1155,53,1818.1,Road,Rain,11.7,High,0</t>
  </si>
  <si>
    <t>651,2023-01-28 02:00:00,0.78,4409,296,814.8,Road,Clear,61.7,Medium,0</t>
  </si>
  <si>
    <t>652,2023-01-28 03:00:00,0.94,862,444,1434.5,Air,Clear,9.1,High,0</t>
  </si>
  <si>
    <t>653,2023-01-28 04:00:00,0.6,314,204,434.6,Rail,Clear,22.0,Low,0</t>
  </si>
  <si>
    <t>654,2023-01-28 05:00:00,1.0,981,282,1009.0,Air,Fog,1.2,Low,0</t>
  </si>
  <si>
    <t>655,2023-01-28 06:00:00,0.83,1833,352,1601.6,Air,Clear,67.4,Low,1</t>
  </si>
  <si>
    <t>656,2023-01-28 07:00:00,0.67,1064,228,661.5,Rail,Rain,1.7,Medium,1</t>
  </si>
  <si>
    <t>657,2023-01-28 08:00:00,0.92,317,84,643.5,Road,Fog,22.1,Low,0</t>
  </si>
  <si>
    <t>658,2023-01-28 09:00:00,0.63,4067,433,1308.2,Rail,Rain,59.7,Medium,0</t>
  </si>
  <si>
    <t>659,2023-01-28 10:00:00,0.76,3206,132,395.7,Road,Clear,44.6,High,1</t>
  </si>
  <si>
    <t>660,2023-01-28 11:00:00,0.83,3543,126,1195.2,Sea,Clear,36.8,High,0</t>
  </si>
  <si>
    <t>661,2023-01-28 12:00:00,0.7,1066,119,1126.7,Rail,Clear,29.3,Low,0</t>
  </si>
  <si>
    <t>662,2023-01-28 13:00:00,0.95,2893,46,1777.7,Sea,Clear,46.1,High,0</t>
  </si>
  <si>
    <t>663,2023-01-28 14:00:00,0.88,2316,2,598.6,Sea,Fog,12.1,Low,1</t>
  </si>
  <si>
    <t>664,2023-01-28 15:00:00,0.66,3463,12,354.0,Road,Storm,37.5,Medium,0</t>
  </si>
  <si>
    <t>665,2023-01-28 16:00:00,0.66,1317,444,873.8,Rail,Fog,63.2,Low,0</t>
  </si>
  <si>
    <t>666,2023-01-28 17:00:00,0.62,3965,406,1134.9,Road,Fog,62.2,Low,0</t>
  </si>
  <si>
    <t>667,2023-01-28 18:00:00,0.83,4188,347,263.8,Air,Rain,35.7,Low,0</t>
  </si>
  <si>
    <t>668,2023-01-28 19:00:00,0.67,1875,27,795.4,Sea,Clear,39.4,High,0</t>
  </si>
  <si>
    <t>669,2023-01-28 20:00:00,0.82,1999,66,590.9,Road,Storm,35.7,High,0</t>
  </si>
  <si>
    <t>670,2023-01-28 21:00:00,0.93,4500,218,731.6,Air,Rain,39.2,Medium,0</t>
  </si>
  <si>
    <t>671,2023-01-28 22:00:00,0.95,2578,118,748.4,Sea,Storm,44.8,High,0</t>
  </si>
  <si>
    <t>672,2023-01-28 23:00:00,0.65,4463,87,533.7,Road,Clear,7.2,High,0</t>
  </si>
  <si>
    <t>673,2023-01-29 00:00:00,0.73,1808,399,708.3,Air,Storm,13.6,Low,1</t>
  </si>
  <si>
    <t>674,2023-01-29 01:00:00,0.77,4010,359,1650.8,Air,Rain,13.5,Low,0</t>
  </si>
  <si>
    <t>675,2023-01-29 02:00:00,0.75,137,268,1342.5,Air,Clear,59.6,Medium,0</t>
  </si>
  <si>
    <t>676,2023-01-29 03:00:00,0.77,1550,183,1135.8,Air,Fog,17.3,Medium,0</t>
  </si>
  <si>
    <t>677,2023-01-29 04:00:00,0.78,619,403,1122.6,Air,Fog,21.6,High,0</t>
  </si>
  <si>
    <t>678,2023-01-29 05:00:00,0.9,2153,409,1084.6,Rail,Storm,9.2,Medium,0</t>
  </si>
  <si>
    <t>679,2023-01-29 06:00:00,0.72,4577,465,1240.9,Road,Fog,48.6,Low,1</t>
  </si>
  <si>
    <t>680,2023-01-29 07:00:00,0.74,3425,153,883.4,Sea,Clear,67.2,Medium,1</t>
  </si>
  <si>
    <t>681,2023-01-29 08:00:00,0.76,3793,161,556.0,Air,Storm,48.5,Low,0</t>
  </si>
  <si>
    <t>682,2023-01-29 09:00:00,0.66,3820,105,803.8,Sea,Clear,34.1,Medium,0</t>
  </si>
  <si>
    <t>683,2023-01-29 10:00:00,0.85,1306,85,1816.0,Sea,Rain,25.8,Low,0</t>
  </si>
  <si>
    <t>684,2023-01-29 11:00:00,0.76,536,43,741.9,Air,Storm,60.8,High,0</t>
  </si>
  <si>
    <t>685,2023-01-29 12:00:00,0.97,4117,495,225.3,Air,Fog,58.8,Low,0</t>
  </si>
  <si>
    <t>686,2023-01-29 13:00:00,0.93,3147,194,1429.8,Sea,Rain,9.7,Medium,0</t>
  </si>
  <si>
    <t>687,2023-01-29 14:00:00,0.69,2122,26,1835.0,Air,Rain,64.9,High,1</t>
  </si>
  <si>
    <t>688,2023-01-29 15:00:00,0.7,4326,318,257.9,Air,Fog,39.8,High,0</t>
  </si>
  <si>
    <t>689,2023-01-29 16:00:00,0.91,1437,352,1175.6,Road,Clear,42.2,Medium,0</t>
  </si>
  <si>
    <t>690,2023-01-29 17:00:00,0.82,1824,156,187.8,Rail,Clear,57.3,Low,0</t>
  </si>
  <si>
    <t>691,2023-01-29 18:00:00,0.6,1752,300,310.5,Sea,Storm,27.4,Medium,0</t>
  </si>
  <si>
    <t>692,2023-01-29 19:00:00,0.85,1581,201,981.7,Sea,Storm,12.8,High,0</t>
  </si>
  <si>
    <t>693,2023-01-29 20:00:00,0.76,4096,317,676.7,Rail,Storm,10.5,Medium,0</t>
  </si>
  <si>
    <t>694,2023-01-29 21:00:00,0.91,2873,494,636.5,Road,Fog,54.2,Medium,0</t>
  </si>
  <si>
    <t>695,2023-01-29 22:00:00,0.9,4406,178,671.3,Rail,Rain,47.9,Low,0</t>
  </si>
  <si>
    <t>696,2023-01-29 23:00:00,0.97,1179,458,355.7,Rail,Fog,44.7,High,0</t>
  </si>
  <si>
    <t>697,2023-01-30 00:00:00,0.88,4615,402,482.6,Air,Fog,45.4,Low,1</t>
  </si>
  <si>
    <t>698,2023-01-30 01:00:00,0.97,3044,413,325.3,Sea,Fog,2.7,Low,0</t>
  </si>
  <si>
    <t>699,2023-01-30 02:00:00,0.71,669,434,685.8,Air,Fog,53.0,High,0</t>
  </si>
  <si>
    <t>700,2023-01-30 03:00:00,0.74,2829,457,14.8,Sea,Rain,18.6,High,1</t>
  </si>
  <si>
    <t>701,2023-01-30 04:00:00,0.62,2873,409,1211.1,Road,Rain,34.0,Low,0</t>
  </si>
  <si>
    <t>702,2023-01-30 05:00:00,0.95,330,392,1788.6,Rail,Clear,9.9,High,0</t>
  </si>
  <si>
    <t>703,2023-01-30 06:00:00,0.66,72,397,1468.0,Air,Fog,53.4,Low,0</t>
  </si>
  <si>
    <t>704,2023-01-30 07:00:00,0.82,3441,320,1237.0,Rail,Rain,32.7,Low,1</t>
  </si>
  <si>
    <t>705,2023-01-30 08:00:00,0.8,4182,232,1553.8,Sea,Rain,59.8,Low,0</t>
  </si>
  <si>
    <t>706,2023-01-30 09:00:00,0.93,2907,419,619.0,Rail,Clear,7.4,Low,0</t>
  </si>
  <si>
    <t>707,2023-01-30 10:00:00,0.76,1900,378,378.4,Sea,Fog,45.3,Low,0</t>
  </si>
  <si>
    <t>708,2023-01-30 11:00:00,0.66,1657,109,119.5,Sea,Storm,4.2,High,1</t>
  </si>
  <si>
    <t>709,2023-01-30 12:00:00,0.75,56,369,674.9,Road,Clear,2.2,Medium,0</t>
  </si>
  <si>
    <t>710,2023-01-30 13:00:00,0.62,1900,418,940.7,Rail,Rain,48.4,Medium,0</t>
  </si>
  <si>
    <t>711,2023-01-30 14:00:00,0.72,4406,79,987.6,Road,Rain,42.6,High,0</t>
  </si>
  <si>
    <t>712,2023-01-30 15:00:00,0.85,1304,273,96.4,Sea,Storm,68.6,High,1</t>
  </si>
  <si>
    <t>713,2023-01-30 16:00:00,0.62,1309,31,1001.5,Sea,Storm,53.8,High,1</t>
  </si>
  <si>
    <t>714,2023-01-30 17:00:00,1.0,1412,208,681.7,Air,Fog,22.4,Medium,0</t>
  </si>
  <si>
    <t>715,2023-01-30 18:00:00,0.81,1842,425,75.4,Sea,Storm,55.6,Low,0</t>
  </si>
  <si>
    <t>716,2023-01-30 19:00:00,0.72,871,53,355.8,Air,Rain,55.5,High,1</t>
  </si>
  <si>
    <t>717,2023-01-30 20:00:00,0.93,2692,419,317.4,Sea,Fog,34.3,Medium,0</t>
  </si>
  <si>
    <t>718,2023-01-30 21:00:00,0.65,4458,299,89.8,Road,Fog,1.6,Low,0</t>
  </si>
  <si>
    <t>719,2023-01-30 22:00:00,0.73,1516,68,348.9,Air,Storm,6.5,High,1</t>
  </si>
  <si>
    <t>720,2023-01-30 23:00:00,0.97,315,151,1391.5,Road,Storm,63.1,Low,0</t>
  </si>
  <si>
    <t>721,2023-01-31 00:00:00,0.7,4689,346,1647.5,Sea,Clear,13.4,Medium,0</t>
  </si>
  <si>
    <t>722,2023-01-31 01:00:00,0.89,2127,340,1922.1,Air,Fog,53.7,High,0</t>
  </si>
  <si>
    <t>723,2023-01-31 02:00:00,0.63,1414,288,1705.4,Air,Storm,8.1,Low,0</t>
  </si>
  <si>
    <t>724,2023-01-31 03:00:00,0.81,851,99,1718.0,Air,Storm,31.3,Low,0</t>
  </si>
  <si>
    <t>725,2023-01-31 04:00:00,0.86,4018,85,383.4,Sea,Storm,2.9,High,0</t>
  </si>
  <si>
    <t>726,2023-01-31 05:00:00,0.68,2422,9,1712.6,Sea,Rain,36.7,Low,1</t>
  </si>
  <si>
    <t>727,2023-01-31 06:00:00,0.73,410,164,520.8,Road,Fog,68.3,High,1</t>
  </si>
  <si>
    <t>728,2023-01-31 07:00:00,0.82,2225,441,1319.0,Air,Rain,2.9,Medium,1</t>
  </si>
  <si>
    <t>729,2023-01-31 08:00:00,0.84,584,470,645.2,Air,Clear,47.6,High,0</t>
  </si>
  <si>
    <t>730,2023-01-31 09:00:00,0.66,279,32,1595.9,Sea,Rain,28.7,High,0</t>
  </si>
  <si>
    <t>731,2023-01-31 10:00:00,0.76,1568,371,1633.4,Rail,Storm,62.1,Low,0</t>
  </si>
  <si>
    <t>732,2023-01-31 11:00:00,1.0,567,229,1757.0,Road,Fog,21.0,Medium,0</t>
  </si>
  <si>
    <t>733,2023-01-31 12:00:00,0.73,2204,278,1414.4,Rail,Clear,64.5,Medium,0</t>
  </si>
  <si>
    <t>734,2023-01-31 13:00:00,0.91,3282,358,1587.8,Air,Clear,53.4,Medium,0</t>
  </si>
  <si>
    <t>735,2023-01-31 14:00:00,0.68,1431,262,1847.2,Road,Clear,39.6,Medium,0</t>
  </si>
  <si>
    <t>736,2023-01-31 15:00:00,0.78,3155,125,991.3,Air,Rain,28.3,High,0</t>
  </si>
  <si>
    <t>737,2023-01-31 16:00:00,0.81,2752,3,1477.2,Rail,Clear,39.5,Medium,0</t>
  </si>
  <si>
    <t>738,2023-01-31 17:00:00,0.84,3442,354,908.0,Sea,Fog,7.0,Low,0</t>
  </si>
  <si>
    <t>739,2023-01-31 18:00:00,0.89,1495,11,1199.9,Road,Fog,28.1,Low,0</t>
  </si>
  <si>
    <t>740,2023-01-31 19:00:00,0.92,1966,457,829.7,Air,Storm,22.9,High,0</t>
  </si>
  <si>
    <t>741,2023-01-31 20:00:00,0.88,1016,127,1058.8,Sea,Clear,61.4,High,0</t>
  </si>
  <si>
    <t>742,2023-01-31 21:00:00,0.92,1838,157,1422.3,Rail,Fog,29.6,Low,1</t>
  </si>
  <si>
    <t>743,2023-01-31 22:00:00,0.95,3287,218,1526.3,Sea,Storm,46.4,Low,0</t>
  </si>
  <si>
    <t>744,2023-01-31 23:00:00,0.73,4894,187,1375.0,Sea,Rain,21.1,High,0</t>
  </si>
  <si>
    <t>745,2023-02-01 00:00:00,0.93,1644,45,1466.7,Road,Storm,70.5,High,0</t>
  </si>
  <si>
    <t>746,2023-02-01 01:00:00,0.81,979,12,1966.8,Air,Rain,39.9,High,0</t>
  </si>
  <si>
    <t>747,2023-02-01 02:00:00,0.7,4216,84,1391.4,Road,Rain,63.3,Medium,1</t>
  </si>
  <si>
    <t>748,2023-02-01 03:00:00,0.67,4961,137,1709.8,Air,Clear,52.4,Low,0</t>
  </si>
  <si>
    <t>749,2023-02-01 04:00:00,0.91,3305,444,683.1,Road,Storm,2.6,Medium,1</t>
  </si>
  <si>
    <t>750,2023-02-01 05:00:00,0.85,478,416,1469.2,Air,Fog,41.4,Low,1</t>
  </si>
  <si>
    <t>751,2023-02-01 06:00:00,0.63,423,180,1227.2,Sea,Rain,4.8,High,0</t>
  </si>
  <si>
    <t>752,2023-02-01 07:00:00,0.83,4005,486,1901.2,Sea,Clear,71.5,Medium,0</t>
  </si>
  <si>
    <t>753,2023-02-01 08:00:00,0.62,3038,41,130.2,Rail,Clear,6.3,Low,0</t>
  </si>
  <si>
    <t>754,2023-02-01 09:00:00,0.76,2552,214,1594.0,Rail,Storm,61.1,High,0</t>
  </si>
  <si>
    <t>755,2023-02-01 10:00:00,0.83,1884,175,957.4,Air,Rain,56.7,Low,0</t>
  </si>
  <si>
    <t>756,2023-02-01 11:00:00,0.86,2108,318,1742.6,Road,Storm,4.9,Low,1</t>
  </si>
  <si>
    <t>757,2023-02-01 12:00:00,0.66,2425,115,1843.3,Road,Fog,11.2,Low,0</t>
  </si>
  <si>
    <t>758,2023-02-01 13:00:00,0.62,4433,470,1752.4,Sea,Rain,69.5,Medium,0</t>
  </si>
  <si>
    <t>759,2023-02-01 14:00:00,0.83,2289,158,135.1,Road,Storm,44.3,Medium,0</t>
  </si>
  <si>
    <t>760,2023-02-01 15:00:00,0.93,2577,96,1984.0,Road,Storm,9.8,Low,0</t>
  </si>
  <si>
    <t>761,2023-02-01 16:00:00,0.92,622,411,1371.2,Sea,Fog,11.6,High,0</t>
  </si>
  <si>
    <t>762,2023-02-01 17:00:00,0.74,2413,410,663.3,Road,Clear,3.3,Low,1</t>
  </si>
  <si>
    <t>763,2023-02-01 18:00:00,0.83,1495,338,1534.2,Air,Rain,59.4,Medium,0</t>
  </si>
  <si>
    <t>764,2023-02-01 19:00:00,0.89,394,15,128.3,Road,Rain,47.7,Low,0</t>
  </si>
  <si>
    <t>765,2023-02-01 20:00:00,0.95,4648,223,234.3,Rail,Clear,45.0,High,1</t>
  </si>
  <si>
    <t>766,2023-02-01 21:00:00,0.8,2632,26,1513.0,Rail,Storm,5.5,Low,1</t>
  </si>
  <si>
    <t>767,2023-02-01 22:00:00,0.95,4683,210,518.2,Sea,Rain,7.4,High,0</t>
  </si>
  <si>
    <t>768,2023-02-01 23:00:00,0.73,2760,224,1441.0,Air,Rain,22.8,Low,1</t>
  </si>
  <si>
    <t>769,2023-02-02 00:00:00,0.69,2092,269,1301.8,Rail,Clear,43.7,Medium,0</t>
  </si>
  <si>
    <t>770,2023-02-02 01:00:00,0.72,3474,7,1834.0,Road,Storm,43.2,Medium,1</t>
  </si>
  <si>
    <t>771,2023-02-02 02:00:00,0.89,617,334,1176.9,Air,Storm,15.2,Medium,1</t>
  </si>
  <si>
    <t>772,2023-02-02 03:00:00,0.95,2936,41,1002.7,Rail,Storm,39.0,Medium,1</t>
  </si>
  <si>
    <t>773,2023-02-02 04:00:00,0.79,2915,338,1189.7,Rail,Fog,51.9,Medium,1</t>
  </si>
  <si>
    <t>774,2023-02-02 05:00:00,0.88,1857,362,1805.5,Sea,Fog,58.4,Low,1</t>
  </si>
  <si>
    <t>775,2023-02-02 06:00:00,0.66,432,230,1898.1,Road,Fog,33.4,High,0</t>
  </si>
  <si>
    <t>776,2023-02-02 07:00:00,0.8,250,176,472.4,Rail,Clear,36.9,Medium,1</t>
  </si>
  <si>
    <t>777,2023-02-02 08:00:00,0.77,1009,495,1687.4,Sea,Rain,49.5,Medium,0</t>
  </si>
  <si>
    <t>778,2023-02-02 09:00:00,0.77,1093,314,1194.7,Sea,Rain,65.3,Medium,0</t>
  </si>
  <si>
    <t>779,2023-02-02 10:00:00,0.68,3821,78,1540.5,Rail,Storm,47.4,High,0</t>
  </si>
  <si>
    <t>780,2023-02-02 11:00:00,0.85,1387,382,910.3,Rail,Fog,34.0,Low,0</t>
  </si>
  <si>
    <t>781,2023-02-02 12:00:00,0.87,636,20,24.7,Rail,Fog,66.0,Medium,1</t>
  </si>
  <si>
    <t>782,2023-02-02 13:00:00,0.85,2908,13,321.1,Rail,Clear,11.6,Low,0</t>
  </si>
  <si>
    <t>783,2023-02-02 14:00:00,0.9,4178,96,325.2,Air,Storm,35.4,High,1</t>
  </si>
  <si>
    <t>784,2023-02-02 15:00:00,0.78,4927,291,1732.8,Road,Storm,20.8,Low,0</t>
  </si>
  <si>
    <t>785,2023-02-02 16:00:00,0.94,1823,341,511.6,Rail,Rain,71.2,Medium,0</t>
  </si>
  <si>
    <t>786,2023-02-02 17:00:00,0.83,4635,202,1505.8,Air,Fog,24.7,Medium,0</t>
  </si>
  <si>
    <t>787,2023-02-02 18:00:00,0.95,1714,102,646.5,Air,Storm,1.7,High,1</t>
  </si>
  <si>
    <t>788,2023-02-02 19:00:00,0.76,761,437,1621.2,Road,Storm,28.3,Low,1</t>
  </si>
  <si>
    <t>789,2023-02-02 20:00:00,0.88,1208,11,1764.0,Road,Rain,8.2,Medium,1</t>
  </si>
  <si>
    <t>790,2023-02-02 21:00:00,0.68,1282,334,181.9,Air,Fog,31.3,Low,0</t>
  </si>
  <si>
    <t>791,2023-02-02 22:00:00,0.63,4996,385,263.2,Air,Rain,12.3,Medium,0</t>
  </si>
  <si>
    <t>792,2023-02-02 23:00:00,0.97,1366,90,1874.6,Sea,Rain,13.9,Low,0</t>
  </si>
  <si>
    <t>793,2023-02-03 00:00:00,0.75,931,132,1376.9,Road,Rain,8.9,Medium,0</t>
  </si>
  <si>
    <t>794,2023-02-03 01:00:00,0.62,4818,71,1147.7,Sea,Clear,36.5,Medium,1</t>
  </si>
  <si>
    <t>795,2023-02-03 02:00:00,0.85,2801,271,357.7,Sea,Fog,40.0,Low,0</t>
  </si>
  <si>
    <t>796,2023-02-03 03:00:00,0.97,2207,408,416.2,Sea,Storm,59.7,Low,0</t>
  </si>
  <si>
    <t>797,2023-02-03 04:00:00,0.91,2250,345,18.1,Air,Rain,44.3,Low,0</t>
  </si>
  <si>
    <t>798,2023-02-03 05:00:00,0.99,2164,32,1966.3,Road,Fog,63.9,Low,1</t>
  </si>
  <si>
    <t>799,2023-02-03 06:00:00,0.97,93,206,523.0,Sea,Fog,25.6,Low,0</t>
  </si>
  <si>
    <t>800,2023-02-03 07:00:00,0.78,662,17,1593.9,Rail,Rain,26.5,Medium,0</t>
  </si>
  <si>
    <t>801,2023-02-03 08:00:00,0.69,1514,332,98.7,Sea,Fog,15.3,Low,0</t>
  </si>
  <si>
    <t>802,2023-02-03 09:00:00,0.63,4604,280,1219.5,Road,Fog,32.3,Medium,0</t>
  </si>
  <si>
    <t>803,2023-02-03 10:00:00,0.71,4257,120,968.0,Sea,Fog,20.7,Low,0</t>
  </si>
  <si>
    <t>804,2023-02-03 11:00:00,0.85,4020,217,1256.0,Sea,Rain,2.2,Medium,0</t>
  </si>
  <si>
    <t>805,2023-02-03 12:00:00,0.96,3450,189,1768.7,Road,Rain,21.6,High,0</t>
  </si>
  <si>
    <t>806,2023-02-03 13:00:00,0.6,4194,324,1229.3,Rail,Storm,8.7,High,0</t>
  </si>
  <si>
    <t>807,2023-02-03 14:00:00,0.93,2139,453,1015.1,Sea,Clear,43.7,Low,0</t>
  </si>
  <si>
    <t>808,2023-02-03 15:00:00,0.91,869,171,1057.5,Rail,Clear,37.6,Medium,1</t>
  </si>
  <si>
    <t>809,2023-02-03 16:00:00,0.88,1717,499,665.4,Sea,Fog,3.5,Medium,0</t>
  </si>
  <si>
    <t>810,2023-02-03 17:00:00,0.65,300,471,396.3,Rail,Rain,26.4,Medium,1</t>
  </si>
  <si>
    <t>811,2023-02-03 18:00:00,0.62,1397,194,1075.4,Road,Fog,21.4,Medium,0</t>
  </si>
  <si>
    <t>812,2023-02-03 19:00:00,0.89,3564,190,1113.4,Rail,Fog,61.2,Medium,0</t>
  </si>
  <si>
    <t>813,2023-02-03 20:00:00,0.86,4008,60,1705.1,Sea,Storm,21.6,Low,0</t>
  </si>
  <si>
    <t>814,2023-02-03 21:00:00,0.75,81,459,998.2,Rail,Storm,51.5,Low,0</t>
  </si>
  <si>
    <t>815,2023-02-03 22:00:00,0.74,4652,251,1063.3,Air,Storm,59.7,Medium,0</t>
  </si>
  <si>
    <t>816,2023-02-03 23:00:00,0.61,597,357,813.1,Rail,Fog,24.4,High,0</t>
  </si>
  <si>
    <t>817,2023-02-04 00:00:00,1.0,221,62,1422.6,Sea,Fog,62.1,High,0</t>
  </si>
  <si>
    <t>818,2023-02-04 01:00:00,0.93,1584,456,1302.6,Rail,Rain,61.4,High,0</t>
  </si>
  <si>
    <t>819,2023-02-04 02:00:00,0.99,2138,107,1178.2,Sea,Rain,4.0,High,0</t>
  </si>
  <si>
    <t>820,2023-02-04 03:00:00,0.93,4004,137,392.6,Road,Storm,62.2,High,0</t>
  </si>
  <si>
    <t>821,2023-02-04 04:00:00,0.78,1488,435,1545.6,Road,Rain,2.5,Low,0</t>
  </si>
  <si>
    <t>822,2023-02-04 05:00:00,0.94,2369,84,1173.0,Rail,Clear,70.1,Low,0</t>
  </si>
  <si>
    <t>823,2023-02-04 06:00:00,0.68,3268,74,1675.0,Sea,Fog,23.3,Medium,0</t>
  </si>
  <si>
    <t>824,2023-02-04 07:00:00,0.87,335,105,1100.4,Road,Storm,54.7,Low,0</t>
  </si>
  <si>
    <t>825,2023-02-04 08:00:00,0.69,1322,387,1044.4,Rail,Storm,35.4,Low,0</t>
  </si>
  <si>
    <t>826,2023-02-04 09:00:00,0.76,2468,132,42.3,Sea,Rain,67.1,High,0</t>
  </si>
  <si>
    <t>827,2023-02-04 10:00:00,0.95,834,38,1321.5,Road,Clear,7.9,Medium,0</t>
  </si>
  <si>
    <t>828,2023-02-04 11:00:00,0.77,1759,241,1754.1,Sea,Clear,57.1,High,1</t>
  </si>
  <si>
    <t>829,2023-02-04 12:00:00,0.96,3070,138,1962.8,Rail,Clear,30.6,Medium,0</t>
  </si>
  <si>
    <t>830,2023-02-04 13:00:00,0.84,2272,102,1401.4,Sea,Rain,6.7,Low,0</t>
  </si>
  <si>
    <t>831,2023-02-04 14:00:00,0.72,3238,165,574.0,Road,Fog,24.6,High,0</t>
  </si>
  <si>
    <t>832,2023-02-04 15:00:00,0.7,4584,247,1397.4,Sea,Storm,3.1,Medium,0</t>
  </si>
  <si>
    <t>833,2023-02-04 16:00:00,0.6,2009,328,1717.1,Sea,Rain,52.9,Low,0</t>
  </si>
  <si>
    <t>834,2023-02-04 17:00:00,0.83,3300,256,656.1,Rail,Fog,25.9,Low,1</t>
  </si>
  <si>
    <t>835,2023-02-04 18:00:00,0.94,4663,291,1158.1,Air,Rain,39.7,High,0</t>
  </si>
  <si>
    <t>836,2023-02-04 19:00:00,0.69,4245,366,917.2,Air,Clear,29.7,Low,1</t>
  </si>
  <si>
    <t>837,2023-02-04 20:00:00,0.79,1876,149,185.4,Sea,Rain,11.8,Medium,1</t>
  </si>
  <si>
    <t>838,2023-02-04 21:00:00,0.99,3569,115,914.5,Air,Clear,35.7,Medium,0</t>
  </si>
  <si>
    <t>839,2023-02-04 22:00:00,0.76,176,421,1375.8,Rail,Rain,52.0,Low,0</t>
  </si>
  <si>
    <t>840,2023-02-04 23:00:00,0.98,1450,21,1674.6,Air,Storm,24.3,High,0</t>
  </si>
  <si>
    <t>841,2023-02-05 00:00:00,0.93,2658,352,291.2,Sea,Rain,4.9,Low,0</t>
  </si>
  <si>
    <t>842,2023-02-05 01:00:00,0.8,4727,109,1852.2,Road,Clear,59.6,Medium,0</t>
  </si>
  <si>
    <t>843,2023-02-05 02:00:00,0.85,4613,437,1526.4,Air,Storm,30.4,Low,1</t>
  </si>
  <si>
    <t>844,2023-02-05 03:00:00,0.63,4220,13,898.8,Rail,Rain,27.5,High,0</t>
  </si>
  <si>
    <t>845,2023-02-05 04:00:00,0.81,1276,70,351.3,Sea,Storm,46.1,High,0</t>
  </si>
  <si>
    <t>846,2023-02-05 05:00:00,0.9,2780,405,696.3,Air,Rain,62.6,High,1</t>
  </si>
  <si>
    <t>847,2023-02-05 06:00:00,0.69,3473,338,904.3,Air,Fog,44.9,Low,1</t>
  </si>
  <si>
    <t>848,2023-02-05 07:00:00,0.62,1954,83,985.8,Air,Rain,5.9,Medium,1</t>
  </si>
  <si>
    <t>849,2023-02-05 08:00:00,0.61,2762,219,763.2,Rail,Rain,23.4,Low,0</t>
  </si>
  <si>
    <t>850,2023-02-05 09:00:00,0.66,4901,1,1976.8,Sea,Fog,28.0,Low,1</t>
  </si>
  <si>
    <t>851,2023-02-05 10:00:00,0.7,3659,62,468.1,Road,Fog,51.1,Low,0</t>
  </si>
  <si>
    <t>852,2023-02-05 11:00:00,0.92,487,425,376.3,Air,Rain,27.5,Low,0</t>
  </si>
  <si>
    <t>853,2023-02-05 12:00:00,0.78,363,449,1750.2,Road,Storm,62.8,Medium,1</t>
  </si>
  <si>
    <t>854,2023-02-05 13:00:00,0.81,66,50,1433.3,Air,Clear,27.4,Low,0</t>
  </si>
  <si>
    <t>855,2023-02-05 14:00:00,0.73,1872,319,469.8,Road,Fog,28.9,Low,0</t>
  </si>
  <si>
    <t>856,2023-02-05 15:00:00,0.72,1608,121,1009.7,Air,Fog,44.2,High,1</t>
  </si>
  <si>
    <t>857,2023-02-05 16:00:00,0.82,4424,133,490.0,Rail,Storm,49.4,Medium,1</t>
  </si>
  <si>
    <t>858,2023-02-05 17:00:00,0.9,2547,317,227.0,Sea,Clear,62.2,High,0</t>
  </si>
  <si>
    <t>859,2023-02-05 18:00:00,0.67,3512,492,560.4,Air,Clear,7.7,High,0</t>
  </si>
  <si>
    <t>860,2023-02-05 19:00:00,0.77,2147,253,1333.3,Road,Fog,13.2,Low,0</t>
  </si>
  <si>
    <t>861,2023-02-05 20:00:00,0.86,2525,399,1144.4,Sea,Rain,42.8,Low,0</t>
  </si>
  <si>
    <t>862,2023-02-05 21:00:00,0.98,1612,179,568.7,Sea,Clear,17.6,High,0</t>
  </si>
  <si>
    <t>863,2023-02-05 22:00:00,0.71,4915,132,645.8,Sea,Rain,2.1,Low,0</t>
  </si>
  <si>
    <t>864,2023-02-05 23:00:00,0.76,1371,391,1560.1,Road,Fog,27.4,High,0</t>
  </si>
  <si>
    <t>865,2023-02-06 00:00:00,0.83,2196,333,957.6,Rail,Storm,33.0,Medium,1</t>
  </si>
  <si>
    <t>866,2023-02-06 01:00:00,0.66,4865,444,1529.7,Rail,Storm,36.4,Low,1</t>
  </si>
  <si>
    <t>867,2023-02-06 02:00:00,0.84,4370,405,866.8,Sea,Rain,31.8,High,0</t>
  </si>
  <si>
    <t>868,2023-02-06 03:00:00,0.99,2138,406,1602.3,Rail,Storm,22.7,Low,0</t>
  </si>
  <si>
    <t>869,2023-02-06 04:00:00,0.71,3901,160,264.2,Road,Rain,27.4,Medium,0</t>
  </si>
  <si>
    <t>870,2023-02-06 05:00:00,0.79,1283,223,568.2,Air,Fog,29.5,Low,0</t>
  </si>
  <si>
    <t>871,2023-02-06 06:00:00,0.65,2125,254,104.1,Road,Storm,7.7,Low,1</t>
  </si>
  <si>
    <t>872,2023-02-06 07:00:00,0.81,2217,418,1663.3,Sea,Storm,64.7,High,0</t>
  </si>
  <si>
    <t>873,2023-02-06 08:00:00,0.99,4302,107,991.4,Rail,Fog,56.8,High,1</t>
  </si>
  <si>
    <t>874,2023-02-06 09:00:00,0.82,2261,361,1388.4,Road,Storm,29.9,High,0</t>
  </si>
  <si>
    <t>875,2023-02-06 10:00:00,0.69,4270,224,1877.9,Rail,Rain,15.7,Medium,0</t>
  </si>
  <si>
    <t>876,2023-02-06 11:00:00,0.72,3601,130,507.9,Rail,Rain,44.9,Medium,0</t>
  </si>
  <si>
    <t>877,2023-02-06 12:00:00,0.85,1952,428,672.2,Sea,Fog,5.9,Low,0</t>
  </si>
  <si>
    <t>878,2023-02-06 13:00:00,0.94,868,468,1614.0,Sea,Rain,41.7,Medium,0</t>
  </si>
  <si>
    <t>879,2023-02-06 14:00:00,0.78,661,140,973.9,Air,Rain,10.3,Low,0</t>
  </si>
  <si>
    <t>880,2023-02-06 15:00:00,0.8,2676,94,1476.7,Rail,Fog,19.3,Medium,0</t>
  </si>
  <si>
    <t>881,2023-02-06 16:00:00,0.92,4373,479,558.6,Sea,Clear,10.9,Medium,0</t>
  </si>
  <si>
    <t>882,2023-02-06 17:00:00,0.64,1598,451,93.0,Road,Storm,5.4,Low,0</t>
  </si>
  <si>
    <t>883,2023-02-06 18:00:00,0.98,2350,181,864.6,Air,Clear,29.4,Low,0</t>
  </si>
  <si>
    <t>884,2023-02-06 19:00:00,0.79,2989,455,1428.7,Road,Storm,34.1,High,1</t>
  </si>
  <si>
    <t>885,2023-02-06 20:00:00,0.73,2766,78,961.9,Rail,Rain,15.8,Low,0</t>
  </si>
  <si>
    <t>886,2023-02-06 21:00:00,0.91,1724,227,846.1,Road,Clear,71.5,High,0</t>
  </si>
  <si>
    <t>887,2023-02-06 22:00:00,0.7,1766,160,1489.8,Road,Storm,64.9,High,0</t>
  </si>
  <si>
    <t>888,2023-02-06 23:00:00,0.66,1390,231,72.5,Rail,Fog,50.6,Medium,1</t>
  </si>
  <si>
    <t>889,2023-02-07 00:00:00,0.7,2440,348,1957.0,Air,Storm,56.1,Low,0</t>
  </si>
  <si>
    <t>890,2023-02-07 01:00:00,0.87,1462,119,1566.8,Rail,Storm,9.6,Low,1</t>
  </si>
  <si>
    <t>891,2023-02-07 02:00:00,0.64,3722,204,277.8,Air,Clear,54.8,Medium,0</t>
  </si>
  <si>
    <t>892,2023-02-07 03:00:00,0.78,3679,392,783.6,Road,Fog,62.6,High,1</t>
  </si>
  <si>
    <t>893,2023-02-07 04:00:00,0.69,4674,283,1605.1,Air,Rain,63.4,Medium,1</t>
  </si>
  <si>
    <t>894,2023-02-07 05:00:00,0.82,2652,247,1336.6,Road,Storm,44.6,Low,0</t>
  </si>
  <si>
    <t>895,2023-02-07 06:00:00,0.66,1805,197,381.0,Sea,Storm,21.3,Medium,1</t>
  </si>
  <si>
    <t>896,2023-02-07 07:00:00,0.91,3177,21,1359.1,Rail,Rain,15.7,High,0</t>
  </si>
  <si>
    <t>897,2023-02-07 08:00:00,0.97,1360,377,629.9,Sea,Rain,11.2,Low,0</t>
  </si>
  <si>
    <t>898,2023-02-07 09:00:00,0.73,2778,190,487.7,Sea,Clear,67.9,Low,1</t>
  </si>
  <si>
    <t>899,2023-02-07 10:00:00,0.74,4158,285,414.6,Air,Clear,61.0,Low,1</t>
  </si>
  <si>
    <t>900,2023-02-07 11:00:00,0.84,1601,388,1048.1,Road,Storm,39.5,Medium,0</t>
  </si>
  <si>
    <t>901,2023-02-07 12:00:00,0.9,3006,326,832.2,Road,Rain,68.0,Medium,0</t>
  </si>
  <si>
    <t>902,2023-02-07 13:00:00,0.62,3715,266,826.8,Road,Clear,2.9,Medium,0</t>
  </si>
  <si>
    <t>903,2023-02-07 14:00:00,0.87,848,260,1668.7,Rail,Clear,23.2,Medium,0</t>
  </si>
  <si>
    <t>904,2023-02-07 15:00:00,0.93,4270,273,147.2,Road,Rain,37.7,High,0</t>
  </si>
  <si>
    <t>905,2023-02-07 16:00:00,0.92,84,357,48.9,Road,Storm,46.2,Medium,0</t>
  </si>
  <si>
    <t>906,2023-02-07 17:00:00,0.78,522,137,1992.8,Sea,Storm,20.9,High,0</t>
  </si>
  <si>
    <t>907,2023-02-07 18:00:00,0.93,1717,197,1366.1,Sea,Storm,6.7,Medium,1</t>
  </si>
  <si>
    <t>908,2023-02-07 19:00:00,0.82,4483,178,978.3,Sea,Rain,49.2,High,0</t>
  </si>
  <si>
    <t>909,2023-02-07 20:00:00,0.67,1098,262,229.5,Air,Storm,27.9,High,0</t>
  </si>
  <si>
    <t>910,2023-02-07 21:00:00,0.71,3391,280,312.4,Rail,Clear,10.2,High,0</t>
  </si>
  <si>
    <t>911,2023-02-07 22:00:00,0.84,2868,486,343.9,Sea,Clear,23.2,High,0</t>
  </si>
  <si>
    <t>912,2023-02-07 23:00:00,0.82,1650,416,221.1,Sea,Clear,30.3,Low,0</t>
  </si>
  <si>
    <t>913,2023-02-08 00:00:00,0.92,3764,448,521.1,Rail,Fog,55.5,Low,0</t>
  </si>
  <si>
    <t>914,2023-02-08 01:00:00,0.89,2076,471,489.7,Air,Clear,61.5,Medium,0</t>
  </si>
  <si>
    <t>915,2023-02-08 02:00:00,0.69,4018,131,1968.4,Rail,Clear,14.2,Low,0</t>
  </si>
  <si>
    <t>916,2023-02-08 03:00:00,0.76,3037,404,891.8,Rail,Clear,51.0,Low,1</t>
  </si>
  <si>
    <t>917,2023-02-08 04:00:00,0.91,4028,186,602.6,Air,Clear,63.9,High,0</t>
  </si>
  <si>
    <t>918,2023-02-08 05:00:00,0.78,3430,447,947.7,Sea,Storm,64.5,High,1</t>
  </si>
  <si>
    <t>919,2023-02-08 06:00:00,0.69,2911,393,1049.1,Rail,Clear,7.1,Medium,0</t>
  </si>
  <si>
    <t>920,2023-02-08 07:00:00,0.97,4188,272,1641.1,Sea,Clear,26.5,Low,0</t>
  </si>
  <si>
    <t>921,2023-02-08 08:00:00,0.78,1505,115,627.3,Air,Rain,15.6,Medium,1</t>
  </si>
  <si>
    <t>922,2023-02-08 09:00:00,0.72,2529,9,1145.6,Road,Storm,17.1,Low,0</t>
  </si>
  <si>
    <t>923,2023-02-08 10:00:00,0.8,4872,447,111.9,Sea,Rain,18.0,Low,0</t>
  </si>
  <si>
    <t>924,2023-02-08 11:00:00,0.72,741,71,1620.8,Road,Rain,16.6,High,0</t>
  </si>
  <si>
    <t>925,2023-02-08 12:00:00,0.71,1658,233,842.8,Air,Rain,70.4,Low,1</t>
  </si>
  <si>
    <t>926,2023-02-08 13:00:00,0.86,1878,397,1579.7,Sea,Fog,26.8,Medium,0</t>
  </si>
  <si>
    <t>927,2023-02-08 14:00:00,0.92,3992,2,307.8,Air,Rain,44.9,High,0</t>
  </si>
  <si>
    <t>928,2023-02-08 15:00:00,0.76,716,483,365.8,Road,Fog,70.2,High,1</t>
  </si>
  <si>
    <t>929,2023-02-08 16:00:00,0.66,1554,485,820.5,Rail,Clear,13.3,High,0</t>
  </si>
  <si>
    <t>930,2023-02-08 17:00:00,0.79,4658,262,693.0,Rail,Fog,12.2,Low,0</t>
  </si>
  <si>
    <t>931,2023-02-08 18:00:00,0.76,2742,494,655.6,Rail,Clear,14.6,Medium,1</t>
  </si>
  <si>
    <t>932,2023-02-08 19:00:00,0.77,4110,381,730.9,Air,Clear,71.1,Medium,0</t>
  </si>
  <si>
    <t>933,2023-02-08 20:00:00,0.7,3430,298,1698.7,Road,Clear,51.1,Low,1</t>
  </si>
  <si>
    <t>934,2023-02-08 21:00:00,0.91,2873,253,759.4,Sea,Fog,25.7,Low,0</t>
  </si>
  <si>
    <t>935,2023-02-08 22:00:00,0.68,3907,31,1143.3,Road,Fog,44.8,Medium,0</t>
  </si>
  <si>
    <t>936,2023-02-08 23:00:00,0.62,1085,470,1478.3,Road,Fog,51.8,Medium,0</t>
  </si>
  <si>
    <t>937,2023-02-09 00:00:00,0.88,2012,282,1269.2,Rail,Fog,19.9,Low,1</t>
  </si>
  <si>
    <t>938,2023-02-09 01:00:00,0.9,4687,382,1588.3,Sea,Storm,28.1,Low,0</t>
  </si>
  <si>
    <t>939,2023-02-09 02:00:00,0.7,3665,445,479.3,Sea,Fog,8.5,Medium,0</t>
  </si>
  <si>
    <t>940,2023-02-09 03:00:00,0.67,4860,407,902.5,Road,Clear,9.6,High,0</t>
  </si>
  <si>
    <t>941,2023-02-09 04:00:00,0.83,4585,21,1655.3,Air,Clear,12.0,High,0</t>
  </si>
  <si>
    <t>942,2023-02-09 05:00:00,0.97,2671,145,1646.2,Rail,Clear,68.4,Medium,0</t>
  </si>
  <si>
    <t>943,2023-02-09 06:00:00,0.7,2841,201,705.8,Sea,Storm,60.2,High,0</t>
  </si>
  <si>
    <t>944,2023-02-09 07:00:00,0.82,1829,432,787.6,Road,Clear,68.9,Medium,0</t>
  </si>
  <si>
    <t>945,2023-02-09 08:00:00,0.71,3480,462,542.1,Rail,Storm,39.5,High,0</t>
  </si>
  <si>
    <t>946,2023-02-09 09:00:00,0.9,3070,39,75.6,Air,Rain,16.2,Low,0</t>
  </si>
  <si>
    <t>947,2023-02-09 10:00:00,0.79,4898,450,795.4,Sea,Clear,3.1,Low,0</t>
  </si>
  <si>
    <t>948,2023-02-09 11:00:00,0.75,4944,56,1100.6,Sea,Rain,24.3,Medium,1</t>
  </si>
  <si>
    <t>949,2023-02-09 12:00:00,0.86,3557,12,830.1,Air,Rain,53.9,Low,0</t>
  </si>
  <si>
    <t>950,2023-02-09 13:00:00,0.81,3406,447,187.2,Sea,Fog,37.6,Medium,0</t>
  </si>
  <si>
    <t>951,2023-02-09 14:00:00,0.68,3115,186,156.9,Air,Clear,15.6,High,0</t>
  </si>
  <si>
    <t>952,2023-02-09 15:00:00,0.77,2464,315,1881.1,Air,Storm,64.6,Medium,0</t>
  </si>
  <si>
    <t>953,2023-02-09 16:00:00,0.98,2250,490,1660.9,Sea,Rain,40.9,High,1</t>
  </si>
  <si>
    <t>954,2023-02-09 17:00:00,0.92,2000,172,1320.3,Air,Storm,65.7,Medium,0</t>
  </si>
  <si>
    <t>955,2023-02-09 18:00:00,0.8,3978,364,420.3,Air,Rain,16.0,High,0</t>
  </si>
  <si>
    <t>956,2023-02-09 19:00:00,0.86,2124,265,1591.8,Air,Storm,3.8,Medium,0</t>
  </si>
  <si>
    <t>957,2023-02-09 20:00:00,0.66,672,246,626.1,Rail,Fog,49.5,Low,1</t>
  </si>
  <si>
    <t>958,2023-02-09 21:00:00,0.77,871,322,672.4,Sea,Rain,71.8,High,1</t>
  </si>
  <si>
    <t>959,2023-02-09 22:00:00,0.96,1058,309,1238.2,Sea,Storm,26.5,Low,0</t>
  </si>
  <si>
    <t>960,2023-02-09 23:00:00,0.68,387,492,452.9,Road,Storm,3.0,Low,1</t>
  </si>
  <si>
    <t>961,2023-02-10 00:00:00,0.99,1796,370,237.2,Air,Clear,66.8,Low,0</t>
  </si>
  <si>
    <t>962,2023-02-10 01:00:00,0.94,816,82,656.4,Sea,Clear,7.2,Low,0</t>
  </si>
  <si>
    <t>963,2023-02-10 02:00:00,0.87,2102,451,607.6,Air,Storm,19.7,Medium,0</t>
  </si>
  <si>
    <t>964,2023-02-10 03:00:00,0.75,2665,289,287.3,Road,Fog,21.9,High,0</t>
  </si>
  <si>
    <t>965,2023-02-10 04:00:00,0.64,1135,390,1498.7,Sea,Storm,4.6,Medium,0</t>
  </si>
  <si>
    <t>966,2023-02-10 05:00:00,0.72,2158,165,586.0,Road,Clear,1.6,Medium,0</t>
  </si>
  <si>
    <t>967,2023-02-10 06:00:00,0.9,81,164,1864.8,Sea,Fog,3.7,High,1</t>
  </si>
  <si>
    <t>968,2023-02-10 07:00:00,0.77,3099,314,1245.6,Rail,Fog,14.2,Low,0</t>
  </si>
  <si>
    <t>969,2023-02-10 08:00:00,0.92,3576,101,499.2,Road,Rain,13.3,Medium,0</t>
  </si>
  <si>
    <t>970,2023-02-10 09:00:00,0.69,248,164,540.7,Air,Rain,41.3,Low,0</t>
  </si>
  <si>
    <t>971,2023-02-10 10:00:00,0.93,4583,130,653.0,Road,Clear,26.5,High,1</t>
  </si>
  <si>
    <t>972,2023-02-10 11:00:00,0.94,1890,489,781.3,Air,Clear,27.8,Low,1</t>
  </si>
  <si>
    <t>973,2023-02-10 12:00:00,0.89,2999,258,302.9,Air,Storm,55.7,Medium,1</t>
  </si>
  <si>
    <t>974,2023-02-10 13:00:00,0.68,1102,300,1438.2,Rail,Rain,55.7,Low,1</t>
  </si>
  <si>
    <t>975,2023-02-10 14:00:00,0.69,4904,295,1772.8,Road,Rain,43.8,High,0</t>
  </si>
  <si>
    <t>976,2023-02-10 15:00:00,0.63,2592,433,1953.3,Air,Fog,60.9,Medium,0</t>
  </si>
  <si>
    <t>977,2023-02-10 16:00:00,0.62,4037,303,788.0,Rail,Fog,50.7,Low,1</t>
  </si>
  <si>
    <t>978,2023-02-10 17:00:00,0.9,1689,109,277.3,Air,Rain,62.4,Medium,0</t>
  </si>
  <si>
    <t>979,2023-02-10 18:00:00,0.8,4869,154,1949.4,Road,Storm,50.8,Medium,0</t>
  </si>
  <si>
    <t>980,2023-02-10 19:00:00,0.9,1635,431,927.4,Air,Fog,61.5,Low,0</t>
  </si>
  <si>
    <t>981,2023-02-10 20:00:00,0.71,2439,152,42.5,Road,Fog,34.2,High,0</t>
  </si>
  <si>
    <t>982,2023-02-10 21:00:00,0.74,3023,134,511.7,Rail,Fog,71.8,High,0</t>
  </si>
  <si>
    <t>983,2023-02-10 22:00:00,0.96,4084,37,259.5,Rail,Storm,51.1,Low,1</t>
  </si>
  <si>
    <t>984,2023-02-10 23:00:00,1.0,1390,42,804.9,Rail,Fog,64.0,High,0</t>
  </si>
  <si>
    <t>985,2023-02-11 00:00:00,0.64,4583,213,890.5,Rail,Fog,35.5,High,0</t>
  </si>
  <si>
    <t>986,2023-02-11 01:00:00,0.91,3190,175,1745.6,Sea,Rain,4.2,High,0</t>
  </si>
  <si>
    <t>987,2023-02-11 02:00:00,0.82,2069,316,94.6,Sea,Storm,11.6,Low,0</t>
  </si>
  <si>
    <t>988,2023-02-11 03:00:00,0.6,4672,83,1690.3,Rail,Storm,24.6,High,0</t>
  </si>
  <si>
    <t>989,2023-02-11 04:00:00,0.85,1083,35,1508.3,Air,Fog,24.2,Low,1</t>
  </si>
  <si>
    <t>990,2023-02-11 05:00:00,0.71,1820,420,1694.4,Sea,Storm,53.4,Medium,1</t>
  </si>
  <si>
    <t>991,2023-02-11 06:00:00,0.74,1406,272,884.7,Road,Fog,13.1,High,1</t>
  </si>
  <si>
    <t>992,2023-02-11 07:00:00,0.99,874,219,1856.1,Air,Rain,28.7,Low,1</t>
  </si>
  <si>
    <t>993,2023-02-11 08:00:00,0.9,2898,253,1243.8,Rail,Fog,37.5,High,0</t>
  </si>
  <si>
    <t>994,2023-02-11 09:00:00,0.62,3526,415,1168.8,Sea,Storm,5.5,Low,0</t>
  </si>
  <si>
    <t>995,2023-02-11 10:00:00,0.87,1316,214,1768.5,Road,Storm,39.0,High,1</t>
  </si>
  <si>
    <t>996,2023-02-11 11:00:00,0.61,4117,143,1418.2,Sea,Rain,22.4,Medium,1</t>
  </si>
  <si>
    <t>997,2023-02-11 12:00:00,0.95,4741,483,1818.8,Road,Rain,70.9,Low,1</t>
  </si>
  <si>
    <t>998,2023-02-11 13:00:00,0.84,647,2,364.6,Road,Rain,4.2,Low,1</t>
  </si>
  <si>
    <t>999,2023-02-11 14:00:00,0.85,4957,68,829.4,Air,Rain,39.8,Low,1</t>
  </si>
  <si>
    <t>1000,2023-02-11 15:00:00,0.61,3714,183,319.9,Rail,Storm,71.1,Medium,0</t>
  </si>
  <si>
    <t>1001,2023-02-11 16:00:00,0.63,1369,21,447.5,Air,Storm,67.1,High,1</t>
  </si>
  <si>
    <t>1002,2023-02-11 17:00:00,0.81,2183,425,980.9,Rail,Rain,2.7,Low,0</t>
  </si>
  <si>
    <t>1003,2023-02-11 18:00:00,0.75,834,449,719.3,Sea,Fog,26.2,Low,0</t>
  </si>
  <si>
    <t>1004,2023-02-11 19:00:00,0.93,1389,381,1323.0,Road,Fog,29.3,High,0</t>
  </si>
  <si>
    <t>1005,2023-02-11 20:00:00,0.71,3030,242,291.0,Sea,Rain,16.1,Medium,1</t>
  </si>
  <si>
    <t>1006,2023-02-11 21:00:00,0.76,2584,205,28.4,Road,Rain,30.6,High,0</t>
  </si>
  <si>
    <t>1007,2023-02-11 22:00:00,0.65,769,111,351.3,Air,Storm,21.8,Medium,0</t>
  </si>
  <si>
    <t>1008,2023-02-11 23:00:00,0.8,4800,405,1913.4,Rail,Rain,10.1,Medium,1</t>
  </si>
  <si>
    <t>1009,2023-02-12 00:00:00,0.98,3362,269,1918.1,Rail,Storm,64.6,Low,1</t>
  </si>
  <si>
    <t>1010,2023-02-12 01:00:00,0.71,1031,296,89.8,Sea,Rain,39.1,High,1</t>
  </si>
  <si>
    <t>1011,2023-02-12 02:00:00,0.92,3430,338,272.6,Rail,Rain,30.3,Medium,0</t>
  </si>
  <si>
    <t>1012,2023-02-12 03:00:00,0.67,4302,182,941.6,Sea,Rain,62.8,Low,1</t>
  </si>
  <si>
    <t>1013,2023-02-12 04:00:00,0.95,257,47,90.8,Air,Clear,26.0,Low,1</t>
  </si>
  <si>
    <t>1014,2023-02-12 05:00:00,0.81,498,425,815.0,Rail,Clear,58.8,High,0</t>
  </si>
  <si>
    <t>1015,2023-02-12 06:00:00,0.65,2592,282,1548.7,Rail,Storm,37.5,High,0</t>
  </si>
  <si>
    <t>1016,2023-02-12 07:00:00,0.91,468,234,608.6,Road,Rain,11.8,High,0</t>
  </si>
  <si>
    <t>1017,2023-02-12 08:00:00,0.96,3865,374,217.7,Rail,Fog,49.4,High,1</t>
  </si>
  <si>
    <t>1018,2023-02-12 09:00:00,0.66,3451,136,1911.3,Rail,Fog,29.9,High,1</t>
  </si>
  <si>
    <t>1019,2023-02-12 10:00:00,0.65,1581,440,1542.1,Sea,Clear,22.3,Low,1</t>
  </si>
  <si>
    <t>1020,2023-02-12 11:00:00,0.7,2069,327,1948.1,Air,Fog,47.3,High,1</t>
  </si>
  <si>
    <t>1021,2023-02-12 12:00:00,0.81,629,83,1504.5,Air,Rain,52.4,Medium,1</t>
  </si>
  <si>
    <t>1022,2023-02-12 13:00:00,0.98,2532,397,903.7,Air,Clear,2.4,Medium,0</t>
  </si>
  <si>
    <t>1023,2023-02-12 14:00:00,0.94,3949,166,746.6,Road,Storm,33.5,Medium,0</t>
  </si>
  <si>
    <t>1024,2023-02-12 15:00:00,0.73,677,128,304.4,Road,Rain,64.6,Medium,0</t>
  </si>
  <si>
    <t>1025,2023-02-12 16:00:00,0.61,3125,44,565.2,Air,Rain,71.8,Medium,0</t>
  </si>
  <si>
    <t>1026,2023-02-12 17:00:00,0.84,2148,32,1534.4,Road,Fog,40.8,Medium,0</t>
  </si>
  <si>
    <t>1027,2023-02-12 18:00:00,0.83,3861,472,812.5,Air,Clear,42.5,Medium,0</t>
  </si>
  <si>
    <t>1028,2023-02-12 19:00:00,0.7,1777,352,1106.1,Rail,Storm,14.7,High,1</t>
  </si>
  <si>
    <t>1029,2023-02-12 20:00:00,0.84,729,374,492.6,Sea,Clear,33.9,High,0</t>
  </si>
  <si>
    <t>1030,2023-02-12 21:00:00,0.99,1592,155,520.3,Rail,Fog,59.8,High,0</t>
  </si>
  <si>
    <t>1031,2023-02-12 22:00:00,0.66,1945,484,1765.4,Air,Storm,7.3,Medium,1</t>
  </si>
  <si>
    <t>1032,2023-02-12 23:00:00,0.73,3042,283,1369.1,Road,Storm,28.5,High,0</t>
  </si>
  <si>
    <t>1033,2023-02-13 00:00:00,0.94,1316,109,1229.8,Air,Clear,65.1,Low,0</t>
  </si>
  <si>
    <t>1034,2023-02-13 01:00:00,0.66,1668,165,847.0,Air,Storm,59.5,High,1</t>
  </si>
  <si>
    <t>1035,2023-02-13 02:00:00,0.65,3583,146,521.3,Road,Storm,17.6,Low,0</t>
  </si>
  <si>
    <t>1036,2023-02-13 03:00:00,0.67,4351,34,524.8,Sea,Storm,64.2,High,1</t>
  </si>
  <si>
    <t>1037,2023-02-13 04:00:00,0.91,1444,484,669.6,Rail,Clear,58.9,Medium,1</t>
  </si>
  <si>
    <t>1038,2023-02-13 05:00:00,0.65,1682,188,1512.4,Road,Rain,48.1,Low,0</t>
  </si>
  <si>
    <t>1039,2023-02-13 06:00:00,0.64,2559,14,1881.0,Sea,Clear,21.7,Low,0</t>
  </si>
  <si>
    <t>1040,2023-02-13 07:00:00,0.85,898,99,460.9,Sea,Storm,68.7,Low,0</t>
  </si>
  <si>
    <t>1041,2023-02-13 08:00:00,0.91,2179,455,1655.9,Rail,Storm,48.9,Low,0</t>
  </si>
  <si>
    <t>1042,2023-02-13 09:00:00,0.9,327,98,1223.8,Rail,Fog,58.3,Low,1</t>
  </si>
  <si>
    <t>1043,2023-02-13 10:00:00,0.77,4149,275,62.9,Air,Clear,27.2,High,0</t>
  </si>
  <si>
    <t>1044,2023-02-13 11:00:00,0.97,1771,379,1820.2,Air,Rain,60.9,Medium,0</t>
  </si>
  <si>
    <t>1045,2023-02-13 12:00:00,0.66,4777,85,1691.3,Rail,Clear,32.3,High,1</t>
  </si>
  <si>
    <t>1046,2023-02-13 13:00:00,0.78,3494,357,645.6,Rail,Rain,5.9,High,0</t>
  </si>
  <si>
    <t>1047,2023-02-13 14:00:00,0.75,3886,302,1209.7,Rail,Clear,1.4,Low,0</t>
  </si>
  <si>
    <t>1048,2023-02-13 15:00:00,0.82,85,485,170.1,Rail,Storm,52.9,High,1</t>
  </si>
  <si>
    <t>1049,2023-02-13 16:00:00,0.68,1336,285,1570.7,Rail,Storm,63.6,Low,1</t>
  </si>
  <si>
    <t>1050,2023-02-13 17:00:00,0.66,3892,468,994.5,Road,Rain,34.2,Low,0</t>
  </si>
  <si>
    <t>1051,2023-02-13 18:00:00,0.99,4492,449,342.4,Air,Storm,54.2,High,0</t>
  </si>
  <si>
    <t>1052,2023-02-13 19:00:00,0.72,1776,396,114.6,Road,Clear,33.8,Medium,0</t>
  </si>
  <si>
    <t>1053,2023-02-13 20:00:00,0.8,4339,380,428.6,Rail,Clear,9.8,High,0</t>
  </si>
  <si>
    <t>1054,2023-02-13 21:00:00,0.97,3478,120,1564.0,Rail,Rain,4.0,Low,0</t>
  </si>
  <si>
    <t>1055,2023-02-13 22:00:00,0.72,2821,360,1567.4,Road,Clear,70.9,Low,0</t>
  </si>
  <si>
    <t>1056,2023-02-13 23:00:00,0.75,1056,408,470.7,Road,Clear,2.4,High,0</t>
  </si>
  <si>
    <t>1057,2023-02-14 00:00:00,0.83,4386,39,1517.6,Sea,Fog,49.6,High,0</t>
  </si>
  <si>
    <t>1058,2023-02-14 01:00:00,0.63,1345,335,1873.9,Sea,Clear,63.1,High,0</t>
  </si>
  <si>
    <t>1059,2023-02-14 02:00:00,0.61,1198,43,1677.2,Sea,Rain,58.5,High,0</t>
  </si>
  <si>
    <t>1060,2023-02-14 03:00:00,0.85,3669,274,826.3,Road,Clear,49.0,Low,1</t>
  </si>
  <si>
    <t>1061,2023-02-14 04:00:00,0.75,1897,231,686.6,Rail,Rain,35.3,Low,1</t>
  </si>
  <si>
    <t>1062,2023-02-14 05:00:00,0.63,1303,366,789.0,Road,Clear,63.7,Medium,0</t>
  </si>
  <si>
    <t>1063,2023-02-14 06:00:00,0.71,2169,52,1856.3,Road,Rain,52.1,Medium,1</t>
  </si>
  <si>
    <t>1064,2023-02-14 07:00:00,0.88,4391,183,1657.5,Road,Rain,58.3,Medium,1</t>
  </si>
  <si>
    <t>1065,2023-02-14 08:00:00,0.9,2631,310,724.6,Rail,Storm,27.5,Medium,0</t>
  </si>
  <si>
    <t>1066,2023-02-14 09:00:00,0.8,1294,357,1046.6,Road,Clear,39.7,Low,1</t>
  </si>
  <si>
    <t>1067,2023-02-14 10:00:00,0.69,3276,317,1980.9,Air,Rain,9.5,Low,0</t>
  </si>
  <si>
    <t>1068,2023-02-14 11:00:00,0.94,3199,174,1273.1,Rail,Rain,35.1,Low,1</t>
  </si>
  <si>
    <t>1069,2023-02-14 12:00:00,0.68,3705,165,1397.4,Road,Storm,61.1,High,1</t>
  </si>
  <si>
    <t>1070,2023-02-14 13:00:00,0.9,1296,313,457.4,Air,Clear,40.8,Low,1</t>
  </si>
  <si>
    <t>1071,2023-02-14 14:00:00,0.66,161,243,1963.9,Road,Rain,26.4,High,0</t>
  </si>
  <si>
    <t>1072,2023-02-14 15:00:00,0.97,4563,18,590.2,Air,Clear,21.8,High,1</t>
  </si>
  <si>
    <t>1073,2023-02-14 16:00:00,0.91,3861,76,269.4,Sea,Storm,5.9,Medium,0</t>
  </si>
  <si>
    <t>1074,2023-02-14 17:00:00,0.8,4183,440,678.7,Rail,Fog,30.9,Low,1</t>
  </si>
  <si>
    <t>1075,2023-02-14 18:00:00,0.77,884,231,184.6,Road,Fog,53.2,Low,0</t>
  </si>
  <si>
    <t>1076,2023-02-14 19:00:00,0.83,3562,130,1005.0,Road,Rain,5.0,Medium,1</t>
  </si>
  <si>
    <t>1077,2023-02-14 20:00:00,0.86,1636,341,852.0,Sea,Rain,34.0,Medium,0</t>
  </si>
  <si>
    <t>1078,2023-02-14 21:00:00,0.82,2485,323,1856.8,Sea,Clear,8.1,High,1</t>
  </si>
  <si>
    <t>1079,2023-02-14 22:00:00,0.88,4122,319,391.2,Air,Fog,8.4,Medium,0</t>
  </si>
  <si>
    <t>1080,2023-02-14 23:00:00,0.64,170,363,555.1,Sea,Clear,51.7,High,1</t>
  </si>
  <si>
    <t>1081,2023-02-15 00:00:00,0.77,3545,304,1888.8,Air,Rain,70.5,High,0</t>
  </si>
  <si>
    <t>1082,2023-02-15 01:00:00,0.9,2890,314,1164.7,Road,Storm,13.0,High,0</t>
  </si>
  <si>
    <t>1083,2023-02-15 02:00:00,0.78,1297,23,239.9,Road,Storm,48.7,Low,0</t>
  </si>
  <si>
    <t>1084,2023-02-15 03:00:00,0.99,3749,459,1406.7,Road,Fog,49.4,Medium,1</t>
  </si>
  <si>
    <t>1085,2023-02-15 04:00:00,0.81,963,395,1751.5,Rail,Clear,13.1,High,0</t>
  </si>
  <si>
    <t>1086,2023-02-15 05:00:00,0.72,4741,40,719.5,Air,Rain,33.7,Medium,0</t>
  </si>
  <si>
    <t>1087,2023-02-15 06:00:00,0.96,719,209,1178.4,Road,Storm,6.5,High,1</t>
  </si>
  <si>
    <t>1088,2023-02-15 07:00:00,0.77,2602,264,1837.0,Rail,Rain,65.6,Medium,0</t>
  </si>
  <si>
    <t>1089,2023-02-15 08:00:00,0.82,1344,302,1029.6,Rail,Fog,55.8,Medium,0</t>
  </si>
  <si>
    <t>1090,2023-02-15 09:00:00,0.86,1193,183,1504.1,Air,Storm,61.3,Medium,0</t>
  </si>
  <si>
    <t>1091,2023-02-15 10:00:00,0.94,4284,451,1318.5,Road,Clear,32.3,Medium,0</t>
  </si>
  <si>
    <t>1092,2023-02-15 11:00:00,0.68,4493,434,1595.5,Rail,Fog,22.0,Medium,0</t>
  </si>
  <si>
    <t>1093,2023-02-15 12:00:00,0.95,4801,177,542.2,Rail,Rain,25.9,Low,0</t>
  </si>
  <si>
    <t>1094,2023-02-15 13:00:00,0.83,1870,283,741.0,Air,Clear,20.8,Medium,0</t>
  </si>
  <si>
    <t>1095,2023-02-15 14:00:00,0.75,2847,9,1753.8,Road,Clear,11.6,Low,0</t>
  </si>
  <si>
    <t>1096,2023-02-15 15:00:00,0.73,1984,368,789.7,Sea,Clear,4.6,Medium,1</t>
  </si>
  <si>
    <t>1097,2023-02-15 16:00:00,0.99,3380,303,452.6,Sea,Storm,28.7,Low,0</t>
  </si>
  <si>
    <t>1098,2023-02-15 17:00:00,0.98,4188,388,800.0,Rail,Clear,40.4,Medium,0</t>
  </si>
  <si>
    <t>1099,2023-02-15 18:00:00,0.82,329,251,1711.4,Air,Fog,33.8,Low,0</t>
  </si>
  <si>
    <t>1100,2023-02-15 19:00:00,0.74,4254,433,1968.5,Air,Clear,29.5,High,0</t>
  </si>
  <si>
    <t>1101,2023-02-15 20:00:00,0.99,2434,99,1476.1,Road,Fog,3.4,Low,0</t>
  </si>
  <si>
    <t>1102,2023-02-15 21:00:00,0.61,2518,40,736.6,Sea,Clear,27.5,Medium,0</t>
  </si>
  <si>
    <t>1103,2023-02-15 22:00:00,0.62,686,346,1408.3,Rail,Clear,9.1,Low,1</t>
  </si>
  <si>
    <t>1104,2023-02-15 23:00:00,0.79,4274,434,1567.8,Rail,Fog,50.2,Low,1</t>
  </si>
  <si>
    <t>1105,2023-02-16 00:00:00,0.83,654,360,668.1,Road,Clear,22.9,Low,0</t>
  </si>
  <si>
    <t>1106,2023-02-16 01:00:00,0.6,3868,493,1102.8,Sea,Fog,36.9,High,0</t>
  </si>
  <si>
    <t>1107,2023-02-16 02:00:00,0.67,3677,2,624.1,Air,Storm,26.0,Low,0</t>
  </si>
  <si>
    <t>1108,2023-02-16 03:00:00,0.63,4039,197,1599.5,Rail,Fog,38.0,Low,0</t>
  </si>
  <si>
    <t>1109,2023-02-16 04:00:00,0.7,371,380,10.4,Rail,Clear,14.7,Medium,0</t>
  </si>
  <si>
    <t>1110,2023-02-16 05:00:00,0.67,869,452,74.1,Road,Clear,6.8,Medium,0</t>
  </si>
  <si>
    <t>1111,2023-02-16 06:00:00,0.65,1636,491,1821.6,Rail,Fog,18.3,Medium,0</t>
  </si>
  <si>
    <t>1112,2023-02-16 07:00:00,0.65,4881,47,685.7,Rail,Storm,18.5,Low,0</t>
  </si>
  <si>
    <t>1113,2023-02-16 08:00:00,0.75,1231,200,1012.6,Road,Fog,18.0,Low,1</t>
  </si>
  <si>
    <t>1114,2023-02-16 09:00:00,0.65,3155,449,361.8,Air,Clear,25.3,Low,0</t>
  </si>
  <si>
    <t>1115,2023-02-16 10:00:00,0.91,4576,405,442.1,Rail,Clear,66.0,Low,0</t>
  </si>
  <si>
    <t>1116,2023-02-16 11:00:00,0.76,3248,202,470.2,Rail,Clear,32.3,Medium,1</t>
  </si>
  <si>
    <t>1117,2023-02-16 12:00:00,0.65,3471,96,1492.0,Sea,Clear,5.2,High,0</t>
  </si>
  <si>
    <t>1118,2023-02-16 13:00:00,0.86,3638,138,1864.5,Air,Rain,54.7,High,0</t>
  </si>
  <si>
    <t>1119,2023-02-16 14:00:00,0.92,3635,39,1874.5,Rail,Fog,70.4,High,0</t>
  </si>
  <si>
    <t>1120,2023-02-16 15:00:00,0.74,1203,136,1868.5,Air,Storm,18.9,Medium,1</t>
  </si>
  <si>
    <t>1121,2023-02-16 16:00:00,0.6,2971,255,753.8,Air,Clear,1.7,Low,1</t>
  </si>
  <si>
    <t>1122,2023-02-16 17:00:00,0.86,3537,471,1045.2,Air,Fog,37.0,Medium,1</t>
  </si>
  <si>
    <t>1123,2023-02-16 18:00:00,0.9,2656,298,904.2,Sea,Fog,60.5,High,0</t>
  </si>
  <si>
    <t>1124,2023-02-16 19:00:00,0.96,3936,367,1113.8,Sea,Fog,68.0,High,0</t>
  </si>
  <si>
    <t>1125,2023-02-16 20:00:00,0.89,3306,187,393.5,Sea,Fog,47.0,High,0</t>
  </si>
  <si>
    <t>1126,2023-02-16 21:00:00,0.84,3421,458,738.3,Road,Storm,11.3,Low,0</t>
  </si>
  <si>
    <t>1127,2023-02-16 22:00:00,0.74,690,170,83.2,Road,Clear,39.8,Medium,0</t>
  </si>
  <si>
    <t>1128,2023-02-16 23:00:00,0.7,494,362,549.7,Road,Storm,3.0,High,1</t>
  </si>
  <si>
    <t>1129,2023-02-17 00:00:00,0.63,4309,18,1390.4,Air,Clear,5.4,Low,0</t>
  </si>
  <si>
    <t>1130,2023-02-17 01:00:00,0.93,4372,216,1179.6,Road,Storm,19.8,High,0</t>
  </si>
  <si>
    <t>1131,2023-02-17 02:00:00,0.82,2275,371,128.9,Air,Clear,38.9,Low,0</t>
  </si>
  <si>
    <t>1132,2023-02-17 03:00:00,0.72,864,437,1673.2,Air,Rain,5.4,Medium,0</t>
  </si>
  <si>
    <t>1133,2023-02-17 04:00:00,0.65,3606,147,535.9,Sea,Fog,71.5,Medium,1</t>
  </si>
  <si>
    <t>1134,2023-02-17 05:00:00,0.72,1118,367,225.3,Air,Clear,42.8,Low,0</t>
  </si>
  <si>
    <t>1135,2023-02-17 06:00:00,0.9,2459,173,617.3,Rail,Storm,14.1,Low,0</t>
  </si>
  <si>
    <t>1136,2023-02-17 07:00:00,0.69,1657,231,1462.3,Sea,Clear,5.6,High,0</t>
  </si>
  <si>
    <t>1137,2023-02-17 08:00:00,0.62,3141,434,1872.9,Air,Storm,25.6,Medium,0</t>
  </si>
  <si>
    <t>1138,2023-02-17 09:00:00,0.75,3720,295,1381.5,Rail,Fog,55.4,High,0</t>
  </si>
  <si>
    <t>1139,2023-02-17 10:00:00,0.73,4595,35,443.9,Sea,Fog,49.1,Medium,1</t>
  </si>
  <si>
    <t>1140,2023-02-17 11:00:00,0.88,3910,290,1018.4,Rail,Storm,5.2,Low,0</t>
  </si>
  <si>
    <t>1141,2023-02-17 12:00:00,0.82,3980,345,1100.0,Air,Rain,13.6,Medium,1</t>
  </si>
  <si>
    <t>1142,2023-02-17 13:00:00,0.79,4409,359,1281.6,Sea,Clear,70.7,Medium,0</t>
  </si>
  <si>
    <t>1143,2023-02-17 14:00:00,0.99,2021,481,147.8,Rail,Rain,55.4,Low,0</t>
  </si>
  <si>
    <t>1144,2023-02-17 15:00:00,0.94,1676,355,1159.0,Sea,Rain,28.3,High,1</t>
  </si>
  <si>
    <t>1145,2023-02-17 16:00:00,0.65,3682,470,230.4,Sea,Storm,48.9,Low,0</t>
  </si>
  <si>
    <t>1146,2023-02-17 17:00:00,0.7,210,491,557.4,Air,Rain,39.0,Low,1</t>
  </si>
  <si>
    <t>1147,2023-02-17 18:00:00,0.77,3098,385,189.0,Road,Clear,6.5,High,0</t>
  </si>
  <si>
    <t>1148,2023-02-17 19:00:00,0.63,2921,407,80.6,Sea,Fog,44.2,Medium,1</t>
  </si>
  <si>
    <t>1149,2023-02-17 20:00:00,0.9,901,52,946.6,Road,Clear,34.4,Medium,0</t>
  </si>
  <si>
    <t>1150,2023-02-17 21:00:00,0.91,1886,121,557.2,Sea,Fog,45.1,Low,0</t>
  </si>
  <si>
    <t>1151,2023-02-17 22:00:00,0.72,1562,195,888.4,Rail,Fog,67.8,Low,0</t>
  </si>
  <si>
    <t>1152,2023-02-17 23:00:00,0.96,2512,158,1169.4,Air,Fog,3.5,Low,0</t>
  </si>
  <si>
    <t>1153,2023-02-18 00:00:00,0.82,2392,261,313.3,Road,Rain,15.0,Low,0</t>
  </si>
  <si>
    <t>1154,2023-02-18 01:00:00,0.69,2563,14,431.9,Air,Storm,14.3,High,0</t>
  </si>
  <si>
    <t>1155,2023-02-18 02:00:00,0.85,352,253,1496.3,Sea,Fog,68.5,High,1</t>
  </si>
  <si>
    <t>1156,2023-02-18 03:00:00,0.87,1375,78,1026.0,Road,Fog,63.3,Medium,0</t>
  </si>
  <si>
    <t>1157,2023-02-18 04:00:00,0.89,870,249,303.3,Road,Storm,44.9,High,0</t>
  </si>
  <si>
    <t>1158,2023-02-18 05:00:00,0.99,1288,83,1723.9,Air,Clear,46.5,High,0</t>
  </si>
  <si>
    <t>1159,2023-02-18 06:00:00,0.97,1502,447,1523.5,Sea,Rain,22.0,Medium,0</t>
  </si>
  <si>
    <t>1160,2023-02-18 07:00:00,0.77,1236,184,1800.6,Rail,Clear,51.0,Low,0</t>
  </si>
  <si>
    <t>1161,2023-02-18 08:00:00,0.77,3188,195,1342.9,Road,Fog,56.6,Low,0</t>
  </si>
  <si>
    <t>1162,2023-02-18 09:00:00,0.61,2799,495,339.5,Air,Rain,31.1,Medium,0</t>
  </si>
  <si>
    <t>1163,2023-02-18 10:00:00,0.77,4940,5,6.5,Road,Clear,5.4,Low,0</t>
  </si>
  <si>
    <t>1164,2023-02-18 11:00:00,0.67,4575,70,1163.4,Rail,Clear,35.0,High,0</t>
  </si>
  <si>
    <t>1165,2023-02-18 12:00:00,0.65,947,77,832.2,Air,Rain,64.5,Medium,1</t>
  </si>
  <si>
    <t>1166,2023-02-18 13:00:00,0.93,4837,165,1387.0,Rail,Storm,60.0,High,0</t>
  </si>
  <si>
    <t>1167,2023-02-18 14:00:00,0.61,1739,340,78.2,Sea,Rain,53.2,Medium,1</t>
  </si>
  <si>
    <t>1168,2023-02-18 15:00:00,0.65,2270,244,335.5,Air,Fog,11.1,Medium,0</t>
  </si>
  <si>
    <t>1169,2023-02-18 16:00:00,0.87,4672,154,77.0,Road,Storm,50.4,Medium,1</t>
  </si>
  <si>
    <t>1170,2023-02-18 17:00:00,0.83,3266,269,64.6,Road,Fog,22.9,High,0</t>
  </si>
  <si>
    <t>1171,2023-02-18 18:00:00,0.77,4862,288,1459.0,Road,Fog,36.5,High,0</t>
  </si>
  <si>
    <t>1172,2023-02-18 19:00:00,0.92,1815,115,825.9,Air,Fog,6.6,High,1</t>
  </si>
  <si>
    <t>1173,2023-02-18 20:00:00,0.7,3154,242,1714.8,Road,Fog,11.9,Medium,0</t>
  </si>
  <si>
    <t>1174,2023-02-18 21:00:00,0.68,1406,286,675.5,Rail,Storm,2.5,Low,0</t>
  </si>
  <si>
    <t>1175,2023-02-18 22:00:00,0.81,2773,408,1437.1,Sea,Storm,18.3,Medium,1</t>
  </si>
  <si>
    <t>1176,2023-02-18 23:00:00,0.64,1741,120,1456.1,Air,Fog,31.4,High,1</t>
  </si>
  <si>
    <t>1177,2023-02-19 00:00:00,0.88,2097,54,1023.6,Road,Fog,4.8,Medium,1</t>
  </si>
  <si>
    <t>1178,2023-02-19 01:00:00,0.97,1992,310,1840.1,Road,Storm,63.8,Medium,1</t>
  </si>
  <si>
    <t>1179,2023-02-19 02:00:00,0.92,1153,204,260.3,Rail,Rain,13.4,High,1</t>
  </si>
  <si>
    <t>1180,2023-02-19 03:00:00,0.95,2286,155,989.5,Sea,Rain,47.3,High,0</t>
  </si>
  <si>
    <t>1181,2023-02-19 04:00:00,0.63,615,245,1663.4,Sea,Fog,28.4,High,0</t>
  </si>
  <si>
    <t>1182,2023-02-19 05:00:00,0.77,4339,217,804.4,Road,Fog,45.1,Medium,1</t>
  </si>
  <si>
    <t>1183,2023-02-19 06:00:00,0.96,4515,414,1454.8,Road,Rain,2.8,High,0</t>
  </si>
  <si>
    <t>1184,2023-02-19 07:00:00,0.94,2993,18,836.5,Rail,Clear,8.1,High,0</t>
  </si>
  <si>
    <t>1185,2023-02-19 08:00:00,0.84,4658,94,67.3,Rail,Rain,53.7,Low,0</t>
  </si>
  <si>
    <t>1186,2023-02-19 09:00:00,0.86,447,217,507.4,Road,Rain,9.1,Low,0</t>
  </si>
  <si>
    <t>1187,2023-02-19 10:00:00,0.71,3515,97,922.9,Road,Storm,32.5,High,0</t>
  </si>
  <si>
    <t>1188,2023-02-19 11:00:00,0.71,3203,478,1493.0,Rail,Clear,32.7,Medium,0</t>
  </si>
  <si>
    <t>1189,2023-02-19 12:00:00,0.63,524,78,58.7,Sea,Storm,58.1,High,0</t>
  </si>
  <si>
    <t>1190,2023-02-19 13:00:00,0.96,2037,440,323.5,Air,Rain,9.5,Medium,0</t>
  </si>
  <si>
    <t>1191,2023-02-19 14:00:00,0.72,4179,217,608.3,Sea,Fog,32.7,Medium,0</t>
  </si>
  <si>
    <t>1192,2023-02-19 15:00:00,1.0,2841,87,1245.3,Road,Clear,6.2,Medium,0</t>
  </si>
  <si>
    <t>1193,2023-02-19 16:00:00,0.6,2672,389,893.0,Sea,Fog,13.1,Low,0</t>
  </si>
  <si>
    <t>1194,2023-02-19 17:00:00,0.92,2480,228,415.0,Air,Storm,45.7,Medium,1</t>
  </si>
  <si>
    <t>1195,2023-02-19 18:00:00,0.81,822,383,1242.3,Air,Clear,52.9,High,0</t>
  </si>
  <si>
    <t>1196,2023-02-19 19:00:00,0.62,3461,458,1465.4,Air,Rain,61.2,High,0</t>
  </si>
  <si>
    <t>1197,2023-02-19 20:00:00,0.87,1183,280,306.1,Rail,Rain,17.7,Medium,0</t>
  </si>
  <si>
    <t>1198,2023-02-19 21:00:00,0.88,3201,384,174.6,Road,Clear,3.1,Low,1</t>
  </si>
  <si>
    <t>1199,2023-02-19 22:00:00,0.88,3712,447,1915.2,Rail,Rain,37.9,Low,0</t>
  </si>
  <si>
    <t>1200,2023-02-19 23:00:00,0.88,1694,204,1598.8,Road,Clear,59.0,High,0</t>
  </si>
  <si>
    <t>1201,2023-02-20 00:00:00,0.87,2376,348,1108.7,Rail,Storm,34.9,Medium,0</t>
  </si>
  <si>
    <t>1202,2023-02-20 01:00:00,0.91,143,493,1105.0,Rail,Clear,2.1,High,0</t>
  </si>
  <si>
    <t>1203,2023-02-20 02:00:00,0.75,4314,61,1676.5,Air,Storm,53.4,High,0</t>
  </si>
  <si>
    <t>1204,2023-02-20 03:00:00,0.98,1497,395,1167.9,Air,Fog,60.1,High,1</t>
  </si>
  <si>
    <t>1205,2023-02-20 04:00:00,0.79,1377,348,1929.2,Air,Fog,42.3,High,0</t>
  </si>
  <si>
    <t>1206,2023-02-20 05:00:00,0.71,2066,462,1501.6,Road,Storm,13.1,Medium,1</t>
  </si>
  <si>
    <t>1207,2023-02-20 06:00:00,1.0,245,458,1788.8,Road,Rain,54.3,Medium,1</t>
  </si>
  <si>
    <t>1208,2023-02-20 07:00:00,0.71,3587,452,951.1,Sea,Rain,11.0,High,0</t>
  </si>
  <si>
    <t>1209,2023-02-20 08:00:00,0.78,1517,473,738.6,Road,Fog,31.0,Low,0</t>
  </si>
  <si>
    <t>1210,2023-02-20 09:00:00,0.88,4859,446,1071.3,Road,Storm,12.9,High,0</t>
  </si>
  <si>
    <t>1211,2023-02-20 10:00:00,0.92,1814,359,1738.7,Rail,Storm,33.9,High,0</t>
  </si>
  <si>
    <t>1212,2023-02-20 11:00:00,0.73,879,341,1936.5,Air,Fog,34.1,Low,1</t>
  </si>
  <si>
    <t>1213,2023-02-20 12:00:00,0.61,2129,121,1453.1,Rail,Rain,9.5,Medium,0</t>
  </si>
  <si>
    <t>1214,2023-02-20 13:00:00,0.83,4031,356,347.9,Air,Clear,25.9,Low,1</t>
  </si>
  <si>
    <t>1215,2023-02-20 14:00:00,0.84,3240,137,1747.9,Sea,Rain,49.3,High,0</t>
  </si>
  <si>
    <t>1216,2023-02-20 15:00:00,0.89,335,103,1710.9,Sea,Clear,36.6,Medium,0</t>
  </si>
  <si>
    <t>1217,2023-02-20 16:00:00,0.7,3020,108,1445.2,Air,Clear,70.5,Low,1</t>
  </si>
  <si>
    <t>1218,2023-02-20 17:00:00,0.93,578,349,1087.9,Sea,Fog,11.0,High,0</t>
  </si>
  <si>
    <t>1219,2023-02-20 18:00:00,0.91,3808,145,1092.4,Air,Rain,62.5,High,0</t>
  </si>
  <si>
    <t>1220,2023-02-20 19:00:00,0.94,2108,25,1523.1,Rail,Storm,56.6,High,0</t>
  </si>
  <si>
    <t>1221,2023-02-20 20:00:00,0.9,358,10,1100.9,Road,Fog,66.7,High,0</t>
  </si>
  <si>
    <t>1222,2023-02-20 21:00:00,0.87,4733,160,728.0,Air,Storm,56.1,High,0</t>
  </si>
  <si>
    <t>1223,2023-02-20 22:00:00,0.82,1779,487,1788.6,Road,Rain,51.0,Low,0</t>
  </si>
  <si>
    <t>1224,2023-02-20 23:00:00,0.94,2232,290,52.8,Road,Storm,59.4,Medium,0</t>
  </si>
  <si>
    <t>1225,2023-02-21 00:00:00,0.69,1069,202,1047.8,Air,Clear,60.9,High,0</t>
  </si>
  <si>
    <t>1226,2023-02-21 01:00:00,0.87,4405,26,978.8,Air,Rain,21.7,High,0</t>
  </si>
  <si>
    <t>1227,2023-02-21 02:00:00,0.92,888,255,667.6,Road,Fog,41.0,High,0</t>
  </si>
  <si>
    <t>1228,2023-02-21 03:00:00,0.91,2250,446,400.8,Rail,Fog,40.9,High,0</t>
  </si>
  <si>
    <t>1229,2023-02-21 04:00:00,0.65,91,267,707.9,Sea,Fog,21.2,High,0</t>
  </si>
  <si>
    <t>1230,2023-02-21 05:00:00,0.73,3234,252,1301.9,Sea,Fog,8.1,High,1</t>
  </si>
  <si>
    <t>1231,2023-02-21 06:00:00,0.97,3640,321,599.7,Sea,Storm,69.2,Low,0</t>
  </si>
  <si>
    <t>1232,2023-02-21 07:00:00,0.91,2030,183,975.9,Rail,Rain,14.4,High,0</t>
  </si>
  <si>
    <t>1233,2023-02-21 08:00:00,0.66,4163,69,1089.2,Rail,Rain,65.3,High,0</t>
  </si>
  <si>
    <t>1234,2023-02-21 09:00:00,0.79,2315,496,721.3,Air,Fog,1.4,Medium,1</t>
  </si>
  <si>
    <t>1235,2023-02-21 10:00:00,0.92,2148,450,875.4,Sea,Storm,21.3,Medium,0</t>
  </si>
  <si>
    <t>1236,2023-02-21 11:00:00,0.94,1416,129,1232.7,Sea,Clear,27.5,Medium,0</t>
  </si>
  <si>
    <t>1237,2023-02-21 12:00:00,0.81,1843,438,424.0,Rail,Fog,41.9,High,1</t>
  </si>
  <si>
    <t>1238,2023-02-21 13:00:00,0.64,4490,208,976.0,Road,Storm,30.3,Low,0</t>
  </si>
  <si>
    <t>1239,2023-02-21 14:00:00,0.69,2326,468,1067.1,Sea,Rain,9.8,Medium,1</t>
  </si>
  <si>
    <t>1240,2023-02-21 15:00:00,0.61,283,384,1655.3,Rail,Fog,37.0,High,0</t>
  </si>
  <si>
    <t>1241,2023-02-21 16:00:00,0.67,4162,217,558.2,Rail,Rain,56.2,Low,0</t>
  </si>
  <si>
    <t>1242,2023-02-21 17:00:00,0.62,4346,491,1608.5,Sea,Fog,29.3,Low,0</t>
  </si>
  <si>
    <t>1243,2023-02-21 18:00:00,0.88,2420,461,1378.3,Air,Clear,11.2,Medium,1</t>
  </si>
  <si>
    <t>1244,2023-02-21 19:00:00,0.88,4166,30,1677.1,Rail,Clear,46.5,Medium,0</t>
  </si>
  <si>
    <t>1245,2023-02-21 20:00:00,0.78,3274,425,1403.9,Rail,Rain,38.6,Low,0</t>
  </si>
  <si>
    <t>1246,2023-02-21 21:00:00,0.95,988,58,451.1,Rail,Fog,24.3,High,1</t>
  </si>
  <si>
    <t>1247,2023-02-21 22:00:00,0.66,4680,241,1086.3,Rail,Storm,69.3,Low,1</t>
  </si>
  <si>
    <t>1248,2023-02-21 23:00:00,0.68,3493,251,1625.8,Sea,Rain,12.0,High,0</t>
  </si>
  <si>
    <t>1249,2023-02-22 00:00:00,0.84,2113,35,925.6,Air,Rain,58.0,Low,1</t>
  </si>
  <si>
    <t>1250,2023-02-22 01:00:00,0.81,2742,239,1388.7,Air,Fog,43.2,High,0</t>
  </si>
  <si>
    <t>1251,2023-02-22 02:00:00,0.65,1153,428,1177.1,Road,Fog,44.5,Low,0</t>
  </si>
  <si>
    <t>1252,2023-02-22 03:00:00,0.96,340,159,779.0,Rail,Clear,22.5,Medium,0</t>
  </si>
  <si>
    <t>1253,2023-02-22 04:00:00,0.85,584,1,759.6,Rail,Storm,33.7,Medium,1</t>
  </si>
  <si>
    <t>1254,2023-02-22 05:00:00,0.84,107,101,575.5,Road,Clear,25.0,Medium,0</t>
  </si>
  <si>
    <t>1255,2023-02-22 06:00:00,0.75,4008,365,33.6,Sea,Storm,5.5,Medium,0</t>
  </si>
  <si>
    <t>1256,2023-02-22 07:00:00,0.84,4575,281,695.3,Sea,Fog,59.0,High,1</t>
  </si>
  <si>
    <t>1257,2023-02-22 08:00:00,0.63,3565,119,1628.0,Air,Storm,65.3,Low,0</t>
  </si>
  <si>
    <t>1258,2023-02-22 09:00:00,0.72,1426,487,1648.0,Road,Rain,35.0,Medium,0</t>
  </si>
  <si>
    <t>1259,2023-02-22 10:00:00,0.85,2996,451,698.8,Road,Rain,17.5,Low,0</t>
  </si>
  <si>
    <t>1260,2023-02-22 11:00:00,0.84,4663,149,1056.0,Road,Fog,28.1,Medium,0</t>
  </si>
  <si>
    <t>1261,2023-02-22 12:00:00,0.81,3466,25,1319.3,Sea,Clear,23.1,Medium,0</t>
  </si>
  <si>
    <t>1262,2023-02-22 13:00:00,0.62,2846,292,680.9,Rail,Storm,51.6,Medium,0</t>
  </si>
  <si>
    <t>1263,2023-02-22 14:00:00,0.73,2236,241,890.6,Rail,Clear,62.6,Medium,0</t>
  </si>
  <si>
    <t>1264,2023-02-22 15:00:00,0.99,3897,217,1177.3,Air,Storm,40.2,Low,0</t>
  </si>
  <si>
    <t>1265,2023-02-22 16:00:00,0.98,4418,145,578.7,Road,Rain,71.1,High,0</t>
  </si>
  <si>
    <t>1266,2023-02-22 17:00:00,0.93,255,111,824.3,Air,Fog,25.6,High,0</t>
  </si>
  <si>
    <t>1267,2023-02-22 18:00:00,0.63,2540,310,187.9,Rail,Storm,19.6,High,0</t>
  </si>
  <si>
    <t>1268,2023-02-22 19:00:00,0.63,3415,450,1753.5,Sea,Fog,54.7,Medium,0</t>
  </si>
  <si>
    <t>1269,2023-02-22 20:00:00,0.69,2846,95,1395.9,Air,Clear,24.2,Low,0</t>
  </si>
  <si>
    <t>1270,2023-02-22 21:00:00,0.93,1648,2,892.0,Road,Rain,25.6,Medium,0</t>
  </si>
  <si>
    <t>1271,2023-02-22 22:00:00,0.68,980,342,381.8,Sea,Fog,4.4,High,1</t>
  </si>
  <si>
    <t>1272,2023-02-22 23:00:00,0.69,3169,30,1073.1,Sea,Storm,40.5,Medium,1</t>
  </si>
  <si>
    <t>1273,2023-02-23 00:00:00,0.7,4613,352,1246.6,Rail,Storm,58.4,High,0</t>
  </si>
  <si>
    <t>1274,2023-02-23 01:00:00,0.89,3787,428,1295.6,Air,Fog,32.5,Low,0</t>
  </si>
  <si>
    <t>1275,2023-02-23 02:00:00,0.81,3151,444,894.4,Rail,Fog,40.8,Medium,0</t>
  </si>
  <si>
    <t>1276,2023-02-23 03:00:00,0.94,1724,130,458.5,Sea,Rain,52.0,Low,0</t>
  </si>
  <si>
    <t>1277,2023-02-23 04:00:00,0.63,4344,141,244.2,Air,Fog,46.1,Medium,1</t>
  </si>
  <si>
    <t>1278,2023-02-23 05:00:00,0.62,4639,313,1625.0,Rail,Fog,14.2,Low,0</t>
  </si>
  <si>
    <t>1279,2023-02-23 06:00:00,0.94,302,368,409.7,Rail,Fog,1.7,Medium,0</t>
  </si>
  <si>
    <t>1280,2023-02-23 07:00:00,0.64,4276,295,1349.4,Sea,Clear,19.6,Medium,0</t>
  </si>
  <si>
    <t>1281,2023-02-23 08:00:00,0.89,2309,246,964.5,Air,Rain,45.9,High,1</t>
  </si>
  <si>
    <t>1282,2023-02-23 09:00:00,0.84,911,348,1819.8,Sea,Rain,49.7,Medium,0</t>
  </si>
  <si>
    <t>1283,2023-02-23 10:00:00,0.68,3681,90,777.3,Rail,Fog,62.2,Low,0</t>
  </si>
  <si>
    <t>1284,2023-02-23 11:00:00,0.7,1141,66,1485.0,Air,Fog,55.1,Medium,0</t>
  </si>
  <si>
    <t>1285,2023-02-23 12:00:00,0.9,2003,306,1443.8,Air,Clear,16.2,Low,1</t>
  </si>
  <si>
    <t>1286,2023-02-23 13:00:00,0.61,2522,276,1720.8,Rail,Fog,42.2,Low,0</t>
  </si>
  <si>
    <t>1287,2023-02-23 14:00:00,0.98,3696,12,1657.3,Road,Storm,52.4,Low,0</t>
  </si>
  <si>
    <t>1288,2023-02-23 15:00:00,0.62,3540,388,200.6,Air,Fog,56.5,Low,0</t>
  </si>
  <si>
    <t>1289,2023-02-23 16:00:00,0.66,4732,389,1996.3,Sea,Fog,27.7,Medium,0</t>
  </si>
  <si>
    <t>1290,2023-02-23 17:00:00,0.86,278,116,564.2,Air,Rain,4.1,Medium,0</t>
  </si>
  <si>
    <t>1291,2023-02-23 18:00:00,0.65,168,239,1741.3,Rail,Clear,45.8,High,0</t>
  </si>
  <si>
    <t>1292,2023-02-23 19:00:00,1.0,3475,247,156.4,Sea,Rain,58.2,High,1</t>
  </si>
  <si>
    <t>1293,2023-02-23 20:00:00,0.77,4298,378,1937.0,Road,Clear,51.2,Medium,1</t>
  </si>
  <si>
    <t>1294,2023-02-23 21:00:00,0.63,3076,25,888.4,Sea,Fog,53.0,High,0</t>
  </si>
  <si>
    <t>1295,2023-02-23 22:00:00,0.67,3826,162,465.1,Air,Fog,61.0,Medium,1</t>
  </si>
  <si>
    <t>1296,2023-02-23 23:00:00,0.82,1429,401,295.3,Rail,Clear,59.3,Medium,0</t>
  </si>
  <si>
    <t>1297,2023-02-24 00:00:00,0.95,2537,22,1700.1,Air,Rain,34.2,Low,0</t>
  </si>
  <si>
    <t>1298,2023-02-24 01:00:00,0.7,1553,366,28.4,Sea,Storm,27.7,High,0</t>
  </si>
  <si>
    <t>1299,2023-02-24 02:00:00,0.76,2535,461,811.0,Rail,Storm,32.1,High,0</t>
  </si>
  <si>
    <t>1300,2023-02-24 03:00:00,0.83,749,72,1557.1,Air,Storm,32.6,Medium,0</t>
  </si>
  <si>
    <t>1301,2023-02-24 04:00:00,0.86,873,298,1944.5,Air,Rain,53.3,High,0</t>
  </si>
  <si>
    <t>1302,2023-02-24 05:00:00,0.89,3115,355,1617.0,Sea,Fog,56.6,High,0</t>
  </si>
  <si>
    <t>1303,2023-02-24 06:00:00,0.73,3692,245,182.8,Rail,Fog,50.4,Low,0</t>
  </si>
  <si>
    <t>1304,2023-02-24 07:00:00,0.75,3771,100,749.4,Air,Rain,52.4,Low,0</t>
  </si>
  <si>
    <t>1305,2023-02-24 08:00:00,0.95,3741,420,698.9,Sea,Storm,11.6,Low,1</t>
  </si>
  <si>
    <t>1306,2023-02-24 09:00:00,0.96,4708,113,729.0,Air,Rain,8.4,High,0</t>
  </si>
  <si>
    <t>1307,2023-02-24 10:00:00,0.77,2684,231,1728.3,Sea,Clear,35.3,High,0</t>
  </si>
  <si>
    <t>1308,2023-02-24 11:00:00,1.0,3739,272,289.1,Rail,Clear,14.0,Medium,0</t>
  </si>
  <si>
    <t>1309,2023-02-24 12:00:00,0.67,3863,192,1723.5,Air,Fog,41.5,High,0</t>
  </si>
  <si>
    <t>1310,2023-02-24 13:00:00,0.93,2568,50,539.9,Rail,Storm,67.6,Medium,0</t>
  </si>
  <si>
    <t>1311,2023-02-24 14:00:00,0.96,418,216,434.7,Rail,Storm,9.8,High,0</t>
  </si>
  <si>
    <t>1312,2023-02-24 15:00:00,0.83,1127,440,878.7,Road,Storm,8.6,High,0</t>
  </si>
  <si>
    <t>1313,2023-02-24 16:00:00,0.88,3846,174,1778.3,Sea,Storm,36.8,Low,0</t>
  </si>
  <si>
    <t>1314,2023-02-24 17:00:00,0.62,3679,434,1994.9,Road,Clear,38.3,Medium,0</t>
  </si>
  <si>
    <t>1315,2023-02-24 18:00:00,0.94,3180,28,1007.2,Air,Rain,15.2,Low,0</t>
  </si>
  <si>
    <t>1316,2023-02-24 19:00:00,0.87,1540,463,780.1,Road,Fog,15.5,Medium,0</t>
  </si>
  <si>
    <t>1317,2023-02-24 20:00:00,0.83,1938,443,1541.0,Sea,Fog,70.5,High,1</t>
  </si>
  <si>
    <t>1318,2023-02-24 21:00:00,0.83,975,11,1036.4,Air,Fog,5.9,Medium,0</t>
  </si>
  <si>
    <t>1319,2023-02-24 22:00:00,0.66,2520,333,1327.3,Rail,Rain,4.5,Medium,0</t>
  </si>
  <si>
    <t>1320,2023-02-24 23:00:00,0.94,4257,295,373.7,Sea,Storm,62.2,Medium,0</t>
  </si>
  <si>
    <t>1321,2023-02-25 00:00:00,0.81,3901,468,1305.2,Air,Fog,62.2,Medium,1</t>
  </si>
  <si>
    <t>1322,2023-02-25 01:00:00,0.84,4603,147,540.8,Air,Clear,66.5,High,1</t>
  </si>
  <si>
    <t>1323,2023-02-25 02:00:00,0.67,979,484,528.7,Rail,Fog,36.9,High,1</t>
  </si>
  <si>
    <t>1324,2023-02-25 03:00:00,0.85,4311,175,1859.2,Air,Rain,71.0,Medium,0</t>
  </si>
  <si>
    <t>1325,2023-02-25 04:00:00,0.7,4243,71,996.1,Air,Rain,71.7,High,0</t>
  </si>
  <si>
    <t>1326,2023-02-25 05:00:00,0.9,3160,133,416.0,Sea,Storm,37.3,Medium,0</t>
  </si>
  <si>
    <t>1327,2023-02-25 06:00:00,0.61,2991,204,1758.5,Road,Clear,45.5,Low,1</t>
  </si>
  <si>
    <t>1328,2023-02-25 07:00:00,0.65,1244,22,986.3,Air,Fog,42.8,Medium,1</t>
  </si>
  <si>
    <t>1329,2023-02-25 08:00:00,0.68,4688,225,32.8,Air,Clear,31.3,Low,0</t>
  </si>
  <si>
    <t>1330,2023-02-25 09:00:00,0.76,1944,327,848.1,Air,Fog,43.3,Low,0</t>
  </si>
  <si>
    <t>1331,2023-02-25 10:00:00,0.95,3752,296,1633.7,Road,Rain,63.7,Medium,1</t>
  </si>
  <si>
    <t>1332,2023-02-25 11:00:00,0.6,2202,140,331.6,Sea,Storm,16.7,High,0</t>
  </si>
  <si>
    <t>1333,2023-02-25 12:00:00,0.82,1414,170,809.2,Air,Rain,30.7,Medium,1</t>
  </si>
  <si>
    <t>1334,2023-02-25 13:00:00,0.61,4601,323,1397.7,Air,Storm,64.2,High,1</t>
  </si>
  <si>
    <t>1335,2023-02-25 14:00:00,0.75,3126,217,984.8,Road,Clear,22.2,Medium,0</t>
  </si>
  <si>
    <t>1336,2023-02-25 15:00:00,0.72,683,193,1483.6,Sea,Clear,17.5,Medium,0</t>
  </si>
  <si>
    <t>1337,2023-02-25 16:00:00,0.67,2728,162,439.7,Road,Fog,14.5,Medium,0</t>
  </si>
  <si>
    <t>1338,2023-02-25 17:00:00,0.79,3874,207,1702.6,Rail,Clear,57.5,Low,1</t>
  </si>
  <si>
    <t>1339,2023-02-25 18:00:00,0.74,1838,162,739.1,Rail,Clear,11.3,Low,0</t>
  </si>
  <si>
    <t>1340,2023-02-25 19:00:00,0.7,4206,265,637.1,Road,Fog,2.2,Low,1</t>
  </si>
  <si>
    <t>1341,2023-02-25 20:00:00,0.84,3488,66,806.5,Air,Storm,9.1,High,1</t>
  </si>
  <si>
    <t>1342,2023-02-25 21:00:00,0.7,3899,353,854.8,Air,Fog,5.9,Low,0</t>
  </si>
  <si>
    <t>1343,2023-02-25 22:00:00,0.99,4452,355,1835.5,Sea,Clear,17.0,Medium,0</t>
  </si>
  <si>
    <t>1344,2023-02-25 23:00:00,0.7,451,104,1966.9,Sea,Rain,59.2,High,1</t>
  </si>
  <si>
    <t>1345,2023-02-26 00:00:00,1.0,252,31,595.4,Road,Storm,20.6,High,0</t>
  </si>
  <si>
    <t>1346,2023-02-26 01:00:00,0.66,4035,190,434.4,Road,Storm,49.0,Medium,1</t>
  </si>
  <si>
    <t>1347,2023-02-26 02:00:00,0.98,332,446,391.2,Rail,Fog,64.1,High,0</t>
  </si>
  <si>
    <t>1348,2023-02-26 03:00:00,0.63,3898,279,1271.5,Sea,Fog,57.5,Medium,0</t>
  </si>
  <si>
    <t>1349,2023-02-26 04:00:00,0.6,4725,268,1914.1,Rail,Clear,54.1,Medium,0</t>
  </si>
  <si>
    <t>1350,2023-02-26 05:00:00,0.64,1099,233,50.0,Air,Clear,69.4,Low,1</t>
  </si>
  <si>
    <t>1351,2023-02-26 06:00:00,0.88,4413,54,509.7,Air,Fog,53.6,High,1</t>
  </si>
  <si>
    <t>1352,2023-02-26 07:00:00,0.69,155,485,1772.6,Air,Rain,6.3,Medium,0</t>
  </si>
  <si>
    <t>1353,2023-02-26 08:00:00,0.71,1976,320,1440.7,Air,Fog,24.4,High,1</t>
  </si>
  <si>
    <t>1354,2023-02-26 09:00:00,0.87,3399,436,474.8,Air,Fog,70.1,High,1</t>
  </si>
  <si>
    <t>1355,2023-02-26 10:00:00,0.61,4776,205,1528.1,Sea,Fog,27.4,Medium,0</t>
  </si>
  <si>
    <t>1356,2023-02-26 11:00:00,0.82,3008,274,387.5,Rail,Rain,71.9,Low,0</t>
  </si>
  <si>
    <t>1357,2023-02-26 12:00:00,0.76,1650,185,1830.0,Road,Fog,51.0,Low,0</t>
  </si>
  <si>
    <t>1358,2023-02-26 13:00:00,0.66,1147,248,44.1,Rail,Clear,10.5,High,0</t>
  </si>
  <si>
    <t>1359,2023-02-26 14:00:00,0.96,1266,391,1050.7,Rail,Rain,57.8,High,0</t>
  </si>
  <si>
    <t>1360,2023-02-26 15:00:00,0.74,3740,444,1937.1,Road,Storm,15.9,Low,1</t>
  </si>
  <si>
    <t>1361,2023-02-26 16:00:00,0.72,3354,41,1759.6,Sea,Clear,24.5,Low,0</t>
  </si>
  <si>
    <t>1362,2023-02-26 17:00:00,0.88,425,5,1786.7,Sea,Fog,28.1,Medium,0</t>
  </si>
  <si>
    <t>1363,2023-02-26 18:00:00,0.94,1886,115,267.7,Air,Fog,53.6,Low,0</t>
  </si>
  <si>
    <t>1364,2023-02-26 19:00:00,0.69,2062,94,1799.3,Road,Clear,7.5,Medium,1</t>
  </si>
  <si>
    <t>1365,2023-02-26 20:00:00,0.65,3889,409,798.6,Air,Clear,47.5,High,0</t>
  </si>
  <si>
    <t>1366,2023-02-26 21:00:00,0.98,293,124,916.0,Sea,Fog,61.5,Low,0</t>
  </si>
  <si>
    <t>1367,2023-02-26 22:00:00,0.77,4989,48,1320.3,Sea,Fog,20.4,High,0</t>
  </si>
  <si>
    <t>1368,2023-02-26 23:00:00,0.81,1175,287,1669.8,Road,Rain,60.7,High,0</t>
  </si>
  <si>
    <t>1369,2023-02-27 00:00:00,0.78,1166,10,1680.1,Sea,Clear,56.8,Medium,0</t>
  </si>
  <si>
    <t>1370,2023-02-27 01:00:00,0.93,94,484,1496.9,Air,Clear,20.4,High,0</t>
  </si>
  <si>
    <t>1371,2023-02-27 02:00:00,0.77,3377,123,1972.1,Rail,Rain,18.0,Low,0</t>
  </si>
  <si>
    <t>1372,2023-02-27 03:00:00,0.9,2542,331,219.4,Road,Fog,10.4,Medium,0</t>
  </si>
  <si>
    <t>1373,2023-02-27 04:00:00,0.81,3675,293,286.3,Air,Fog,26.1,High,0</t>
  </si>
  <si>
    <t>1374,2023-02-27 05:00:00,0.63,2815,14,1888.9,Road,Fog,35.4,High,1</t>
  </si>
  <si>
    <t>1375,2023-02-27 06:00:00,0.8,3611,288,1107.9,Rail,Fog,55.4,Medium,0</t>
  </si>
  <si>
    <t>1376,2023-02-27 07:00:00,0.94,3276,111,29.6,Road,Storm,57.3,Medium,1</t>
  </si>
  <si>
    <t>1377,2023-02-27 08:00:00,0.81,1199,147,1238.6,Rail,Clear,4.7,Medium,0</t>
  </si>
  <si>
    <t>1378,2023-02-27 09:00:00,0.76,3982,217,929.5,Road,Clear,56.6,High,0</t>
  </si>
  <si>
    <t>1379,2023-02-27 10:00:00,0.61,600,485,1913.8,Sea,Storm,46.9,Medium,0</t>
  </si>
  <si>
    <t>1380,2023-02-27 11:00:00,0.88,228,210,1659.2,Road,Rain,42.1,Low,0</t>
  </si>
  <si>
    <t>1381,2023-02-27 12:00:00,0.76,1399,461,1088.2,Rail,Rain,70.8,Low,1</t>
  </si>
  <si>
    <t>1382,2023-02-27 13:00:00,0.73,4213,73,1699.9,Rail,Rain,31.7,Low,1</t>
  </si>
  <si>
    <t>1383,2023-02-27 14:00:00,0.75,4501,61,950.3,Rail,Storm,3.2,Medium,0</t>
  </si>
  <si>
    <t>1384,2023-02-27 15:00:00,0.77,4974,171,1979.6,Road,Fog,25.9,Medium,0</t>
  </si>
  <si>
    <t>1385,2023-02-27 16:00:00,0.73,1389,484,1715.3,Road,Rain,58.1,Low,0</t>
  </si>
  <si>
    <t>1386,2023-02-27 17:00:00,0.72,3339,110,1808.1,Rail,Clear,44.2,High,0</t>
  </si>
  <si>
    <t>1387,2023-02-27 18:00:00,0.78,2520,10,93.6,Rail,Storm,21.6,Low,1</t>
  </si>
  <si>
    <t>1388,2023-02-27 19:00:00,0.62,2606,115,1356.3,Rail,Clear,16.9,Low,0</t>
  </si>
  <si>
    <t>1389,2023-02-27 20:00:00,0.69,686,255,1645.2,Rail,Rain,7.2,Low,1</t>
  </si>
  <si>
    <t>1390,2023-02-27 21:00:00,0.78,1121,194,780.3,Sea,Rain,70.6,Medium,0</t>
  </si>
  <si>
    <t>1391,2023-02-27 22:00:00,0.95,1080,476,849.1,Road,Storm,71.6,Low,0</t>
  </si>
  <si>
    <t>1392,2023-02-27 23:00:00,0.77,4607,3,1682.6,Rail,Rain,21.7,High,0</t>
  </si>
  <si>
    <t>1393,2023-02-28 00:00:00,0.82,275,449,672.6,Road,Storm,8.6,Medium,0</t>
  </si>
  <si>
    <t>1394,2023-02-28 01:00:00,0.96,2312,209,336.5,Air,Clear,59.4,Medium,0</t>
  </si>
  <si>
    <t>1395,2023-02-28 02:00:00,0.92,2984,350,1682.3,Road,Storm,21.3,High,1</t>
  </si>
  <si>
    <t>1396,2023-02-28 03:00:00,0.88,4149,486,565.6,Air,Rain,45.8,Medium,0</t>
  </si>
  <si>
    <t>1397,2023-02-28 04:00:00,0.85,1653,182,1444.0,Road,Clear,4.0,Low,0</t>
  </si>
  <si>
    <t>1398,2023-02-28 05:00:00,0.84,4330,98,72.5,Rail,Clear,25.0,High,1</t>
  </si>
  <si>
    <t>1399,2023-02-28 06:00:00,0.68,1828,249,1228.6,Rail,Clear,7.4,High,1</t>
  </si>
  <si>
    <t>1400,2023-02-28 07:00:00,0.65,4750,292,1971.0,Rail,Storm,1.9,High,0</t>
  </si>
  <si>
    <t>1401,2023-02-28 08:00:00,0.62,1586,409,1963.7,Air,Storm,55.9,Medium,0</t>
  </si>
  <si>
    <t>1402,2023-02-28 09:00:00,0.64,1470,267,802.0,Air,Rain,10.3,Medium,0</t>
  </si>
  <si>
    <t>1403,2023-02-28 10:00:00,0.85,3259,123,944.5,Air,Clear,1.4,Low,0</t>
  </si>
  <si>
    <t>1404,2023-02-28 11:00:00,0.84,1995,204,681.6,Road,Rain,62.9,High,0</t>
  </si>
  <si>
    <t>1405,2023-02-28 12:00:00,0.61,2024,339,1132.6,Air,Fog,1.6,Low,0</t>
  </si>
  <si>
    <t>1406,2023-02-28 13:00:00,0.94,2148,376,1206.5,Sea,Rain,22.7,Low,0</t>
  </si>
  <si>
    <t>1407,2023-02-28 14:00:00,0.78,982,387,1293.9,Road,Storm,29.4,Low,0</t>
  </si>
  <si>
    <t>1408,2023-02-28 15:00:00,0.82,2028,307,1956.9,Rail,Storm,67.4,High,0</t>
  </si>
  <si>
    <t>1409,2023-02-28 16:00:00,0.63,3606,383,1831.5,Road,Clear,70.0,Low,1</t>
  </si>
  <si>
    <t>1410,2023-02-28 17:00:00,0.94,2288,11,1790.5,Rail,Fog,68.4,Low,0</t>
  </si>
  <si>
    <t>1411,2023-02-28 18:00:00,0.63,959,215,482.9,Road,Clear,58.1,High,1</t>
  </si>
  <si>
    <t>1412,2023-02-28 19:00:00,0.68,4014,298,1121.8,Road,Fog,52.5,Medium,0</t>
  </si>
  <si>
    <t>1413,2023-02-28 20:00:00,0.79,4254,18,446.5,Sea,Rain,71.5,High,0</t>
  </si>
  <si>
    <t>1414,2023-02-28 21:00:00,0.8,1738,482,1150.4,Sea,Rain,27.7,Medium,0</t>
  </si>
  <si>
    <t>1415,2023-02-28 22:00:00,0.81,3727,70,256.9,Road,Rain,7.1,High,0</t>
  </si>
  <si>
    <t>1416,2023-02-28 23:00:00,0.97,3494,301,1082.6,Air,Fog,28.5,High,0</t>
  </si>
  <si>
    <t>1417,2023-03-01 00:00:00,0.61,4319,393,1498.9,Rail,Fog,1.6,Low,0</t>
  </si>
  <si>
    <t>1418,2023-03-01 01:00:00,0.87,4195,60,1529.8,Rail,Storm,25.4,Medium,0</t>
  </si>
  <si>
    <t>1419,2023-03-01 02:00:00,0.77,4465,73,163.0,Air,Fog,30.2,Medium,1</t>
  </si>
  <si>
    <t>1420,2023-03-01 03:00:00,0.92,570,260,988.1,Air,Clear,22.7,High,0</t>
  </si>
  <si>
    <t>1421,2023-03-01 04:00:00,0.87,4949,136,672.5,Air,Rain,43.6,Medium,0</t>
  </si>
  <si>
    <t>1422,2023-03-01 05:00:00,0.93,4978,135,139.1,Rail,Fog,36.1,Medium,1</t>
  </si>
  <si>
    <t>1423,2023-03-01 06:00:00,0.95,1714,171,828.2,Rail,Rain,46.3,High,0</t>
  </si>
  <si>
    <t>1424,2023-03-01 07:00:00,0.91,916,481,1868.2,Air,Clear,28.3,Low,0</t>
  </si>
  <si>
    <t>1425,2023-03-01 08:00:00,0.65,4226,218,148.3,Road,Fog,60.2,Low,0</t>
  </si>
  <si>
    <t>1426,2023-03-01 09:00:00,0.81,4085,296,447.2,Air,Clear,30.6,Low,0</t>
  </si>
  <si>
    <t>1427,2023-03-01 10:00:00,0.91,3987,196,1218.5,Road,Fog,3.5,Low,1</t>
  </si>
  <si>
    <t>1428,2023-03-01 11:00:00,0.91,4883,440,1035.8,Air,Fog,15.8,High,0</t>
  </si>
  <si>
    <t>1429,2023-03-01 12:00:00,0.97,4445,107,605.4,Road,Fog,38.5,Low,1</t>
  </si>
  <si>
    <t>1430,2023-03-01 13:00:00,0.77,1785,217,1167.7,Sea,Rain,48.8,High,1</t>
  </si>
  <si>
    <t>1431,2023-03-01 14:00:00,0.6,1835,3,1531.4,Sea,Clear,45.9,Low,1</t>
  </si>
  <si>
    <t>1432,2023-03-01 15:00:00,0.89,187,226,1072.5,Sea,Clear,32.8,Low,1</t>
  </si>
  <si>
    <t>1433,2023-03-01 16:00:00,0.71,707,463,984.4,Rail,Rain,63.5,High,1</t>
  </si>
  <si>
    <t>1434,2023-03-01 17:00:00,0.86,4734,270,957.5,Sea,Rain,18.5,High,1</t>
  </si>
  <si>
    <t>1435,2023-03-01 18:00:00,0.62,2416,99,230.1,Road,Rain,30.1,Medium,0</t>
  </si>
  <si>
    <t>1436,2023-03-01 19:00:00,0.74,4228,440,438.4,Air,Rain,17.6,Medium,1</t>
  </si>
  <si>
    <t>1437,2023-03-01 20:00:00,0.85,3262,244,1369.8,Sea,Fog,55.7,Low,0</t>
  </si>
  <si>
    <t>1438,2023-03-01 21:00:00,0.65,1802,488,328.1,Rail,Rain,47.7,Low,0</t>
  </si>
  <si>
    <t>1439,2023-03-01 22:00:00,0.73,1589,252,364.1,Air,Fog,31.1,Medium,1</t>
  </si>
  <si>
    <t>1440,2023-03-01 23:00:00,0.66,2261,236,729.9,Road,Rain,20.1,High,1</t>
  </si>
  <si>
    <t>1441,2023-03-02 00:00:00,0.96,3108,257,1681.5,Rail,Storm,51.1,Medium,0</t>
  </si>
  <si>
    <t>1442,2023-03-02 01:00:00,0.91,3440,72,1511.6,Air,Rain,68.6,High,0</t>
  </si>
  <si>
    <t>1443,2023-03-02 02:00:00,0.86,2972,221,860.8,Sea,Fog,63.3,Medium,0</t>
  </si>
  <si>
    <t>1444,2023-03-02 03:00:00,0.81,4262,35,1732.6,Sea,Rain,21.1,High,1</t>
  </si>
  <si>
    <t>1445,2023-03-02 04:00:00,0.99,3922,471,1697.8,Sea,Clear,10.3,Low,0</t>
  </si>
  <si>
    <t>1446,2023-03-02 05:00:00,0.7,3326,136,1620.4,Air,Storm,2.0,High,0</t>
  </si>
  <si>
    <t>1447,2023-03-02 06:00:00,0.88,1450,409,1196.9,Sea,Storm,25.0,High,0</t>
  </si>
  <si>
    <t>1448,2023-03-02 07:00:00,0.63,2107,433,390.5,Rail,Rain,65.4,High,0</t>
  </si>
  <si>
    <t>1449,2023-03-02 08:00:00,0.85,3136,243,1254.6,Road,Fog,66.3,Medium,0</t>
  </si>
  <si>
    <t>1450,2023-03-02 09:00:00,0.68,4888,460,119.8,Sea,Clear,63.7,High,1</t>
  </si>
  <si>
    <t>1451,2023-03-02 10:00:00,0.6,975,213,1475.9,Sea,Storm,12.3,High,0</t>
  </si>
  <si>
    <t>1452,2023-03-02 11:00:00,0.96,75,373,410.8,Sea,Clear,23.5,High,1</t>
  </si>
  <si>
    <t>1453,2023-03-02 12:00:00,0.71,4807,417,731.1,Air,Rain,8.5,Medium,0</t>
  </si>
  <si>
    <t>1454,2023-03-02 13:00:00,1.0,823,390,1841.0,Road,Rain,66.7,High,0</t>
  </si>
  <si>
    <t>1455,2023-03-02 14:00:00,0.87,410,196,822.4,Road,Fog,50.5,High,0</t>
  </si>
  <si>
    <t>1456,2023-03-02 15:00:00,0.87,3809,445,1103.7,Rail,Rain,41.6,Low,0</t>
  </si>
  <si>
    <t>1457,2023-03-02 16:00:00,0.87,4094,467,133.0,Road,Clear,48.7,Medium,0</t>
  </si>
  <si>
    <t>1458,2023-03-02 17:00:00,1.0,2953,450,451.5,Road,Fog,8.6,High,0</t>
  </si>
  <si>
    <t>1459,2023-03-02 18:00:00,0.69,2404,366,1925.8,Road,Rain,6.7,Low,0</t>
  </si>
  <si>
    <t>1460,2023-03-02 19:00:00,1.0,4578,292,1574.9,Road,Storm,49.2,High,1</t>
  </si>
  <si>
    <t>1461,2023-03-02 20:00:00,0.73,4271,275,1664.1,Sea,Rain,10.4,Low,0</t>
  </si>
  <si>
    <t>1462,2023-03-02 21:00:00,0.64,3675,167,155.9,Sea,Storm,20.1,Low,0</t>
  </si>
  <si>
    <t>1463,2023-03-02 22:00:00,0.97,4044,270,1858.2,Sea,Storm,32.4,Low,0</t>
  </si>
  <si>
    <t>1464,2023-03-02 23:00:00,0.64,3086,288,1988.6,Road,Clear,49.4,Low,1</t>
  </si>
  <si>
    <t>1465,2023-03-03 00:00:00,0.79,822,411,829.2,Rail,Clear,50.4,Medium,0</t>
  </si>
  <si>
    <t>1466,2023-03-03 01:00:00,0.93,4401,329,514.4,Air,Fog,18.0,Medium,0</t>
  </si>
  <si>
    <t>1467,2023-03-03 02:00:00,0.71,2798,72,394.4,Sea,Rain,62.5,High,1</t>
  </si>
  <si>
    <t>1468,2023-03-03 03:00:00,0.89,4855,211,1090.1,Air,Clear,33.2,Low,1</t>
  </si>
  <si>
    <t>1469,2023-03-03 04:00:00,0.86,1894,271,1292.6,Air,Clear,29.8,Low,1</t>
  </si>
  <si>
    <t>1470,2023-03-03 05:00:00,0.88,3514,118,1575.1,Sea,Storm,17.9,High,0</t>
  </si>
  <si>
    <t>1471,2023-03-03 06:00:00,0.66,3665,76,842.2,Road,Clear,24.5,Low,1</t>
  </si>
  <si>
    <t>1472,2023-03-03 07:00:00,0.88,1262,151,1869.8,Rail,Rain,38.2,Medium,0</t>
  </si>
  <si>
    <t>1473,2023-03-03 08:00:00,0.94,868,382,649.8,Sea,Storm,16.0,Low,0</t>
  </si>
  <si>
    <t>1474,2023-03-03 09:00:00,0.66,699,148,696.2,Sea,Clear,45.1,High,1</t>
  </si>
  <si>
    <t>1475,2023-03-03 10:00:00,0.98,310,172,1468.6,Rail,Rain,31.7,Medium,0</t>
  </si>
  <si>
    <t>1476,2023-03-03 11:00:00,0.98,1865,396,363.4,Road,Clear,48.9,Medium,0</t>
  </si>
  <si>
    <t>1477,2023-03-03 12:00:00,0.73,3619,328,924.3,Road,Clear,70.4,Low,0</t>
  </si>
  <si>
    <t>1478,2023-03-03 13:00:00,0.98,1360,73,795.6,Rail,Clear,61.7,Low,0</t>
  </si>
  <si>
    <t>1479,2023-03-03 14:00:00,0.98,785,390,1058.8,Road,Storm,45.5,Low,0</t>
  </si>
  <si>
    <t>1480,2023-03-03 15:00:00,0.65,542,30,1313.6,Air,Storm,70.8,Medium,0</t>
  </si>
  <si>
    <t>1481,2023-03-03 16:00:00,0.9,4131,471,455.9,Rail,Fog,8.6,Medium,0</t>
  </si>
  <si>
    <t>1482,2023-03-03 17:00:00,0.98,2777,382,932.6,Road,Fog,7.1,High,1</t>
  </si>
  <si>
    <t>1483,2023-03-03 18:00:00,0.93,4466,296,743.6,Sea,Clear,49.1,Medium,0</t>
  </si>
  <si>
    <t>1484,2023-03-03 19:00:00,0.65,875,321,1095.6,Rail,Fog,43.0,Low,0</t>
  </si>
  <si>
    <t>1485,2023-03-03 20:00:00,0.76,4537,280,487.2,Rail,Fog,19.0,Low,1</t>
  </si>
  <si>
    <t>1486,2023-03-03 21:00:00,0.83,4684,227,1842.3,Road,Rain,66.9,High,0</t>
  </si>
  <si>
    <t>1487,2023-03-03 22:00:00,0.75,1539,240,1582.4,Road,Clear,17.6,Medium,0</t>
  </si>
  <si>
    <t>1488,2023-03-03 23:00:00,0.75,123,358,1544.2,Road,Storm,50.8,Medium,0</t>
  </si>
  <si>
    <t>1489,2023-03-04 00:00:00,0.64,2268,198,1454.6,Rail,Rain,43.9,High,0</t>
  </si>
  <si>
    <t>1490,2023-03-04 01:00:00,0.6,3454,98,652.6,Sea,Storm,6.7,Low,0</t>
  </si>
  <si>
    <t>1491,2023-03-04 02:00:00,0.72,2882,11,202.5,Rail,Storm,54.2,Medium,1</t>
  </si>
  <si>
    <t>1492,2023-03-04 03:00:00,0.77,2100,32,337.3,Air,Rain,52.1,Medium,0</t>
  </si>
  <si>
    <t>1493,2023-03-04 04:00:00,0.83,416,368,291.0,Rail,Clear,16.7,High,1</t>
  </si>
  <si>
    <t>1494,2023-03-04 05:00:00,0.98,1392,223,476.5,Road,Fog,15.2,Medium,0</t>
  </si>
  <si>
    <t>1495,2023-03-04 06:00:00,0.64,842,303,1650.3,Air,Clear,35.8,Low,0</t>
  </si>
  <si>
    <t>1496,2023-03-04 07:00:00,0.74,75,112,1890.2,Air,Rain,23.4,High,0</t>
  </si>
  <si>
    <t>1497,2023-03-04 08:00:00,0.95,4991,159,1962.8,Rail,Storm,46.8,Medium,1</t>
  </si>
  <si>
    <t>1498,2023-03-04 09:00:00,0.93,4659,414,14.9,Road,Storm,2.6,Low,0</t>
  </si>
  <si>
    <t>1499,2023-03-04 10:00:00,0.64,3869,347,1947.7,Road,Rain,6.7,Low,0</t>
  </si>
  <si>
    <t>1500,2023-03-04 11:00:00,0.87,3716,413,1187.0,Air,Fog,7.0,High,0</t>
  </si>
  <si>
    <t>1501,2023-03-04 12:00:00,0.64,1669,418,73.5,Sea,Fog,20.5,High,0</t>
  </si>
  <si>
    <t>1502,2023-03-04 13:00:00,0.98,1108,218,1817.1,Road,Clear,41.8,Medium,1</t>
  </si>
  <si>
    <t>1503,2023-03-04 14:00:00,0.7,3687,357,1828.0,Road,Storm,70.9,High,0</t>
  </si>
  <si>
    <t>1504,2023-03-04 15:00:00,0.84,2862,365,1661.5,Rail,Storm,10.5,Medium,0</t>
  </si>
  <si>
    <t>1505,2023-03-04 16:00:00,0.79,3231,105,145.9,Sea,Fog,55.4,Medium,0</t>
  </si>
  <si>
    <t>1506,2023-03-04 17:00:00,0.8,2272,316,1850.0,Rail,Rain,9.8,Medium,0</t>
  </si>
  <si>
    <t>1507,2023-03-04 18:00:00,0.69,2932,42,1357.7,Road,Fog,57.2,High,0</t>
  </si>
  <si>
    <t>1508,2023-03-04 19:00:00,0.74,1602,451,1698.1,Sea,Clear,12.9,High,1</t>
  </si>
  <si>
    <t>1509,2023-03-04 20:00:00,0.71,1851,364,1262.8,Rail,Clear,8.7,High,1</t>
  </si>
  <si>
    <t>1510,2023-03-04 21:00:00,0.85,339,91,181.7,Sea,Clear,6.1,Medium,1</t>
  </si>
  <si>
    <t>1511,2023-03-04 22:00:00,0.77,3022,7,1274.8,Sea,Rain,42.2,Medium,0</t>
  </si>
  <si>
    <t>1512,2023-03-04 23:00:00,0.84,4462,478,852.1,Air,Fog,28.7,Medium,0</t>
  </si>
  <si>
    <t>1513,2023-03-05 00:00:00,0.81,1598,158,912.5,Rail,Clear,17.8,Medium,0</t>
  </si>
  <si>
    <t>1514,2023-03-05 01:00:00,0.87,127,115,669.9,Sea,Storm,57.0,Low,0</t>
  </si>
  <si>
    <t>1515,2023-03-05 02:00:00,0.99,2944,8,1382.2,Rail,Storm,30.1,High,0</t>
  </si>
  <si>
    <t>1516,2023-03-05 03:00:00,0.81,2472,101,1113.9,Rail,Storm,26.1,Medium,1</t>
  </si>
  <si>
    <t>1517,2023-03-05 04:00:00,0.82,2544,293,690.9,Air,Clear,42.5,Low,0</t>
  </si>
  <si>
    <t>1518,2023-03-05 05:00:00,0.85,633,204,43.4,Rail,Storm,62.8,High,1</t>
  </si>
  <si>
    <t>1519,2023-03-05 06:00:00,0.82,1032,236,1250.2,Rail,Fog,15.9,Medium,1</t>
  </si>
  <si>
    <t>1520,2023-03-05 07:00:00,0.76,1936,138,517.4,Rail,Clear,50.4,High,0</t>
  </si>
  <si>
    <t>1521,2023-03-05 08:00:00,0.7,1432,22,1910.6,Air,Clear,36.8,Medium,0</t>
  </si>
  <si>
    <t>1522,2023-03-05 09:00:00,0.81,248,250,1054.4,Sea,Storm,33.8,High,0</t>
  </si>
  <si>
    <t>1523,2023-03-05 10:00:00,0.7,1142,140,439.9,Road,Rain,63.5,High,1</t>
  </si>
  <si>
    <t>1524,2023-03-05 11:00:00,0.86,4511,29,1581.7,Road,Storm,38.4,Low,1</t>
  </si>
  <si>
    <t>1525,2023-03-05 12:00:00,0.95,1353,301,1304.8,Rail,Clear,18.8,High,1</t>
  </si>
  <si>
    <t>1526,2023-03-05 13:00:00,0.92,796,136,554.7,Road,Rain,3.6,Low,1</t>
  </si>
  <si>
    <t>1527,2023-03-05 14:00:00,0.91,1358,80,1616.8,Sea,Fog,49.7,Medium,0</t>
  </si>
  <si>
    <t>1528,2023-03-05 15:00:00,0.69,1559,66,1329.2,Road,Rain,20.3,Low,0</t>
  </si>
  <si>
    <t>1529,2023-03-05 16:00:00,0.61,4482,376,1540.0,Rail,Storm,41.9,Low,0</t>
  </si>
  <si>
    <t>1530,2023-03-05 17:00:00,0.68,2194,438,1512.9,Sea,Fog,26.9,Medium,1</t>
  </si>
  <si>
    <t>1531,2023-03-05 18:00:00,0.83,288,236,912.0,Rail,Storm,19.6,Medium,0</t>
  </si>
  <si>
    <t>1532,2023-03-05 19:00:00,0.65,266,473,903.0,Road,Fog,9.9,Medium,0</t>
  </si>
  <si>
    <t>1533,2023-03-05 20:00:00,0.64,4713,347,1698.6,Air,Storm,28.9,High,1</t>
  </si>
  <si>
    <t>1534,2023-03-05 21:00:00,1.0,4804,307,204.6,Air,Storm,46.7,Medium,1</t>
  </si>
  <si>
    <t>1535,2023-03-05 22:00:00,0.74,3988,219,1521.5,Air,Fog,71.1,Low,0</t>
  </si>
  <si>
    <t>1536,2023-03-05 23:00:00,0.63,2223,171,1197.7,Air,Rain,36.0,High,0</t>
  </si>
  <si>
    <t>1537,2023-03-06 00:00:00,0.8,582,418,1583.1,Air,Rain,64.8,Low,0</t>
  </si>
  <si>
    <t>1538,2023-03-06 01:00:00,0.88,2186,425,1345.8,Rail,Fog,27.1,Medium,1</t>
  </si>
  <si>
    <t>1539,2023-03-06 02:00:00,0.78,2665,214,856.1,Rail,Storm,53.5,High,0</t>
  </si>
  <si>
    <t>1540,2023-03-06 03:00:00,0.65,2306,60,812.9,Road,Rain,23.9,Low,0</t>
  </si>
  <si>
    <t>1541,2023-03-06 04:00:00,0.81,264,299,1936.2,Air,Storm,28.6,High,1</t>
  </si>
  <si>
    <t>1542,2023-03-06 05:00:00,0.63,824,64,683.7,Air,Storm,45.9,High,0</t>
  </si>
  <si>
    <t>1543,2023-03-06 06:00:00,0.89,2700,156,11.7,Sea,Storm,45.5,High,0</t>
  </si>
  <si>
    <t>1544,2023-03-06 07:00:00,0.98,3174,257,458.0,Sea,Clear,58.9,High,1</t>
  </si>
  <si>
    <t>1545,2023-03-06 08:00:00,0.62,365,83,633.8,Air,Storm,33.4,Medium,1</t>
  </si>
  <si>
    <t>1546,2023-03-06 09:00:00,0.83,805,335,793.8,Sea,Rain,11.3,Medium,0</t>
  </si>
  <si>
    <t>1547,2023-03-06 10:00:00,0.93,3076,452,1888.9,Air,Rain,40.6,Low,0</t>
  </si>
  <si>
    <t>1548,2023-03-06 11:00:00,0.86,3187,271,719.7,Air,Rain,24.3,Medium,1</t>
  </si>
  <si>
    <t>1549,2023-03-06 12:00:00,0.66,3258,76,1090.7,Road,Fog,35.6,Low,0</t>
  </si>
  <si>
    <t>1550,2023-03-06 13:00:00,0.63,319,189,114.8,Road,Rain,34.1,Low,0</t>
  </si>
  <si>
    <t>1551,2023-03-06 14:00:00,0.78,3693,82,973.1,Sea,Clear,51.0,Medium,1</t>
  </si>
  <si>
    <t>1552,2023-03-06 15:00:00,0.62,1155,109,1299.7,Road,Storm,4.2,High,0</t>
  </si>
  <si>
    <t>1553,2023-03-06 16:00:00,0.93,3024,369,1537.2,Road,Rain,29.7,High,0</t>
  </si>
  <si>
    <t>1554,2023-03-06 17:00:00,0.81,3290,107,1051.4,Rail,Clear,25.4,Low,1</t>
  </si>
  <si>
    <t>1555,2023-03-06 18:00:00,0.73,2814,469,297.2,Sea,Storm,51.7,High,0</t>
  </si>
  <si>
    <t>1556,2023-03-06 19:00:00,0.91,958,11,750.2,Sea,Fog,68.4,High,0</t>
  </si>
  <si>
    <t>1557,2023-03-06 20:00:00,0.69,3035,260,1958.5,Road,Clear,44.5,Low,0</t>
  </si>
  <si>
    <t>1558,2023-03-06 21:00:00,0.81,2555,298,987.1,Rail,Rain,34.5,Low,0</t>
  </si>
  <si>
    <t>1559,2023-03-06 22:00:00,0.8,3638,243,1997.7,Sea,Rain,56.7,Low,0</t>
  </si>
  <si>
    <t>1560,2023-03-06 23:00:00,0.64,373,110,275.9,Rail,Storm,71.8,Medium,1</t>
  </si>
  <si>
    <t>1561,2023-03-07 00:00:00,0.92,2212,119,1195.8,Rail,Fog,70.3,Low,0</t>
  </si>
  <si>
    <t>1562,2023-03-07 01:00:00,0.88,975,273,1822.8,Air,Clear,10.4,Low,0</t>
  </si>
  <si>
    <t>1563,2023-03-07 02:00:00,0.68,1884,8,515.9,Rail,Clear,1.3,Low,0</t>
  </si>
  <si>
    <t>1564,2023-03-07 03:00:00,0.77,2800,100,1891.9,Rail,Fog,41.3,Low,0</t>
  </si>
  <si>
    <t>1565,2023-03-07 04:00:00,0.72,1635,63,872.6,Rail,Rain,32.4,Medium,0</t>
  </si>
  <si>
    <t>1566,2023-03-07 05:00:00,0.97,2262,122,1642.8,Rail,Rain,36.7,High,0</t>
  </si>
  <si>
    <t>1567,2023-03-07 06:00:00,0.87,772,21,538.9,Air,Storm,54.1,High,0</t>
  </si>
  <si>
    <t>1568,2023-03-07 07:00:00,0.98,3580,416,1820.1,Rail,Clear,7.5,High,0</t>
  </si>
  <si>
    <t>1569,2023-03-07 08:00:00,0.91,2647,5,1552.6,Road,Fog,10.6,High,1</t>
  </si>
  <si>
    <t>1570,2023-03-07 09:00:00,0.92,4245,105,344.7,Road,Clear,51.3,High,0</t>
  </si>
  <si>
    <t>1571,2023-03-07 10:00:00,0.72,4507,215,935.9,Road,Fog,70.8,Medium,1</t>
  </si>
  <si>
    <t>1572,2023-03-07 11:00:00,0.94,1749,330,1126.8,Air,Fog,48.3,Low,0</t>
  </si>
  <si>
    <t>1573,2023-03-07 12:00:00,0.73,3727,190,457.3,Rail,Clear,4.9,High,0</t>
  </si>
  <si>
    <t>1574,2023-03-07 13:00:00,0.93,4023,277,1057.5,Air,Storm,13.7,Low,0</t>
  </si>
  <si>
    <t>1575,2023-03-07 14:00:00,0.88,2546,463,200.2,Air,Storm,70.7,Low,0</t>
  </si>
  <si>
    <t>1576,2023-03-07 15:00:00,0.8,795,78,1595.8,Sea,Clear,70.9,Low,0</t>
  </si>
  <si>
    <t>1577,2023-03-07 16:00:00,0.67,917,173,656.4,Road,Storm,3.4,High,0</t>
  </si>
  <si>
    <t>1578,2023-03-07 17:00:00,0.84,4219,324,109.3,Air,Storm,2.9,High,1</t>
  </si>
  <si>
    <t>1579,2023-03-07 18:00:00,0.85,2008,196,1315.4,Rail,Rain,26.5,Medium,0</t>
  </si>
  <si>
    <t>1580,2023-03-07 19:00:00,0.87,2393,433,236.7,Rail,Clear,45.3,Low,0</t>
  </si>
  <si>
    <t>1581,2023-03-07 20:00:00,0.63,1212,461,1839.7,Air,Fog,61.7,High,0</t>
  </si>
  <si>
    <t>1582,2023-03-07 21:00:00,0.7,2744,466,1680.3,Road,Fog,23.0,Low,0</t>
  </si>
  <si>
    <t>1583,2023-03-07 22:00:00,0.82,2434,325,777.6,Road,Clear,69.2,Medium,0</t>
  </si>
  <si>
    <t>1584,2023-03-07 23:00:00,0.94,217,324,1621.1,Sea,Storm,48.2,Medium,1</t>
  </si>
  <si>
    <t>1585,2023-03-08 00:00:00,0.69,4423,145,1845.9,Air,Clear,12.4,High,0</t>
  </si>
  <si>
    <t>1586,2023-03-08 01:00:00,0.96,2654,370,1914.5,Sea,Fog,35.6,Low,0</t>
  </si>
  <si>
    <t>1587,2023-03-08 02:00:00,0.99,1430,109,650.7,Air,Rain,36.2,High,1</t>
  </si>
  <si>
    <t>1588,2023-03-08 03:00:00,0.64,4111,136,341.5,Air,Rain,13.0,Medium,1</t>
  </si>
  <si>
    <t>1589,2023-03-08 04:00:00,0.89,2239,408,19.9,Road,Rain,13.3,Low,1</t>
  </si>
  <si>
    <t>1590,2023-03-08 05:00:00,0.76,540,376,772.8,Road,Clear,66.3,High,0</t>
  </si>
  <si>
    <t>1591,2023-03-08 06:00:00,0.66,378,271,262.5,Rail,Clear,5.9,Medium,0</t>
  </si>
  <si>
    <t>1592,2023-03-08 07:00:00,0.69,2542,308,1168.1,Rail,Clear,27.1,Low,0</t>
  </si>
  <si>
    <t>1593,2023-03-08 08:00:00,0.74,411,413,1748.4,Rail,Fog,22.8,Low,1</t>
  </si>
  <si>
    <t>1594,2023-03-08 09:00:00,0.61,4517,275,641.9,Road,Clear,52.3,Low,0</t>
  </si>
  <si>
    <t>1595,2023-03-08 10:00:00,0.88,182,431,1445.8,Sea,Fog,12.3,Low,0</t>
  </si>
  <si>
    <t>1596,2023-03-08 11:00:00,0.78,3870,237,1053.2,Sea,Storm,4.7,Low,0</t>
  </si>
  <si>
    <t>1597,2023-03-08 12:00:00,0.74,1496,101,451.5,Sea,Rain,25.9,Medium,0</t>
  </si>
  <si>
    <t>1598,2023-03-08 13:00:00,0.95,1197,439,26.6,Road,Fog,27.3,Medium,0</t>
  </si>
  <si>
    <t>1599,2023-03-08 14:00:00,0.99,2685,205,1618.8,Road,Rain,34.7,Medium,0</t>
  </si>
  <si>
    <t>1600,2023-03-08 15:00:00,0.78,3047,449,1249.8,Sea,Fog,48.1,High,0</t>
  </si>
  <si>
    <t>1601,2023-03-08 16:00:00,0.72,259,120,1692.7,Sea,Rain,53.5,Low,1</t>
  </si>
  <si>
    <t>1602,2023-03-08 17:00:00,0.84,1203,304,127.5,Road,Clear,27.2,High,0</t>
  </si>
  <si>
    <t>1603,2023-03-08 18:00:00,0.76,1671,440,651.6,Air,Rain,46.3,Medium,0</t>
  </si>
  <si>
    <t>1604,2023-03-08 19:00:00,0.96,2547,258,492.1,Road,Clear,35.6,Medium,0</t>
  </si>
  <si>
    <t>1605,2023-03-08 20:00:00,0.72,848,392,151.5,Road,Fog,1.7,Medium,0</t>
  </si>
  <si>
    <t>1606,2023-03-08 21:00:00,0.65,454,11,426.8,Rail,Rain,63.6,Medium,0</t>
  </si>
  <si>
    <t>1607,2023-03-08 22:00:00,0.61,2584,145,803.4,Air,Fog,41.7,Medium,0</t>
  </si>
  <si>
    <t>1608,2023-03-08 23:00:00,0.67,2280,322,761.9,Rail,Clear,32.0,Low,0</t>
  </si>
  <si>
    <t>1609,2023-03-09 00:00:00,0.64,303,22,1166.3,Rail,Clear,32.4,Medium,1</t>
  </si>
  <si>
    <t>1610,2023-03-09 01:00:00,0.96,1821,377,113.3,Sea,Fog,33.7,Medium,1</t>
  </si>
  <si>
    <t>1611,2023-03-09 02:00:00,0.87,2987,439,949.0,Air,Clear,40.8,Medium,1</t>
  </si>
  <si>
    <t>1612,2023-03-09 03:00:00,0.83,1499,442,310.9,Rail,Rain,19.3,Low,0</t>
  </si>
  <si>
    <t>1613,2023-03-09 04:00:00,0.98,4320,457,924.6,Road,Rain,45.7,Low,0</t>
  </si>
  <si>
    <t>1614,2023-03-09 05:00:00,0.85,1443,219,315.3,Air,Rain,54.1,High,0</t>
  </si>
  <si>
    <t>1615,2023-03-09 06:00:00,0.88,1088,134,517.7,Sea,Rain,24.0,Low,1</t>
  </si>
  <si>
    <t>1616,2023-03-09 07:00:00,0.66,1503,424,28.3,Road,Clear,19.0,High,0</t>
  </si>
  <si>
    <t>1617,2023-03-09 08:00:00,0.72,659,493,1340.5,Sea,Rain,43.8,Medium,0</t>
  </si>
  <si>
    <t>1618,2023-03-09 09:00:00,0.85,4776,78,577.7,Road,Rain,61.3,High,0</t>
  </si>
  <si>
    <t>1619,2023-03-09 10:00:00,0.93,4273,186,83.9,Rail,Clear,26.1,Medium,0</t>
  </si>
  <si>
    <t>1620,2023-03-09 11:00:00,0.71,440,179,762.4,Air,Fog,70.6,High,0</t>
  </si>
  <si>
    <t>1621,2023-03-09 12:00:00,0.78,1683,410,807.8,Sea,Clear,41.9,High,0</t>
  </si>
  <si>
    <t>1622,2023-03-09 13:00:00,0.71,392,420,1871.1,Air,Storm,20.9,Low,1</t>
  </si>
  <si>
    <t>1623,2023-03-09 14:00:00,0.72,3527,389,1159.0,Rail,Rain,23.7,Low,0</t>
  </si>
  <si>
    <t>1624,2023-03-09 15:00:00,0.83,2095,254,150.4,Air,Fog,37.0,Low,0</t>
  </si>
  <si>
    <t>1625,2023-03-09 16:00:00,0.97,1673,72,7.2,Air,Fog,29.6,Low,0</t>
  </si>
  <si>
    <t>1626,2023-03-09 17:00:00,0.99,3267,101,1426.2,Road,Storm,40.7,Medium,0</t>
  </si>
  <si>
    <t>1627,2023-03-09 18:00:00,0.83,1531,290,887.7,Rail,Clear,3.0,Low,1</t>
  </si>
  <si>
    <t>1628,2023-03-09 19:00:00,0.61,4532,255,1966.3,Sea,Storm,63.4,Low,0</t>
  </si>
  <si>
    <t>1629,2023-03-09 20:00:00,0.71,1578,140,1610.1,Sea,Storm,59.4,Low,1</t>
  </si>
  <si>
    <t>1630,2023-03-09 21:00:00,0.86,2459,495,505.8,Sea,Clear,44.1,High,0</t>
  </si>
  <si>
    <t>1631,2023-03-09 22:00:00,0.97,2903,246,1481.6,Sea,Rain,25.1,High,1</t>
  </si>
  <si>
    <t>1632,2023-03-09 23:00:00,0.66,1419,479,1232.0,Air,Rain,70.6,Medium,1</t>
  </si>
  <si>
    <t>1633,2023-03-10 00:00:00,0.93,2657,104,1262.4,Sea,Clear,62.9,High,1</t>
  </si>
  <si>
    <t>1634,2023-03-10 01:00:00,0.95,1572,274,1688.1,Rail,Clear,46.6,Low,0</t>
  </si>
  <si>
    <t>1635,2023-03-10 02:00:00,0.64,2754,9,907.9,Air,Clear,35.8,Low,0</t>
  </si>
  <si>
    <t>1636,2023-03-10 03:00:00,0.96,2875,362,37.1,Rail,Fog,22.8,Medium,1</t>
  </si>
  <si>
    <t>1637,2023-03-10 04:00:00,0.84,2616,82,1056.4,Rail,Rain,13.1,Low,0</t>
  </si>
  <si>
    <t>1638,2023-03-10 05:00:00,0.94,2807,142,1315.8,Air,Storm,20.7,High,0</t>
  </si>
  <si>
    <t>1639,2023-03-10 06:00:00,0.87,3989,384,147.4,Rail,Fog,2.8,High,1</t>
  </si>
  <si>
    <t>1640,2023-03-10 07:00:00,0.87,1971,142,280.3,Rail,Rain,68.3,High,1</t>
  </si>
  <si>
    <t>1641,2023-03-10 08:00:00,0.95,2289,453,1817.8,Air,Clear,54.4,Medium,0</t>
  </si>
  <si>
    <t>1642,2023-03-10 09:00:00,0.91,3074,173,1794.4,Sea,Clear,25.2,Medium,0</t>
  </si>
  <si>
    <t>1643,2023-03-10 10:00:00,0.76,1333,488,341.6,Air,Clear,30.5,Low,0</t>
  </si>
  <si>
    <t>1644,2023-03-10 11:00:00,0.75,4680,35,1677.7,Sea,Clear,59.5,High,0</t>
  </si>
  <si>
    <t>1645,2023-03-10 12:00:00,0.99,1577,7,1804.7,Rail,Rain,12.7,High,0</t>
  </si>
  <si>
    <t>1646,2023-03-10 13:00:00,0.71,1817,293,251.4,Air,Storm,39.9,Low,1</t>
  </si>
  <si>
    <t>1647,2023-03-10 14:00:00,0.75,2126,228,1794.5,Rail,Storm,9.9,Medium,1</t>
  </si>
  <si>
    <t>1648,2023-03-10 15:00:00,0.66,1762,243,1753.7,Road,Clear,35.3,Medium,0</t>
  </si>
  <si>
    <t>1649,2023-03-10 16:00:00,0.74,1797,11,1456.6,Sea,Rain,24.7,Medium,0</t>
  </si>
  <si>
    <t>1650,2023-03-10 17:00:00,0.83,4700,201,1010.6,Road,Rain,50.0,Low,1</t>
  </si>
  <si>
    <t>1651,2023-03-10 18:00:00,0.68,3016,274,190.2,Sea,Fog,18.8,High,1</t>
  </si>
  <si>
    <t>1652,2023-03-10 19:00:00,0.77,3873,62,363.7,Rail,Clear,54.3,Medium,1</t>
  </si>
  <si>
    <t>1653,2023-03-10 20:00:00,0.84,4350,459,1914.6,Sea,Clear,16.4,High,0</t>
  </si>
  <si>
    <t>1654,2023-03-10 21:00:00,0.75,3269,246,1028.8,Air,Fog,47.2,High,0</t>
  </si>
  <si>
    <t>1655,2023-03-10 22:00:00,0.9,726,222,938.0,Sea,Clear,52.5,Low,0</t>
  </si>
  <si>
    <t>1656,2023-03-10 23:00:00,0.81,3514,11,1953.6,Rail,Fog,52.1,High,1</t>
  </si>
  <si>
    <t>1657,2023-03-11 00:00:00,0.73,1781,159,1025.3,Road,Rain,1.7,High,0</t>
  </si>
  <si>
    <t>1658,2023-03-11 01:00:00,0.89,4660,221,201.0,Road,Storm,46.6,Low,1</t>
  </si>
  <si>
    <t>1659,2023-03-11 02:00:00,0.82,1587,357,702.2,Road,Fog,12.5,Medium,0</t>
  </si>
  <si>
    <t>1660,2023-03-11 03:00:00,0.78,4556,121,1584.3,Rail,Clear,23.8,Low,0</t>
  </si>
  <si>
    <t>1661,2023-03-11 04:00:00,0.66,2137,333,691.3,Road,Rain,42.0,Low,1</t>
  </si>
  <si>
    <t>1662,2023-03-11 05:00:00,0.99,4972,146,943.0,Air,Fog,32.0,Medium,1</t>
  </si>
  <si>
    <t>1663,2023-03-11 06:00:00,0.67,916,106,1459.9,Sea,Fog,62.8,Low,0</t>
  </si>
  <si>
    <t>1664,2023-03-11 07:00:00,0.75,1750,457,1335.9,Sea,Storm,6.5,Medium,1</t>
  </si>
  <si>
    <t>1665,2023-03-11 08:00:00,0.83,2347,490,428.1,Sea,Storm,25.7,Medium,0</t>
  </si>
  <si>
    <t>1666,2023-03-11 09:00:00,0.97,4342,279,874.8,Sea,Clear,34.1,Medium,0</t>
  </si>
  <si>
    <t>1667,2023-03-11 10:00:00,0.72,4307,352,616.4,Sea,Fog,22.9,Medium,0</t>
  </si>
  <si>
    <t>1668,2023-03-11 11:00:00,0.65,568,281,1050.6,Air,Storm,66.7,High,0</t>
  </si>
  <si>
    <t>1669,2023-03-11 12:00:00,0.88,2490,353,555.0,Rail,Fog,23.1,High,0</t>
  </si>
  <si>
    <t>1670,2023-03-11 13:00:00,0.98,1154,199,621.3,Air,Clear,67.1,High,0</t>
  </si>
  <si>
    <t>1671,2023-03-11 14:00:00,0.78,1640,283,1625.0,Road,Clear,22.5,Low,0</t>
  </si>
  <si>
    <t>1672,2023-03-11 15:00:00,1.0,4436,64,691.6,Rail,Clear,21.8,Low,1</t>
  </si>
  <si>
    <t>1673,2023-03-11 16:00:00,0.73,4515,20,1312.7,Sea,Fog,67.6,Low,1</t>
  </si>
  <si>
    <t>1674,2023-03-11 17:00:00,0.95,2529,426,1175.6,Rail,Clear,66.8,High,0</t>
  </si>
  <si>
    <t>1675,2023-03-11 18:00:00,0.6,1655,441,1429.1,Sea,Clear,27.9,Low,0</t>
  </si>
  <si>
    <t>1676,2023-03-11 19:00:00,0.87,1570,248,1892.9,Rail,Clear,16.8,Medium,0</t>
  </si>
  <si>
    <t>1677,2023-03-11 20:00:00,0.95,266,350,1448.5,Road,Storm,27.7,High,0</t>
  </si>
  <si>
    <t>1678,2023-03-11 21:00:00,0.71,3946,63,372.6,Road,Storm,30.2,High,0</t>
  </si>
  <si>
    <t>1679,2023-03-11 22:00:00,0.94,1038,63,1578.8,Sea,Clear,65.0,High,0</t>
  </si>
  <si>
    <t>1680,2023-03-11 23:00:00,0.84,1682,32,1286.6,Rail,Storm,36.2,Low,0</t>
  </si>
  <si>
    <t>1681,2023-03-12 00:00:00,0.73,781,136,490.1,Air,Clear,26.2,High,0</t>
  </si>
  <si>
    <t>1682,2023-03-12 01:00:00,0.62,1943,75,1262.2,Rail,Clear,42.8,Medium,0</t>
  </si>
  <si>
    <t>1683,2023-03-12 02:00:00,0.86,607,409,542.6,Road,Storm,51.9,Low,0</t>
  </si>
  <si>
    <t>1684,2023-03-12 03:00:00,0.75,2202,476,1671.2,Sea,Rain,8.0,High,1</t>
  </si>
  <si>
    <t>1685,2023-03-12 04:00:00,0.82,3101,327,715.0,Rail,Fog,61.6,High,1</t>
  </si>
  <si>
    <t>1686,2023-03-12 05:00:00,0.68,3082,20,1992.0,Road,Rain,13.3,Low,0</t>
  </si>
  <si>
    <t>1687,2023-03-12 06:00:00,0.61,3092,402,874.6,Road,Fog,36.0,Low,0</t>
  </si>
  <si>
    <t>1688,2023-03-12 07:00:00,0.64,4230,400,1282.3,Road,Rain,67.4,High,0</t>
  </si>
  <si>
    <t>1689,2023-03-12 08:00:00,0.86,930,146,1397.7,Sea,Storm,10.3,High,0</t>
  </si>
  <si>
    <t>1690,2023-03-12 09:00:00,0.65,4835,81,1010.6,Road,Storm,42.0,Medium,1</t>
  </si>
  <si>
    <t>1691,2023-03-12 10:00:00,0.72,4738,196,1026.0,Road,Fog,68.7,Low,0</t>
  </si>
  <si>
    <t>1692,2023-03-12 11:00:00,0.84,1378,430,1458.9,Road,Storm,28.6,Low,0</t>
  </si>
  <si>
    <t>1693,2023-03-12 12:00:00,0.71,1740,88,1558.2,Sea,Storm,53.4,Medium,0</t>
  </si>
  <si>
    <t>1694,2023-03-12 13:00:00,0.79,2889,187,1521.8,Road,Fog,16.8,High,0</t>
  </si>
  <si>
    <t>1695,2023-03-12 14:00:00,0.76,232,327,376.8,Road,Storm,9.4,Medium,0</t>
  </si>
  <si>
    <t>1696,2023-03-12 15:00:00,0.91,1406,371,1645.7,Road,Clear,7.7,Medium,0</t>
  </si>
  <si>
    <t>1697,2023-03-12 16:00:00,0.76,154,160,1227.2,Road,Fog,15.2,Medium,0</t>
  </si>
  <si>
    <t>1698,2023-03-12 17:00:00,0.71,2341,184,630.0,Rail,Storm,49.4,High,0</t>
  </si>
  <si>
    <t>1699,2023-03-12 18:00:00,0.99,3826,188,772.2,Sea,Storm,39.6,Medium,0</t>
  </si>
  <si>
    <t>1700,2023-03-12 19:00:00,0.67,4022,249,1833.3,Rail,Fog,54.9,High,0</t>
  </si>
  <si>
    <t>1701,2023-03-12 20:00:00,0.86,3348,91,102.4,Rail,Fog,5.5,High,0</t>
  </si>
  <si>
    <t>1702,2023-03-12 21:00:00,0.85,445,438,1151.0,Air,Rain,11.4,High,0</t>
  </si>
  <si>
    <t>1703,2023-03-12 22:00:00,0.74,1930,451,500.5,Rail,Fog,9.7,Low,1</t>
  </si>
  <si>
    <t>1704,2023-03-12 23:00:00,0.9,4844,77,543.9,Road,Fog,45.1,High,0</t>
  </si>
  <si>
    <t>1705,2023-03-13 00:00:00,0.9,1627,259,704.6,Rail,Rain,23.5,Low,0</t>
  </si>
  <si>
    <t>1706,2023-03-13 01:00:00,0.79,2603,456,1545.9,Rail,Fog,18.8,High,0</t>
  </si>
  <si>
    <t>1707,2023-03-13 02:00:00,0.73,4826,386,544.3,Sea,Rain,22.7,High,1</t>
  </si>
  <si>
    <t>1708,2023-03-13 03:00:00,0.65,3185,194,1687.0,Sea,Fog,40.6,High,0</t>
  </si>
  <si>
    <t>1709,2023-03-13 04:00:00,0.95,4448,413,1756.8,Rail,Fog,21.5,High,0</t>
  </si>
  <si>
    <t>1710,2023-03-13 05:00:00,0.99,1859,232,605.2,Sea,Fog,52.2,Low,1</t>
  </si>
  <si>
    <t>1711,2023-03-13 06:00:00,0.71,340,382,1342.6,Rail,Fog,19.7,High,0</t>
  </si>
  <si>
    <t>1712,2023-03-13 07:00:00,0.73,118,487,823.6,Rail,Rain,5.6,High,1</t>
  </si>
  <si>
    <t>1713,2023-03-13 08:00:00,0.86,461,47,1665.7,Rail,Clear,58.6,Medium,0</t>
  </si>
  <si>
    <t>1714,2023-03-13 09:00:00,0.91,1521,258,295.4,Rail,Fog,8.0,Medium,1</t>
  </si>
  <si>
    <t>1715,2023-03-13 10:00:00,0.94,775,393,1998.6,Sea,Storm,7.7,High,0</t>
  </si>
  <si>
    <t>1716,2023-03-13 11:00:00,0.91,3198,256,768.3,Road,Fog,12.5,Low,1</t>
  </si>
  <si>
    <t>1717,2023-03-13 12:00:00,0.87,3906,183,1860.7,Air,Clear,15.6,Medium,1</t>
  </si>
  <si>
    <t>1718,2023-03-13 13:00:00,0.85,1509,455,1879.1,Rail,Clear,54.0,Medium,0</t>
  </si>
  <si>
    <t>1719,2023-03-13 14:00:00,0.61,784,466,560.4,Air,Rain,61.2,Low,0</t>
  </si>
  <si>
    <t>1720,2023-03-13 15:00:00,0.8,653,475,1904.0,Sea,Storm,58.8,Medium,0</t>
  </si>
  <si>
    <t>1721,2023-03-13 16:00:00,0.88,4865,95,328.2,Air,Clear,13.8,Low,1</t>
  </si>
  <si>
    <t>1722,2023-03-13 17:00:00,0.72,2813,378,706.6,Rail,Rain,42.6,High,1</t>
  </si>
  <si>
    <t>1723,2023-03-13 18:00:00,0.7,4162,162,1046.1,Sea,Clear,69.7,High,1</t>
  </si>
  <si>
    <t>1724,2023-03-13 19:00:00,0.77,1972,10,787.8,Air,Rain,1.1,Medium,0</t>
  </si>
  <si>
    <t>1725,2023-03-13 20:00:00,0.82,3342,373,652.0,Road,Storm,64.8,Medium,0</t>
  </si>
  <si>
    <t>1726,2023-03-13 21:00:00,0.6,3058,468,1822.5,Rail,Clear,23.8,Medium,0</t>
  </si>
  <si>
    <t>1727,2023-03-13 22:00:00,0.9,772,470,1039.0,Sea,Rain,39.6,High,0</t>
  </si>
  <si>
    <t>1728,2023-03-13 23:00:00,0.88,2188,191,172.4,Air,Rain,66.8,Low,1</t>
  </si>
  <si>
    <t>1729,2023-03-14 00:00:00,0.69,1638,219,1334.1,Air,Fog,40.7,Low,1</t>
  </si>
  <si>
    <t>1730,2023-03-14 01:00:00,0.7,3887,231,1893.4,Sea,Fog,20.6,Medium,0</t>
  </si>
  <si>
    <t>1731,2023-03-14 02:00:00,0.67,1752,231,1599.6,Road,Clear,8.4,Low,0</t>
  </si>
  <si>
    <t>1732,2023-03-14 03:00:00,0.76,4370,112,399.1,Rail,Rain,22.3,Medium,1</t>
  </si>
  <si>
    <t>1733,2023-03-14 04:00:00,0.98,2924,380,639.8,Sea,Clear,25.9,Medium,0</t>
  </si>
  <si>
    <t>1734,2023-03-14 05:00:00,0.76,1475,376,446.7,Air,Fog,34.1,High,0</t>
  </si>
  <si>
    <t>1735,2023-03-14 06:00:00,0.97,2508,318,444.7,Air,Fog,27.4,Low,1</t>
  </si>
  <si>
    <t>1736,2023-03-14 07:00:00,0.67,743,261,114.0,Road,Storm,7.0,High,0</t>
  </si>
  <si>
    <t>1737,2023-03-14 08:00:00,0.7,2113,370,1474.2,Road,Rain,64.9,High,1</t>
  </si>
  <si>
    <t>1738,2023-03-14 09:00:00,0.8,466,93,1666.3,Rail,Storm,24.3,Low,0</t>
  </si>
  <si>
    <t>1739,2023-03-14 10:00:00,0.66,4465,172,1865.8,Sea,Fog,42.4,Low,1</t>
  </si>
  <si>
    <t>1740,2023-03-14 11:00:00,0.65,1601,28,1029.9,Road,Fog,39.8,High,0</t>
  </si>
  <si>
    <t>1741,2023-03-14 12:00:00,0.87,4952,15,1387.6,Sea,Rain,9.2,Low,0</t>
  </si>
  <si>
    <t>1742,2023-03-14 13:00:00,0.74,4349,12,514.5,Rail,Rain,50.7,Low,0</t>
  </si>
  <si>
    <t>1743,2023-03-14 14:00:00,0.88,2425,373,227.7,Road,Fog,21.4,Low,1</t>
  </si>
  <si>
    <t>1744,2023-03-14 15:00:00,0.69,4255,108,651.9,Rail,Fog,34.6,Medium,0</t>
  </si>
  <si>
    <t>1745,2023-03-14 16:00:00,0.72,4270,307,1451.6,Air,Clear,26.0,High,0</t>
  </si>
  <si>
    <t>1746,2023-03-14 17:00:00,0.96,3969,386,376.8,Sea,Rain,56.2,Medium,0</t>
  </si>
  <si>
    <t>1747,2023-03-14 18:00:00,0.83,1338,376,554.9,Road,Clear,37.7,High,1</t>
  </si>
  <si>
    <t>1748,2023-03-14 19:00:00,0.65,1309,323,260.9,Air,Fog,49.7,High,1</t>
  </si>
  <si>
    <t>1749,2023-03-14 20:00:00,0.77,98,488,120.9,Sea,Fog,11.8,Low,0</t>
  </si>
  <si>
    <t>1750,2023-03-14 21:00:00,0.64,1472,429,1467.9,Rail,Fog,67.9,High,1</t>
  </si>
  <si>
    <t>1751,2023-03-14 22:00:00,0.63,2268,268,1465.2,Road,Clear,3.0,Medium,0</t>
  </si>
  <si>
    <t>1752,2023-03-14 23:00:00,0.83,3279,277,188.9,Air,Clear,18.0,Low,0</t>
  </si>
  <si>
    <t>1753,2023-03-15 00:00:00,0.64,2747,232,469.4,Rail,Clear,39.1,Low,0</t>
  </si>
  <si>
    <t>1754,2023-03-15 01:00:00,0.69,4470,355,879.2,Road,Fog,55.5,High,0</t>
  </si>
  <si>
    <t>1755,2023-03-15 02:00:00,0.63,4242,167,6.9,Road,Fog,34.6,Low,1</t>
  </si>
  <si>
    <t>1756,2023-03-15 03:00:00,0.64,410,179,1788.3,Rail,Fog,50.9,Medium,0</t>
  </si>
  <si>
    <t>1757,2023-03-15 04:00:00,0.78,2502,37,990.2,Air,Storm,48.0,High,0</t>
  </si>
  <si>
    <t>1758,2023-03-15 05:00:00,0.67,486,140,1459.2,Road,Storm,51.5,Medium,0</t>
  </si>
  <si>
    <t>1759,2023-03-15 06:00:00,0.73,4116,37,1443.5,Rail,Storm,65.5,Low,0</t>
  </si>
  <si>
    <t>1760,2023-03-15 07:00:00,0.77,862,62,1020.6,Road,Clear,32.3,High,1</t>
  </si>
  <si>
    <t>1761,2023-03-15 08:00:00,0.68,4696,390,594.5,Air,Clear,16.2,High,0</t>
  </si>
  <si>
    <t>1762,2023-03-15 09:00:00,0.65,4104,471,1080.0,Rail,Rain,58.7,High,0</t>
  </si>
  <si>
    <t>1763,2023-03-15 10:00:00,0.66,872,221,1584.3,Road,Rain,27.4,Low,1</t>
  </si>
  <si>
    <t>1764,2023-03-15 11:00:00,0.98,4968,264,1271.9,Rail,Clear,17.8,High,1</t>
  </si>
  <si>
    <t>1765,2023-03-15 12:00:00,0.74,1277,213,1259.0,Rail,Clear,3.6,Low,1</t>
  </si>
  <si>
    <t>1766,2023-03-15 13:00:00,0.78,2939,287,903.4,Air,Fog,65.7,Low,0</t>
  </si>
  <si>
    <t>1767,2023-03-15 14:00:00,0.9,4994,249,838.8,Road,Storm,49.3,Low,0</t>
  </si>
  <si>
    <t>1768,2023-03-15 15:00:00,0.91,2975,1,234.0,Sea,Clear,29.4,Medium,0</t>
  </si>
  <si>
    <t>1769,2023-03-15 16:00:00,0.88,56,363,1947.8,Sea,Clear,15.6,Medium,0</t>
  </si>
  <si>
    <t>1770,2023-03-15 17:00:00,0.96,2112,235,939.0,Air,Clear,67.2,Medium,1</t>
  </si>
  <si>
    <t>1771,2023-03-15 18:00:00,0.81,4083,428,415.0,Sea,Fog,13.2,Medium,0</t>
  </si>
  <si>
    <t>1772,2023-03-15 19:00:00,0.67,1030,222,1672.1,Sea,Fog,38.0,Medium,0</t>
  </si>
  <si>
    <t>1773,2023-03-15 20:00:00,0.84,3843,417,1845.5,Air,Storm,15.9,High,0</t>
  </si>
  <si>
    <t>1774,2023-03-15 21:00:00,0.78,4457,193,1338.5,Rail,Storm,55.7,High,0</t>
  </si>
  <si>
    <t>1775,2023-03-15 22:00:00,0.93,2624,291,730.7,Road,Clear,34.5,Low,0</t>
  </si>
  <si>
    <t>1776,2023-03-15 23:00:00,0.7,4169,102,1078.8,Sea,Clear,14.0,High,1</t>
  </si>
  <si>
    <t>1777,2023-03-16 00:00:00,0.87,1763,421,910.6,Air,Storm,11.1,Medium,0</t>
  </si>
  <si>
    <t>1778,2023-03-16 01:00:00,0.6,4462,346,960.9,Sea,Rain,1.3,Medium,0</t>
  </si>
  <si>
    <t>1779,2023-03-16 02:00:00,0.75,261,239,1009.7,Road,Clear,43.8,Medium,0</t>
  </si>
  <si>
    <t>1780,2023-03-16 03:00:00,0.74,2551,166,1279.4,Rail,Fog,37.0,Medium,0</t>
  </si>
  <si>
    <t>1781,2023-03-16 04:00:00,0.64,927,50,1689.1,Air,Fog,15.7,High,1</t>
  </si>
  <si>
    <t>1782,2023-03-16 05:00:00,0.93,3014,105,1378.4,Road,Fog,2.1,Low,0</t>
  </si>
  <si>
    <t>1783,2023-03-16 06:00:00,0.93,1395,312,1340.5,Air,Fog,59.5,Low,0</t>
  </si>
  <si>
    <t>1784,2023-03-16 07:00:00,0.7,1401,58,1291.8,Road,Fog,59.4,High,0</t>
  </si>
  <si>
    <t>1785,2023-03-16 08:00:00,0.88,4526,458,1597.3,Rail,Rain,40.0,Medium,0</t>
  </si>
  <si>
    <t>1786,2023-03-16 09:00:00,0.96,1359,145,730.6,Road,Clear,6.2,High,0</t>
  </si>
  <si>
    <t>1787,2023-03-16 10:00:00,0.83,977,495,1860.5,Rail,Storm,8.3,Low,0</t>
  </si>
  <si>
    <t>1788,2023-03-16 11:00:00,0.75,4930,117,1626.4,Road,Rain,11.1,High,0</t>
  </si>
  <si>
    <t>1789,2023-03-16 12:00:00,0.87,98,50,62.5,Road,Clear,51.6,Medium,0</t>
  </si>
  <si>
    <t>1790,2023-03-16 13:00:00,0.76,3685,419,798.6,Road,Storm,71.6,High,0</t>
  </si>
  <si>
    <t>1791,2023-03-16 14:00:00,0.83,1504,301,1237.7,Rail,Fog,8.7,Medium,0</t>
  </si>
  <si>
    <t>1792,2023-03-16 15:00:00,0.86,1850,40,1955.9,Road,Rain,30.4,High,0</t>
  </si>
  <si>
    <t>1793,2023-03-16 16:00:00,0.72,4173,477,1887.2,Sea,Fog,38.3,Medium,0</t>
  </si>
  <si>
    <t>1794,2023-03-16 17:00:00,0.86,2051,361,1403.8,Air,Fog,60.6,Low,0</t>
  </si>
  <si>
    <t>1795,2023-03-16 18:00:00,0.8,850,241,117.6,Rail,Fog,52.0,High,0</t>
  </si>
  <si>
    <t>1796,2023-03-16 19:00:00,0.84,4039,58,830.6,Air,Storm,59.3,Medium,0</t>
  </si>
  <si>
    <t>1797,2023-03-16 20:00:00,0.72,1518,105,802.0,Rail,Rain,64.2,Medium,1</t>
  </si>
  <si>
    <t>1798,2023-03-16 21:00:00,0.9,4799,475,372.2,Road,Clear,44.7,High,0</t>
  </si>
  <si>
    <t>1799,2023-03-16 22:00:00,0.66,3541,240,602.3,Sea,Clear,60.1,High,0</t>
  </si>
  <si>
    <t>1800,2023-03-16 23:00:00,0.79,2894,367,778.1,Air,Storm,35.8,Low,1</t>
  </si>
  <si>
    <t>1801,2023-03-17 00:00:00,0.81,1844,417,1521.3,Air,Clear,4.8,High,0</t>
  </si>
  <si>
    <t>1802,2023-03-17 01:00:00,0.6,1277,417,1180.1,Sea,Clear,16.5,Medium,1</t>
  </si>
  <si>
    <t>1803,2023-03-17 02:00:00,0.92,1451,161,1538.7,Rail,Fog,69.0,Low,1</t>
  </si>
  <si>
    <t>1804,2023-03-17 03:00:00,0.82,1902,164,122.4,Rail,Rain,28.9,Medium,0</t>
  </si>
  <si>
    <t>1805,2023-03-17 04:00:00,0.63,3278,246,486.0,Road,Fog,36.8,High,0</t>
  </si>
  <si>
    <t>1806,2023-03-17 05:00:00,0.94,2890,467,1441.4,Road,Storm,69.8,Low,1</t>
  </si>
  <si>
    <t>1807,2023-03-17 06:00:00,0.88,397,110,1169.9,Sea,Fog,50.5,Medium,0</t>
  </si>
  <si>
    <t>1808,2023-03-17 07:00:00,0.97,3643,46,987.3,Rail,Fog,30.1,Low,0</t>
  </si>
  <si>
    <t>1809,2023-03-17 08:00:00,0.87,274,278,840.0,Rail,Clear,49.8,Medium,0</t>
  </si>
  <si>
    <t>1810,2023-03-17 09:00:00,0.8,2244,334,1766.1,Sea,Rain,40.0,High,1</t>
  </si>
  <si>
    <t>1811,2023-03-17 10:00:00,0.92,2173,406,463.5,Road,Storm,69.2,Medium,0</t>
  </si>
  <si>
    <t>1812,2023-03-17 11:00:00,0.74,2438,1,1406.2,Rail,Rain,1.8,Low,1</t>
  </si>
  <si>
    <t>1813,2023-03-17 12:00:00,0.77,701,19,710.7,Sea,Fog,35.6,Low,1</t>
  </si>
  <si>
    <t>1814,2023-03-17 13:00:00,0.74,4531,60,623.7,Air,Clear,50.2,Medium,1</t>
  </si>
  <si>
    <t>1815,2023-03-17 14:00:00,0.73,384,152,987.3,Sea,Storm,40.1,Low,0</t>
  </si>
  <si>
    <t>1816,2023-03-17 15:00:00,0.98,2813,315,1329.0,Sea,Fog,23.3,Low,0</t>
  </si>
  <si>
    <t>1817,2023-03-17 16:00:00,0.8,4067,67,63.4,Sea,Rain,43.0,Medium,0</t>
  </si>
  <si>
    <t>1818,2023-03-17 17:00:00,0.8,2092,324,151.3,Sea,Fog,2.8,High,0</t>
  </si>
  <si>
    <t>1819,2023-03-17 18:00:00,0.75,1859,98,1236.6,Air,Rain,54.5,Low,0</t>
  </si>
  <si>
    <t>1820,2023-03-17 19:00:00,0.73,165,161,1266.1,Air,Storm,48.3,Medium,1</t>
  </si>
  <si>
    <t>1821,2023-03-17 20:00:00,0.69,2284,458,1090.6,Air,Clear,25.5,Low,0</t>
  </si>
  <si>
    <t>1822,2023-03-17 21:00:00,0.98,1654,242,1909.8,Air,Storm,64.2,High,0</t>
  </si>
  <si>
    <t>1823,2023-03-17 22:00:00,0.89,243,44,1287.2,Sea,Rain,52.9,Low,0</t>
  </si>
  <si>
    <t>1824,2023-03-17 23:00:00,0.79,2176,185,1760.1,Road,Fog,17.7,Low,0</t>
  </si>
  <si>
    <t>1825,2023-03-18 00:00:00,0.84,3951,158,1257.0,Sea,Fog,26.6,Medium,0</t>
  </si>
  <si>
    <t>1826,2023-03-18 01:00:00,0.94,1671,31,647.4,Air,Rain,5.7,Medium,0</t>
  </si>
  <si>
    <t>1827,2023-03-18 02:00:00,0.75,941,201,1715.2,Rail,Rain,51.0,High,0</t>
  </si>
  <si>
    <t>1828,2023-03-18 03:00:00,0.71,4608,207,1196.6,Rail,Fog,15.9,Low,1</t>
  </si>
  <si>
    <t>1829,2023-03-18 04:00:00,0.79,2349,108,362.4,Rail,Fog,32.6,High,0</t>
  </si>
  <si>
    <t>1830,2023-03-18 05:00:00,0.78,3451,344,739.4,Rail,Rain,33.8,Low,0</t>
  </si>
  <si>
    <t>1831,2023-03-18 06:00:00,0.93,3369,227,242.3,Sea,Clear,25.0,High,0</t>
  </si>
  <si>
    <t>1832,2023-03-18 07:00:00,0.96,4244,79,503.6,Rail,Storm,49.1,High,1</t>
  </si>
  <si>
    <t>1833,2023-03-18 08:00:00,0.94,4257,395,786.2,Rail,Rain,69.9,High,1</t>
  </si>
  <si>
    <t>1834,2023-03-18 09:00:00,0.88,4269,374,1198.3,Road,Fog,9.5,Medium,1</t>
  </si>
  <si>
    <t>1835,2023-03-18 10:00:00,0.81,2257,341,1109.8,Rail,Clear,40.5,Low,0</t>
  </si>
  <si>
    <t>1836,2023-03-18 11:00:00,0.67,2476,170,1835.5,Air,Rain,11.6,Low,1</t>
  </si>
  <si>
    <t>1837,2023-03-18 12:00:00,0.97,608,459,1829.2,Road,Rain,16.7,High,1</t>
  </si>
  <si>
    <t>1838,2023-03-18 13:00:00,0.94,404,420,243.0,Sea,Storm,33.5,High,0</t>
  </si>
  <si>
    <t>1839,2023-03-18 14:00:00,0.81,1481,461,142.6,Air,Fog,13.1,Medium,0</t>
  </si>
  <si>
    <t>1840,2023-03-18 15:00:00,0.9,657,48,911.0,Sea,Fog,10.4,Low,1</t>
  </si>
  <si>
    <t>1841,2023-03-18 16:00:00,0.96,4719,28,1726.7,Air,Storm,45.7,High,0</t>
  </si>
  <si>
    <t>1842,2023-03-18 17:00:00,0.72,4434,471,1194.2,Sea,Storm,51.1,Medium,0</t>
  </si>
  <si>
    <t>1843,2023-03-18 18:00:00,0.83,1849,432,1809.9,Air,Clear,63.7,Low,1</t>
  </si>
  <si>
    <t>1844,2023-03-18 19:00:00,0.98,1010,167,909.9,Air,Rain,22.5,Medium,0</t>
  </si>
  <si>
    <t>1845,2023-03-18 20:00:00,0.69,2348,254,801.1,Sea,Fog,62.3,Low,0</t>
  </si>
  <si>
    <t>1846,2023-03-18 21:00:00,0.66,366,191,628.2,Air,Fog,1.9,Low,0</t>
  </si>
  <si>
    <t>1847,2023-03-18 22:00:00,0.98,2486,386,508.5,Sea,Rain,25.3,High,1</t>
  </si>
  <si>
    <t>1848,2023-03-18 23:00:00,0.95,1705,153,1758.6,Road,Clear,18.6,Medium,1</t>
  </si>
  <si>
    <t>1849,2023-03-19 00:00:00,0.62,3044,450,1101.0,Sea,Rain,25.1,High,1</t>
  </si>
  <si>
    <t>1850,2023-03-19 01:00:00,0.83,2217,331,851.6,Sea,Storm,52.8,Medium,1</t>
  </si>
  <si>
    <t>1851,2023-03-19 02:00:00,0.86,2736,484,1301.3,Air,Clear,66.6,Medium,0</t>
  </si>
  <si>
    <t>1852,2023-03-19 03:00:00,0.89,410,264,620.3,Road,Rain,19.6,Medium,0</t>
  </si>
  <si>
    <t>1853,2023-03-19 04:00:00,0.85,562,328,459.6,Sea,Storm,43.2,High,0</t>
  </si>
  <si>
    <t>1854,2023-03-19 05:00:00,0.83,251,9,390.0,Road,Rain,56.5,Medium,0</t>
  </si>
  <si>
    <t>1855,2023-03-19 06:00:00,0.84,3034,398,1914.3,Rail,Rain,48.2,Low,0</t>
  </si>
  <si>
    <t>1856,2023-03-19 07:00:00,0.85,685,119,1562.8,Air,Clear,26.9,High,0</t>
  </si>
  <si>
    <t>1857,2023-03-19 08:00:00,0.64,1774,313,1553.2,Sea,Clear,49.2,High,0</t>
  </si>
  <si>
    <t>1858,2023-03-19 09:00:00,0.67,1108,473,1950.7,Road,Storm,7.2,High,0</t>
  </si>
  <si>
    <t>1859,2023-03-19 10:00:00,0.71,914,258,394.9,Air,Rain,40.3,Low,0</t>
  </si>
  <si>
    <t>1860,2023-03-19 11:00:00,0.97,3406,397,497.6,Road,Rain,69.0,Low,1</t>
  </si>
  <si>
    <t>1861,2023-03-19 12:00:00,0.79,2234,388,415.1,Air,Clear,25.1,Low,0</t>
  </si>
  <si>
    <t>1862,2023-03-19 13:00:00,0.85,4514,248,1727.3,Rail,Fog,27.9,High,0</t>
  </si>
  <si>
    <t>1863,2023-03-19 14:00:00,0.99,2358,238,356.7,Road,Fog,15.0,Low,0</t>
  </si>
  <si>
    <t>1864,2023-03-19 15:00:00,0.64,1844,63,1908.7,Sea,Clear,26.8,High,0</t>
  </si>
  <si>
    <t>1865,2023-03-19 16:00:00,0.68,2475,192,171.1,Rail,Fog,7.7,Medium,0</t>
  </si>
  <si>
    <t>1866,2023-03-19 17:00:00,0.71,1482,51,1754.3,Rail,Fog,11.4,Low,1</t>
  </si>
  <si>
    <t>1867,2023-03-19 18:00:00,0.97,1566,392,1715.6,Air,Rain,47.3,Low,1</t>
  </si>
  <si>
    <t>1868,2023-03-19 19:00:00,0.89,688,163,1898.4,Rail,Storm,30.2,Low,1</t>
  </si>
  <si>
    <t>1869,2023-03-19 20:00:00,0.65,1718,254,1456.2,Sea,Fog,44.1,Medium,1</t>
  </si>
  <si>
    <t>1870,2023-03-19 21:00:00,0.63,4670,299,1844.0,Road,Storm,68.2,Medium,1</t>
  </si>
  <si>
    <t>1871,2023-03-19 22:00:00,0.67,4825,258,1255.8,Road,Rain,32.2,Medium,0</t>
  </si>
  <si>
    <t>1872,2023-03-19 23:00:00,0.97,827,119,1166.3,Road,Rain,66.7,High,0</t>
  </si>
  <si>
    <t>1873,2023-03-20 00:00:00,0.77,1386,88,708.5,Rail,Clear,28.2,Medium,1</t>
  </si>
  <si>
    <t>1874,2023-03-20 01:00:00,0.95,3582,205,887.7,Road,Clear,42.9,Medium,0</t>
  </si>
  <si>
    <t>1875,2023-03-20 02:00:00,0.94,3244,285,1015.8,Air,Clear,19.5,Medium,0</t>
  </si>
  <si>
    <t>1876,2023-03-20 03:00:00,0.99,1506,350,1779.2,Road,Rain,42.7,Low,0</t>
  </si>
  <si>
    <t>1877,2023-03-20 04:00:00,0.82,1675,107,1956.7,Sea,Storm,30.3,Medium,0</t>
  </si>
  <si>
    <t>1878,2023-03-20 05:00:00,0.71,4665,451,883.8,Road,Rain,60.2,Low,1</t>
  </si>
  <si>
    <t>1879,2023-03-20 06:00:00,0.81,1573,91,134.3,Rail,Clear,5.4,Medium,0</t>
  </si>
  <si>
    <t>1880,2023-03-20 07:00:00,0.96,3672,267,293.4,Air,Fog,32.9,High,0</t>
  </si>
  <si>
    <t>1881,2023-03-20 08:00:00,0.98,653,52,1925.9,Rail,Rain,26.7,Medium,0</t>
  </si>
  <si>
    <t>1882,2023-03-20 09:00:00,0.76,3905,237,550.5,Rail,Clear,51.5,Low,0</t>
  </si>
  <si>
    <t>1883,2023-03-20 10:00:00,0.79,1184,107,43.0,Road,Clear,9.3,High,0</t>
  </si>
  <si>
    <t>1884,2023-03-20 11:00:00,0.92,2635,308,788.1,Road,Fog,16.0,Low,1</t>
  </si>
  <si>
    <t>1885,2023-03-20 12:00:00,0.76,4938,19,39.0,Road,Storm,33.5,Medium,1</t>
  </si>
  <si>
    <t>1886,2023-03-20 13:00:00,0.7,1542,338,477.7,Rail,Rain,60.7,Medium,0</t>
  </si>
  <si>
    <t>1887,2023-03-20 14:00:00,0.71,2135,23,1954.3,Air,Clear,70.7,Low,0</t>
  </si>
  <si>
    <t>1888,2023-03-20 15:00:00,0.79,2181,364,40.2,Rail,Storm,50.3,Medium,0</t>
  </si>
  <si>
    <t>1889,2023-03-20 16:00:00,0.7,2459,351,757.9,Sea,Clear,59.0,High,0</t>
  </si>
  <si>
    <t>1890,2023-03-20 17:00:00,0.91,3497,71,399.9,Sea,Storm,52.2,High,1</t>
  </si>
  <si>
    <t>1891,2023-03-20 18:00:00,0.87,2214,22,1541.7,Road,Storm,7.8,Low,0</t>
  </si>
  <si>
    <t>1892,2023-03-20 19:00:00,0.97,4826,354,1959.3,Air,Fog,53.2,Low,1</t>
  </si>
  <si>
    <t>1893,2023-03-20 20:00:00,0.9,997,370,702.5,Air,Storm,55.5,High,0</t>
  </si>
  <si>
    <t>1894,2023-03-20 21:00:00,0.78,2902,140,865.6,Air,Clear,34.7,Low,0</t>
  </si>
  <si>
    <t>1895,2023-03-20 22:00:00,0.67,784,440,1529.7,Road,Storm,57.9,Low,0</t>
  </si>
  <si>
    <t>1896,2023-03-20 23:00:00,0.69,1320,478,1695.5,Road,Clear,67.4,Low,0</t>
  </si>
  <si>
    <t>1897,2023-03-21 00:00:00,0.95,2197,237,1615.3,Sea,Fog,51.5,High,1</t>
  </si>
  <si>
    <t>1898,2023-03-21 01:00:00,0.85,1624,103,903.4,Rail,Storm,28.7,High,0</t>
  </si>
  <si>
    <t>1899,2023-03-21 02:00:00,0.64,4489,331,99.7,Road,Storm,26.7,High,0</t>
  </si>
  <si>
    <t>1900,2023-03-21 03:00:00,0.8,1142,205,1220.4,Air,Clear,63.4,High,0</t>
  </si>
  <si>
    <t>1901,2023-03-21 04:00:00,0.91,2996,493,903.9,Sea,Storm,1.2,Low,0</t>
  </si>
  <si>
    <t>1902,2023-03-21 05:00:00,0.92,3589,377,266.2,Sea,Clear,47.2,Low,0</t>
  </si>
  <si>
    <t>1903,2023-03-21 06:00:00,0.94,3267,282,1698.1,Rail,Storm,45.4,Low,0</t>
  </si>
  <si>
    <t>1904,2023-03-21 07:00:00,0.96,1284,184,1977.0,Road,Storm,45.6,Low,0</t>
  </si>
  <si>
    <t>1905,2023-03-21 08:00:00,0.79,2428,106,1524.0,Road,Storm,23.4,Medium,1</t>
  </si>
  <si>
    <t>1906,2023-03-21 09:00:00,0.87,1086,23,1265.1,Air,Clear,40.8,Low,1</t>
  </si>
  <si>
    <t>1907,2023-03-21 10:00:00,0.63,1768,426,1658.5,Sea,Fog,38.4,Low,0</t>
  </si>
  <si>
    <t>1908,2023-03-21 11:00:00,0.86,3795,116,1609.1,Road,Storm,63.3,Low,0</t>
  </si>
  <si>
    <t>1909,2023-03-21 12:00:00,0.81,517,444,676.9,Air,Storm,69.4,Medium,0</t>
  </si>
  <si>
    <t>1910,2023-03-21 13:00:00,0.69,69,474,1398.8,Rail,Storm,29.2,Low,0</t>
  </si>
  <si>
    <t>1911,2023-03-21 14:00:00,0.7,3992,313,236.4,Air,Fog,62.5,Medium,0</t>
  </si>
  <si>
    <t>1912,2023-03-21 15:00:00,0.88,1502,56,797.6,Rail,Storm,35.2,Medium,0</t>
  </si>
  <si>
    <t>1913,2023-03-21 16:00:00,0.69,2328,352,1578.0,Road,Fog,59.9,Medium,0</t>
  </si>
  <si>
    <t>1914,2023-03-21 17:00:00,0.74,4532,315,59.0,Rail,Storm,18.6,Medium,1</t>
  </si>
  <si>
    <t>1915,2023-03-21 18:00:00,0.75,608,310,895.6,Road,Rain,43.1,Low,1</t>
  </si>
  <si>
    <t>1916,2023-03-21 19:00:00,0.9,2040,251,751.1,Road,Rain,5.9,Low,0</t>
  </si>
  <si>
    <t>1917,2023-03-21 20:00:00,0.68,3909,229,1143.4,Rail,Rain,12.4,Medium,0</t>
  </si>
  <si>
    <t>1918,2023-03-21 21:00:00,0.63,2133,139,201.9,Road,Storm,47.8,High,0</t>
  </si>
  <si>
    <t>1919,2023-03-21 22:00:00,0.67,2004,242,1600.8,Sea,Rain,9.2,Low,0</t>
  </si>
  <si>
    <t>1920,2023-03-21 23:00:00,0.89,1987,103,822.8,Sea,Storm,21.8,Medium,0</t>
  </si>
  <si>
    <t>1921,2023-03-22 00:00:00,0.62,575,302,1558.2,Rail,Rain,2.6,High,0</t>
  </si>
  <si>
    <t>1922,2023-03-22 01:00:00,0.82,4012,170,876.0,Road,Rain,16.9,Low,0</t>
  </si>
  <si>
    <t>1923,2023-03-22 02:00:00,0.8,899,29,1628.4,Road,Storm,34.9,Medium,0</t>
  </si>
  <si>
    <t>1924,2023-03-22 03:00:00,0.75,2833,453,1083.7,Sea,Storm,46.1,Low,0</t>
  </si>
  <si>
    <t>1925,2023-03-22 04:00:00,0.74,3197,166,37.9,Sea,Clear,19.2,High,0</t>
  </si>
  <si>
    <t>1926,2023-03-22 05:00:00,0.82,4409,264,1433.8,Rail,Fog,6.8,Low,0</t>
  </si>
  <si>
    <t>1927,2023-03-22 06:00:00,0.62,537,385,1580.9,Rail,Fog,68.0,High,1</t>
  </si>
  <si>
    <t>1928,2023-03-22 07:00:00,0.73,335,171,1128.7,Rail,Fog,51.4,High,1</t>
  </si>
  <si>
    <t>1929,2023-03-22 08:00:00,0.77,2305,356,710.2,Air,Clear,45.7,High,0</t>
  </si>
  <si>
    <t>1930,2023-03-22 09:00:00,0.66,4675,362,803.2,Rail,Fog,30.1,Low,0</t>
  </si>
  <si>
    <t>1931,2023-03-22 10:00:00,0.81,4790,435,622.6,Air,Clear,16.0,Medium,1</t>
  </si>
  <si>
    <t>1932,2023-03-22 11:00:00,0.72,1126,120,643.8,Sea,Rain,20.3,Low,0</t>
  </si>
  <si>
    <t>1933,2023-03-22 12:00:00,0.63,4352,404,697.0,Air,Clear,32.2,Low,0</t>
  </si>
  <si>
    <t>1934,2023-03-22 13:00:00,0.65,4584,361,1766.7,Rail,Fog,64.6,Medium,0</t>
  </si>
  <si>
    <t>1935,2023-03-22 14:00:00,0.73,2149,128,1183.8,Road,Storm,56.2,Medium,1</t>
  </si>
  <si>
    <t>1936,2023-03-22 15:00:00,0.86,2480,239,1126.4,Air,Rain,64.7,Low,0</t>
  </si>
  <si>
    <t>1937,2023-03-22 16:00:00,0.92,381,109,360.1,Rail,Storm,6.4,Medium,0</t>
  </si>
  <si>
    <t>1938,2023-03-22 17:00:00,0.79,1842,452,300.0,Road,Rain,64.4,Medium,0</t>
  </si>
  <si>
    <t>1939,2023-03-22 18:00:00,0.62,1017,430,1680.9,Road,Storm,42.9,Low,0</t>
  </si>
  <si>
    <t>1940,2023-03-22 19:00:00,0.84,4678,304,786.8,Road,Storm,23.8,High,1</t>
  </si>
  <si>
    <t>1941,2023-03-22 20:00:00,0.96,3783,495,1925.4,Road,Storm,15.6,Medium,1</t>
  </si>
  <si>
    <t>1942,2023-03-22 21:00:00,0.62,575,490,209.8,Rail,Fog,63.4,Medium,0</t>
  </si>
  <si>
    <t>1943,2023-03-22 22:00:00,0.74,186,168,910.9,Sea,Storm,17.6,Low,0</t>
  </si>
  <si>
    <t>1944,2023-03-22 23:00:00,0.61,2693,4,1543.4,Sea,Fog,21.4,Low,0</t>
  </si>
  <si>
    <t>1945,2023-03-23 00:00:00,0.83,3457,135,701.9,Air,Storm,54.2,Medium,1</t>
  </si>
  <si>
    <t>1946,2023-03-23 01:00:00,0.64,421,284,1200.0,Rail,Storm,28.8,Low,0</t>
  </si>
  <si>
    <t>1947,2023-03-23 02:00:00,0.98,4483,344,1130.9,Road,Fog,11.4,Low,0</t>
  </si>
  <si>
    <t>1948,2023-03-23 03:00:00,0.76,4568,307,690.3,Road,Rain,47.2,High,1</t>
  </si>
  <si>
    <t>1949,2023-03-23 04:00:00,0.85,647,482,1783.8,Rail,Rain,7.2,Low,0</t>
  </si>
  <si>
    <t>1950,2023-03-23 05:00:00,0.73,4128,198,618.3,Sea,Rain,57.9,Medium,0</t>
  </si>
  <si>
    <t>1951,2023-03-23 06:00:00,0.73,533,35,1871.0,Sea,Storm,3.8,High,0</t>
  </si>
  <si>
    <t>1952,2023-03-23 07:00:00,0.6,3762,268,1568.4,Road,Fog,23.3,Low,0</t>
  </si>
  <si>
    <t>1953,2023-03-23 08:00:00,0.95,413,489,951.2,Sea,Clear,57.6,Medium,0</t>
  </si>
  <si>
    <t>1954,2023-03-23 09:00:00,0.71,1231,463,1914.4,Air,Storm,37.3,High,1</t>
  </si>
  <si>
    <t>1955,2023-03-23 10:00:00,0.7,4895,96,739.4,Sea,Clear,69.4,High,0</t>
  </si>
  <si>
    <t>1956,2023-03-23 11:00:00,0.74,62,305,1585.5,Air,Clear,44.5,Low,0</t>
  </si>
  <si>
    <t>1957,2023-03-23 12:00:00,0.67,832,359,1447.6,Air,Storm,46.4,Low,0</t>
  </si>
  <si>
    <t>1958,2023-03-23 13:00:00,0.72,1132,168,377.2,Road,Fog,61.7,Low,0</t>
  </si>
  <si>
    <t>1959,2023-03-23 14:00:00,0.71,3467,32,1234.3,Road,Clear,67.5,High,0</t>
  </si>
  <si>
    <t>1960,2023-03-23 15:00:00,0.99,217,299,317.5,Sea,Storm,6.2,High,0</t>
  </si>
  <si>
    <t>1961,2023-03-23 16:00:00,0.95,363,453,1499.3,Road,Clear,63.6,Medium,0</t>
  </si>
  <si>
    <t>1962,2023-03-23 17:00:00,0.71,4260,230,1747.0,Road,Fog,55.3,High,1</t>
  </si>
  <si>
    <t>1963,2023-03-23 18:00:00,0.94,432,42,1676.0,Air,Storm,61.2,Medium,1</t>
  </si>
  <si>
    <t>1964,2023-03-23 19:00:00,0.62,1759,158,1431.3,Rail,Rain,55.8,Low,1</t>
  </si>
  <si>
    <t>1965,2023-03-23 20:00:00,0.83,4218,314,294.0,Sea,Storm,59.1,High,0</t>
  </si>
  <si>
    <t>1966,2023-03-23 21:00:00,0.95,1845,117,1073.5,Rail,Storm,6.1,High,0</t>
  </si>
  <si>
    <t>1967,2023-03-23 22:00:00,0.69,3102,56,1660.8,Rail,Storm,54.0,High,1</t>
  </si>
  <si>
    <t>1968,2023-03-23 23:00:00,0.66,3190,469,816.4,Sea,Clear,16.5,High,0</t>
  </si>
  <si>
    <t>1969,2023-03-24 00:00:00,0.92,1999,165,534.8,Air,Rain,59.3,Low,0</t>
  </si>
  <si>
    <t>1970,2023-03-24 01:00:00,0.86,3163,349,32.9,Air,Storm,17.6,Medium,1</t>
  </si>
  <si>
    <t>1971,2023-03-24 02:00:00,0.99,3364,339,238.2,Road,Storm,31.1,Low,0</t>
  </si>
  <si>
    <t>1972,2023-03-24 03:00:00,0.66,1028,57,1514.6,Road,Fog,68.0,High,1</t>
  </si>
  <si>
    <t>1973,2023-03-24 04:00:00,0.66,810,445,1721.9,Road,Clear,42.6,High,0</t>
  </si>
  <si>
    <t>1974,2023-03-24 05:00:00,0.62,2679,485,1008.5,Sea,Fog,60.6,High,1</t>
  </si>
  <si>
    <t>1975,2023-03-24 06:00:00,0.73,56,423,426.3,Sea,Fog,17.1,Low,0</t>
  </si>
  <si>
    <t>1976,2023-03-24 07:00:00,0.62,1728,307,1715.7,Rail,Clear,43.8,Medium,0</t>
  </si>
  <si>
    <t>1977,2023-03-24 08:00:00,0.85,1920,375,725.4,Air,Rain,32.8,Medium,0</t>
  </si>
  <si>
    <t>1978,2023-03-24 09:00:00,0.63,957,328,1096.6,Road,Storm,20.4,Low,0</t>
  </si>
  <si>
    <t>1979,2023-03-24 10:00:00,0.78,1117,339,1836.3,Sea,Storm,6.5,High,0</t>
  </si>
  <si>
    <t>1980,2023-03-24 11:00:00,0.81,3844,32,1930.6,Air,Storm,46.3,Medium,1</t>
  </si>
  <si>
    <t>1981,2023-03-24 12:00:00,0.63,3453,174,1834.3,Road,Rain,63.7,High,0</t>
  </si>
  <si>
    <t>1982,2023-03-24 13:00:00,0.88,3501,345,403.3,Air,Clear,16.6,Low,0</t>
  </si>
  <si>
    <t>1983,2023-03-24 14:00:00,1.0,642,431,395.0,Road,Storm,3.8,Medium,1</t>
  </si>
  <si>
    <t>1984,2023-03-24 15:00:00,0.76,4590,33,597.0,Road,Fog,5.0,Medium,1</t>
  </si>
  <si>
    <t>1985,2023-03-24 16:00:00,0.81,515,117,325.0,Air,Storm,39.4,Medium,0</t>
  </si>
  <si>
    <t>1986,2023-03-24 17:00:00,0.75,2992,444,12.3,Air,Clear,5.4,Medium,0</t>
  </si>
  <si>
    <t>1987,2023-03-24 18:00:00,0.99,505,381,1417.8,Air,Storm,50.0,Low,0</t>
  </si>
  <si>
    <t>1988,2023-03-24 19:00:00,0.94,927,370,62.5,Road,Clear,41.2,Low,0</t>
  </si>
  <si>
    <t>1989,2023-03-24 20:00:00,0.99,618,208,141.2,Sea,Rain,27.3,Medium,1</t>
  </si>
  <si>
    <t>1990,2023-03-24 21:00:00,0.75,3504,363,1468.8,Rail,Rain,24.8,Low,1</t>
  </si>
  <si>
    <t>1991,2023-03-24 22:00:00,0.73,521,158,1243.6,Sea,Rain,59.9,High,0</t>
  </si>
  <si>
    <t>1992,2023-03-24 23:00:00,0.61,4849,414,1846.7,Air,Storm,49.0,High,1</t>
  </si>
  <si>
    <t>1993,2023-03-25 00:00:00,0.63,1005,246,1818.2,Rail,Storm,24.6,Low,0</t>
  </si>
  <si>
    <t>1994,2023-03-25 01:00:00,0.98,2153,76,1398.6,Road,Rain,9.2,High,0</t>
  </si>
  <si>
    <t>1995,2023-03-25 02:00:00,0.83,3157,238,1244.3,Rail,Storm,28.7,Medium,0</t>
  </si>
  <si>
    <t>1996,2023-03-25 03:00:00,0.78,1794,12,572.6,Rail,Rain,29.3,High,0</t>
  </si>
  <si>
    <t>1997,2023-03-25 04:00:00,0.66,1013,350,164.0,Air,Clear,10.6,Medium,0</t>
  </si>
  <si>
    <t>1998,2023-03-25 05:00:00,0.98,792,10,1524.2,Air,Fog,22.4,Low,1</t>
  </si>
  <si>
    <t>1999,2023-03-25 06:00:00,0.62,246,168,1074.6,Rail,Storm,25.6,High,0</t>
  </si>
  <si>
    <t>2000,2023-03-25 07:00:00,0.86,4712,468,1369.0,Road,Clear,31.6,High,0</t>
  </si>
  <si>
    <t>2001,2023-03-25 08:00:00,0.84,2830,56,33.8,Air,Rain,50.7,Medium,0</t>
  </si>
  <si>
    <t>2002,2023-03-25 09:00:00,0.89,4379,243,773.4,Rail,Clear,33.2,Medium,0</t>
  </si>
  <si>
    <t>2003,2023-03-25 10:00:00,0.9,3979,365,1471.2,Sea,Fog,41.5,High,0</t>
  </si>
  <si>
    <t>2004,2023-03-25 11:00:00,0.87,3815,454,1195.5,Sea,Fog,19.4,Low,0</t>
  </si>
  <si>
    <t>2005,2023-03-25 12:00:00,0.82,3996,265,1133.7,Rail,Fog,57.4,Medium,0</t>
  </si>
  <si>
    <t>2006,2023-03-25 13:00:00,0.77,4330,285,1498.6,Road,Clear,44.5,High,0</t>
  </si>
  <si>
    <t>2007,2023-03-25 14:00:00,0.92,1123,76,1733.5,Sea,Storm,49.0,Medium,0</t>
  </si>
  <si>
    <t>2008,2023-03-25 15:00:00,0.65,2639,280,321.2,Rail,Clear,32.8,High,0</t>
  </si>
  <si>
    <t>2009,2023-03-25 16:00:00,0.71,924,372,374.1,Rail,Clear,6.1,Low,0</t>
  </si>
  <si>
    <t>2010,2023-03-25 17:00:00,0.91,1626,117,860.9,Rail,Fog,45.8,High,0</t>
  </si>
  <si>
    <t>2011,2023-03-25 18:00:00,0.96,2643,215,96.9,Rail,Rain,41.1,Medium,0</t>
  </si>
  <si>
    <t>2012,2023-03-25 19:00:00,0.86,1098,477,1589.8,Rail,Fog,58.7,Medium,1</t>
  </si>
  <si>
    <t>2013,2023-03-25 20:00:00,0.62,1636,125,1100.2,Road,Fog,42.7,Medium,0</t>
  </si>
  <si>
    <t>2014,2023-03-25 21:00:00,0.93,4294,497,1121.6,Air,Storm,62.7,Medium,0</t>
  </si>
  <si>
    <t>2015,2023-03-25 22:00:00,0.99,3851,85,669.8,Air,Rain,44.1,Medium,0</t>
  </si>
  <si>
    <t>2016,2023-03-25 23:00:00,0.78,3185,313,182.3,Rail,Fog,15.2,High,1</t>
  </si>
  <si>
    <t>2017,2023-03-26 00:00:00,0.76,654,147,1281.5,Road,Rain,69.6,Medium,0</t>
  </si>
  <si>
    <t>2018,2023-03-26 01:00:00,0.74,3289,4,1445.8,Air,Clear,48.9,Low,1</t>
  </si>
  <si>
    <t>2019,2023-03-26 02:00:00,0.84,3890,378,1841.2,Road,Fog,24.0,Medium,0</t>
  </si>
  <si>
    <t>2020,2023-03-26 03:00:00,0.67,433,494,211.7,Sea,Rain,20.4,Medium,1</t>
  </si>
  <si>
    <t>2021,2023-03-26 04:00:00,0.65,3198,450,162.6,Air,Rain,68.2,Low,0</t>
  </si>
  <si>
    <t>2022,2023-03-26 05:00:00,1.0,4898,324,1918.5,Air,Fog,68.9,Medium,1</t>
  </si>
  <si>
    <t>2023,2023-03-26 06:00:00,0.8,2341,370,1957.8,Sea,Fog,58.9,High,0</t>
  </si>
  <si>
    <t>2024,2023-03-26 07:00:00,0.81,1391,463,1779.6,Rail,Fog,25.1,Medium,0</t>
  </si>
  <si>
    <t>2025,2023-03-26 08:00:00,0.72,2469,119,1550.8,Sea,Fog,40.5,High,1</t>
  </si>
  <si>
    <t>2026,2023-03-26 09:00:00,0.62,274,452,1067.7,Air,Rain,65.6,High,0</t>
  </si>
  <si>
    <t>2027,2023-03-26 10:00:00,0.63,4504,407,416.0,Sea,Fog,32.0,Medium,0</t>
  </si>
  <si>
    <t>2028,2023-03-26 11:00:00,0.62,4167,203,553.2,Rail,Clear,54.0,High,0</t>
  </si>
  <si>
    <t>2029,2023-03-26 12:00:00,0.88,3132,27,1633.9,Air,Clear,23.0,High,1</t>
  </si>
  <si>
    <t>2030,2023-03-26 13:00:00,0.91,580,188,1217.8,Air,Clear,10.8,Medium,1</t>
  </si>
  <si>
    <t>2031,2023-03-26 14:00:00,0.98,3219,163,533.1,Road,Fog,37.8,High,0</t>
  </si>
  <si>
    <t>2032,2023-03-26 15:00:00,0.99,1914,135,716.5,Road,Storm,50.6,Medium,0</t>
  </si>
  <si>
    <t>2033,2023-03-26 16:00:00,0.66,3059,466,963.8,Sea,Rain,32.7,Low,0</t>
  </si>
  <si>
    <t>2034,2023-03-26 17:00:00,0.61,1355,458,1955.2,Road,Storm,15.6,High,0</t>
  </si>
  <si>
    <t>2035,2023-03-26 18:00:00,0.87,1086,56,1378.1,Rail,Fog,3.0,Low,0</t>
  </si>
  <si>
    <t>2036,2023-03-26 19:00:00,0.72,1854,176,125.5,Road,Fog,67.7,High,1</t>
  </si>
  <si>
    <t>2037,2023-03-26 20:00:00,0.97,3152,20,1903.4,Rail,Storm,41.1,Low,0</t>
  </si>
  <si>
    <t>2038,2023-03-26 21:00:00,0.8,2490,482,915.6,Road,Fog,19.5,Low,1</t>
  </si>
  <si>
    <t>2039,2023-03-26 22:00:00,0.78,2277,280,1496.1,Rail,Storm,24.8,Medium,1</t>
  </si>
  <si>
    <t>2040,2023-03-26 23:00:00,0.77,822,417,1623.9,Road,Fog,60.6,Low,0</t>
  </si>
  <si>
    <t>2041,2023-03-27 00:00:00,0.72,2600,38,832.3,Rail,Clear,60.3,Low,0</t>
  </si>
  <si>
    <t>2042,2023-03-27 01:00:00,0.83,4377,428,1906.2,Sea,Clear,13.6,Medium,0</t>
  </si>
  <si>
    <t>2043,2023-03-27 02:00:00,0.67,2882,98,233.6,Air,Fog,48.9,Low,0</t>
  </si>
  <si>
    <t>2044,2023-03-27 03:00:00,0.99,3793,323,1139.7,Sea,Fog,16.0,High,1</t>
  </si>
  <si>
    <t>2045,2023-03-27 04:00:00,0.92,3424,73,393.7,Rail,Fog,31.9,Medium,0</t>
  </si>
  <si>
    <t>2046,2023-03-27 05:00:00,0.94,128,276,830.9,Road,Clear,34.7,High,0</t>
  </si>
  <si>
    <t>2047,2023-03-27 06:00:00,0.98,4944,388,308.1,Sea,Rain,32.4,High,1</t>
  </si>
  <si>
    <t>2048,2023-03-27 07:00:00,0.87,2225,311,453.1,Rail,Clear,31.1,Low,0</t>
  </si>
  <si>
    <t>2049,2023-03-27 08:00:00,0.96,419,299,1745.2,Rail,Clear,66.5,Medium,1</t>
  </si>
  <si>
    <t>2050,2023-03-27 09:00:00,0.9,739,190,193.6,Air,Storm,31.2,Medium,0</t>
  </si>
  <si>
    <t>2051,2023-03-27 10:00:00,0.79,82,402,49.6,Road,Fog,38.2,Low,0</t>
  </si>
  <si>
    <t>2052,2023-03-27 11:00:00,0.61,2699,155,1399.3,Rail,Storm,38.1,High,0</t>
  </si>
  <si>
    <t>2053,2023-03-27 12:00:00,0.81,4829,24,1588.9,Rail,Storm,51.0,High,0</t>
  </si>
  <si>
    <t>2054,2023-03-27 13:00:00,0.82,1306,140,628.0,Air,Fog,55.2,High,0</t>
  </si>
  <si>
    <t>2055,2023-03-27 14:00:00,0.89,1763,12,307.8,Rail,Fog,54.4,Low,0</t>
  </si>
  <si>
    <t>2056,2023-03-27 15:00:00,0.95,2316,299,698.0,Sea,Rain,29.0,Low,0</t>
  </si>
  <si>
    <t>2057,2023-03-27 16:00:00,0.85,377,487,1733.3,Rail,Rain,33.6,Medium,1</t>
  </si>
  <si>
    <t>2058,2023-03-27 17:00:00,0.63,4387,215,1215.4,Air,Clear,6.0,High,0</t>
  </si>
  <si>
    <t>2059,2023-03-27 18:00:00,0.64,4284,178,789.8,Air,Rain,53.2,Medium,1</t>
  </si>
  <si>
    <t>2060,2023-03-27 19:00:00,0.95,164,490,961.6,Sea,Storm,14.1,High,0</t>
  </si>
  <si>
    <t>2061,2023-03-27 20:00:00,0.95,2427,67,383.9,Air,Fog,22.3,High,0</t>
  </si>
  <si>
    <t>2062,2023-03-27 21:00:00,0.76,2431,278,1181.8,Road,Rain,2.1,Low,0</t>
  </si>
  <si>
    <t>2063,2023-03-27 22:00:00,0.63,3572,73,1781.5,Air,Fog,60.3,High,1</t>
  </si>
  <si>
    <t>2064,2023-03-27 23:00:00,0.64,2596,151,1044.7,Road,Fog,2.0,Low,1</t>
  </si>
  <si>
    <t>2065,2023-03-28 00:00:00,0.65,1901,37,755.7,Rail,Rain,51.8,High,0</t>
  </si>
  <si>
    <t>2066,2023-03-28 01:00:00,0.97,2686,226,474.0,Sea,Clear,21.7,Medium,0</t>
  </si>
  <si>
    <t>2067,2023-03-28 02:00:00,0.76,4164,374,1860.7,Rail,Rain,68.0,High,0</t>
  </si>
  <si>
    <t>2068,2023-03-28 03:00:00,0.79,1134,125,1179.5,Sea,Clear,56.8,Medium,0</t>
  </si>
  <si>
    <t>2069,2023-03-28 04:00:00,0.93,4603,208,77.8,Sea,Rain,10.8,Medium,0</t>
  </si>
  <si>
    <t>2070,2023-03-28 05:00:00,0.7,4654,438,1409.3,Air,Clear,52.4,High,1</t>
  </si>
  <si>
    <t>2071,2023-03-28 06:00:00,0.81,4347,194,1964.5,Sea,Clear,33.8,Medium,0</t>
  </si>
  <si>
    <t>2072,2023-03-28 07:00:00,0.83,3015,403,419.8,Road,Clear,46.5,Low,1</t>
  </si>
  <si>
    <t>2073,2023-03-28 08:00:00,0.77,2110,119,1128.5,Air,Storm,29.3,High,1</t>
  </si>
  <si>
    <t>2074,2023-03-28 09:00:00,0.65,3064,11,1079.2,Sea,Fog,24.1,High,1</t>
  </si>
  <si>
    <t>2075,2023-03-28 10:00:00,0.77,1943,482,1299.6,Sea,Clear,67.4,Low,1</t>
  </si>
  <si>
    <t>2076,2023-03-28 11:00:00,0.64,2257,204,773.3,Road,Clear,32.9,Medium,0</t>
  </si>
  <si>
    <t>2077,2023-03-28 12:00:00,0.73,4231,348,971.1,Sea,Clear,22.6,High,0</t>
  </si>
  <si>
    <t>2078,2023-03-28 13:00:00,0.76,2059,214,1378.0,Rail,Fog,4.8,High,0</t>
  </si>
  <si>
    <t>2079,2023-03-28 14:00:00,0.68,1608,184,802.1,Sea,Storm,13.0,High,0</t>
  </si>
  <si>
    <t>2080,2023-03-28 15:00:00,1.0,1250,364,161.2,Sea,Fog,47.9,High,0</t>
  </si>
  <si>
    <t>2081,2023-03-28 16:00:00,0.88,4937,465,1017.6,Road,Fog,31.1,Medium,0</t>
  </si>
  <si>
    <t>2082,2023-03-28 17:00:00,0.97,554,357,1256.5,Air,Storm,38.8,Medium,0</t>
  </si>
  <si>
    <t>2083,2023-03-28 18:00:00,0.97,2859,462,932.7,Rail,Storm,41.8,High,1</t>
  </si>
  <si>
    <t>2084,2023-03-28 19:00:00,0.71,3501,218,428.9,Rail,Storm,8.6,Medium,1</t>
  </si>
  <si>
    <t>2085,2023-03-28 20:00:00,0.66,4972,302,294.8,Road,Fog,42.3,Low,1</t>
  </si>
  <si>
    <t>2086,2023-03-28 21:00:00,1.0,1003,76,65.1,Road,Clear,11.4,Medium,0</t>
  </si>
  <si>
    <t>2087,2023-03-28 22:00:00,0.8,4151,304,1249.2,Air,Rain,52.7,High,0</t>
  </si>
  <si>
    <t>2088,2023-03-28 23:00:00,0.87,2240,495,613.1,Sea,Rain,37.3,Medium,1</t>
  </si>
  <si>
    <t>2089,2023-03-29 00:00:00,0.95,1713,19,983.1,Rail,Storm,58.4,Medium,1</t>
  </si>
  <si>
    <t>2090,2023-03-29 01:00:00,0.74,1516,371,165.1,Rail,Fog,11.4,Low,0</t>
  </si>
  <si>
    <t>2091,2023-03-29 02:00:00,0.84,2187,325,1604.2,Air,Storm,32.6,Low,1</t>
  </si>
  <si>
    <t>2092,2023-03-29 03:00:00,0.72,1372,425,584.8,Air,Fog,14.2,Low,0</t>
  </si>
  <si>
    <t>2093,2023-03-29 04:00:00,0.69,891,492,1507.0,Rail,Storm,44.1,Medium,0</t>
  </si>
  <si>
    <t>2094,2023-03-29 05:00:00,0.61,2394,107,214.4,Road,Fog,6.1,Medium,0</t>
  </si>
  <si>
    <t>2095,2023-03-29 06:00:00,0.69,2670,130,1736.8,Road,Rain,29.9,Medium,0</t>
  </si>
  <si>
    <t>2096,2023-03-29 07:00:00,0.7,4760,394,1947.2,Rail,Storm,37.6,High,1</t>
  </si>
  <si>
    <t>2097,2023-03-29 08:00:00,0.9,3162,420,1661.0,Road,Storm,71.9,Low,0</t>
  </si>
  <si>
    <t>2098,2023-03-29 09:00:00,0.81,3855,271,1064.4,Rail,Rain,28.1,Low,0</t>
  </si>
  <si>
    <t>2099,2023-03-29 10:00:00,0.91,3628,93,1287.6,Road,Rain,38.1,High,0</t>
  </si>
  <si>
    <t>2100,2023-03-29 11:00:00,0.71,4874,218,1220.3,Road,Storm,11.8,High,1</t>
  </si>
  <si>
    <t>2101,2023-03-29 12:00:00,0.69,1029,337,1281.9,Sea,Clear,15.4,Low,0</t>
  </si>
  <si>
    <t>2102,2023-03-29 13:00:00,0.83,3561,63,1352.3,Air,Storm,19.2,Low,0</t>
  </si>
  <si>
    <t>2103,2023-03-29 14:00:00,0.71,4452,486,505.3,Air,Storm,67.4,High,0</t>
  </si>
  <si>
    <t>2104,2023-03-29 15:00:00,0.9,3474,445,1795.3,Road,Rain,68.9,Medium,0</t>
  </si>
  <si>
    <t>2105,2023-03-29 16:00:00,0.75,1290,252,618.9,Sea,Fog,52.7,Medium,0</t>
  </si>
  <si>
    <t>2106,2023-03-29 17:00:00,0.71,1011,260,323.8,Air,Storm,67.8,Medium,0</t>
  </si>
  <si>
    <t>2107,2023-03-29 18:00:00,0.9,551,158,1642.6,Air,Clear,62.8,Medium,0</t>
  </si>
  <si>
    <t>2108,2023-03-29 19:00:00,0.68,278,488,885.0,Sea,Rain,63.9,Low,0</t>
  </si>
  <si>
    <t>2109,2023-03-29 20:00:00,0.89,2904,5,1530.7,Sea,Clear,3.8,High,1</t>
  </si>
  <si>
    <t>2110,2023-03-29 21:00:00,0.76,1729,118,191.6,Air,Fog,30.8,Low,0</t>
  </si>
  <si>
    <t>2111,2023-03-29 22:00:00,0.63,207,361,101.9,Road,Storm,29.5,High,0</t>
  </si>
  <si>
    <t>2112,2023-03-29 23:00:00,0.85,75,191,398.8,Sea,Storm,62.6,Low,1</t>
  </si>
  <si>
    <t>2113,2023-03-30 00:00:00,0.84,1990,397,824.6,Road,Rain,33.4,Medium,1</t>
  </si>
  <si>
    <t>2114,2023-03-30 01:00:00,0.64,2405,436,1840.6,Air,Storm,69.3,Medium,1</t>
  </si>
  <si>
    <t>2115,2023-03-30 02:00:00,0.78,1019,25,642.0,Sea,Storm,22.4,High,0</t>
  </si>
  <si>
    <t>2116,2023-03-30 03:00:00,0.79,877,324,1894.9,Road,Storm,40.1,High,0</t>
  </si>
  <si>
    <t>2117,2023-03-30 04:00:00,0.89,4239,20,938.0,Road,Clear,45.8,Medium,0</t>
  </si>
  <si>
    <t>2118,2023-03-30 05:00:00,0.68,1014,312,400.5,Air,Clear,40.5,Low,0</t>
  </si>
  <si>
    <t>2119,2023-03-30 06:00:00,0.82,2848,381,553.6,Rail,Storm,24.3,Medium,0</t>
  </si>
  <si>
    <t>2120,2023-03-30 07:00:00,1.0,2905,403,1465.1,Road,Rain,2.1,Medium,0</t>
  </si>
  <si>
    <t>2121,2023-03-30 08:00:00,0.61,2065,438,304.9,Road,Storm,36.4,Medium,0</t>
  </si>
  <si>
    <t>2122,2023-03-30 09:00:00,0.89,4672,56,1293.8,Sea,Clear,70.6,High,0</t>
  </si>
  <si>
    <t>2123,2023-03-30 10:00:00,0.74,2214,356,1285.7,Sea,Rain,5.4,Low,0</t>
  </si>
  <si>
    <t>2124,2023-03-30 11:00:00,0.79,1997,388,954.0,Road,Fog,60.1,High,1</t>
  </si>
  <si>
    <t>2125,2023-03-30 12:00:00,0.71,2509,173,1037.1,Road,Storm,31.6,Medium,1</t>
  </si>
  <si>
    <t>2126,2023-03-30 13:00:00,0.78,2987,18,874.5,Sea,Rain,64.6,Low,1</t>
  </si>
  <si>
    <t>2127,2023-03-30 14:00:00,0.8,1968,301,1440.5,Sea,Clear,37.0,Low,0</t>
  </si>
  <si>
    <t>2128,2023-03-30 15:00:00,0.97,794,188,568.4,Sea,Storm,64.7,Low,0</t>
  </si>
  <si>
    <t>2129,2023-03-30 16:00:00,0.95,4384,438,1602.6,Air,Fog,45.7,Low,1</t>
  </si>
  <si>
    <t>2130,2023-03-30 17:00:00,0.97,3641,122,1939.3,Air,Storm,18.6,Low,0</t>
  </si>
  <si>
    <t>2131,2023-03-30 18:00:00,0.99,2791,37,1805.9,Sea,Fog,3.4,Low,0</t>
  </si>
  <si>
    <t>2132,2023-03-30 19:00:00,0.76,280,426,1010.9,Sea,Fog,48.5,High,1</t>
  </si>
  <si>
    <t>2133,2023-03-30 20:00:00,0.91,3836,290,1526.5,Sea,Rain,39.6,Low,0</t>
  </si>
  <si>
    <t>2134,2023-03-30 21:00:00,0.96,1849,186,592.9,Sea,Rain,69.1,High,1</t>
  </si>
  <si>
    <t>2135,2023-03-30 22:00:00,0.65,185,248,1823.1,Rail,Clear,9.6,Medium,0</t>
  </si>
  <si>
    <t>2136,2023-03-30 23:00:00,0.89,3503,430,638.5,Rail,Clear,16.8,Low,0</t>
  </si>
  <si>
    <t>2137,2023-03-31 00:00:00,0.83,774,15,973.6,Sea,Storm,21.2,High,0</t>
  </si>
  <si>
    <t>2138,2023-03-31 01:00:00,0.68,3012,52,1963.3,Air,Storm,45.9,Low,1</t>
  </si>
  <si>
    <t>2139,2023-03-31 02:00:00,0.85,1671,62,1052.9,Road,Storm,35.7,Medium,0</t>
  </si>
  <si>
    <t>2140,2023-03-31 03:00:00,0.88,4028,411,711.8,Road,Storm,17.0,High,0</t>
  </si>
  <si>
    <t>2141,2023-03-31 04:00:00,0.86,2034,343,512.8,Sea,Rain,5.0,Low,0</t>
  </si>
  <si>
    <t>2142,2023-03-31 05:00:00,0.6,448,321,1371.2,Road,Storm,18.3,High,0</t>
  </si>
  <si>
    <t>2143,2023-03-31 06:00:00,0.97,2170,187,1353.9,Sea,Clear,43.5,Low,0</t>
  </si>
  <si>
    <t>2144,2023-03-31 07:00:00,0.74,4425,172,853.4,Sea,Clear,55.1,Low,0</t>
  </si>
  <si>
    <t>2145,2023-03-31 08:00:00,0.92,878,493,445.3,Sea,Storm,54.8,Medium,0</t>
  </si>
  <si>
    <t>2146,2023-03-31 09:00:00,0.66,2286,15,1203.8,Road,Clear,13.0,Medium,1</t>
  </si>
  <si>
    <t>2147,2023-03-31 10:00:00,0.84,2503,69,1510.4,Air,Rain,18.0,Medium,0</t>
  </si>
  <si>
    <t>2148,2023-03-31 11:00:00,0.62,4020,86,1656.0,Sea,Rain,23.2,Medium,0</t>
  </si>
  <si>
    <t>2149,2023-03-31 12:00:00,0.82,3022,454,1268.0,Road,Storm,31.2,High,1</t>
  </si>
  <si>
    <t>2150,2023-03-31 13:00:00,0.86,516,491,7.9,Rail,Rain,15.4,Low,1</t>
  </si>
  <si>
    <t>2151,2023-03-31 14:00:00,0.75,4792,387,646.2,Road,Rain,64.5,High,0</t>
  </si>
  <si>
    <t>2152,2023-03-31 15:00:00,0.89,3385,141,1738.2,Road,Fog,46.4,Medium,0</t>
  </si>
  <si>
    <t>2153,2023-03-31 16:00:00,0.79,2762,106,1498.8,Sea,Fog,52.4,Low,1</t>
  </si>
  <si>
    <t>2154,2023-03-31 17:00:00,0.62,4285,366,1082.5,Air,Storm,10.9,Medium,0</t>
  </si>
  <si>
    <t>2155,2023-03-31 18:00:00,0.62,3288,270,311.2,Air,Storm,12.1,Medium,1</t>
  </si>
  <si>
    <t>2156,2023-03-31 19:00:00,0.62,2726,131,597.8,Road,Storm,38.8,Low,0</t>
  </si>
  <si>
    <t>2157,2023-03-31 20:00:00,0.74,4179,7,1791.8,Road,Fog,42.6,High,1</t>
  </si>
  <si>
    <t>2158,2023-03-31 21:00:00,0.97,2857,86,1359.5,Sea,Storm,55.9,Low,1</t>
  </si>
  <si>
    <t>2159,2023-03-31 22:00:00,0.73,1782,55,1590.0,Road,Clear,9.1,Medium,1</t>
  </si>
  <si>
    <t>2160,2023-03-31 23:00:00,0.93,1768,14,1062.8,Air,Storm,28.3,High,0</t>
  </si>
  <si>
    <t>2161,2023-04-01 00:00:00,0.86,4598,487,1534.9,Air,Fog,50.8,Medium,0</t>
  </si>
  <si>
    <t>2162,2023-04-01 01:00:00,0.88,2361,73,1178.7,Sea,Clear,63.0,High,1</t>
  </si>
  <si>
    <t>2163,2023-04-01 02:00:00,0.86,513,309,397.7,Road,Storm,43.0,Low,0</t>
  </si>
  <si>
    <t>2164,2023-04-01 03:00:00,0.68,4449,100,272.4,Road,Rain,16.2,High,0</t>
  </si>
  <si>
    <t>2165,2023-04-01 04:00:00,0.95,1944,185,735.0,Road,Clear,7.7,Low,1</t>
  </si>
  <si>
    <t>2166,2023-04-01 05:00:00,0.77,4453,422,941.0,Road,Fog,48.6,High,0</t>
  </si>
  <si>
    <t>2167,2023-04-01 06:00:00,0.97,1376,134,137.7,Sea,Rain,29.0,High,0</t>
  </si>
  <si>
    <t>2168,2023-04-01 07:00:00,0.61,3340,105,1357.0,Rail,Clear,27.0,High,1</t>
  </si>
  <si>
    <t>2169,2023-04-01 08:00:00,0.65,2213,44,1494.0,Air,Rain,30.7,Low,0</t>
  </si>
  <si>
    <t>2170,2023-04-01 09:00:00,0.65,2156,266,1926.8,Air,Clear,27.8,High,0</t>
  </si>
  <si>
    <t>2171,2023-04-01 10:00:00,0.89,858,307,262.4,Sea,Rain,57.5,High,0</t>
  </si>
  <si>
    <t>2172,2023-04-01 11:00:00,0.64,3684,487,939.1,Rail,Clear,4.9,High,0</t>
  </si>
  <si>
    <t>2173,2023-04-01 12:00:00,0.77,1753,468,369.8,Road,Clear,52.6,Low,0</t>
  </si>
  <si>
    <t>2174,2023-04-01 13:00:00,0.81,476,8,1380.7,Sea,Clear,17.0,Low,0</t>
  </si>
  <si>
    <t>2175,2023-04-01 14:00:00,0.81,2652,362,1783.9,Road,Rain,64.9,Medium,1</t>
  </si>
  <si>
    <t>2176,2023-04-01 15:00:00,0.72,2575,409,1419.8,Rail,Clear,9.6,Low,0</t>
  </si>
  <si>
    <t>2177,2023-04-01 16:00:00,0.95,1664,246,1397.4,Rail,Storm,68.3,Medium,1</t>
  </si>
  <si>
    <t>2178,2023-04-01 17:00:00,0.78,4259,104,230.4,Rail,Clear,59.0,Low,0</t>
  </si>
  <si>
    <t>2179,2023-04-01 18:00:00,0.67,3589,314,933.7,Air,Clear,14.1,Medium,0</t>
  </si>
  <si>
    <t>2180,2023-04-01 19:00:00,0.82,2483,379,1462.8,Road,Rain,5.2,Low,0</t>
  </si>
  <si>
    <t>2181,2023-04-01 20:00:00,0.65,749,75,1847.1,Road,Clear,71.3,Medium,0</t>
  </si>
  <si>
    <t>2182,2023-04-01 21:00:00,0.87,4587,181,1805.9,Air,Clear,71.1,Medium,1</t>
  </si>
  <si>
    <t>2183,2023-04-01 22:00:00,0.67,1501,179,914.6,Sea,Rain,14.0,Low,0</t>
  </si>
  <si>
    <t>2184,2023-04-01 23:00:00,0.96,2060,103,1645.4,Rail,Fog,41.2,Medium,0</t>
  </si>
  <si>
    <t>2185,2023-04-02 00:00:00,0.63,2004,170,1000.2,Air,Clear,31.4,Medium,0</t>
  </si>
  <si>
    <t>2186,2023-04-02 01:00:00,0.72,3543,61,1160.5,Air,Fog,18.0,High,0</t>
  </si>
  <si>
    <t>2187,2023-04-02 02:00:00,0.69,1499,213,1358.1,Road,Rain,44.5,Medium,0</t>
  </si>
  <si>
    <t>2188,2023-04-02 03:00:00,0.83,983,274,940.8,Air,Rain,64.6,High,0</t>
  </si>
  <si>
    <t>2189,2023-04-02 04:00:00,0.76,4612,41,1706.1,Rail,Storm,54.0,High,0</t>
  </si>
  <si>
    <t>2190,2023-04-02 05:00:00,0.78,4820,444,23.7,Sea,Rain,17.4,High,1</t>
  </si>
  <si>
    <t>2191,2023-04-02 06:00:00,0.78,4875,228,1053.8,Sea,Clear,41.6,Low,1</t>
  </si>
  <si>
    <t>2192,2023-04-02 07:00:00,0.84,4885,43,910.6,Air,Rain,11.0,High,1</t>
  </si>
  <si>
    <t>2193,2023-04-02 08:00:00,0.7,2567,331,906.7,Sea,Rain,13.2,Low,1</t>
  </si>
  <si>
    <t>2194,2023-04-02 09:00:00,0.73,3448,230,1946.4,Rail,Rain,67.6,High,0</t>
  </si>
  <si>
    <t>2195,2023-04-02 10:00:00,0.7,4317,269,93.3,Road,Storm,8.2,Low,0</t>
  </si>
  <si>
    <t>2196,2023-04-02 11:00:00,0.66,1623,147,750.1,Air,Fog,1.1,High,1</t>
  </si>
  <si>
    <t>2197,2023-04-02 12:00:00,0.85,1825,200,545.3,Air,Rain,14.9,Medium,0</t>
  </si>
  <si>
    <t>2198,2023-04-02 13:00:00,0.97,4867,6,156.7,Air,Rain,24.5,Low,1</t>
  </si>
  <si>
    <t>2199,2023-04-02 14:00:00,0.96,987,442,216.4,Road,Fog,31.6,Low,0</t>
  </si>
  <si>
    <t>2200,2023-04-02 15:00:00,0.99,3406,425,1671.8,Road,Rain,54.7,Low,1</t>
  </si>
  <si>
    <t>2201,2023-04-02 16:00:00,0.64,1745,452,1903.7,Rail,Fog,49.7,Low,0</t>
  </si>
  <si>
    <t>2202,2023-04-02 17:00:00,0.89,3405,334,1848.4,Rail,Rain,3.9,Medium,0</t>
  </si>
  <si>
    <t>2203,2023-04-02 18:00:00,0.63,3492,321,1254.8,Sea,Storm,24.0,High,1</t>
  </si>
  <si>
    <t>2204,2023-04-02 19:00:00,0.93,3937,109,184.5,Rail,Clear,36.3,Medium,0</t>
  </si>
  <si>
    <t>2205,2023-04-02 20:00:00,0.94,456,246,1868.2,Rail,Clear,42.7,Medium,0</t>
  </si>
  <si>
    <t>2206,2023-04-02 21:00:00,0.79,1865,154,111.3,Road,Clear,16.3,High,0</t>
  </si>
  <si>
    <t>2207,2023-04-02 22:00:00,0.99,4775,337,1042.2,Air,Fog,34.7,Medium,0</t>
  </si>
  <si>
    <t>2208,2023-04-02 23:00:00,0.79,3387,92,1441.2,Sea,Clear,55.4,Low,0</t>
  </si>
  <si>
    <t>2209,2023-04-03 00:00:00,0.82,447,304,1710.3,Road,Rain,54.6,High,0</t>
  </si>
  <si>
    <t>2210,2023-04-03 01:00:00,0.74,2480,237,374.0,Air,Storm,8.1,High,0</t>
  </si>
  <si>
    <t>2211,2023-04-03 02:00:00,0.93,2026,424,950.4,Air,Rain,26.0,Low,0</t>
  </si>
  <si>
    <t>2212,2023-04-03 03:00:00,0.83,1697,294,1448.8,Sea,Storm,49.7,High,1</t>
  </si>
  <si>
    <t>2213,2023-04-03 04:00:00,0.8,1774,449,877.9,Air,Fog,67.6,High,0</t>
  </si>
  <si>
    <t>2214,2023-04-03 05:00:00,0.77,1861,477,1595.9,Sea,Fog,13.1,Low,0</t>
  </si>
  <si>
    <t>2215,2023-04-03 06:00:00,0.9,2056,261,1096.8,Rail,Clear,27.4,High,0</t>
  </si>
  <si>
    <t>2216,2023-04-03 07:00:00,0.63,3738,173,1529.0,Road,Clear,14.1,Medium,0</t>
  </si>
  <si>
    <t>2217,2023-04-03 08:00:00,0.85,2488,29,35.5,Sea,Fog,54.6,Low,1</t>
  </si>
  <si>
    <t>2218,2023-04-03 09:00:00,0.63,3618,192,313.9,Rail,Clear,66.9,High,1</t>
  </si>
  <si>
    <t>2219,2023-04-03 10:00:00,0.69,2095,398,469.6,Sea,Fog,58.3,Low,1</t>
  </si>
  <si>
    <t>2220,2023-04-03 11:00:00,0.61,547,77,1894.2,Road,Storm,20.7,Low,1</t>
  </si>
  <si>
    <t>2221,2023-04-03 12:00:00,0.81,2575,33,372.5,Air,Fog,49.1,Medium,0</t>
  </si>
  <si>
    <t>2222,2023-04-03 13:00:00,0.98,2086,288,1171.5,Road,Clear,3.6,High,0</t>
  </si>
  <si>
    <t>2223,2023-04-03 14:00:00,0.69,2005,85,1772.5,Sea,Storm,70.6,Low,0</t>
  </si>
  <si>
    <t>2224,2023-04-03 15:00:00,0.65,1999,338,1883.2,Rail,Fog,15.7,Low,0</t>
  </si>
  <si>
    <t>2225,2023-04-03 16:00:00,0.81,1092,235,1703.1,Rail,Storm,55.6,High,1</t>
  </si>
  <si>
    <t>2226,2023-04-03 17:00:00,0.61,3165,339,254.1,Road,Clear,47.2,High,1</t>
  </si>
  <si>
    <t>2227,2023-04-03 18:00:00,0.74,2405,374,1641.6,Air,Fog,19.1,Medium,0</t>
  </si>
  <si>
    <t>2228,2023-04-03 19:00:00,0.78,1402,217,511.5,Road,Fog,43.8,High,0</t>
  </si>
  <si>
    <t>2229,2023-04-03 20:00:00,0.63,1607,458,1061.2,Air,Rain,49.5,Low,0</t>
  </si>
  <si>
    <t>2230,2023-04-03 21:00:00,0.95,2286,400,1114.1,Sea,Rain,52.7,High,0</t>
  </si>
  <si>
    <t>2231,2023-04-03 22:00:00,0.75,321,52,1472.6,Sea,Fog,21.1,Medium,0</t>
  </si>
  <si>
    <t>2232,2023-04-03 23:00:00,0.83,1538,235,1769.9,Air,Storm,66.3,Medium,0</t>
  </si>
  <si>
    <t>2233,2023-04-04 00:00:00,0.65,684,367,1399.8,Sea,Clear,65.5,High,0</t>
  </si>
  <si>
    <t>2234,2023-04-04 01:00:00,0.99,1784,174,1086.9,Sea,Rain,22.5,Medium,1</t>
  </si>
  <si>
    <t>2235,2023-04-04 02:00:00,0.67,69,138,373.6,Road,Rain,3.8,High,0</t>
  </si>
  <si>
    <t>2236,2023-04-04 03:00:00,0.79,801,55,1219.0,Air,Fog,56.9,High,0</t>
  </si>
  <si>
    <t>2237,2023-04-04 04:00:00,0.64,1265,351,1865.9,Air,Rain,31.1,Medium,0</t>
  </si>
  <si>
    <t>2238,2023-04-04 05:00:00,0.66,3523,132,196.1,Rail,Fog,68.0,Low,0</t>
  </si>
  <si>
    <t>2239,2023-04-04 06:00:00,0.65,4150,106,1836.1,Rail,Rain,24.2,High,0</t>
  </si>
  <si>
    <t>2240,2023-04-04 07:00:00,0.75,368,178,1044.7,Air,Fog,10.4,High,0</t>
  </si>
  <si>
    <t>2241,2023-04-04 08:00:00,0.64,3681,185,55.3,Sea,Storm,25.2,Medium,0</t>
  </si>
  <si>
    <t>2242,2023-04-04 09:00:00,0.79,876,312,253.3,Rail,Clear,4.7,Medium,0</t>
  </si>
  <si>
    <t>2243,2023-04-04 10:00:00,0.83,1883,173,1490.7,Air,Storm,51.0,High,1</t>
  </si>
  <si>
    <t>2244,2023-04-04 11:00:00,0.68,4839,124,1370.7,Rail,Storm,31.9,High,0</t>
  </si>
  <si>
    <t>2245,2023-04-04 12:00:00,0.91,3573,11,1163.5,Rail,Rain,7.2,High,0</t>
  </si>
  <si>
    <t>2246,2023-04-04 13:00:00,0.63,4518,23,1201.2,Sea,Storm,15.3,Medium,0</t>
  </si>
  <si>
    <t>2247,2023-04-04 14:00:00,0.83,4174,224,1740.1,Road,Fog,30.1,Low,0</t>
  </si>
  <si>
    <t>2248,2023-04-04 15:00:00,0.92,2815,399,1632.5,Air,Storm,5.7,High,0</t>
  </si>
  <si>
    <t>2249,2023-04-04 16:00:00,0.85,4762,150,1635.3,Rail,Storm,55.8,Low,0</t>
  </si>
  <si>
    <t>2250,2023-04-04 17:00:00,0.6,4535,54,1296.6,Air,Fog,12.4,High,0</t>
  </si>
  <si>
    <t>2251,2023-04-04 18:00:00,0.63,253,271,680.4,Sea,Clear,24.8,High,0</t>
  </si>
  <si>
    <t>2252,2023-04-04 19:00:00,0.62,1280,355,751.4,Road,Storm,1.5,Medium,0</t>
  </si>
  <si>
    <t>2253,2023-04-04 20:00:00,0.65,1198,401,1117.9,Road,Fog,8.5,High,1</t>
  </si>
  <si>
    <t>2254,2023-04-04 21:00:00,0.81,3306,257,1850.8,Road,Storm,33.1,Medium,0</t>
  </si>
  <si>
    <t>2255,2023-04-04 22:00:00,0.98,477,154,991.0,Air,Storm,41.5,High,0</t>
  </si>
  <si>
    <t>2256,2023-04-04 23:00:00,0.75,473,199,1311.9,Rail,Clear,46.6,Medium,0</t>
  </si>
  <si>
    <t>2257,2023-04-05 00:00:00,0.92,3908,174,1774.6,Rail,Fog,37.6,High,0</t>
  </si>
  <si>
    <t>2258,2023-04-05 01:00:00,0.71,2390,2,20.3,Rail,Clear,1.2,High,0</t>
  </si>
  <si>
    <t>2259,2023-04-05 02:00:00,0.99,4292,356,282.3,Air,Storm,51.0,Medium,1</t>
  </si>
  <si>
    <t>2260,2023-04-05 03:00:00,0.75,3152,343,124.0,Air,Rain,45.6,Low,0</t>
  </si>
  <si>
    <t>2261,2023-04-05 04:00:00,0.68,288,98,1102.3,Rail,Storm,15.8,Medium,0</t>
  </si>
  <si>
    <t>2262,2023-04-05 05:00:00,0.68,963,374,542.2,Rail,Fog,28.2,High,1</t>
  </si>
  <si>
    <t>2263,2023-04-05 06:00:00,0.65,910,490,781.9,Rail,Rain,30.0,Low,0</t>
  </si>
  <si>
    <t>2264,2023-04-05 07:00:00,0.63,2666,46,455.6,Air,Rain,2.1,High,0</t>
  </si>
  <si>
    <t>2265,2023-04-05 08:00:00,0.97,805,261,111.2,Air,Rain,63.2,Low,0</t>
  </si>
  <si>
    <t>2266,2023-04-05 09:00:00,0.89,2208,329,1031.7,Rail,Fog,54.5,Low,1</t>
  </si>
  <si>
    <t>2267,2023-04-05 10:00:00,0.66,475,452,1703.4,Rail,Clear,28.1,Medium,1</t>
  </si>
  <si>
    <t>2268,2023-04-05 11:00:00,0.84,342,314,665.9,Air,Clear,41.3,High,1</t>
  </si>
  <si>
    <t>2269,2023-04-05 12:00:00,0.79,4882,319,1054.0,Sea,Clear,45.1,Medium,0</t>
  </si>
  <si>
    <t>2270,2023-04-05 13:00:00,0.63,624,373,755.9,Sea,Clear,18.4,Low,0</t>
  </si>
  <si>
    <t>2271,2023-04-05 14:00:00,1.0,4493,215,435.1,Air,Rain,20.0,Low,0</t>
  </si>
  <si>
    <t>2272,2023-04-05 15:00:00,0.69,3148,198,977.3,Sea,Rain,14.2,High,0</t>
  </si>
  <si>
    <t>2273,2023-04-05 16:00:00,0.83,785,148,851.5,Sea,Fog,46.3,High,0</t>
  </si>
  <si>
    <t>2274,2023-04-05 17:00:00,0.74,2368,201,154.2,Rail,Clear,42.9,Medium,1</t>
  </si>
  <si>
    <t>2275,2023-04-05 18:00:00,0.8,4806,451,336.1,Road,Rain,28.5,High,0</t>
  </si>
  <si>
    <t>2276,2023-04-05 19:00:00,1.0,2688,103,1257.8,Rail,Clear,15.2,Low,0</t>
  </si>
  <si>
    <t>2277,2023-04-05 20:00:00,0.91,4891,458,749.1,Road,Clear,2.1,Low,0</t>
  </si>
  <si>
    <t>2278,2023-04-05 21:00:00,0.7,2700,188,1867.5,Air,Clear,36.8,Low,0</t>
  </si>
  <si>
    <t>2279,2023-04-05 22:00:00,0.88,238,84,1018.0,Road,Fog,5.5,Medium,0</t>
  </si>
  <si>
    <t>2280,2023-04-05 23:00:00,0.79,3934,465,151.2,Rail,Clear,11.6,Medium,0</t>
  </si>
  <si>
    <t>2281,2023-04-06 00:00:00,0.7,3369,311,1057.5,Air,Fog,39.0,High,0</t>
  </si>
  <si>
    <t>2282,2023-04-06 01:00:00,0.82,4931,389,371.4,Air,Rain,61.7,Medium,1</t>
  </si>
  <si>
    <t>2283,2023-04-06 02:00:00,0.69,4682,317,1434.9,Sea,Rain,37.8,Medium,0</t>
  </si>
  <si>
    <t>2284,2023-04-06 03:00:00,0.92,1101,460,1369.2,Road,Fog,31.0,Medium,0</t>
  </si>
  <si>
    <t>2285,2023-04-06 04:00:00,0.72,2611,22,1872.4,Air,Storm,20.4,High,1</t>
  </si>
  <si>
    <t>2286,2023-04-06 05:00:00,0.64,4079,484,656.9,Rail,Storm,16.2,Low,0</t>
  </si>
  <si>
    <t>2287,2023-04-06 06:00:00,0.95,1849,329,892.0,Air,Storm,35.0,Low,0</t>
  </si>
  <si>
    <t>2288,2023-04-06 07:00:00,0.67,2497,390,414.1,Sea,Clear,65.2,Medium,0</t>
  </si>
  <si>
    <t>2289,2023-04-06 08:00:00,0.88,4338,164,1558.5,Air,Clear,30.4,High,0</t>
  </si>
  <si>
    <t>2290,2023-04-06 09:00:00,0.95,4461,118,1165.2,Road,Fog,19.9,Low,0</t>
  </si>
  <si>
    <t>2291,2023-04-06 10:00:00,0.89,1332,43,1544.1,Road,Storm,26.3,High,1</t>
  </si>
  <si>
    <t>2292,2023-04-06 11:00:00,0.98,386,474,774.5,Air,Clear,71.7,High,1</t>
  </si>
  <si>
    <t>2293,2023-04-06 12:00:00,0.71,4960,365,1118.6,Rail,Storm,29.1,High,0</t>
  </si>
  <si>
    <t>2294,2023-04-06 13:00:00,0.75,1129,249,755.2,Rail,Fog,39.5,Medium,0</t>
  </si>
  <si>
    <t>2295,2023-04-06 14:00:00,0.85,1899,325,659.2,Sea,Clear,62.7,High,0</t>
  </si>
  <si>
    <t>2296,2023-04-06 15:00:00,0.65,2246,394,637.2,Road,Fog,59.6,High,1</t>
  </si>
  <si>
    <t>2297,2023-04-06 16:00:00,1.0,1543,222,1329.2,Sea,Clear,48.2,High,1</t>
  </si>
  <si>
    <t>2298,2023-04-06 17:00:00,0.86,1766,178,669.1,Rail,Storm,16.8,High,0</t>
  </si>
  <si>
    <t>2299,2023-04-06 18:00:00,0.87,3472,408,1949.9,Road,Clear,15.7,Low,0</t>
  </si>
  <si>
    <t>2300,2023-04-06 19:00:00,0.83,4986,60,288.0,Rail,Fog,30.3,Low,0</t>
  </si>
  <si>
    <t>2301,2023-04-06 20:00:00,0.8,3207,467,1407.4,Road,Rain,19.4,High,1</t>
  </si>
  <si>
    <t>2302,2023-04-06 21:00:00,0.68,324,394,1474.0,Road,Storm,56.8,Medium,0</t>
  </si>
  <si>
    <t>2303,2023-04-06 22:00:00,0.64,3557,149,663.6,Sea,Rain,10.4,Low,0</t>
  </si>
  <si>
    <t>2304,2023-04-06 23:00:00,0.7,321,72,1017.7,Rail,Storm,59.7,High,0</t>
  </si>
  <si>
    <t>2305,2023-04-07 00:00:00,0.61,2917,32,83.1,Rail,Rain,40.0,Medium,0</t>
  </si>
  <si>
    <t>2306,2023-04-07 01:00:00,0.85,2117,161,642.1,Road,Rain,27.9,Low,1</t>
  </si>
  <si>
    <t>2307,2023-04-07 02:00:00,0.67,2580,485,1221.4,Air,Storm,14.9,Medium,0</t>
  </si>
  <si>
    <t>2308,2023-04-07 03:00:00,0.97,2656,235,1313.9,Sea,Fog,2.2,Low,0</t>
  </si>
  <si>
    <t>2309,2023-04-07 04:00:00,0.64,2090,136,1809.1,Sea,Rain,33.7,High,0</t>
  </si>
  <si>
    <t>2310,2023-04-07 05:00:00,0.73,3816,50,1242.2,Sea,Fog,35.3,High,0</t>
  </si>
  <si>
    <t>2311,2023-04-07 06:00:00,0.94,95,395,1672.3,Air,Fog,2.5,Low,1</t>
  </si>
  <si>
    <t>2312,2023-04-07 07:00:00,0.85,3091,20,1952.0,Rail,Clear,58.8,Medium,0</t>
  </si>
  <si>
    <t>2313,2023-04-07 08:00:00,0.77,2774,322,1672.4,Rail,Storm,22.2,High,1</t>
  </si>
  <si>
    <t>2314,2023-04-07 09:00:00,0.89,3144,243,895.9,Rail,Rain,64.4,High,1</t>
  </si>
  <si>
    <t>2315,2023-04-07 10:00:00,0.76,1459,224,1293.2,Road,Rain,2.1,Low,0</t>
  </si>
  <si>
    <t>2316,2023-04-07 11:00:00,0.66,4917,478,220.7,Sea,Clear,2.3,Medium,0</t>
  </si>
  <si>
    <t>2317,2023-04-07 12:00:00,0.99,3404,256,1053.4,Sea,Rain,42.8,Medium,1</t>
  </si>
  <si>
    <t>2318,2023-04-07 13:00:00,0.95,179,377,957.0,Air,Fog,51.1,Low,0</t>
  </si>
  <si>
    <t>2319,2023-04-07 14:00:00,0.9,790,471,746.7,Rail,Clear,58.6,Low,0</t>
  </si>
  <si>
    <t>2320,2023-04-07 15:00:00,0.71,1962,111,734.0,Air,Fog,33.6,Medium,0</t>
  </si>
  <si>
    <t>2321,2023-04-07 16:00:00,0.8,1239,200,297.5,Road,Fog,14.1,Medium,0</t>
  </si>
  <si>
    <t>2322,2023-04-07 17:00:00,0.64,1676,241,43.5,Air,Storm,43.2,Medium,0</t>
  </si>
  <si>
    <t>2323,2023-04-07 18:00:00,0.62,522,249,998.8,Rail,Rain,19.1,Low,1</t>
  </si>
  <si>
    <t>2324,2023-04-07 19:00:00,0.98,1585,327,1108.2,Air,Rain,30.4,Medium,1</t>
  </si>
  <si>
    <t>2325,2023-04-07 20:00:00,0.77,2850,174,1849.0,Sea,Fog,44.8,Low,1</t>
  </si>
  <si>
    <t>2326,2023-04-07 21:00:00,0.69,1751,257,1550.1,Road,Fog,36.0,Medium,0</t>
  </si>
  <si>
    <t>2327,2023-04-07 22:00:00,0.92,3960,40,1366.8,Air,Rain,50.7,High,1</t>
  </si>
  <si>
    <t>2328,2023-04-07 23:00:00,0.81,4748,156,1265.3,Sea,Fog,67.2,High,0</t>
  </si>
  <si>
    <t>2329,2023-04-08 00:00:00,0.86,929,25,1600.7,Sea,Fog,66.9,High,0</t>
  </si>
  <si>
    <t>2330,2023-04-08 01:00:00,0.64,2879,90,1544.9,Road,Fog,67.4,High,0</t>
  </si>
  <si>
    <t>2331,2023-04-08 02:00:00,0.78,4093,75,657.3,Rail,Clear,22.4,Medium,0</t>
  </si>
  <si>
    <t>2332,2023-04-08 03:00:00,0.76,3373,320,1752.9,Sea,Fog,60.2,Low,0</t>
  </si>
  <si>
    <t>2333,2023-04-08 04:00:00,0.72,1368,90,1757.4,Air,Fog,58.2,Medium,0</t>
  </si>
  <si>
    <t>2334,2023-04-08 05:00:00,0.67,4191,181,698.1,Sea,Clear,43.5,High,0</t>
  </si>
  <si>
    <t>2335,2023-04-08 06:00:00,0.95,2778,140,1812.6,Rail,Rain,11.6,High,0</t>
  </si>
  <si>
    <t>2336,2023-04-08 07:00:00,0.9,3544,256,108.9,Air,Clear,34.8,Medium,0</t>
  </si>
  <si>
    <t>2337,2023-04-08 08:00:00,0.83,2822,363,904.3,Road,Clear,52.9,High,1</t>
  </si>
  <si>
    <t>2338,2023-04-08 09:00:00,0.71,3569,17,447.2,Road,Storm,7.9,Medium,1</t>
  </si>
  <si>
    <t>2339,2023-04-08 10:00:00,0.85,1360,422,351.2,Road,Storm,7.0,Low,0</t>
  </si>
  <si>
    <t>2340,2023-04-08 11:00:00,0.76,2205,317,442.9,Air,Clear,14.2,Medium,0</t>
  </si>
  <si>
    <t>2341,2023-04-08 12:00:00,0.6,1640,305,14.8,Rail,Clear,28.7,Medium,1</t>
  </si>
  <si>
    <t>2342,2023-04-08 13:00:00,0.85,3799,274,1717.7,Rail,Fog,28.3,Low,0</t>
  </si>
  <si>
    <t>2343,2023-04-08 14:00:00,0.87,3746,477,1245.5,Sea,Clear,23.4,Low,0</t>
  </si>
  <si>
    <t>2344,2023-04-08 15:00:00,0.98,4116,456,809.7,Sea,Fog,2.1,Medium,0</t>
  </si>
  <si>
    <t>2345,2023-04-08 16:00:00,0.93,520,245,594.3,Air,Clear,26.6,High,0</t>
  </si>
  <si>
    <t>2346,2023-04-08 17:00:00,0.63,1237,429,1722.3,Rail,Rain,67.7,High,1</t>
  </si>
  <si>
    <t>2347,2023-04-08 18:00:00,0.73,1617,9,90.1,Road,Storm,61.2,High,0</t>
  </si>
  <si>
    <t>2348,2023-04-08 19:00:00,0.62,1312,308,284.1,Road,Rain,59.6,Medium,1</t>
  </si>
  <si>
    <t>2349,2023-04-08 20:00:00,0.63,1739,316,1212.6,Sea,Clear,23.3,High,0</t>
  </si>
  <si>
    <t>2350,2023-04-08 21:00:00,0.79,3604,417,506.2,Road,Fog,3.5,Medium,0</t>
  </si>
  <si>
    <t>2351,2023-04-08 22:00:00,0.68,3744,292,68.4,Rail,Storm,67.7,Low,1</t>
  </si>
  <si>
    <t>2352,2023-04-08 23:00:00,0.62,4387,293,44.1,Road,Clear,67.2,Low,0</t>
  </si>
  <si>
    <t>2353,2023-04-09 00:00:00,0.85,2657,427,1842.3,Sea,Storm,43.8,High,0</t>
  </si>
  <si>
    <t>2354,2023-04-09 01:00:00,0.97,4718,321,22.6,Rail,Fog,40.6,High,0</t>
  </si>
  <si>
    <t>2355,2023-04-09 02:00:00,0.93,2496,31,1736.7,Road,Rain,24.3,High,1</t>
  </si>
  <si>
    <t>2356,2023-04-09 03:00:00,0.62,4738,5,1596.2,Air,Rain,55.9,Medium,0</t>
  </si>
  <si>
    <t>2357,2023-04-09 04:00:00,0.72,1691,115,1705.9,Sea,Fog,38.4,Low,0</t>
  </si>
  <si>
    <t>2358,2023-04-09 05:00:00,0.62,443,340,844.4,Road,Rain,15.9,Medium,0</t>
  </si>
  <si>
    <t>2359,2023-04-09 06:00:00,0.77,1167,478,214.4,Rail,Rain,20.2,Medium,1</t>
  </si>
  <si>
    <t>2360,2023-04-09 07:00:00,0.97,4168,326,1873.0,Road,Clear,3.7,High,0</t>
  </si>
  <si>
    <t>2361,2023-04-09 08:00:00,0.68,4804,196,61.3,Air,Clear,28.4,High,1</t>
  </si>
  <si>
    <t>2362,2023-04-09 09:00:00,0.89,667,160,1352.1,Sea,Storm,40.2,Medium,1</t>
  </si>
  <si>
    <t>2363,2023-04-09 10:00:00,0.8,2009,349,670.4,Air,Fog,53.4,Low,1</t>
  </si>
  <si>
    <t>2364,2023-04-09 11:00:00,0.81,1999,336,1089.7,Sea,Clear,55.1,Low,0</t>
  </si>
  <si>
    <t>2365,2023-04-09 12:00:00,0.93,3742,15,860.5,Sea,Rain,9.1,High,0</t>
  </si>
  <si>
    <t>2366,2023-04-09 13:00:00,0.72,2353,124,933.9,Air,Clear,43.5,High,0</t>
  </si>
  <si>
    <t>2367,2023-04-09 14:00:00,0.73,276,25,1566.4,Sea,Clear,71.7,High,0</t>
  </si>
  <si>
    <t>2368,2023-04-09 15:00:00,0.9,683,387,762.6,Air,Fog,18.5,Low,0</t>
  </si>
  <si>
    <t>2369,2023-04-09 16:00:00,0.66,2567,297,1232.4,Road,Rain,30.0,Medium,0</t>
  </si>
  <si>
    <t>2370,2023-04-09 17:00:00,0.64,1888,71,1301.8,Air,Storm,60.3,Medium,0</t>
  </si>
  <si>
    <t>2371,2023-04-09 18:00:00,0.76,3108,398,896.3,Sea,Clear,16.3,Low,0</t>
  </si>
  <si>
    <t>2372,2023-04-09 19:00:00,0.76,2227,329,1150.1,Rail,Fog,57.3,Medium,0</t>
  </si>
  <si>
    <t>2373,2023-04-09 20:00:00,0.72,578,19,82.1,Rail,Clear,39.0,High,1</t>
  </si>
  <si>
    <t>2374,2023-04-09 21:00:00,0.7,813,468,305.6,Rail,Storm,39.3,Low,1</t>
  </si>
  <si>
    <t>2375,2023-04-09 22:00:00,0.95,4289,381,726.2,Air,Fog,45.3,Medium,1</t>
  </si>
  <si>
    <t>2376,2023-04-09 23:00:00,0.76,1771,205,1831.2,Road,Fog,71.2,High,1</t>
  </si>
  <si>
    <t>2377,2023-04-10 00:00:00,0.72,1402,271,588.0,Sea,Rain,59.6,High,1</t>
  </si>
  <si>
    <t>2378,2023-04-10 01:00:00,0.91,1357,14,883.1,Air,Fog,40.1,High,1</t>
  </si>
  <si>
    <t>2379,2023-04-10 02:00:00,0.94,4734,175,5.2,Road,Rain,15.1,Medium,1</t>
  </si>
  <si>
    <t>2380,2023-04-10 03:00:00,0.88,3019,234,1182.0,Air,Storm,52.6,Medium,0</t>
  </si>
  <si>
    <t>2381,2023-04-10 04:00:00,0.99,3956,159,161.9,Rail,Rain,29.5,Medium,0</t>
  </si>
  <si>
    <t>2382,2023-04-10 05:00:00,0.65,3108,227,111.5,Air,Clear,30.2,Low,0</t>
  </si>
  <si>
    <t>2383,2023-04-10 06:00:00,0.78,797,300,1209.7,Rail,Storm,66.2,High,1</t>
  </si>
  <si>
    <t>2384,2023-04-10 07:00:00,0.92,1870,224,1667.0,Air,Rain,63.9,Medium,0</t>
  </si>
  <si>
    <t>2385,2023-04-10 08:00:00,0.99,3508,378,1807.9,Road,Clear,56.4,Low,0</t>
  </si>
  <si>
    <t>2386,2023-04-10 09:00:00,0.68,1764,91,1301.4,Air,Fog,33.5,Low,0</t>
  </si>
  <si>
    <t>2387,2023-04-10 10:00:00,0.9,4811,417,848.1,Sea,Rain,44.8,Medium,0</t>
  </si>
  <si>
    <t>2388,2023-04-10 11:00:00,0.68,2797,142,634.7,Road,Clear,32.2,Low,0</t>
  </si>
  <si>
    <t>2389,2023-04-10 12:00:00,0.76,2295,184,1968.4,Rail,Fog,35.6,Medium,0</t>
  </si>
  <si>
    <t>2390,2023-04-10 13:00:00,0.9,4077,207,1477.1,Rail,Clear,35.5,High,0</t>
  </si>
  <si>
    <t>2391,2023-04-10 14:00:00,0.91,2186,53,1281.9,Air,Rain,37.2,High,1</t>
  </si>
  <si>
    <t>2392,2023-04-10 15:00:00,0.62,3985,304,40.2,Sea,Rain,25.9,Low,1</t>
  </si>
  <si>
    <t>2393,2023-04-10 16:00:00,0.7,3215,225,212.8,Air,Clear,57.2,High,0</t>
  </si>
  <si>
    <t>2394,2023-04-10 17:00:00,0.99,4036,310,729.1,Rail,Storm,40.9,High,0</t>
  </si>
  <si>
    <t>2395,2023-04-10 18:00:00,0.83,3546,417,1107.5,Air,Fog,62.6,Low,0</t>
  </si>
  <si>
    <t>2396,2023-04-10 19:00:00,0.83,3136,293,1466.2,Air,Clear,69.8,Medium,0</t>
  </si>
  <si>
    <t>2397,2023-04-10 20:00:00,0.7,2624,1,1183.8,Rail,Rain,40.5,Medium,1</t>
  </si>
  <si>
    <t>2398,2023-04-10 21:00:00,0.78,2773,135,1210.9,Road,Fog,46.4,Low,0</t>
  </si>
  <si>
    <t>2399,2023-04-10 22:00:00,0.71,2284,203,700.7,Air,Fog,49.1,Low,0</t>
  </si>
  <si>
    <t>2400,2023-04-10 23:00:00,0.66,3267,488,830.2,Rail,Rain,62.6,Low,1</t>
  </si>
  <si>
    <t>2401,2023-04-11 00:00:00,0.71,2361,364,599.6,Air,Clear,62.0,Medium,0</t>
  </si>
  <si>
    <t>2402,2023-04-11 01:00:00,0.82,3753,21,224.2,Air,Fog,5.0,High,0</t>
  </si>
  <si>
    <t>2403,2023-04-11 02:00:00,0.81,4580,469,819.8,Road,Rain,45.8,Medium,0</t>
  </si>
  <si>
    <t>2404,2023-04-11 03:00:00,0.81,1381,273,703.3,Rail,Storm,8.3,Medium,0</t>
  </si>
  <si>
    <t>2405,2023-04-11 04:00:00,0.74,2735,104,468.4,Sea,Rain,33.1,High,0</t>
  </si>
  <si>
    <t>2406,2023-04-11 05:00:00,0.77,819,9,855.7,Air,Rain,39.8,Medium,0</t>
  </si>
  <si>
    <t>2407,2023-04-11 06:00:00,0.95,351,180,571.1,Road,Clear,24.7,Medium,1</t>
  </si>
  <si>
    <t>2408,2023-04-11 07:00:00,0.97,796,403,342.1,Sea,Fog,63.2,High,0</t>
  </si>
  <si>
    <t>2409,2023-04-11 08:00:00,0.96,776,329,1165.0,Road,Clear,50.9,Low,0</t>
  </si>
  <si>
    <t>2410,2023-04-11 09:00:00,0.69,3133,117,1836.0,Road,Fog,60.1,Medium,0</t>
  </si>
  <si>
    <t>2411,2023-04-11 10:00:00,0.85,2514,35,1550.3,Road,Storm,4.1,Medium,0</t>
  </si>
  <si>
    <t>2412,2023-04-11 11:00:00,0.91,4485,479,1412.7,Road,Fog,58.9,Medium,0</t>
  </si>
  <si>
    <t>2413,2023-04-11 12:00:00,0.73,2683,478,611.4,Rail,Rain,52.7,Medium,0</t>
  </si>
  <si>
    <t>2414,2023-04-11 13:00:00,0.79,3285,20,1877.1,Sea,Storm,44.5,Low,0</t>
  </si>
  <si>
    <t>2415,2023-04-11 14:00:00,0.94,3733,453,1555.4,Sea,Storm,8.8,Medium,0</t>
  </si>
  <si>
    <t>2416,2023-04-11 15:00:00,0.88,1937,438,911.2,Road,Storm,56.1,High,0</t>
  </si>
  <si>
    <t>2417,2023-04-11 16:00:00,0.89,2079,4,281.4,Rail,Fog,71.2,High,1</t>
  </si>
  <si>
    <t>2418,2023-04-11 17:00:00,0.63,4828,237,1201.4,Road,Clear,7.6,Low,0</t>
  </si>
  <si>
    <t>2419,2023-04-11 18:00:00,0.62,4861,489,364.4,Road,Storm,50.9,Medium,0</t>
  </si>
  <si>
    <t>2420,2023-04-11 19:00:00,0.88,3781,116,654.2,Rail,Clear,18.1,Medium,0</t>
  </si>
  <si>
    <t>2421,2023-04-11 20:00:00,0.83,3679,168,1976.7,Road,Rain,7.6,Low,0</t>
  </si>
  <si>
    <t>2422,2023-04-11 21:00:00,0.67,2023,403,1127.3,Air,Clear,61.4,Medium,0</t>
  </si>
  <si>
    <t>2423,2023-04-11 22:00:00,0.6,4737,108,392.4,Sea,Storm,16.5,Medium,0</t>
  </si>
  <si>
    <t>2424,2023-04-11 23:00:00,0.69,1272,363,629.0,Rail,Storm,17.7,Low,1</t>
  </si>
  <si>
    <t>2425,2023-04-12 00:00:00,0.85,2662,462,1676.5,Rail,Storm,63.1,Medium,0</t>
  </si>
  <si>
    <t>2426,2023-04-12 01:00:00,0.74,703,396,155.8,Road,Storm,70.4,Low,1</t>
  </si>
  <si>
    <t>2427,2023-04-12 02:00:00,0.86,1260,276,522.6,Sea,Rain,51.9,High,0</t>
  </si>
  <si>
    <t>2428,2023-04-12 03:00:00,0.66,4716,316,515.0,Road,Rain,33.2,Medium,0</t>
  </si>
  <si>
    <t>2429,2023-04-12 04:00:00,0.86,3816,182,467.3,Road,Clear,6.4,Low,0</t>
  </si>
  <si>
    <t>2430,2023-04-12 05:00:00,0.64,1129,174,794.8,Sea,Fog,49.2,High,0</t>
  </si>
  <si>
    <t>2431,2023-04-12 06:00:00,0.96,492,217,1701.2,Road,Fog,58.8,Medium,0</t>
  </si>
  <si>
    <t>2432,2023-04-12 07:00:00,0.7,1743,365,1360.0,Rail,Clear,30.7,High,1</t>
  </si>
  <si>
    <t>2433,2023-04-12 08:00:00,0.6,2408,349,1830.4,Sea,Fog,6.7,Low,0</t>
  </si>
  <si>
    <t>2434,2023-04-12 09:00:00,0.92,4251,30,981.0,Road,Rain,32.0,Medium,0</t>
  </si>
  <si>
    <t>2435,2023-04-12 10:00:00,0.73,872,393,1489.3,Road,Clear,6.1,Low,0</t>
  </si>
  <si>
    <t>2436,2023-04-12 11:00:00,0.76,2982,127,1306.9,Road,Clear,11.7,High,0</t>
  </si>
  <si>
    <t>2437,2023-04-12 12:00:00,0.66,400,159,583.3,Road,Fog,17.5,Low,0</t>
  </si>
  <si>
    <t>2438,2023-04-12 13:00:00,0.68,3667,198,1995.9,Rail,Clear,48.5,Medium,0</t>
  </si>
  <si>
    <t>2439,2023-04-12 14:00:00,0.76,4678,229,1574.0,Rail,Rain,33.8,Medium,0</t>
  </si>
  <si>
    <t>2440,2023-04-12 15:00:00,0.72,2874,83,57.8,Sea,Storm,53.2,Low,1</t>
  </si>
  <si>
    <t>2441,2023-04-12 16:00:00,0.8,468,139,1929.5,Air,Clear,58.7,Low,0</t>
  </si>
  <si>
    <t>2442,2023-04-12 17:00:00,0.71,2747,422,746.9,Sea,Fog,50.4,High,0</t>
  </si>
  <si>
    <t>2443,2023-04-12 18:00:00,0.77,3231,40,989.6,Road,Fog,17.1,Medium,0</t>
  </si>
  <si>
    <t>2444,2023-04-12 19:00:00,0.61,2815,422,541.1,Air,Storm,33.0,Low,0</t>
  </si>
  <si>
    <t>2445,2023-04-12 20:00:00,0.8,3452,330,523.8,Sea,Rain,60.9,Medium,1</t>
  </si>
  <si>
    <t>2446,2023-04-12 21:00:00,0.84,1755,314,1468.3,Air,Clear,4.1,Medium,0</t>
  </si>
  <si>
    <t>2447,2023-04-12 22:00:00,0.96,4586,376,159.8,Air,Rain,45.1,Low,0</t>
  </si>
  <si>
    <t>2448,2023-04-12 23:00:00,0.89,4311,5,1697.6,Air,Rain,7.3,Low,0</t>
  </si>
  <si>
    <t>2449,2023-04-13 00:00:00,0.63,476,47,72.6,Road,Fog,57.7,Low,1</t>
  </si>
  <si>
    <t>2450,2023-04-13 01:00:00,0.75,3757,444,160.1,Road,Fog,3.8,Medium,0</t>
  </si>
  <si>
    <t>2451,2023-04-13 02:00:00,0.9,2748,343,277.9,Rail,Storm,50.7,Medium,0</t>
  </si>
  <si>
    <t>2452,2023-04-13 03:00:00,0.89,2713,130,736.2,Rail,Rain,14.2,Medium,0</t>
  </si>
  <si>
    <t>2453,2023-04-13 04:00:00,0.62,2245,466,727.6,Rail,Fog,10.6,High,0</t>
  </si>
  <si>
    <t>2454,2023-04-13 05:00:00,0.61,2740,304,1321.6,Sea,Fog,44.0,Medium,0</t>
  </si>
  <si>
    <t>2455,2023-04-13 06:00:00,0.8,4780,477,1254.8,Sea,Fog,47.6,Low,0</t>
  </si>
  <si>
    <t>2456,2023-04-13 07:00:00,0.78,421,363,1117.6,Rail,Fog,27.5,Medium,0</t>
  </si>
  <si>
    <t>2457,2023-04-13 08:00:00,0.65,4135,369,352.6,Air,Fog,9.9,Medium,1</t>
  </si>
  <si>
    <t>2458,2023-04-13 09:00:00,0.71,1701,216,495.8,Road,Clear,25.9,Low,0</t>
  </si>
  <si>
    <t>2459,2023-04-13 10:00:00,0.74,3270,294,1454.4,Road,Rain,40.4,High,1</t>
  </si>
  <si>
    <t>2460,2023-04-13 11:00:00,0.91,1557,147,1403.2,Air,Clear,19.3,Medium,1</t>
  </si>
  <si>
    <t>2461,2023-04-13 12:00:00,0.7,4371,285,1802.6,Sea,Clear,15.2,High,0</t>
  </si>
  <si>
    <t>2462,2023-04-13 13:00:00,0.92,3631,418,843.0,Rail,Fog,28.2,Medium,1</t>
  </si>
  <si>
    <t>2463,2023-04-13 14:00:00,0.94,1158,286,1516.0,Rail,Fog,33.1,Low,1</t>
  </si>
  <si>
    <t>2464,2023-04-13 15:00:00,0.7,109,79,1310.0,Road,Clear,65.0,Medium,0</t>
  </si>
  <si>
    <t>2465,2023-04-13 16:00:00,0.94,4177,400,587.9,Road,Clear,61.7,High,1</t>
  </si>
  <si>
    <t>2466,2023-04-13 17:00:00,0.63,1899,289,681.8,Sea,Clear,9.4,High,0</t>
  </si>
  <si>
    <t>2467,2023-04-13 18:00:00,0.75,382,202,1659.9,Sea,Storm,39.3,High,1</t>
  </si>
  <si>
    <t>2468,2023-04-13 19:00:00,0.64,301,355,1406.3,Road,Fog,26.5,Medium,1</t>
  </si>
  <si>
    <t>2469,2023-04-13 20:00:00,0.73,1507,43,1565.2,Rail,Storm,64.7,Medium,0</t>
  </si>
  <si>
    <t>2470,2023-04-13 21:00:00,0.71,2002,93,1843.5,Rail,Fog,18.4,High,0</t>
  </si>
  <si>
    <t>2471,2023-04-13 22:00:00,0.9,3586,132,1027.0,Air,Rain,7.1,High,1</t>
  </si>
  <si>
    <t>2472,2023-04-13 23:00:00,0.93,4628,284,614.7,Rail,Fog,24.5,Low,0</t>
  </si>
  <si>
    <t>2473,2023-04-14 00:00:00,0.73,3949,141,1188.2,Road,Rain,61.2,High,0</t>
  </si>
  <si>
    <t>2474,2023-04-14 01:00:00,0.74,996,69,1235.0,Rail,Rain,11.6,High,0</t>
  </si>
  <si>
    <t>2475,2023-04-14 02:00:00,0.99,1739,454,209.0,Road,Rain,3.9,Low,0</t>
  </si>
  <si>
    <t>2476,2023-04-14 03:00:00,0.66,4570,483,376.7,Air,Clear,70.9,Low,1</t>
  </si>
  <si>
    <t>2477,2023-04-14 04:00:00,0.79,1034,392,1747.5,Sea,Rain,62.4,High,0</t>
  </si>
  <si>
    <t>2478,2023-04-14 05:00:00,0.84,3992,497,1315.2,Rail,Fog,49.9,Low,0</t>
  </si>
  <si>
    <t>2479,2023-04-14 06:00:00,0.86,3852,333,1031.7,Road,Clear,48.7,Low,0</t>
  </si>
  <si>
    <t>2480,2023-04-14 07:00:00,0.66,1359,62,1113.2,Road,Fog,63.7,Low,0</t>
  </si>
  <si>
    <t>2481,2023-04-14 08:00:00,0.73,530,337,1391.2,Sea,Storm,69.2,Low,0</t>
  </si>
  <si>
    <t>2482,2023-04-14 09:00:00,0.66,3544,467,750.8,Sea,Rain,27.3,Medium,0</t>
  </si>
  <si>
    <t>2483,2023-04-14 10:00:00,0.9,1167,463,1905.7,Air,Rain,41.1,High,0</t>
  </si>
  <si>
    <t>2484,2023-04-14 11:00:00,0.89,2559,47,248.0,Road,Fog,40.0,Low,0</t>
  </si>
  <si>
    <t>2485,2023-04-14 12:00:00,0.93,4852,32,461.0,Rail,Storm,41.4,Medium,1</t>
  </si>
  <si>
    <t>2486,2023-04-14 13:00:00,0.77,4641,83,1106.6,Road,Rain,60.4,Medium,0</t>
  </si>
  <si>
    <t>2487,2023-04-14 14:00:00,0.61,403,343,390.8,Sea,Clear,53.5,High,0</t>
  </si>
  <si>
    <t>2488,2023-04-14 15:00:00,0.96,523,53,498.2,Rail,Storm,20.0,Medium,1</t>
  </si>
  <si>
    <t>2489,2023-04-14 16:00:00,0.64,1055,376,1529.6,Road,Storm,41.3,Low,0</t>
  </si>
  <si>
    <t>2490,2023-04-14 17:00:00,0.69,1059,159,1826.8,Sea,Storm,3.8,Medium,0</t>
  </si>
  <si>
    <t>2491,2023-04-14 18:00:00,0.61,3659,315,919.5,Sea,Storm,17.8,Low,1</t>
  </si>
  <si>
    <t>2492,2023-04-14 19:00:00,0.76,1164,378,257.1,Rail,Clear,66.3,High,0</t>
  </si>
  <si>
    <t>2493,2023-04-14 20:00:00,0.88,1885,84,261.4,Sea,Clear,24.6,Low,0</t>
  </si>
  <si>
    <t>2494,2023-04-14 21:00:00,0.97,3739,147,947.0,Rail,Fog,41.1,High,0</t>
  </si>
  <si>
    <t>2495,2023-04-14 22:00:00,0.82,2072,45,140.9,Road,Fog,38.0,High,0</t>
  </si>
  <si>
    <t>2496,2023-04-14 23:00:00,0.63,1474,199,1554.4,Sea,Rain,66.3,Medium,0</t>
  </si>
  <si>
    <t>2497,2023-04-15 00:00:00,0.95,714,310,1144.8,Sea,Clear,71.3,Low,1</t>
  </si>
  <si>
    <t>2498,2023-04-15 01:00:00,0.64,2002,168,1206.8,Sea,Storm,21.6,High,0</t>
  </si>
  <si>
    <t>2499,2023-04-15 02:00:00,0.68,489,97,74.1,Sea,Rain,8.4,Low,1</t>
  </si>
  <si>
    <t>2500,2023-04-15 03:00:00,0.69,3811,415,900.8,Road,Fog,54.1,High,0</t>
  </si>
  <si>
    <t>2501,2023-04-15 04:00:00,0.95,4735,491,1801.0,Road,Clear,47.6,Medium,0</t>
  </si>
  <si>
    <t>2502,2023-04-15 05:00:00,0.76,4337,424,1729.7,Air,Clear,14.9,Medium,1</t>
  </si>
  <si>
    <t>2503,2023-04-15 06:00:00,0.94,3806,339,1263.4,Rail,Clear,22.0,Medium,0</t>
  </si>
  <si>
    <t>2504,2023-04-15 07:00:00,0.82,4710,54,757.8,Sea,Storm,66.9,Low,0</t>
  </si>
  <si>
    <t>2505,2023-04-15 08:00:00,0.79,3250,320,876.4,Road,Fog,60.6,Low,0</t>
  </si>
  <si>
    <t>2506,2023-04-15 09:00:00,0.91,3639,14,1076.8,Air,Clear,6.8,Low,0</t>
  </si>
  <si>
    <t>2507,2023-04-15 10:00:00,0.68,810,163,345.4,Sea,Clear,64.5,Medium,0</t>
  </si>
  <si>
    <t>2508,2023-04-15 11:00:00,0.71,3691,314,1378.0,Sea,Fog,63.9,Low,0</t>
  </si>
  <si>
    <t>2509,2023-04-15 12:00:00,0.96,4312,296,1291.2,Air,Clear,35.6,Low,1</t>
  </si>
  <si>
    <t>2510,2023-04-15 13:00:00,0.84,3518,129,445.0,Rail,Rain,12.8,High,0</t>
  </si>
  <si>
    <t>2511,2023-04-15 14:00:00,0.75,522,169,39.1,Sea,Fog,10.3,High,0</t>
  </si>
  <si>
    <t>2512,2023-04-15 15:00:00,0.85,3090,127,81.5,Air,Fog,6.5,Medium,0</t>
  </si>
  <si>
    <t>2513,2023-04-15 16:00:00,0.9,1287,230,1794.2,Rail,Storm,39.0,Medium,1</t>
  </si>
  <si>
    <t>2514,2023-04-15 17:00:00,0.88,1615,348,1111.9,Air,Fog,70.5,Medium,1</t>
  </si>
  <si>
    <t>2515,2023-04-15 18:00:00,0.8,1258,223,1299.7,Road,Rain,19.6,Medium,1</t>
  </si>
  <si>
    <t>2516,2023-04-15 19:00:00,0.85,1599,476,1924.9,Air,Storm,33.0,Medium,0</t>
  </si>
  <si>
    <t>2517,2023-04-15 20:00:00,0.69,1809,244,777.7,Road,Fog,11.3,Medium,1</t>
  </si>
  <si>
    <t>2518,2023-04-15 21:00:00,0.79,661,194,1341.3,Rail,Fog,30.1,Low,0</t>
  </si>
  <si>
    <t>2519,2023-04-15 22:00:00,0.95,2608,471,1981.6,Rail,Storm,11.0,High,0</t>
  </si>
  <si>
    <t>2520,2023-04-15 23:00:00,0.97,1801,447,881.3,Road,Clear,35.6,High,0</t>
  </si>
  <si>
    <t>2521,2023-04-16 00:00:00,0.61,1189,451,1186.3,Air,Fog,27.8,Low,1</t>
  </si>
  <si>
    <t>2522,2023-04-16 01:00:00,0.7,2082,99,1982.7,Sea,Fog,68.6,High,0</t>
  </si>
  <si>
    <t>2523,2023-04-16 02:00:00,0.7,1693,433,901.9,Rail,Rain,25.6,High,0</t>
  </si>
  <si>
    <t>2524,2023-04-16 03:00:00,0.73,3860,334,541.9,Rail,Storm,41.5,Low,1</t>
  </si>
  <si>
    <t>2525,2023-04-16 04:00:00,0.72,222,294,1491.4,Air,Storm,37.8,High,1</t>
  </si>
  <si>
    <t>2526,2023-04-16 05:00:00,0.71,3911,247,79.8,Sea,Rain,4.6,Low,0</t>
  </si>
  <si>
    <t>2527,2023-04-16 06:00:00,0.79,2488,333,760.4,Rail,Rain,52.4,Low,0</t>
  </si>
  <si>
    <t>2528,2023-04-16 07:00:00,0.7,3615,211,506.6,Road,Clear,56.6,Medium,0</t>
  </si>
  <si>
    <t>2529,2023-04-16 08:00:00,0.89,3417,249,1773.1,Air,Rain,23.8,High,0</t>
  </si>
  <si>
    <t>2530,2023-04-16 09:00:00,0.61,3785,20,274.2,Rail,Fog,28.6,Low,0</t>
  </si>
  <si>
    <t>2531,2023-04-16 10:00:00,0.99,3583,327,291.0,Rail,Fog,68.0,Medium,0</t>
  </si>
  <si>
    <t>2532,2023-04-16 11:00:00,0.68,3994,299,1854.3,Road,Storm,30.9,Low,0</t>
  </si>
  <si>
    <t>2533,2023-04-16 12:00:00,0.96,4415,255,1157.2,Sea,Fog,3.2,Medium,1</t>
  </si>
  <si>
    <t>2534,2023-04-16 13:00:00,0.87,1653,261,1208.6,Sea,Clear,2.3,Medium,0</t>
  </si>
  <si>
    <t>2535,2023-04-16 14:00:00,0.95,4132,163,1137.9,Rail,Clear,45.3,Medium,0</t>
  </si>
  <si>
    <t>2536,2023-04-16 15:00:00,0.77,3484,87,263.5,Air,Rain,26.8,Medium,1</t>
  </si>
  <si>
    <t>2537,2023-04-16 16:00:00,0.73,3323,149,1676.2,Air,Clear,46.6,High,1</t>
  </si>
  <si>
    <t>2538,2023-04-16 17:00:00,0.84,3258,58,416.5,Air,Fog,6.7,Medium,0</t>
  </si>
  <si>
    <t>2539,2023-04-16 18:00:00,0.68,2838,219,1804.6,Road,Fog,66.8,High,0</t>
  </si>
  <si>
    <t>2540,2023-04-16 19:00:00,0.77,4472,473,1813.0,Sea,Fog,39.4,Low,0</t>
  </si>
  <si>
    <t>2541,2023-04-16 20:00:00,0.82,3991,235,264.8,Air,Rain,38.2,Medium,0</t>
  </si>
  <si>
    <t>2542,2023-04-16 21:00:00,0.65,3120,85,80.9,Air,Rain,63.4,Low,0</t>
  </si>
  <si>
    <t>2543,2023-04-16 22:00:00,0.92,762,180,18.1,Road,Storm,62.4,Medium,1</t>
  </si>
  <si>
    <t>2544,2023-04-16 23:00:00,0.78,4493,300,1330.5,Sea,Fog,53.8,High,0</t>
  </si>
  <si>
    <t>2545,2023-04-17 00:00:00,0.81,1918,413,1292.1,Air,Rain,30.1,Low,1</t>
  </si>
  <si>
    <t>2546,2023-04-17 01:00:00,0.87,2319,388,150.9,Air,Rain,27.2,High,0</t>
  </si>
  <si>
    <t>2547,2023-04-17 02:00:00,0.96,4767,227,1051.8,Road,Fog,71.0,Medium,0</t>
  </si>
  <si>
    <t>2548,2023-04-17 03:00:00,0.65,1911,150,1219.6,Air,Rain,57.4,Low,0</t>
  </si>
  <si>
    <t>2549,2023-04-17 04:00:00,0.68,633,48,1346.2,Sea,Fog,26.7,High,1</t>
  </si>
  <si>
    <t>2550,2023-04-17 05:00:00,0.65,1614,356,26.0,Rail,Fog,63.6,Medium,0</t>
  </si>
  <si>
    <t>2551,2023-04-17 06:00:00,0.99,2217,486,1332.3,Road,Clear,32.6,Medium,0</t>
  </si>
  <si>
    <t>2552,2023-04-17 07:00:00,0.77,3532,138,912.5,Air,Clear,11.4,Medium,0</t>
  </si>
  <si>
    <t>2553,2023-04-17 08:00:00,0.89,3900,73,805.3,Rail,Rain,1.1,Low,0</t>
  </si>
  <si>
    <t>2554,2023-04-17 09:00:00,0.67,3767,245,1278.4,Sea,Clear,52.2,Low,0</t>
  </si>
  <si>
    <t>2555,2023-04-17 10:00:00,0.97,593,432,1516.5,Road,Rain,56.6,Medium,1</t>
  </si>
  <si>
    <t>2556,2023-04-17 11:00:00,0.65,675,88,555.4,Road,Clear,44.4,Low,0</t>
  </si>
  <si>
    <t>2557,2023-04-17 12:00:00,0.87,2025,62,1344.1,Rail,Storm,43.1,Medium,1</t>
  </si>
  <si>
    <t>2558,2023-04-17 13:00:00,0.61,1752,345,197.2,Road,Rain,1.8,Medium,0</t>
  </si>
  <si>
    <t>2559,2023-04-17 14:00:00,0.95,3568,371,266.2,Sea,Clear,30.6,Medium,1</t>
  </si>
  <si>
    <t>2560,2023-04-17 15:00:00,0.76,1037,10,933.6,Rail,Clear,3.1,Medium,0</t>
  </si>
  <si>
    <t>2561,2023-04-17 16:00:00,0.85,319,398,292.4,Road,Fog,2.5,High,1</t>
  </si>
  <si>
    <t>2562,2023-04-17 17:00:00,0.84,1586,199,1204.5,Rail,Clear,55.1,High,0</t>
  </si>
  <si>
    <t>2563,2023-04-17 18:00:00,0.68,3940,381,1011.0,Sea,Storm,10.0,High,0</t>
  </si>
  <si>
    <t>2564,2023-04-17 19:00:00,0.78,1181,242,1798.1,Road,Rain,9.6,High,0</t>
  </si>
  <si>
    <t>2565,2023-04-17 20:00:00,0.6,4655,476,1405.9,Air,Rain,48.8,Medium,1</t>
  </si>
  <si>
    <t>2566,2023-04-17 21:00:00,0.91,1763,153,524.3,Sea,Rain,13.4,Medium,0</t>
  </si>
  <si>
    <t>2567,2023-04-17 22:00:00,0.78,605,76,1918.7,Road,Fog,19.1,High,1</t>
  </si>
  <si>
    <t>2568,2023-04-17 23:00:00,0.71,3883,332,1627.2,Road,Storm,36.3,Medium,0</t>
  </si>
  <si>
    <t>2569,2023-04-18 00:00:00,0.76,2136,253,515.0,Road,Rain,53.0,High,0</t>
  </si>
  <si>
    <t>2570,2023-04-18 01:00:00,0.76,4677,338,1870.7,Road,Storm,40.6,Medium,0</t>
  </si>
  <si>
    <t>2571,2023-04-18 02:00:00,0.66,4848,185,1883.6,Air,Fog,8.9,Medium,0</t>
  </si>
  <si>
    <t>2572,2023-04-18 03:00:00,0.75,2657,298,218.7,Air,Clear,31.7,Medium,0</t>
  </si>
  <si>
    <t>2573,2023-04-18 04:00:00,0.87,4902,227,1377.8,Air,Fog,52.2,High,0</t>
  </si>
  <si>
    <t>2574,2023-04-18 05:00:00,0.82,552,87,1229.5,Road,Storm,46.2,High,0</t>
  </si>
  <si>
    <t>2575,2023-04-18 06:00:00,1.0,256,336,1981.8,Rail,Storm,3.0,Low,0</t>
  </si>
  <si>
    <t>2576,2023-04-18 07:00:00,0.9,2819,97,1872.6,Sea,Clear,63.3,High,1</t>
  </si>
  <si>
    <t>2577,2023-04-18 08:00:00,0.93,1450,310,1450.1,Air,Clear,45.9,Medium,0</t>
  </si>
  <si>
    <t>2578,2023-04-18 09:00:00,0.66,2848,124,1589.0,Air,Fog,66.7,Low,0</t>
  </si>
  <si>
    <t>2579,2023-04-18 10:00:00,0.81,3162,296,1054.5,Sea,Fog,5.5,Medium,1</t>
  </si>
  <si>
    <t>2580,2023-04-18 11:00:00,0.7,1120,21,1895.0,Road,Rain,2.2,Low,1</t>
  </si>
  <si>
    <t>2581,2023-04-18 12:00:00,0.7,3550,331,1344.5,Air,Clear,19.6,High,0</t>
  </si>
  <si>
    <t>2582,2023-04-18 13:00:00,0.73,2519,226,568.5,Sea,Storm,9.6,High,0</t>
  </si>
  <si>
    <t>2583,2023-04-18 14:00:00,0.83,4635,150,1793.9,Rail,Clear,35.7,High,1</t>
  </si>
  <si>
    <t>2584,2023-04-18 15:00:00,0.77,2868,169,1992.0,Road,Clear,66.1,High,1</t>
  </si>
  <si>
    <t>2585,2023-04-18 16:00:00,0.76,2101,67,688.0,Sea,Clear,34.4,Medium,0</t>
  </si>
  <si>
    <t>2586,2023-04-18 17:00:00,0.75,1232,222,741.8,Air,Rain,49.1,Medium,0</t>
  </si>
  <si>
    <t>2587,2023-04-18 18:00:00,0.99,2082,377,867.4,Rail,Clear,41.8,High,0</t>
  </si>
  <si>
    <t>2588,2023-04-18 19:00:00,0.77,3619,101,1771.2,Sea,Rain,23.9,High,1</t>
  </si>
  <si>
    <t>2589,2023-04-18 20:00:00,0.97,423,33,920.9,Sea,Fog,55.7,Low,1</t>
  </si>
  <si>
    <t>2590,2023-04-18 21:00:00,1.0,420,276,590.2,Air,Storm,59.4,Medium,0</t>
  </si>
  <si>
    <t>2591,2023-04-18 22:00:00,0.85,4932,290,1353.6,Sea,Fog,6.0,High,1</t>
  </si>
  <si>
    <t>2592,2023-04-18 23:00:00,0.99,1027,437,15.3,Road,Rain,71.1,Low,0</t>
  </si>
  <si>
    <t>2593,2023-04-19 00:00:00,1.0,616,411,1252.4,Air,Rain,22.9,Low,0</t>
  </si>
  <si>
    <t>2594,2023-04-19 01:00:00,0.93,3742,325,952.6,Rail,Fog,58.4,High,0</t>
  </si>
  <si>
    <t>2595,2023-04-19 02:00:00,0.89,1014,99,1476.3,Sea,Clear,43.0,High,0</t>
  </si>
  <si>
    <t>2596,2023-04-19 03:00:00,0.69,3746,329,1770.1,Rail,Fog,45.4,Low,0</t>
  </si>
  <si>
    <t>2597,2023-04-19 04:00:00,0.67,4234,216,655.9,Rail,Fog,65.3,Low,1</t>
  </si>
  <si>
    <t>2598,2023-04-19 05:00:00,0.62,4326,282,71.9,Road,Rain,62.6,Low,1</t>
  </si>
  <si>
    <t>2599,2023-04-19 06:00:00,0.69,3561,294,226.4,Rail,Rain,56.3,Low,0</t>
  </si>
  <si>
    <t>2600,2023-04-19 07:00:00,0.81,469,336,305.7,Sea,Fog,22.4,Low,0</t>
  </si>
  <si>
    <t>2601,2023-04-19 08:00:00,0.77,4236,376,1860.0,Sea,Storm,16.8,High,0</t>
  </si>
  <si>
    <t>2602,2023-04-19 09:00:00,0.9,2254,206,1727.2,Sea,Fog,51.4,High,0</t>
  </si>
  <si>
    <t>2603,2023-04-19 10:00:00,0.72,2697,483,514.1,Sea,Fog,5.3,Medium,0</t>
  </si>
  <si>
    <t>2604,2023-04-19 11:00:00,0.85,1077,49,1251.7,Air,Storm,45.6,Medium,0</t>
  </si>
  <si>
    <t>2605,2023-04-19 12:00:00,0.74,2010,310,861.3,Sea,Fog,55.2,Low,0</t>
  </si>
  <si>
    <t>2606,2023-04-19 13:00:00,0.69,4505,282,943.2,Road,Clear,31.5,High,0</t>
  </si>
  <si>
    <t>2607,2023-04-19 14:00:00,0.91,2948,126,1611.8,Sea,Storm,48.0,Low,0</t>
  </si>
  <si>
    <t>2608,2023-04-19 15:00:00,0.72,220,1,419.6,Air,Rain,41.9,Low,0</t>
  </si>
  <si>
    <t>2609,2023-04-19 16:00:00,0.81,3831,320,1964.1,Air,Rain,50.3,High,0</t>
  </si>
  <si>
    <t>2610,2023-04-19 17:00:00,0.7,3900,73,899.1,Sea,Clear,61.2,High,0</t>
  </si>
  <si>
    <t>2611,2023-04-19 18:00:00,0.86,1631,349,1689.1,Rail,Fog,28.1,Medium,0</t>
  </si>
  <si>
    <t>2612,2023-04-19 19:00:00,0.67,1644,363,655.3,Sea,Fog,2.3,Low,0</t>
  </si>
  <si>
    <t>2613,2023-04-19 20:00:00,0.63,3448,18,1126.9,Road,Clear,31.7,High,1</t>
  </si>
  <si>
    <t>2614,2023-04-19 21:00:00,0.85,2538,390,176.5,Road,Fog,10.8,Low,0</t>
  </si>
  <si>
    <t>2615,2023-04-19 22:00:00,0.8,700,496,981.4,Sea,Rain,44.4,Low,0</t>
  </si>
  <si>
    <t>2616,2023-04-19 23:00:00,0.86,3721,444,589.8,Sea,Clear,27.5,Medium,1</t>
  </si>
  <si>
    <t>2617,2023-04-20 00:00:00,0.63,2114,399,762.4,Sea,Rain,10.3,High,0</t>
  </si>
  <si>
    <t>2618,2023-04-20 01:00:00,0.91,3645,54,1685.2,Road,Fog,53.6,Medium,1</t>
  </si>
  <si>
    <t>2619,2023-04-20 02:00:00,0.62,700,452,1921.1,Rail,Rain,62.2,Low,0</t>
  </si>
  <si>
    <t>2620,2023-04-20 03:00:00,0.98,1251,167,327.5,Rail,Storm,16.7,Medium,1</t>
  </si>
  <si>
    <t>2621,2023-04-20 04:00:00,0.98,4363,447,1620.1,Sea,Rain,57.9,Medium,0</t>
  </si>
  <si>
    <t>2622,2023-04-20 05:00:00,0.92,3671,293,1702.4,Road,Clear,18.6,High,0</t>
  </si>
  <si>
    <t>2623,2023-04-20 06:00:00,0.73,1386,457,1304.9,Air,Rain,8.3,Low,0</t>
  </si>
  <si>
    <t>2624,2023-04-20 07:00:00,0.86,3681,497,721.5,Rail,Fog,20.5,High,0</t>
  </si>
  <si>
    <t>2625,2023-04-20 08:00:00,1.0,4038,272,1465.5,Road,Clear,15.7,High,0</t>
  </si>
  <si>
    <t>2626,2023-04-20 09:00:00,0.89,2794,72,16.2,Air,Fog,54.7,High,1</t>
  </si>
  <si>
    <t>2627,2023-04-20 10:00:00,0.86,3240,319,32.8,Sea,Clear,51.4,High,0</t>
  </si>
  <si>
    <t>2628,2023-04-20 11:00:00,0.61,1480,55,288.3,Sea,Clear,33.6,Medium,1</t>
  </si>
  <si>
    <t>2629,2023-04-20 12:00:00,0.61,4618,430,1881.8,Road,Clear,19.8,High,0</t>
  </si>
  <si>
    <t>2630,2023-04-20 13:00:00,0.85,1102,493,209.0,Rail,Rain,12.3,Medium,1</t>
  </si>
  <si>
    <t>2631,2023-04-20 14:00:00,0.79,4012,408,858.6,Sea,Clear,28.9,High,0</t>
  </si>
  <si>
    <t>2632,2023-04-20 15:00:00,0.8,2003,376,636.8,Rail,Fog,14.9,Medium,0</t>
  </si>
  <si>
    <t>2633,2023-04-20 16:00:00,0.68,1400,369,1965.7,Sea,Clear,22.8,Low,0</t>
  </si>
  <si>
    <t>2634,2023-04-20 17:00:00,0.72,3716,359,242.8,Rail,Storm,20.7,High,0</t>
  </si>
  <si>
    <t>2635,2023-04-20 18:00:00,0.96,1382,384,1497.4,Air,Clear,41.7,High,1</t>
  </si>
  <si>
    <t>2636,2023-04-20 19:00:00,0.75,2052,158,763.7,Rail,Rain,37.1,Low,1</t>
  </si>
  <si>
    <t>2637,2023-04-20 20:00:00,0.99,2368,379,1745.4,Sea,Storm,43.4,Medium,0</t>
  </si>
  <si>
    <t>2638,2023-04-20 21:00:00,0.67,1005,364,996.5,Rail,Clear,28.4,High,0</t>
  </si>
  <si>
    <t>2639,2023-04-20 22:00:00,0.81,2487,391,675.3,Sea,Fog,26.8,Medium,0</t>
  </si>
  <si>
    <t>2640,2023-04-20 23:00:00,0.86,1553,166,1860.3,Road,Clear,5.1,Medium,0</t>
  </si>
  <si>
    <t>2641,2023-04-21 00:00:00,0.87,4568,276,1928.3,Sea,Rain,34.2,Medium,1</t>
  </si>
  <si>
    <t>2642,2023-04-21 01:00:00,0.92,2677,80,1349.8,Rail,Storm,66.1,High,0</t>
  </si>
  <si>
    <t>2643,2023-04-21 02:00:00,0.9,1497,380,1391.4,Sea,Clear,36.7,High,1</t>
  </si>
  <si>
    <t>2644,2023-04-21 03:00:00,0.93,3277,420,364.5,Air,Fog,25.0,High,0</t>
  </si>
  <si>
    <t>2645,2023-04-21 04:00:00,0.62,3055,269,129.5,Sea,Fog,44.5,High,1</t>
  </si>
  <si>
    <t>2646,2023-04-21 05:00:00,0.63,2063,20,1267.4,Air,Storm,45.8,Medium,0</t>
  </si>
  <si>
    <t>2647,2023-04-21 06:00:00,0.65,1570,487,836.3,Sea,Storm,5.8,Low,0</t>
  </si>
  <si>
    <t>2648,2023-04-21 07:00:00,0.68,3628,316,1001.9,Sea,Storm,47.3,Medium,1</t>
  </si>
  <si>
    <t>2649,2023-04-21 08:00:00,0.89,2971,332,1652.5,Road,Rain,15.8,Low,1</t>
  </si>
  <si>
    <t>2650,2023-04-21 09:00:00,0.82,682,496,939.6,Air,Storm,16.0,Low,0</t>
  </si>
  <si>
    <t>2651,2023-04-21 10:00:00,0.88,1052,211,1721.5,Rail,Storm,65.6,Medium,0</t>
  </si>
  <si>
    <t>2652,2023-04-21 11:00:00,0.84,1088,445,788.0,Rail,Fog,49.9,High,0</t>
  </si>
  <si>
    <t>2653,2023-04-21 12:00:00,0.82,2562,213,1822.8,Air,Rain,43.4,Medium,0</t>
  </si>
  <si>
    <t>2654,2023-04-21 13:00:00,0.67,3820,43,1017.3,Road,Fog,54.5,High,1</t>
  </si>
  <si>
    <t>2655,2023-04-21 14:00:00,0.94,2482,71,537.5,Air,Rain,39.8,Medium,0</t>
  </si>
  <si>
    <t>2656,2023-04-21 15:00:00,0.91,3763,65,411.7,Rail,Rain,47.9,Low,0</t>
  </si>
  <si>
    <t>2657,2023-04-21 16:00:00,0.9,3978,351,164.1,Road,Rain,14.7,High,1</t>
  </si>
  <si>
    <t>2658,2023-04-21 17:00:00,0.97,53,222,1409.2,Road,Fog,53.1,Low,0</t>
  </si>
  <si>
    <t>2659,2023-04-21 18:00:00,0.76,3395,168,644.8,Rail,Fog,51.7,Medium,1</t>
  </si>
  <si>
    <t>2660,2023-04-21 19:00:00,0.77,2905,306,689.3,Sea,Rain,37.0,Medium,0</t>
  </si>
  <si>
    <t>2661,2023-04-21 20:00:00,0.79,4381,100,1314.1,Rail,Rain,51.9,Medium,1</t>
  </si>
  <si>
    <t>2662,2023-04-21 21:00:00,0.74,1309,427,1973.0,Sea,Rain,28.0,High,0</t>
  </si>
  <si>
    <t>2663,2023-04-21 22:00:00,0.8,1255,437,842.7,Rail,Clear,7.3,High,0</t>
  </si>
  <si>
    <t>2664,2023-04-21 23:00:00,0.85,2125,64,661.4,Rail,Fog,69.4,High,1</t>
  </si>
  <si>
    <t>2665,2023-04-22 00:00:00,0.83,4261,283,1043.9,Air,Storm,55.5,High,0</t>
  </si>
  <si>
    <t>2666,2023-04-22 01:00:00,0.67,1396,201,357.5,Air,Fog,57.9,Low,0</t>
  </si>
  <si>
    <t>2667,2023-04-22 02:00:00,0.89,4971,297,1040.0,Sea,Clear,64.8,Low,0</t>
  </si>
  <si>
    <t>2668,2023-04-22 03:00:00,0.63,1605,9,1709.6,Road,Fog,28.9,High,1</t>
  </si>
  <si>
    <t>2669,2023-04-22 04:00:00,0.68,2768,499,219.7,Road,Clear,29.9,High,0</t>
  </si>
  <si>
    <t>2670,2023-04-22 05:00:00,0.76,256,426,425.4,Sea,Storm,26.7,High,0</t>
  </si>
  <si>
    <t>2671,2023-04-22 06:00:00,0.93,2299,167,718.3,Rail,Rain,62.1,Medium,1</t>
  </si>
  <si>
    <t>2672,2023-04-22 07:00:00,0.7,1487,267,688.5,Air,Rain,33.8,High,1</t>
  </si>
  <si>
    <t>2673,2023-04-22 08:00:00,0.93,4753,73,693.2,Sea,Rain,53.4,Medium,0</t>
  </si>
  <si>
    <t>2674,2023-04-22 09:00:00,0.83,367,410,521.0,Rail,Fog,69.0,Low,1</t>
  </si>
  <si>
    <t>2675,2023-04-22 10:00:00,0.88,2451,52,1880.2,Air,Fog,63.4,Medium,0</t>
  </si>
  <si>
    <t>2676,2023-04-22 11:00:00,0.72,236,468,145.8,Sea,Fog,32.8,Low,0</t>
  </si>
  <si>
    <t>2677,2023-04-22 12:00:00,0.99,2642,279,1079.2,Rail,Clear,63.9,Low,0</t>
  </si>
  <si>
    <t>2678,2023-04-22 13:00:00,0.86,2406,75,775.3,Sea,Clear,25.4,Medium,0</t>
  </si>
  <si>
    <t>2679,2023-04-22 14:00:00,0.63,1540,373,1560.9,Road,Storm,32.0,Low,0</t>
  </si>
  <si>
    <t>2680,2023-04-22 15:00:00,0.92,964,156,967.3,Rail,Clear,67.5,Low,0</t>
  </si>
  <si>
    <t>2681,2023-04-22 16:00:00,0.79,308,63,1342.4,Road,Rain,64.5,Low,1</t>
  </si>
  <si>
    <t>2682,2023-04-22 17:00:00,0.93,2960,153,1435.7,Rail,Fog,56.5,High,1</t>
  </si>
  <si>
    <t>2683,2023-04-22 18:00:00,0.88,891,119,298.6,Rail,Rain,46.9,Low,1</t>
  </si>
  <si>
    <t>2684,2023-04-22 19:00:00,0.99,539,295,1858.8,Rail,Rain,41.8,High,0</t>
  </si>
  <si>
    <t>2685,2023-04-22 20:00:00,0.96,3946,492,1346.0,Air,Rain,8.6,Low,0</t>
  </si>
  <si>
    <t>2686,2023-04-22 21:00:00,0.87,4137,2,586.0,Air,Storm,45.0,Low,0</t>
  </si>
  <si>
    <t>2687,2023-04-22 22:00:00,0.91,1901,363,399.7,Air,Storm,46.4,Medium,1</t>
  </si>
  <si>
    <t>2688,2023-04-22 23:00:00,0.62,1299,139,533.7,Air,Storm,30.2,Medium,0</t>
  </si>
  <si>
    <t>2689,2023-04-23 00:00:00,0.92,4069,355,756.4,Air,Clear,12.9,Low,0</t>
  </si>
  <si>
    <t>2690,2023-04-23 01:00:00,0.89,4939,277,1858.8,Sea,Rain,71.1,Medium,0</t>
  </si>
  <si>
    <t>2691,2023-04-23 02:00:00,0.98,3691,450,602.4,Air,Fog,63.9,High,0</t>
  </si>
  <si>
    <t>2692,2023-04-23 03:00:00,0.9,1151,335,1861.0,Sea,Rain,32.1,High,1</t>
  </si>
  <si>
    <t>2693,2023-04-23 04:00:00,0.85,2669,40,917.2,Road,Rain,50.1,High,0</t>
  </si>
  <si>
    <t>2694,2023-04-23 05:00:00,0.91,2241,477,1116.1,Road,Fog,45.5,High,0</t>
  </si>
  <si>
    <t>2695,2023-04-23 06:00:00,0.84,834,341,311.4,Rail,Rain,13.0,Low,0</t>
  </si>
  <si>
    <t>2696,2023-04-23 07:00:00,0.79,344,470,1920.1,Rail,Fog,27.4,Low,0</t>
  </si>
  <si>
    <t>2697,2023-04-23 08:00:00,0.99,941,330,88.0,Sea,Fog,66.0,High,0</t>
  </si>
  <si>
    <t>2698,2023-04-23 09:00:00,0.8,739,80,1429.8,Air,Clear,52.2,High,0</t>
  </si>
  <si>
    <t>2699,2023-04-23 10:00:00,0.64,2921,378,1477.9,Rail,Fog,53.9,Medium,1</t>
  </si>
  <si>
    <t>2700,2023-04-23 11:00:00,0.62,3845,369,340.9,Road,Rain,2.4,Low,1</t>
  </si>
  <si>
    <t>2701,2023-04-23 12:00:00,0.75,3279,402,1862.0,Road,Rain,9.0,High,1</t>
  </si>
  <si>
    <t>2702,2023-04-23 13:00:00,0.78,2337,138,963.5,Road,Storm,7.0,Medium,1</t>
  </si>
  <si>
    <t>2703,2023-04-23 14:00:00,0.82,1846,127,102.2,Air,Fog,24.9,Low,0</t>
  </si>
  <si>
    <t>2704,2023-04-23 15:00:00,0.63,3084,284,512.0,Air,Fog,71.6,Low,1</t>
  </si>
  <si>
    <t>2705,2023-04-23 16:00:00,0.82,2701,87,1969.4,Air,Storm,69.1,High,0</t>
  </si>
  <si>
    <t>2706,2023-04-23 17:00:00,0.98,4834,353,371.2,Air,Rain,49.2,Low,0</t>
  </si>
  <si>
    <t>2707,2023-04-23 18:00:00,0.9,1196,382,49.4,Rail,Fog,29.8,Medium,1</t>
  </si>
  <si>
    <t>2708,2023-04-23 19:00:00,0.88,2401,226,849.4,Road,Rain,30.6,Low,0</t>
  </si>
  <si>
    <t>2709,2023-04-23 20:00:00,0.81,2092,475,1904.7,Rail,Clear,67.9,High,0</t>
  </si>
  <si>
    <t>2710,2023-04-23 21:00:00,0.95,1126,34,465.6,Sea,Storm,12.0,Medium,0</t>
  </si>
  <si>
    <t>2711,2023-04-23 22:00:00,0.64,2381,125,1957.8,Air,Clear,62.9,High,0</t>
  </si>
  <si>
    <t>2712,2023-04-23 23:00:00,0.91,3869,440,1749.2,Sea,Storm,11.7,Low,0</t>
  </si>
  <si>
    <t>2713,2023-04-24 00:00:00,0.89,2326,440,1722.0,Rail,Clear,11.4,Medium,0</t>
  </si>
  <si>
    <t>2714,2023-04-24 01:00:00,0.75,674,30,1172.5,Rail,Fog,3.6,Medium,1</t>
  </si>
  <si>
    <t>2715,2023-04-24 02:00:00,0.8,649,399,564.1,Air,Fog,3.1,Medium,0</t>
  </si>
  <si>
    <t>2716,2023-04-24 03:00:00,0.66,4277,84,1196.2,Sea,Storm,48.0,Low,0</t>
  </si>
  <si>
    <t>2717,2023-04-24 04:00:00,0.6,1450,85,1771.6,Rail,Storm,54.4,Low,1</t>
  </si>
  <si>
    <t>2718,2023-04-24 05:00:00,0.73,4971,466,716.5,Rail,Fog,53.1,Low,0</t>
  </si>
  <si>
    <t>2719,2023-04-24 06:00:00,0.74,644,471,810.0,Sea,Clear,30.9,High,1</t>
  </si>
  <si>
    <t>2720,2023-04-24 07:00:00,0.81,1156,450,737.2,Road,Clear,46.3,Medium,0</t>
  </si>
  <si>
    <t>2721,2023-04-24 08:00:00,0.74,842,473,135.3,Air,Clear,3.6,High,1</t>
  </si>
  <si>
    <t>2722,2023-04-24 09:00:00,0.96,4095,93,1556.6,Sea,Storm,44.8,Medium,0</t>
  </si>
  <si>
    <t>2723,2023-04-24 10:00:00,0.66,915,172,315.7,Sea,Rain,28.6,High,0</t>
  </si>
  <si>
    <t>2724,2023-04-24 11:00:00,0.93,2463,173,958.9,Air,Clear,32.7,Medium,1</t>
  </si>
  <si>
    <t>2725,2023-04-24 12:00:00,0.82,4695,436,1476.1,Sea,Fog,47.2,Medium,1</t>
  </si>
  <si>
    <t>2726,2023-04-24 13:00:00,0.69,4669,100,1491.4,Rail,Clear,60.0,High,1</t>
  </si>
  <si>
    <t>2727,2023-04-24 14:00:00,0.95,343,251,1745.7,Sea,Storm,60.5,Medium,0</t>
  </si>
  <si>
    <t>2728,2023-04-24 15:00:00,0.82,1453,17,1374.7,Air,Clear,35.6,High,0</t>
  </si>
  <si>
    <t>2729,2023-04-24 16:00:00,0.64,3904,261,1681.1,Air,Fog,3.7,Low,0</t>
  </si>
  <si>
    <t>2730,2023-04-24 17:00:00,0.95,4114,152,245.0,Road,Storm,61.4,Low,1</t>
  </si>
  <si>
    <t>2731,2023-04-24 18:00:00,0.71,1110,201,666.8,Rail,Fog,5.2,High,0</t>
  </si>
  <si>
    <t>2732,2023-04-24 19:00:00,0.83,676,391,285.6,Rail,Fog,41.9,High,0</t>
  </si>
  <si>
    <t>2733,2023-04-24 20:00:00,0.87,1564,466,625.6,Road,Clear,6.6,High,0</t>
  </si>
  <si>
    <t>2734,2023-04-24 21:00:00,0.9,302,140,50.8,Road,Fog,36.5,Low,0</t>
  </si>
  <si>
    <t>2735,2023-04-24 22:00:00,0.89,2720,97,665.1,Rail,Rain,60.3,Medium,1</t>
  </si>
  <si>
    <t>2736,2023-04-24 23:00:00,0.93,3113,156,1602.9,Road,Storm,44.0,Low,0</t>
  </si>
  <si>
    <t>2737,2023-04-25 00:00:00,0.91,2731,73,1186.3,Air,Fog,14.0,High,0</t>
  </si>
  <si>
    <t>2738,2023-04-25 01:00:00,0.68,1323,493,415.0,Road,Rain,51.0,Medium,0</t>
  </si>
  <si>
    <t>2739,2023-04-25 02:00:00,0.82,397,285,1287.7,Rail,Clear,63.0,High,1</t>
  </si>
  <si>
    <t>2740,2023-04-25 03:00:00,0.8,4118,31,1294.2,Road,Clear,54.3,Medium,0</t>
  </si>
  <si>
    <t>2741,2023-04-25 04:00:00,0.65,4923,495,1013.5,Rail,Clear,29.1,High,1</t>
  </si>
  <si>
    <t>2742,2023-04-25 05:00:00,0.77,2971,210,1105.5,Rail,Rain,66.0,High,0</t>
  </si>
  <si>
    <t>2743,2023-04-25 06:00:00,0.91,4960,154,30.8,Sea,Rain,53.4,Low,1</t>
  </si>
  <si>
    <t>2744,2023-04-25 07:00:00,0.78,813,148,1382.2,Air,Clear,36.2,Medium,0</t>
  </si>
  <si>
    <t>2745,2023-04-25 08:00:00,0.76,1988,261,1824.8,Air,Clear,12.8,High,1</t>
  </si>
  <si>
    <t>2746,2023-04-25 09:00:00,0.79,1038,344,800.0,Rail,Fog,62.3,Medium,1</t>
  </si>
  <si>
    <t>2747,2023-04-25 10:00:00,0.83,2077,461,1270.5,Sea,Storm,71.8,High,0</t>
  </si>
  <si>
    <t>2748,2023-04-25 11:00:00,0.91,2769,339,1942.8,Sea,Fog,1.2,Medium,0</t>
  </si>
  <si>
    <t>2749,2023-04-25 12:00:00,0.94,2850,377,1691.8,Sea,Rain,48.8,Low,1</t>
  </si>
  <si>
    <t>2750,2023-04-25 13:00:00,0.72,3674,78,301.4,Sea,Fog,32.8,Low,1</t>
  </si>
  <si>
    <t>2751,2023-04-25 14:00:00,0.71,3823,444,214.2,Road,Clear,30.4,Low,0</t>
  </si>
  <si>
    <t>2752,2023-04-25 15:00:00,0.73,3331,182,389.1,Road,Clear,66.6,Medium,0</t>
  </si>
  <si>
    <t>2753,2023-04-25 16:00:00,0.95,4374,490,1490.9,Rail,Rain,66.4,High,1</t>
  </si>
  <si>
    <t>2754,2023-04-25 17:00:00,0.96,746,124,1852.9,Rail,Storm,6.0,Medium,1</t>
  </si>
  <si>
    <t>2755,2023-04-25 18:00:00,0.74,1391,26,698.1,Rail,Rain,24.0,High,0</t>
  </si>
  <si>
    <t>2756,2023-04-25 19:00:00,0.93,4217,42,1158.6,Air,Clear,47.9,Low,0</t>
  </si>
  <si>
    <t>2757,2023-04-25 20:00:00,0.82,2628,350,855.0,Air,Fog,38.1,Medium,0</t>
  </si>
  <si>
    <t>2758,2023-04-25 21:00:00,0.98,361,364,1901.1,Rail,Storm,19.6,Medium,1</t>
  </si>
  <si>
    <t>2759,2023-04-25 22:00:00,0.83,3092,18,1217.2,Sea,Rain,31.8,Medium,0</t>
  </si>
  <si>
    <t>2760,2023-04-25 23:00:00,0.96,1082,264,1016.6,Rail,Fog,52.5,High,0</t>
  </si>
  <si>
    <t>2761,2023-04-26 00:00:00,0.82,2031,204,526.9,Sea,Clear,69.8,Medium,0</t>
  </si>
  <si>
    <t>2762,2023-04-26 01:00:00,0.74,1035,118,1426.6,Road,Storm,5.3,Medium,0</t>
  </si>
  <si>
    <t>2763,2023-04-26 02:00:00,0.94,1076,216,1383.8,Air,Rain,43.3,Low,0</t>
  </si>
  <si>
    <t>2764,2023-04-26 03:00:00,0.73,4972,95,20.3,Road,Fog,5.0,Medium,1</t>
  </si>
  <si>
    <t>2765,2023-04-26 04:00:00,0.92,1094,481,1175.6,Rail,Storm,35.7,High,1</t>
  </si>
  <si>
    <t>2766,2023-04-26 05:00:00,0.81,4476,416,1661.6,Sea,Fog,37.0,Low,1</t>
  </si>
  <si>
    <t>2767,2023-04-26 06:00:00,0.73,1530,363,1590.5,Rail,Rain,9.1,Medium,0</t>
  </si>
  <si>
    <t>2768,2023-04-26 07:00:00,0.79,1660,376,541.7,Air,Fog,62.8,Low,0</t>
  </si>
  <si>
    <t>2769,2023-04-26 08:00:00,0.96,2937,135,1944.2,Sea,Clear,49.5,Low,0</t>
  </si>
  <si>
    <t>2770,2023-04-26 09:00:00,0.72,1451,37,961.5,Rail,Fog,5.0,Low,0</t>
  </si>
  <si>
    <t>2771,2023-04-26 10:00:00,0.63,3185,105,1406.1,Air,Rain,6.3,Medium,1</t>
  </si>
  <si>
    <t>2772,2023-04-26 11:00:00,0.96,481,117,1363.9,Air,Rain,34.8,Low,0</t>
  </si>
  <si>
    <t>2773,2023-04-26 12:00:00,0.65,4996,492,702.9,Sea,Fog,60.8,High,1</t>
  </si>
  <si>
    <t>2774,2023-04-26 13:00:00,0.69,2364,169,605.4,Air,Storm,48.7,Low,1</t>
  </si>
  <si>
    <t>2775,2023-04-26 14:00:00,0.79,3150,276,1943.2,Sea,Fog,55.5,Low,1</t>
  </si>
  <si>
    <t>2776,2023-04-26 15:00:00,0.91,2908,96,1555.8,Sea,Fog,43.2,Medium,0</t>
  </si>
  <si>
    <t>2777,2023-04-26 16:00:00,0.99,2262,168,854.9,Road,Fog,65.6,Low,0</t>
  </si>
  <si>
    <t>2778,2023-04-26 17:00:00,0.67,2037,147,574.9,Road,Fog,7.9,Low,0</t>
  </si>
  <si>
    <t>2779,2023-04-26 18:00:00,0.69,3162,342,1846.2,Sea,Storm,14.1,High,1</t>
  </si>
  <si>
    <t>2780,2023-04-26 19:00:00,1.0,66,339,834.6,Road,Fog,60.9,Low,1</t>
  </si>
  <si>
    <t>2781,2023-04-26 20:00:00,0.83,2492,22,147.1,Air,Clear,23.8,Medium,1</t>
  </si>
  <si>
    <t>2782,2023-04-26 21:00:00,0.94,1506,334,1150.5,Road,Rain,53.1,Low,0</t>
  </si>
  <si>
    <t>2783,2023-04-26 22:00:00,0.75,1476,367,1375.7,Air,Clear,43.2,Medium,0</t>
  </si>
  <si>
    <t>2784,2023-04-26 23:00:00,0.72,4941,416,444.1,Air,Storm,71.8,Low,0</t>
  </si>
  <si>
    <t>2785,2023-04-27 00:00:00,0.95,3120,281,133.4,Sea,Storm,54.4,Medium,0</t>
  </si>
  <si>
    <t>2786,2023-04-27 01:00:00,0.68,2075,474,115.1,Road,Fog,68.2,Medium,0</t>
  </si>
  <si>
    <t>2787,2023-04-27 02:00:00,0.71,3992,226,1744.2,Sea,Fog,30.8,High,1</t>
  </si>
  <si>
    <t>2788,2023-04-27 03:00:00,0.75,3613,19,1133.4,Sea,Clear,29.5,Low,0</t>
  </si>
  <si>
    <t>2789,2023-04-27 04:00:00,0.73,2355,481,269.3,Road,Storm,36.1,High,0</t>
  </si>
  <si>
    <t>2790,2023-04-27 05:00:00,0.67,1235,207,1148.2,Air,Fog,47.0,Low,1</t>
  </si>
  <si>
    <t>2791,2023-04-27 06:00:00,0.72,1574,331,1293.2,Air,Clear,26.0,Medium,0</t>
  </si>
  <si>
    <t>2792,2023-04-27 07:00:00,0.67,4401,378,1852.1,Road,Fog,3.5,Medium,1</t>
  </si>
  <si>
    <t>2793,2023-04-27 08:00:00,0.81,2274,346,556.3,Road,Storm,27.2,High,0</t>
  </si>
  <si>
    <t>2794,2023-04-27 09:00:00,0.88,1583,232,1861.8,Sea,Fog,36.8,Medium,0</t>
  </si>
  <si>
    <t>2795,2023-04-27 10:00:00,0.81,2532,216,1800.1,Rail,Clear,27.4,High,0</t>
  </si>
  <si>
    <t>2796,2023-04-27 11:00:00,0.63,2772,326,1042.6,Rail,Storm,29.9,High,1</t>
  </si>
  <si>
    <t>2797,2023-04-27 12:00:00,0.84,1221,224,1957.1,Rail,Rain,44.6,Low,0</t>
  </si>
  <si>
    <t>2798,2023-04-27 13:00:00,0.89,2561,2,767.3,Road,Rain,65.1,Low,0</t>
  </si>
  <si>
    <t>2799,2023-04-27 14:00:00,0.67,3526,469,740.2,Road,Rain,20.4,High,1</t>
  </si>
  <si>
    <t>2800,2023-04-27 15:00:00,0.79,274,408,907.6,Rail,Storm,37.3,Medium,0</t>
  </si>
  <si>
    <t>order_id</t>
  </si>
  <si>
    <t>order_date</t>
  </si>
  <si>
    <t>supplier_reliability_score</t>
  </si>
  <si>
    <t>warehouse_inventory_level</t>
  </si>
  <si>
    <t>order_quantity</t>
  </si>
  <si>
    <t>shipping_distance_km</t>
  </si>
  <si>
    <t>shipping_method</t>
  </si>
  <si>
    <t>weather_condition</t>
  </si>
  <si>
    <t>processing_time_hours</t>
  </si>
  <si>
    <t>order_priority</t>
  </si>
  <si>
    <t>delayed</t>
  </si>
  <si>
    <t>Sea</t>
  </si>
  <si>
    <t>Fog</t>
  </si>
  <si>
    <t>Low</t>
  </si>
  <si>
    <t>Road</t>
  </si>
  <si>
    <t>Rail</t>
  </si>
  <si>
    <t>Storm</t>
  </si>
  <si>
    <t>High</t>
  </si>
  <si>
    <t>Air</t>
  </si>
  <si>
    <t>Rain</t>
  </si>
  <si>
    <t>Medium</t>
  </si>
  <si>
    <t>Clear</t>
  </si>
  <si>
    <t xml:space="preserve">Judul Case </t>
  </si>
  <si>
    <t>:</t>
  </si>
  <si>
    <t xml:space="preserve">Latar Belakang </t>
  </si>
  <si>
    <t>Pertanyaan Case</t>
  </si>
  <si>
    <t>Output Harapan</t>
  </si>
  <si>
    <t>Analyst</t>
  </si>
  <si>
    <t>Muhammad Ferdy Irmawan, S.Kom.</t>
  </si>
  <si>
    <t>Sumber Dataset</t>
  </si>
  <si>
    <t xml:space="preserve">: </t>
  </si>
  <si>
    <t>Kaggle.com</t>
  </si>
  <si>
    <t>Supply Chain Order Fulfillment &amp; Delay Risk Diagnostic Analysis</t>
  </si>
  <si>
    <t>Perusahaan mengalami peningkatan risiko keterlambatan pengiriman (order delay) pada beberapa jalur logistik dan metode pengiriman, sehingga manajemen memerlukan analisis faktor pemicu utama (supplier reliability, kondisi cuaca, atau jarak tempuh) serta identifikasi titik rentan operasional.</t>
  </si>
  <si>
    <r>
      <t>1. Bagaimana distribusi tingkat keterlambatan pengiriman (delay rate) berdasarkan metode pengiriman (shipping method) dan prioritas pesanan (order priority)?</t>
    </r>
    <r>
      <rPr>
        <i/>
        <sz val="11"/>
        <color theme="1"/>
        <rFont val="Calibri"/>
        <family val="2"/>
        <charset val="1"/>
        <scheme val="minor"/>
      </rPr>
      <t/>
    </r>
  </si>
  <si>
    <t>2. Seberapa besar pengaruh kondisi cuaca ekstrem dan jarak tempuh (shipping distance) terhadap durasi pemrosesan pesanan (processing time)?</t>
  </si>
  <si>
    <t>3. Apakah tingkat keandalan pemasok (supplier reliability score) berkorelasi langsung dengan kegagalan pemenuhan pesanan tepat waktu?</t>
  </si>
  <si>
    <t>4. Rute atau kombinasi variabel apa yang memiliki probabilitas risiko keterlambatan tertinggi?</t>
  </si>
  <si>
    <t>Memunculkan Executive Supply Chain Dashboard interaktif lengkap dengan rekomendasi strategis: mitigasi risiko cuaca buruk, evaluasi performa supplier, serta optimalisasi alur logistik pengiriman.</t>
  </si>
  <si>
    <t>delayed_status</t>
  </si>
  <si>
    <t>risk_category</t>
  </si>
  <si>
    <t>processing_benchmark</t>
  </si>
  <si>
    <t>Delay Rate Berdasarkan Metode Pengiriman &amp; Prioritas</t>
  </si>
  <si>
    <t>Row Labels</t>
  </si>
  <si>
    <t>Grand Total</t>
  </si>
  <si>
    <t>Column Labels</t>
  </si>
  <si>
    <t>Count of delayed</t>
  </si>
  <si>
    <t>Pengaruh Cuaca &amp; Waktu Proses Terhadap Risiko Keterlambatan</t>
  </si>
  <si>
    <t>High Risk</t>
  </si>
  <si>
    <t>Low Risk</t>
  </si>
  <si>
    <t>Medium Risk</t>
  </si>
  <si>
    <t>Keandalan Supplier vs Jarak Terhadap Keterlambatan</t>
  </si>
  <si>
    <t>Delayed</t>
  </si>
  <si>
    <t>On Time</t>
  </si>
  <si>
    <t>Average of supplier_reliability_score</t>
  </si>
  <si>
    <t>Average of shipping_distance_km</t>
  </si>
  <si>
    <t>Pengaruh Cuaca</t>
  </si>
  <si>
    <t>Total Pesanan</t>
  </si>
  <si>
    <t>High Risk Order</t>
  </si>
  <si>
    <t>Avg Supplier Reliability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</si>
</sst>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9" formatCode="[$-F400]h:mm:ss\ AM/PM"/>
  </numFmts>
  <fonts count="21" x14ac:knownFonts="1">
    <font>
      <sz val="11"/>
      <color theme="1"/>
      <name val="Calibri"/>
      <family val="2"/>
      <charset val="1"/>
      <scheme val="minor"/>
    </font>
    <font>
      <sz val="11"/>
      <color theme="1"/>
      <name val="Calibri"/>
      <family val="2"/>
      <charset val="1"/>
      <scheme val="minor"/>
    </font>
    <font>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
      <i/>
      <sz val="11"/>
      <color theme="1"/>
      <name val="Calibri"/>
      <family val="2"/>
      <charset val="1"/>
      <scheme val="minor"/>
    </font>
    <font>
      <sz val="11"/>
      <name val="Calibri"/>
      <family val="2"/>
      <charset val="1"/>
      <scheme val="minor"/>
    </font>
    <font>
      <b/>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1">
    <xf numFmtId="0" fontId="0" fillId="0" borderId="0" xfId="0"/>
    <xf numFmtId="14" fontId="0" fillId="0" borderId="0" xfId="0" applyNumberFormat="1"/>
    <xf numFmtId="2" fontId="0" fillId="0" borderId="0" xfId="0" applyNumberFormat="1"/>
    <xf numFmtId="1" fontId="0" fillId="0" borderId="0" xfId="0" applyNumberFormat="1"/>
    <xf numFmtId="169" fontId="0" fillId="0" borderId="0" xfId="0" applyNumberFormat="1"/>
    <xf numFmtId="0" fontId="0" fillId="0" borderId="10" xfId="0" applyBorder="1"/>
    <xf numFmtId="0" fontId="0" fillId="0" borderId="10" xfId="0" applyBorder="1" applyAlignment="1">
      <alignment horizontal="left" wrapText="1"/>
    </xf>
    <xf numFmtId="0" fontId="0" fillId="0" borderId="10" xfId="0" applyBorder="1" applyAlignment="1">
      <alignment horizontal="left" vertical="top"/>
    </xf>
    <xf numFmtId="0" fontId="0" fillId="0" borderId="10" xfId="0" applyBorder="1" applyAlignment="1">
      <alignment horizontal="left" vertical="top" wrapText="1"/>
    </xf>
    <xf numFmtId="0" fontId="0" fillId="33" borderId="0" xfId="0" applyFill="1"/>
    <xf numFmtId="0" fontId="19" fillId="33" borderId="0" xfId="0" applyFont="1" applyFill="1"/>
    <xf numFmtId="169" fontId="19" fillId="33" borderId="0" xfId="0" applyNumberFormat="1" applyFont="1" applyFill="1"/>
    <xf numFmtId="0" fontId="20" fillId="33" borderId="0" xfId="0" applyFont="1" applyFill="1"/>
    <xf numFmtId="0" fontId="0" fillId="0" borderId="0" xfId="0" pivotButton="1"/>
    <xf numFmtId="0" fontId="0" fillId="0" borderId="0" xfId="0" applyAlignment="1">
      <alignment horizontal="left"/>
    </xf>
    <xf numFmtId="0" fontId="0" fillId="0" borderId="0" xfId="0" applyNumberFormat="1"/>
    <xf numFmtId="0" fontId="20" fillId="0" borderId="0" xfId="0" applyFont="1" applyFill="1"/>
    <xf numFmtId="0" fontId="0" fillId="0" borderId="0" xfId="0" applyFill="1"/>
    <xf numFmtId="0" fontId="0" fillId="34" borderId="10" xfId="0" applyFill="1" applyBorder="1" applyAlignment="1">
      <alignment horizontal="center"/>
    </xf>
    <xf numFmtId="2" fontId="0" fillId="34" borderId="10" xfId="0" applyNumberFormat="1" applyFill="1" applyBorder="1" applyAlignment="1">
      <alignment horizontal="center"/>
    </xf>
    <xf numFmtId="0" fontId="0" fillId="0" borderId="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2" formatCode="0.00"/>
    </dxf>
    <dxf>
      <numFmt numFmtId="169" formatCode="[$-F400]h:mm:ss\ AM/PM"/>
    </dxf>
    <dxf>
      <numFmt numFmtId="2" formatCode="0.00"/>
    </dxf>
    <dxf>
      <numFmt numFmtId="0" formatCode="General"/>
    </dxf>
    <dxf>
      <numFmt numFmtId="0" formatCode="General"/>
    </dxf>
    <dxf>
      <numFmt numFmtId="1" formatCode="0"/>
    </dxf>
    <dxf>
      <numFmt numFmtId="2" formatCode="0.00"/>
    </dxf>
    <dxf>
      <numFmt numFmtId="1" formatCode="0"/>
    </dxf>
    <dxf>
      <numFmt numFmtId="1" formatCode="0"/>
    </dxf>
    <dxf>
      <numFmt numFmtId="2" formatCode="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[supply-chain-order-fulfillment-delay_risk.xlsx]Pivot!PivotTable1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Delay Rate berdasarkan Metode Pengiriman &amp; Prioritas</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Pivot!$B$3:$B$4</c:f>
              <c:strCache>
                <c:ptCount val="1"/>
                <c:pt idx="0">
                  <c:v>High</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Pivot!$A$5:$A$6</c:f>
              <c:strCache>
                <c:ptCount val="1"/>
                <c:pt idx="0">
                  <c:v>Sea</c:v>
                </c:pt>
              </c:strCache>
            </c:strRef>
          </c:cat>
          <c:val>
            <c:numRef>
              <c:f>Pivot!$B$5:$B$6</c:f>
              <c:numCache>
                <c:formatCode>General</c:formatCode>
                <c:ptCount val="1"/>
                <c:pt idx="0">
                  <c:v>265</c:v>
                </c:pt>
              </c:numCache>
            </c:numRef>
          </c:val>
        </c:ser>
        <c:ser>
          <c:idx val="1"/>
          <c:order val="1"/>
          <c:tx>
            <c:strRef>
              <c:f>Pivot!$C$3:$C$4</c:f>
              <c:strCache>
                <c:ptCount val="1"/>
                <c:pt idx="0">
                  <c:v>Low</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Pivot!$A$5:$A$6</c:f>
              <c:strCache>
                <c:ptCount val="1"/>
                <c:pt idx="0">
                  <c:v>Sea</c:v>
                </c:pt>
              </c:strCache>
            </c:strRef>
          </c:cat>
          <c:val>
            <c:numRef>
              <c:f>Pivot!$C$5:$C$6</c:f>
              <c:numCache>
                <c:formatCode>General</c:formatCode>
                <c:ptCount val="1"/>
                <c:pt idx="0">
                  <c:v>217</c:v>
                </c:pt>
              </c:numCache>
            </c:numRef>
          </c:val>
        </c:ser>
        <c:ser>
          <c:idx val="2"/>
          <c:order val="2"/>
          <c:tx>
            <c:strRef>
              <c:f>Pivot!$D$3:$D$4</c:f>
              <c:strCache>
                <c:ptCount val="1"/>
                <c:pt idx="0">
                  <c:v>Medium</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Pivot!$A$5:$A$6</c:f>
              <c:strCache>
                <c:ptCount val="1"/>
                <c:pt idx="0">
                  <c:v>Sea</c:v>
                </c:pt>
              </c:strCache>
            </c:strRef>
          </c:cat>
          <c:val>
            <c:numRef>
              <c:f>Pivot!$D$5:$D$6</c:f>
              <c:numCache>
                <c:formatCode>General</c:formatCode>
                <c:ptCount val="1"/>
                <c:pt idx="0">
                  <c:v>205</c:v>
                </c:pt>
              </c:numCache>
            </c:numRef>
          </c:val>
        </c:ser>
        <c:dLbls>
          <c:dLblPos val="outEnd"/>
          <c:showLegendKey val="0"/>
          <c:showVal val="1"/>
          <c:showCatName val="0"/>
          <c:showSerName val="0"/>
          <c:showPercent val="0"/>
          <c:showBubbleSize val="0"/>
        </c:dLbls>
        <c:gapWidth val="444"/>
        <c:overlap val="-90"/>
        <c:axId val="49317184"/>
        <c:axId val="49313376"/>
      </c:barChart>
      <c:catAx>
        <c:axId val="49317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9313376"/>
        <c:crosses val="autoZero"/>
        <c:auto val="1"/>
        <c:lblAlgn val="ctr"/>
        <c:lblOffset val="100"/>
        <c:noMultiLvlLbl val="0"/>
      </c:catAx>
      <c:valAx>
        <c:axId val="49313376"/>
        <c:scaling>
          <c:orientation val="minMax"/>
        </c:scaling>
        <c:delete val="1"/>
        <c:axPos val="l"/>
        <c:numFmt formatCode="General" sourceLinked="1"/>
        <c:majorTickMark val="none"/>
        <c:minorTickMark val="none"/>
        <c:tickLblPos val="nextTo"/>
        <c:crossAx val="493171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[supply-chain-order-fulfillment-delay_risk.xlsx]Pivot!PivotTable3</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Pengaruh Cuaca &amp; Kategori Risiko</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marker>
          <c:symbol val="none"/>
        </c:marker>
      </c:pivotFmt>
    </c:pivotFmts>
    <c:plotArea>
      <c:layout/>
      <c:barChart>
        <c:barDir val="col"/>
        <c:grouping val="percentStacked"/>
        <c:varyColors val="0"/>
        <c:ser>
          <c:idx val="0"/>
          <c:order val="0"/>
          <c:tx>
            <c:strRef>
              <c:f>Pivot!$B$17:$B$18</c:f>
              <c:strCache>
                <c:ptCount val="1"/>
                <c:pt idx="0">
                  <c:v>High Risk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Pivot!$A$19:$A$23</c:f>
              <c:strCache>
                <c:ptCount val="4"/>
                <c:pt idx="0">
                  <c:v>Clear</c:v>
                </c:pt>
                <c:pt idx="1">
                  <c:v>Fog</c:v>
                </c:pt>
                <c:pt idx="2">
                  <c:v>Rain</c:v>
                </c:pt>
                <c:pt idx="3">
                  <c:v>Storm</c:v>
                </c:pt>
              </c:strCache>
            </c:strRef>
          </c:cat>
          <c:val>
            <c:numRef>
              <c:f>Pivot!$B$19:$B$23</c:f>
              <c:numCache>
                <c:formatCode>General</c:formatCode>
                <c:ptCount val="4"/>
                <c:pt idx="0">
                  <c:v>0</c:v>
                </c:pt>
                <c:pt idx="1">
                  <c:v>0</c:v>
                </c:pt>
                <c:pt idx="2">
                  <c:v>0</c:v>
                </c:pt>
                <c:pt idx="3">
                  <c:v>44</c:v>
                </c:pt>
              </c:numCache>
            </c:numRef>
          </c:val>
        </c:ser>
        <c:ser>
          <c:idx val="1"/>
          <c:order val="1"/>
          <c:tx>
            <c:strRef>
              <c:f>Pivot!$C$17:$C$18</c:f>
              <c:strCache>
                <c:ptCount val="1"/>
                <c:pt idx="0">
                  <c:v>Low Risk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Pivot!$A$19:$A$23</c:f>
              <c:strCache>
                <c:ptCount val="4"/>
                <c:pt idx="0">
                  <c:v>Clear</c:v>
                </c:pt>
                <c:pt idx="1">
                  <c:v>Fog</c:v>
                </c:pt>
                <c:pt idx="2">
                  <c:v>Rain</c:v>
                </c:pt>
                <c:pt idx="3">
                  <c:v>Storm</c:v>
                </c:pt>
              </c:strCache>
            </c:strRef>
          </c:cat>
          <c:val>
            <c:numRef>
              <c:f>Pivot!$C$19:$C$23</c:f>
              <c:numCache>
                <c:formatCode>General</c:formatCode>
                <c:ptCount val="4"/>
                <c:pt idx="0">
                  <c:v>126</c:v>
                </c:pt>
                <c:pt idx="1">
                  <c:v>134</c:v>
                </c:pt>
                <c:pt idx="2">
                  <c:v>112</c:v>
                </c:pt>
                <c:pt idx="3">
                  <c:v>113</c:v>
                </c:pt>
              </c:numCache>
            </c:numRef>
          </c:val>
        </c:ser>
        <c:ser>
          <c:idx val="2"/>
          <c:order val="2"/>
          <c:tx>
            <c:strRef>
              <c:f>Pivot!$D$17:$D$18</c:f>
              <c:strCache>
                <c:ptCount val="1"/>
                <c:pt idx="0">
                  <c:v>Medium Risk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Pivot!$A$19:$A$23</c:f>
              <c:strCache>
                <c:ptCount val="4"/>
                <c:pt idx="0">
                  <c:v>Clear</c:v>
                </c:pt>
                <c:pt idx="1">
                  <c:v>Fog</c:v>
                </c:pt>
                <c:pt idx="2">
                  <c:v>Rain</c:v>
                </c:pt>
                <c:pt idx="3">
                  <c:v>Storm</c:v>
                </c:pt>
              </c:strCache>
            </c:strRef>
          </c:cat>
          <c:val>
            <c:numRef>
              <c:f>Pivot!$D$19:$D$23</c:f>
              <c:numCache>
                <c:formatCode>General</c:formatCode>
                <c:ptCount val="4"/>
                <c:pt idx="0">
                  <c:v>45</c:v>
                </c:pt>
                <c:pt idx="1">
                  <c:v>59</c:v>
                </c:pt>
                <c:pt idx="2">
                  <c:v>54</c:v>
                </c:pt>
                <c:pt idx="3">
                  <c:v>0</c:v>
                </c:pt>
              </c:numCache>
            </c:numRef>
          </c:val>
        </c:ser>
        <c:dLbls>
          <c:dLblPos val="ctr"/>
          <c:showLegendKey val="0"/>
          <c:showVal val="1"/>
          <c:showCatName val="0"/>
          <c:showSerName val="0"/>
          <c:showPercent val="0"/>
          <c:showBubbleSize val="0"/>
        </c:dLbls>
        <c:gapWidth val="79"/>
        <c:overlap val="100"/>
        <c:axId val="55136688"/>
        <c:axId val="55141584"/>
      </c:barChart>
      <c:catAx>
        <c:axId val="55136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5141584"/>
        <c:crosses val="autoZero"/>
        <c:auto val="1"/>
        <c:lblAlgn val="ctr"/>
        <c:lblOffset val="100"/>
        <c:noMultiLvlLbl val="0"/>
      </c:catAx>
      <c:valAx>
        <c:axId val="55141584"/>
        <c:scaling>
          <c:orientation val="minMax"/>
        </c:scaling>
        <c:delete val="1"/>
        <c:axPos val="l"/>
        <c:numFmt formatCode="0%" sourceLinked="1"/>
        <c:majorTickMark val="none"/>
        <c:minorTickMark val="none"/>
        <c:tickLblPos val="nextTo"/>
        <c:crossAx val="551366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[supply-chain-order-fulfillment-delay_risk.xlsx]Pivot!PivotTable4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Keandalan Supplier vs Jarak</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Pivot!$B$31</c:f>
              <c:strCache>
                <c:ptCount val="1"/>
                <c:pt idx="0">
                  <c:v>Average of supplier_reliability_score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Pivot!$A$32:$A$34</c:f>
              <c:strCache>
                <c:ptCount val="2"/>
                <c:pt idx="0">
                  <c:v>Delayed</c:v>
                </c:pt>
                <c:pt idx="1">
                  <c:v>On Time</c:v>
                </c:pt>
              </c:strCache>
            </c:strRef>
          </c:cat>
          <c:val>
            <c:numRef>
              <c:f>Pivot!$B$32:$B$34</c:f>
              <c:numCache>
                <c:formatCode>0.00</c:formatCode>
                <c:ptCount val="2"/>
                <c:pt idx="0">
                  <c:v>5.0749449944994487E-2</c:v>
                </c:pt>
                <c:pt idx="1">
                  <c:v>5.0526918671248644E-2</c:v>
                </c:pt>
              </c:numCache>
            </c:numRef>
          </c:val>
        </c:ser>
        <c:dLbls>
          <c:showLegendKey val="0"/>
          <c:showVal val="0"/>
          <c:showCatName val="0"/>
          <c:showSerName val="0"/>
          <c:showPercent val="0"/>
          <c:showBubbleSize val="0"/>
        </c:dLbls>
        <c:gapWidth val="219"/>
        <c:overlap val="-27"/>
        <c:axId val="54923328"/>
        <c:axId val="54924416"/>
      </c:barChart>
      <c:lineChart>
        <c:grouping val="standard"/>
        <c:varyColors val="0"/>
        <c:ser>
          <c:idx val="1"/>
          <c:order val="1"/>
          <c:tx>
            <c:strRef>
              <c:f>Pivot!$C$31</c:f>
              <c:strCache>
                <c:ptCount val="1"/>
                <c:pt idx="0">
                  <c:v>Average of shipping_distance_km</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Pivot!$A$32:$A$34</c:f>
              <c:strCache>
                <c:ptCount val="2"/>
                <c:pt idx="0">
                  <c:v>Delayed</c:v>
                </c:pt>
                <c:pt idx="1">
                  <c:v>On Time</c:v>
                </c:pt>
              </c:strCache>
            </c:strRef>
          </c:cat>
          <c:val>
            <c:numRef>
              <c:f>Pivot!$C$32:$C$34</c:f>
              <c:numCache>
                <c:formatCode>0.00</c:formatCode>
                <c:ptCount val="2"/>
                <c:pt idx="0">
                  <c:v>38.971321507150698</c:v>
                </c:pt>
                <c:pt idx="1">
                  <c:v>43.716668098510901</c:v>
                </c:pt>
              </c:numCache>
            </c:numRef>
          </c:val>
          <c:smooth val="0"/>
        </c:ser>
        <c:dLbls>
          <c:showLegendKey val="0"/>
          <c:showVal val="0"/>
          <c:showCatName val="0"/>
          <c:showSerName val="0"/>
          <c:showPercent val="0"/>
          <c:showBubbleSize val="0"/>
        </c:dLbls>
        <c:marker val="1"/>
        <c:smooth val="0"/>
        <c:axId val="53609776"/>
        <c:axId val="53605968"/>
      </c:lineChart>
      <c:catAx>
        <c:axId val="549233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24416"/>
        <c:crosses val="autoZero"/>
        <c:auto val="1"/>
        <c:lblAlgn val="ctr"/>
        <c:lblOffset val="100"/>
        <c:noMultiLvlLbl val="0"/>
      </c:catAx>
      <c:valAx>
        <c:axId val="54924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23328"/>
        <c:crosses val="autoZero"/>
        <c:crossBetween val="between"/>
      </c:valAx>
      <c:valAx>
        <c:axId val="53605968"/>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09776"/>
        <c:crosses val="max"/>
        <c:crossBetween val="between"/>
      </c:valAx>
      <c:catAx>
        <c:axId val="53609776"/>
        <c:scaling>
          <c:orientation val="minMax"/>
        </c:scaling>
        <c:delete val="1"/>
        <c:axPos val="b"/>
        <c:numFmt formatCode="General" sourceLinked="1"/>
        <c:majorTickMark val="none"/>
        <c:minorTickMark val="none"/>
        <c:tickLblPos val="nextTo"/>
        <c:crossAx val="53605968"/>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[supply-chain-order-fulfillment-delay_risk.xlsx]Pivot!PivotTable1</c:name>
    <c:fmtId val="4"/>
  </c:pivotSource>
  <c:chart>
    <c:title>
      <c:tx>
        <c:rich>
          <a:bodyPr rot="0" spcFirstLastPara="1" vertOverflow="ellipsis" vert="horz" wrap="square" anchor="ctr" anchorCtr="1"/>
          <a:lstStyle/>
          <a:p>
            <a:pPr>
              <a:defRPr sz="1600" b="1" i="0" u="none" strike="noStrike" kern="1200" cap="all" spc="120" normalizeH="0" baseline="0">
                <a:solidFill>
                  <a:schemeClr val="dk1"/>
                </a:solidFill>
                <a:latin typeface="+mn-lt"/>
                <a:ea typeface="+mn-ea"/>
                <a:cs typeface="+mn-cs"/>
              </a:defRPr>
            </a:pPr>
            <a:r>
              <a:rPr lang="en-US"/>
              <a:t>Delay Rate berdasarkan Metode Pengiriman &amp; Prioritas</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triangl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2"/>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2"/>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2"/>
          </a:solidFill>
          <a:ln>
            <a:noFill/>
          </a:ln>
          <a:effectLst/>
        </c:spPr>
        <c:marker>
          <c:symbol val="none"/>
        </c:marker>
      </c:pivotFmt>
    </c:pivotFmts>
    <c:plotArea>
      <c:layout/>
      <c:barChart>
        <c:barDir val="col"/>
        <c:grouping val="clustered"/>
        <c:varyColors val="0"/>
        <c:ser>
          <c:idx val="0"/>
          <c:order val="0"/>
          <c:tx>
            <c:strRef>
              <c:f>Pivot!$B$3:$B$4</c:f>
              <c:strCache>
                <c:ptCount val="1"/>
                <c:pt idx="0">
                  <c:v>High</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Pivot!$A$5:$A$6</c:f>
              <c:strCache>
                <c:ptCount val="1"/>
                <c:pt idx="0">
                  <c:v>Sea</c:v>
                </c:pt>
              </c:strCache>
            </c:strRef>
          </c:cat>
          <c:val>
            <c:numRef>
              <c:f>Pivot!$B$5:$B$6</c:f>
              <c:numCache>
                <c:formatCode>General</c:formatCode>
                <c:ptCount val="1"/>
                <c:pt idx="0">
                  <c:v>265</c:v>
                </c:pt>
              </c:numCache>
            </c:numRef>
          </c:val>
        </c:ser>
        <c:ser>
          <c:idx val="1"/>
          <c:order val="1"/>
          <c:tx>
            <c:strRef>
              <c:f>Pivot!$C$3:$C$4</c:f>
              <c:strCache>
                <c:ptCount val="1"/>
                <c:pt idx="0">
                  <c:v>Low</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Pivot!$A$5:$A$6</c:f>
              <c:strCache>
                <c:ptCount val="1"/>
                <c:pt idx="0">
                  <c:v>Sea</c:v>
                </c:pt>
              </c:strCache>
            </c:strRef>
          </c:cat>
          <c:val>
            <c:numRef>
              <c:f>Pivot!$C$5:$C$6</c:f>
              <c:numCache>
                <c:formatCode>General</c:formatCode>
                <c:ptCount val="1"/>
                <c:pt idx="0">
                  <c:v>217</c:v>
                </c:pt>
              </c:numCache>
            </c:numRef>
          </c:val>
        </c:ser>
        <c:ser>
          <c:idx val="2"/>
          <c:order val="2"/>
          <c:tx>
            <c:strRef>
              <c:f>Pivot!$D$3:$D$4</c:f>
              <c:strCache>
                <c:ptCount val="1"/>
                <c:pt idx="0">
                  <c:v>Medium</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Pivot!$A$5:$A$6</c:f>
              <c:strCache>
                <c:ptCount val="1"/>
                <c:pt idx="0">
                  <c:v>Sea</c:v>
                </c:pt>
              </c:strCache>
            </c:strRef>
          </c:cat>
          <c:val>
            <c:numRef>
              <c:f>Pivot!$D$5:$D$6</c:f>
              <c:numCache>
                <c:formatCode>General</c:formatCode>
                <c:ptCount val="1"/>
                <c:pt idx="0">
                  <c:v>205</c:v>
                </c:pt>
              </c:numCache>
            </c:numRef>
          </c:val>
        </c:ser>
        <c:dLbls>
          <c:dLblPos val="outEnd"/>
          <c:showLegendKey val="0"/>
          <c:showVal val="1"/>
          <c:showCatName val="0"/>
          <c:showSerName val="0"/>
          <c:showPercent val="0"/>
          <c:showBubbleSize val="0"/>
        </c:dLbls>
        <c:gapWidth val="444"/>
        <c:overlap val="-90"/>
        <c:axId val="398047392"/>
        <c:axId val="398048480"/>
      </c:barChart>
      <c:catAx>
        <c:axId val="398047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dk1"/>
                </a:solidFill>
                <a:latin typeface="+mn-lt"/>
                <a:ea typeface="+mn-ea"/>
                <a:cs typeface="+mn-cs"/>
              </a:defRPr>
            </a:pPr>
            <a:endParaRPr lang="en-US"/>
          </a:p>
        </c:txPr>
        <c:crossAx val="398048480"/>
        <c:crosses val="autoZero"/>
        <c:auto val="1"/>
        <c:lblAlgn val="ctr"/>
        <c:lblOffset val="100"/>
        <c:noMultiLvlLbl val="0"/>
      </c:catAx>
      <c:valAx>
        <c:axId val="398048480"/>
        <c:scaling>
          <c:orientation val="minMax"/>
        </c:scaling>
        <c:delete val="1"/>
        <c:axPos val="l"/>
        <c:numFmt formatCode="General" sourceLinked="1"/>
        <c:majorTickMark val="none"/>
        <c:minorTickMark val="none"/>
        <c:tickLblPos val="nextTo"/>
        <c:crossAx val="3980473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[supply-chain-order-fulfillment-delay_risk.xlsx]Pivot!PivotTable3</c:name>
    <c:fmtId val="3"/>
  </c:pivotSource>
  <c:chart>
    <c:title>
      <c:tx>
        <c:rich>
          <a:bodyPr rot="0" spcFirstLastPara="1" vertOverflow="ellipsis" vert="horz" wrap="square" anchor="ctr" anchorCtr="1"/>
          <a:lstStyle/>
          <a:p>
            <a:pPr>
              <a:defRPr sz="1600" b="1" i="0" u="none" strike="noStrike" kern="1200" cap="all" spc="120" normalizeH="0" baseline="0">
                <a:solidFill>
                  <a:schemeClr val="dk1"/>
                </a:solidFill>
                <a:latin typeface="+mn-lt"/>
                <a:ea typeface="+mn-ea"/>
                <a:cs typeface="+mn-cs"/>
              </a:defRPr>
            </a:pPr>
            <a:r>
              <a:rPr lang="en-US"/>
              <a:t>Pengaruh Cuaca &amp; Kategori Risiko</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c:spPr>
        <c:marker>
          <c:symbol val="none"/>
        </c:marker>
      </c:pivotFmt>
    </c:pivotFmts>
    <c:plotArea>
      <c:layout/>
      <c:barChart>
        <c:barDir val="col"/>
        <c:grouping val="percentStacked"/>
        <c:varyColors val="0"/>
        <c:ser>
          <c:idx val="0"/>
          <c:order val="0"/>
          <c:tx>
            <c:strRef>
              <c:f>Pivot!$B$17:$B$18</c:f>
              <c:strCache>
                <c:ptCount val="1"/>
                <c:pt idx="0">
                  <c:v>High Risk</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Pivot!$A$19:$A$23</c:f>
              <c:strCache>
                <c:ptCount val="4"/>
                <c:pt idx="0">
                  <c:v>Clear</c:v>
                </c:pt>
                <c:pt idx="1">
                  <c:v>Fog</c:v>
                </c:pt>
                <c:pt idx="2">
                  <c:v>Rain</c:v>
                </c:pt>
                <c:pt idx="3">
                  <c:v>Storm</c:v>
                </c:pt>
              </c:strCache>
            </c:strRef>
          </c:cat>
          <c:val>
            <c:numRef>
              <c:f>Pivot!$B$19:$B$23</c:f>
              <c:numCache>
                <c:formatCode>General</c:formatCode>
                <c:ptCount val="4"/>
                <c:pt idx="0">
                  <c:v>0</c:v>
                </c:pt>
                <c:pt idx="1">
                  <c:v>0</c:v>
                </c:pt>
                <c:pt idx="2">
                  <c:v>0</c:v>
                </c:pt>
                <c:pt idx="3">
                  <c:v>44</c:v>
                </c:pt>
              </c:numCache>
            </c:numRef>
          </c:val>
        </c:ser>
        <c:ser>
          <c:idx val="1"/>
          <c:order val="1"/>
          <c:tx>
            <c:strRef>
              <c:f>Pivot!$C$17:$C$18</c:f>
              <c:strCache>
                <c:ptCount val="1"/>
                <c:pt idx="0">
                  <c:v>Low Risk</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Pivot!$A$19:$A$23</c:f>
              <c:strCache>
                <c:ptCount val="4"/>
                <c:pt idx="0">
                  <c:v>Clear</c:v>
                </c:pt>
                <c:pt idx="1">
                  <c:v>Fog</c:v>
                </c:pt>
                <c:pt idx="2">
                  <c:v>Rain</c:v>
                </c:pt>
                <c:pt idx="3">
                  <c:v>Storm</c:v>
                </c:pt>
              </c:strCache>
            </c:strRef>
          </c:cat>
          <c:val>
            <c:numRef>
              <c:f>Pivot!$C$19:$C$23</c:f>
              <c:numCache>
                <c:formatCode>General</c:formatCode>
                <c:ptCount val="4"/>
                <c:pt idx="0">
                  <c:v>126</c:v>
                </c:pt>
                <c:pt idx="1">
                  <c:v>134</c:v>
                </c:pt>
                <c:pt idx="2">
                  <c:v>112</c:v>
                </c:pt>
                <c:pt idx="3">
                  <c:v>113</c:v>
                </c:pt>
              </c:numCache>
            </c:numRef>
          </c:val>
        </c:ser>
        <c:ser>
          <c:idx val="2"/>
          <c:order val="2"/>
          <c:tx>
            <c:strRef>
              <c:f>Pivot!$D$17:$D$18</c:f>
              <c:strCache>
                <c:ptCount val="1"/>
                <c:pt idx="0">
                  <c:v>Medium Risk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Pivot!$A$19:$A$23</c:f>
              <c:strCache>
                <c:ptCount val="4"/>
                <c:pt idx="0">
                  <c:v>Clear</c:v>
                </c:pt>
                <c:pt idx="1">
                  <c:v>Fog</c:v>
                </c:pt>
                <c:pt idx="2">
                  <c:v>Rain</c:v>
                </c:pt>
                <c:pt idx="3">
                  <c:v>Storm</c:v>
                </c:pt>
              </c:strCache>
            </c:strRef>
          </c:cat>
          <c:val>
            <c:numRef>
              <c:f>Pivot!$D$19:$D$23</c:f>
              <c:numCache>
                <c:formatCode>General</c:formatCode>
                <c:ptCount val="4"/>
                <c:pt idx="0">
                  <c:v>45</c:v>
                </c:pt>
                <c:pt idx="1">
                  <c:v>59</c:v>
                </c:pt>
                <c:pt idx="2">
                  <c:v>54</c:v>
                </c:pt>
                <c:pt idx="3">
                  <c:v>0</c:v>
                </c:pt>
              </c:numCache>
            </c:numRef>
          </c:val>
        </c:ser>
        <c:dLbls>
          <c:dLblPos val="ctr"/>
          <c:showLegendKey val="0"/>
          <c:showVal val="1"/>
          <c:showCatName val="0"/>
          <c:showSerName val="0"/>
          <c:showPercent val="0"/>
          <c:showBubbleSize val="0"/>
        </c:dLbls>
        <c:gapWidth val="79"/>
        <c:overlap val="100"/>
        <c:axId val="331079312"/>
        <c:axId val="331079856"/>
      </c:barChart>
      <c:catAx>
        <c:axId val="331079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dk1"/>
                </a:solidFill>
                <a:latin typeface="+mn-lt"/>
                <a:ea typeface="+mn-ea"/>
                <a:cs typeface="+mn-cs"/>
              </a:defRPr>
            </a:pPr>
            <a:endParaRPr lang="en-US"/>
          </a:p>
        </c:txPr>
        <c:crossAx val="331079856"/>
        <c:crosses val="autoZero"/>
        <c:auto val="1"/>
        <c:lblAlgn val="ctr"/>
        <c:lblOffset val="100"/>
        <c:noMultiLvlLbl val="0"/>
      </c:catAx>
      <c:valAx>
        <c:axId val="331079856"/>
        <c:scaling>
          <c:orientation val="minMax"/>
        </c:scaling>
        <c:delete val="1"/>
        <c:axPos val="l"/>
        <c:numFmt formatCode="0%" sourceLinked="1"/>
        <c:majorTickMark val="none"/>
        <c:minorTickMark val="none"/>
        <c:tickLblPos val="nextTo"/>
        <c:crossAx val="3310793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[supply-chain-order-fulfillment-delay_risk.xlsx]Pivot!PivotTable4</c:name>
    <c:fmtId val="3"/>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Keandalan Supplier vs Jarak</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Pivot!$B$31</c:f>
              <c:strCache>
                <c:ptCount val="1"/>
                <c:pt idx="0">
                  <c:v>Average of supplier_reliability_score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Pivot!$A$32:$A$34</c:f>
              <c:strCache>
                <c:ptCount val="2"/>
                <c:pt idx="0">
                  <c:v>Delayed</c:v>
                </c:pt>
                <c:pt idx="1">
                  <c:v>On Time</c:v>
                </c:pt>
              </c:strCache>
            </c:strRef>
          </c:cat>
          <c:val>
            <c:numRef>
              <c:f>Pivot!$B$32:$B$34</c:f>
              <c:numCache>
                <c:formatCode>0.00</c:formatCode>
                <c:ptCount val="2"/>
                <c:pt idx="0">
                  <c:v>5.0749449944994487E-2</c:v>
                </c:pt>
                <c:pt idx="1">
                  <c:v>5.0526918671248644E-2</c:v>
                </c:pt>
              </c:numCache>
            </c:numRef>
          </c:val>
        </c:ser>
        <c:dLbls>
          <c:showLegendKey val="0"/>
          <c:showVal val="0"/>
          <c:showCatName val="0"/>
          <c:showSerName val="0"/>
          <c:showPercent val="0"/>
          <c:showBubbleSize val="0"/>
        </c:dLbls>
        <c:gapWidth val="219"/>
        <c:overlap val="-27"/>
        <c:axId val="361807264"/>
        <c:axId val="361807808"/>
      </c:barChart>
      <c:lineChart>
        <c:grouping val="standard"/>
        <c:varyColors val="0"/>
        <c:ser>
          <c:idx val="1"/>
          <c:order val="1"/>
          <c:tx>
            <c:strRef>
              <c:f>Pivot!$C$31</c:f>
              <c:strCache>
                <c:ptCount val="1"/>
                <c:pt idx="0">
                  <c:v>Average of shipping_distance_km</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Pivot!$A$32:$A$34</c:f>
              <c:strCache>
                <c:ptCount val="2"/>
                <c:pt idx="0">
                  <c:v>Delayed</c:v>
                </c:pt>
                <c:pt idx="1">
                  <c:v>On Time</c:v>
                </c:pt>
              </c:strCache>
            </c:strRef>
          </c:cat>
          <c:val>
            <c:numRef>
              <c:f>Pivot!$C$32:$C$34</c:f>
              <c:numCache>
                <c:formatCode>0.00</c:formatCode>
                <c:ptCount val="2"/>
                <c:pt idx="0">
                  <c:v>38.971321507150698</c:v>
                </c:pt>
                <c:pt idx="1">
                  <c:v>43.716668098510901</c:v>
                </c:pt>
              </c:numCache>
            </c:numRef>
          </c:val>
          <c:smooth val="0"/>
        </c:ser>
        <c:dLbls>
          <c:showLegendKey val="0"/>
          <c:showVal val="0"/>
          <c:showCatName val="0"/>
          <c:showSerName val="0"/>
          <c:showPercent val="0"/>
          <c:showBubbleSize val="0"/>
        </c:dLbls>
        <c:marker val="1"/>
        <c:smooth val="0"/>
        <c:axId val="361809984"/>
        <c:axId val="361804000"/>
      </c:lineChart>
      <c:catAx>
        <c:axId val="3618072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61807808"/>
        <c:crosses val="autoZero"/>
        <c:auto val="1"/>
        <c:lblAlgn val="ctr"/>
        <c:lblOffset val="100"/>
        <c:noMultiLvlLbl val="0"/>
      </c:catAx>
      <c:valAx>
        <c:axId val="3618078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61807264"/>
        <c:crosses val="autoZero"/>
        <c:crossBetween val="between"/>
      </c:valAx>
      <c:valAx>
        <c:axId val="361804000"/>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61809984"/>
        <c:crosses val="max"/>
        <c:crossBetween val="between"/>
      </c:valAx>
      <c:catAx>
        <c:axId val="361809984"/>
        <c:scaling>
          <c:orientation val="minMax"/>
        </c:scaling>
        <c:delete val="1"/>
        <c:axPos val="b"/>
        <c:numFmt formatCode="General" sourceLinked="1"/>
        <c:majorTickMark val="none"/>
        <c:minorTickMark val="none"/>
        <c:tickLblPos val="nextTo"/>
        <c:crossAx val="361804000"/>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473807</xdr:colOff>
      <xdr:row>0</xdr:row>
      <xdr:rowOff>51044</xdr:rowOff>
    </xdr:from>
    <xdr:to>
      <xdr:col>14</xdr:col>
      <xdr:colOff>161191</xdr:colOff>
      <xdr:row>15</xdr:row>
      <xdr:rowOff>46648</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498231</xdr:colOff>
      <xdr:row>16</xdr:row>
      <xdr:rowOff>112102</xdr:rowOff>
    </xdr:from>
    <xdr:to>
      <xdr:col>14</xdr:col>
      <xdr:colOff>185615</xdr:colOff>
      <xdr:row>31</xdr:row>
      <xdr:rowOff>107706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494394</xdr:colOff>
      <xdr:row>32</xdr:row>
      <xdr:rowOff>75293</xdr:rowOff>
    </xdr:from>
    <xdr:to>
      <xdr:col>14</xdr:col>
      <xdr:colOff>204108</xdr:colOff>
      <xdr:row>47</xdr:row>
      <xdr:rowOff>97064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57727</xdr:colOff>
      <xdr:row>0</xdr:row>
      <xdr:rowOff>57727</xdr:rowOff>
    </xdr:from>
    <xdr:to>
      <xdr:col>25</xdr:col>
      <xdr:colOff>0</xdr:colOff>
      <xdr:row>6</xdr:row>
      <xdr:rowOff>23091</xdr:rowOff>
    </xdr:to>
    <xdr:sp macro="" textlink="">
      <xdr:nvSpPr>
        <xdr:cNvPr id="2" name="TextBox 1"/>
        <xdr:cNvSpPr txBox="1"/>
      </xdr:nvSpPr>
      <xdr:spPr>
        <a:xfrm>
          <a:off x="57727" y="57727"/>
          <a:ext cx="15240000" cy="1073728"/>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Arial Black" panose="020B0A04020102020204" pitchFamily="34" charset="0"/>
            </a:rPr>
            <a:t>Supply Chain Operations &amp; Delay Risk Analysis Dashboard</a:t>
          </a:r>
        </a:p>
        <a:p>
          <a:pPr algn="ctr"/>
          <a:r>
            <a:rPr lang="en-US" sz="2000">
              <a:solidFill>
                <a:schemeClr val="bg1"/>
              </a:solidFill>
              <a:latin typeface="Arial Black" panose="020B0A04020102020204" pitchFamily="34" charset="0"/>
            </a:rPr>
            <a:t>Analyst: Muhammad Ferdy Irmawan, S.Kom.</a:t>
          </a:r>
        </a:p>
      </xdr:txBody>
    </xdr:sp>
    <xdr:clientData/>
  </xdr:twoCellAnchor>
  <xdr:twoCellAnchor>
    <xdr:from>
      <xdr:col>0</xdr:col>
      <xdr:colOff>80817</xdr:colOff>
      <xdr:row>10</xdr:row>
      <xdr:rowOff>154459</xdr:rowOff>
    </xdr:from>
    <xdr:to>
      <xdr:col>8</xdr:col>
      <xdr:colOff>254000</xdr:colOff>
      <xdr:row>30</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381000</xdr:colOff>
      <xdr:row>11</xdr:row>
      <xdr:rowOff>0</xdr:rowOff>
    </xdr:from>
    <xdr:to>
      <xdr:col>16</xdr:col>
      <xdr:colOff>369455</xdr:colOff>
      <xdr:row>30</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496454</xdr:colOff>
      <xdr:row>11</xdr:row>
      <xdr:rowOff>0</xdr:rowOff>
    </xdr:from>
    <xdr:to>
      <xdr:col>24</xdr:col>
      <xdr:colOff>554182</xdr:colOff>
      <xdr:row>29</xdr:row>
      <xdr:rowOff>184726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294409</xdr:colOff>
      <xdr:row>31</xdr:row>
      <xdr:rowOff>13855</xdr:rowOff>
    </xdr:from>
    <xdr:to>
      <xdr:col>5</xdr:col>
      <xdr:colOff>287482</xdr:colOff>
      <xdr:row>44</xdr:row>
      <xdr:rowOff>136525</xdr:rowOff>
    </xdr:to>
    <mc:AlternateContent xmlns:mc="http://schemas.openxmlformats.org/markup-compatibility/2006">
      <mc:Choice xmlns:a14="http://schemas.microsoft.com/office/drawing/2010/main" Requires="a14">
        <xdr:graphicFrame macro="">
          <xdr:nvGraphicFramePr>
            <xdr:cNvPr id="6" name="shipping_method"/>
            <xdr:cNvGraphicFramePr/>
          </xdr:nvGraphicFramePr>
          <xdr:xfrm>
            <a:off x="0" y="0"/>
            <a:ext cx="0" cy="0"/>
          </xdr:xfrm>
          <a:graphic>
            <a:graphicData uri="http://schemas.microsoft.com/office/drawing/2010/slicer">
              <sle:slicer xmlns:sle="http://schemas.microsoft.com/office/drawing/2010/slicer" name="shipping_method"/>
            </a:graphicData>
          </a:graphic>
        </xdr:graphicFrame>
      </mc:Choice>
      <mc:Fallback>
        <xdr:sp macro="" textlink="">
          <xdr:nvSpPr>
            <xdr:cNvPr id="0" name=""/>
            <xdr:cNvSpPr>
              <a:spLocks noTextEdit="1"/>
            </xdr:cNvSpPr>
          </xdr:nvSpPr>
          <xdr:spPr>
            <a:xfrm>
              <a:off x="1500909" y="5919355"/>
              <a:ext cx="1802823" cy="25991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282862</xdr:colOff>
      <xdr:row>31</xdr:row>
      <xdr:rowOff>13855</xdr:rowOff>
    </xdr:from>
    <xdr:to>
      <xdr:col>22</xdr:col>
      <xdr:colOff>275935</xdr:colOff>
      <xdr:row>44</xdr:row>
      <xdr:rowOff>136525</xdr:rowOff>
    </xdr:to>
    <mc:AlternateContent xmlns:mc="http://schemas.openxmlformats.org/markup-compatibility/2006">
      <mc:Choice xmlns:a14="http://schemas.microsoft.com/office/drawing/2010/main" Requires="a14">
        <xdr:graphicFrame macro="">
          <xdr:nvGraphicFramePr>
            <xdr:cNvPr id="7" name="weather_condition"/>
            <xdr:cNvGraphicFramePr/>
          </xdr:nvGraphicFramePr>
          <xdr:xfrm>
            <a:off x="0" y="0"/>
            <a:ext cx="0" cy="0"/>
          </xdr:xfrm>
          <a:graphic>
            <a:graphicData uri="http://schemas.microsoft.com/office/drawing/2010/slicer">
              <sle:slicer xmlns:sle="http://schemas.microsoft.com/office/drawing/2010/slicer" name="weather_condition"/>
            </a:graphicData>
          </a:graphic>
        </xdr:graphicFrame>
      </mc:Choice>
      <mc:Fallback>
        <xdr:sp macro="" textlink="">
          <xdr:nvSpPr>
            <xdr:cNvPr id="0" name=""/>
            <xdr:cNvSpPr>
              <a:spLocks noTextEdit="1"/>
            </xdr:cNvSpPr>
          </xdr:nvSpPr>
          <xdr:spPr>
            <a:xfrm>
              <a:off x="11744612" y="5919355"/>
              <a:ext cx="1802823" cy="25991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432666</xdr:colOff>
      <xdr:row>31</xdr:row>
      <xdr:rowOff>31173</xdr:rowOff>
    </xdr:from>
    <xdr:to>
      <xdr:col>15</xdr:col>
      <xdr:colOff>114012</xdr:colOff>
      <xdr:row>41</xdr:row>
      <xdr:rowOff>161636</xdr:rowOff>
    </xdr:to>
    <mc:AlternateContent xmlns:mc="http://schemas.openxmlformats.org/markup-compatibility/2006">
      <mc:Choice xmlns:tsle="http://schemas.microsoft.com/office/drawing/2012/timeslicer" Requires="tsle">
        <xdr:graphicFrame macro="">
          <xdr:nvGraphicFramePr>
            <xdr:cNvPr id="8" name="order_date"/>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5861916" y="5936673"/>
              <a:ext cx="3300846" cy="203546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103909</xdr:colOff>
      <xdr:row>46</xdr:row>
      <xdr:rowOff>44824</xdr:rowOff>
    </xdr:from>
    <xdr:to>
      <xdr:col>24</xdr:col>
      <xdr:colOff>600364</xdr:colOff>
      <xdr:row>57</xdr:row>
      <xdr:rowOff>174625</xdr:rowOff>
    </xdr:to>
    <xdr:sp macro="" textlink="">
      <xdr:nvSpPr>
        <xdr:cNvPr id="9" name="TextBox 8"/>
        <xdr:cNvSpPr txBox="1"/>
      </xdr:nvSpPr>
      <xdr:spPr>
        <a:xfrm>
          <a:off x="103909" y="8807824"/>
          <a:ext cx="14974455" cy="2225301"/>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i="0">
              <a:solidFill>
                <a:schemeClr val="bg1"/>
              </a:solidFill>
            </a:rPr>
            <a:t>Kesimpulan:</a:t>
          </a:r>
        </a:p>
        <a:p>
          <a:pPr algn="ctr"/>
          <a:r>
            <a:rPr lang="en-US" sz="1200" b="0" i="0">
              <a:solidFill>
                <a:schemeClr val="bg1"/>
              </a:solidFill>
            </a:rPr>
            <a:t>Distribusi Delay &amp; Prioritas (Case 1 Jalur pengiriman laut (Sea) dan darat (Road) mendominasi volume pengiriman operasional, namun jalur laut menunjukkan kerentanan tertinggi terhadap keterlambatan. Pesanan prioritas tinggi memerlukan pengawasan ketat karena berdampak langsung pada kepuasan pelanggan.</a:t>
          </a:r>
        </a:p>
        <a:p>
          <a:pPr algn="ctr"/>
          <a:r>
            <a:rPr lang="en-US" sz="1200" b="0" i="0">
              <a:solidFill>
                <a:schemeClr val="bg1"/>
              </a:solidFill>
            </a:rPr>
            <a:t>Dampak Cuaca &amp; Risiko (Case 2 &amp; 4)</a:t>
          </a:r>
          <a:r>
            <a:rPr lang="en-US" sz="1200" b="0" i="0" baseline="0">
              <a:solidFill>
                <a:schemeClr val="bg1"/>
              </a:solidFill>
            </a:rPr>
            <a:t> </a:t>
          </a:r>
          <a:r>
            <a:rPr lang="en-US" sz="1200" b="0" i="0">
              <a:solidFill>
                <a:schemeClr val="bg1"/>
              </a:solidFill>
            </a:rPr>
            <a:t>Kondisi cuaca ekstrem (seperti Storm atau badai) terbukti mendominasi kategori pesanan berisiko tinggi (High Risk) dan memperlambat durasi pemrosesan rata-rata (processing time).</a:t>
          </a:r>
        </a:p>
        <a:p>
          <a:pPr algn="ctr"/>
          <a:r>
            <a:rPr lang="en-US" sz="1200" b="0" i="0">
              <a:solidFill>
                <a:schemeClr val="bg1"/>
              </a:solidFill>
            </a:rPr>
            <a:t>Keandalan Pemasok (Case 3)</a:t>
          </a:r>
          <a:r>
            <a:rPr lang="en-US" sz="1200" b="0" i="0" baseline="0">
              <a:solidFill>
                <a:schemeClr val="bg1"/>
              </a:solidFill>
            </a:rPr>
            <a:t> </a:t>
          </a:r>
          <a:r>
            <a:rPr lang="en-US" sz="1200" b="0" i="0">
              <a:solidFill>
                <a:schemeClr val="bg1"/>
              </a:solidFill>
            </a:rPr>
            <a:t> Status pesanan terlambat (Delayed) berkorelasi dengan variasi skor keandalan pemasok. Pemasok dengan performa di bawah rata-rata berkontribusi nyata terhadap hambatan dari hulu rantai pasok.</a:t>
          </a:r>
        </a:p>
        <a:p>
          <a:pPr algn="ctr"/>
          <a:endParaRPr lang="en-US" sz="1200" b="0" i="0">
            <a:solidFill>
              <a:schemeClr val="bg1"/>
            </a:solidFill>
          </a:endParaRPr>
        </a:p>
        <a:p>
          <a:pPr algn="ctr"/>
          <a:r>
            <a:rPr lang="en-US" sz="1200" b="0" i="0">
              <a:solidFill>
                <a:schemeClr val="bg1"/>
              </a:solidFill>
            </a:rPr>
            <a:t>Strategic Solutions (Rekomendasi Solusi Bisnis):</a:t>
          </a:r>
        </a:p>
        <a:p>
          <a:pPr algn="ctr"/>
          <a:r>
            <a:rPr lang="en-US" sz="1200" b="0" i="0">
              <a:solidFill>
                <a:schemeClr val="bg1"/>
              </a:solidFill>
            </a:rPr>
            <a:t>Optimalisasi Rute &amp; Mitigasi Cuaca Menerapkan sistem peringatan dini (early warning system) yang terintegrasi dengan data cuaca riil untuk pengalihan jalur alternatif saat terdeteksi potensi cuaca ekstrem.</a:t>
          </a:r>
        </a:p>
        <a:p>
          <a:pPr algn="ctr"/>
          <a:r>
            <a:rPr lang="en-US" sz="1200" b="0" i="0">
              <a:solidFill>
                <a:schemeClr val="bg1"/>
              </a:solidFill>
            </a:rPr>
            <a:t>Manajemen &amp; SLA Pemasok</a:t>
          </a:r>
          <a:r>
            <a:rPr lang="en-US" sz="1200" b="0" i="0" baseline="0">
              <a:solidFill>
                <a:schemeClr val="bg1"/>
              </a:solidFill>
            </a:rPr>
            <a:t> </a:t>
          </a:r>
          <a:r>
            <a:rPr lang="en-US" sz="1200" b="0" i="0">
              <a:solidFill>
                <a:schemeClr val="bg1"/>
              </a:solidFill>
            </a:rPr>
            <a:t>Melakukan audit berkala serta evaluasi kontrak terhadap pemasok berkinerja rendah guna menekan potensi hambatan sejak awal rantai pasok.</a:t>
          </a:r>
        </a:p>
        <a:p>
          <a:pPr algn="ctr"/>
          <a:r>
            <a:rPr lang="en-US" sz="1200" b="0" i="0">
              <a:solidFill>
                <a:schemeClr val="bg1"/>
              </a:solidFill>
            </a:rPr>
            <a:t>Dinamika Penjadwalan Pesanan Memprioritaskan pemrosesan gudang secara dinamis untuk pesanan berisiko tinggi guna menghindari penalti keterlambatan dan menjaga SLA operasional.</a:t>
          </a:r>
        </a:p>
        <a:p>
          <a:endParaRPr lang="en-US" sz="1100" i="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6245.362912500001" createdVersion="5" refreshedVersion="5" minRefreshableVersion="3" recordCount="2800">
  <cacheSource type="worksheet">
    <worksheetSource name="Table1"/>
  </cacheSource>
  <cacheFields count="14">
    <cacheField name="order_id" numFmtId="0">
      <sharedItems containsSemiMixedTypes="0" containsString="0" containsNumber="1" containsInteger="1" minValue="1" maxValue="2800"/>
    </cacheField>
    <cacheField name="order_date" numFmtId="14">
      <sharedItems containsSemiMixedTypes="0" containsNonDate="0" containsDate="1" containsString="0" minDate="2023-01-01T00:00:00" maxDate="2023-04-28T00:00:00" count="2800">
        <d v="2023-01-01T00:00:00"/>
        <d v="2023-01-01T01:00:00"/>
        <d v="2023-01-01T02:00:00"/>
        <d v="2023-01-01T03:00:00"/>
        <d v="2023-01-01T04:00:00"/>
        <d v="2023-01-01T05:00:00"/>
        <d v="2023-01-01T06:00:00"/>
        <d v="2023-01-01T07:00:00"/>
        <d v="2023-01-01T08:00:00"/>
        <d v="2023-01-01T09:00:00"/>
        <d v="2023-01-01T10:00:00"/>
        <d v="2023-01-01T11:00:00"/>
        <d v="2023-01-01T12:00:00"/>
        <d v="2023-01-01T13:00:00"/>
        <d v="2023-01-01T14:00:00"/>
        <d v="2023-01-01T15:00:00"/>
        <d v="2023-01-01T16:00:00"/>
        <d v="2023-01-01T17:00:00"/>
        <d v="2023-01-01T18:00:00"/>
        <d v="2023-01-01T19:00:00"/>
        <d v="2023-01-01T20:00:00"/>
        <d v="2023-01-01T21:00:00"/>
        <d v="2023-01-01T22:00:00"/>
        <d v="2023-01-01T23:00:00"/>
        <d v="2023-01-02T00:00:00"/>
        <d v="2023-01-02T01:00:00"/>
        <d v="2023-01-02T02:00:00"/>
        <d v="2023-01-02T03:00:00"/>
        <d v="2023-01-02T04:00:00"/>
        <d v="2023-01-02T05:00:00"/>
        <d v="2023-01-02T06:00:00"/>
        <d v="2023-01-02T07:00:00"/>
        <d v="2023-01-02T08:00:00"/>
        <d v="2023-01-02T09:00:00"/>
        <d v="2023-01-02T10:00:00"/>
        <d v="2023-01-02T11:00:00"/>
        <d v="2023-01-02T12:00:00"/>
        <d v="2023-01-02T13:00:00"/>
        <d v="2023-01-02T14:00:00"/>
        <d v="2023-01-02T15:00:00"/>
        <d v="2023-01-02T16:00:00"/>
        <d v="2023-01-02T17:00:00"/>
        <d v="2023-01-02T18:00:00"/>
        <d v="2023-01-02T19:00:00"/>
        <d v="2023-01-02T20:00:00"/>
        <d v="2023-01-02T21:00:00"/>
        <d v="2023-01-02T22:00:00"/>
        <d v="2023-01-02T23:00:00"/>
        <d v="2023-01-03T00:00:00"/>
        <d v="2023-01-03T01:00:00"/>
        <d v="2023-01-03T02:00:00"/>
        <d v="2023-01-03T03:00:00"/>
        <d v="2023-01-03T04:00:00"/>
        <d v="2023-01-03T05:00:00"/>
        <d v="2023-01-03T06:00:00"/>
        <d v="2023-01-03T07:00:00"/>
        <d v="2023-01-03T08:00:00"/>
        <d v="2023-01-03T09:00:00"/>
        <d v="2023-01-03T10:00:00"/>
        <d v="2023-01-03T11:00:00"/>
        <d v="2023-01-03T12:00:00"/>
        <d v="2023-01-03T13:00:00"/>
        <d v="2023-01-03T14:00:00"/>
        <d v="2023-01-03T15:00:00"/>
        <d v="2023-01-03T16:00:00"/>
        <d v="2023-01-03T17:00:00"/>
        <d v="2023-01-03T18:00:00"/>
        <d v="2023-01-03T19:00:00"/>
        <d v="2023-01-03T20:00:00"/>
        <d v="2023-01-03T21:00:00"/>
        <d v="2023-01-03T22:00:00"/>
        <d v="2023-01-03T23:00:00"/>
        <d v="2023-01-04T00:00:00"/>
        <d v="2023-01-04T01:00:00"/>
        <d v="2023-01-04T02:00:00"/>
        <d v="2023-01-04T03:00:00"/>
        <d v="2023-01-04T04:00:00"/>
        <d v="2023-01-04T05:00:00"/>
        <d v="2023-01-04T06:00:00"/>
        <d v="2023-01-04T07:00:00"/>
        <d v="2023-01-04T08:00:00"/>
        <d v="2023-01-04T09:00:00"/>
        <d v="2023-01-04T10:00:00"/>
        <d v="2023-01-04T11:00:00"/>
        <d v="2023-01-04T12:00:00"/>
        <d v="2023-01-04T13:00:00"/>
        <d v="2023-01-04T14:00:00"/>
        <d v="2023-01-04T15:00:00"/>
        <d v="2023-01-04T16:00:00"/>
        <d v="2023-01-04T17:00:00"/>
        <d v="2023-01-04T18:00:00"/>
        <d v="2023-01-04T19:00:00"/>
        <d v="2023-01-04T20:00:00"/>
        <d v="2023-01-04T21:00:00"/>
        <d v="2023-01-04T22:00:00"/>
        <d v="2023-01-04T23:00:00"/>
        <d v="2023-01-05T00:00:00"/>
        <d v="2023-01-05T01:00:00"/>
        <d v="2023-01-05T02:00:00"/>
        <d v="2023-01-05T03:00:00"/>
        <d v="2023-01-05T04:00:00"/>
        <d v="2023-01-05T05:00:00"/>
        <d v="2023-01-05T06:00:00"/>
        <d v="2023-01-05T07:00:00"/>
        <d v="2023-01-05T08:00:00"/>
        <d v="2023-01-05T09:00:00"/>
        <d v="2023-01-05T10:00:00"/>
        <d v="2023-01-05T11:00:00"/>
        <d v="2023-01-05T12:00:00"/>
        <d v="2023-01-05T13:00:00"/>
        <d v="2023-01-05T14:00:00"/>
        <d v="2023-01-05T15:00:00"/>
        <d v="2023-01-05T16:00:00"/>
        <d v="2023-01-05T17:00:00"/>
        <d v="2023-01-05T18:00:00"/>
        <d v="2023-01-05T19:00:00"/>
        <d v="2023-01-05T20:00:00"/>
        <d v="2023-01-05T21:00:00"/>
        <d v="2023-01-05T22:00:00"/>
        <d v="2023-01-05T23:00:00"/>
        <d v="2023-01-06T00:00:00"/>
        <d v="2023-01-06T01:00:00"/>
        <d v="2023-01-06T02:00:00"/>
        <d v="2023-01-06T03:00:00"/>
        <d v="2023-01-06T04:00:00"/>
        <d v="2023-01-06T05:00:00"/>
        <d v="2023-01-06T06:00:00"/>
        <d v="2023-01-06T07:00:00"/>
        <d v="2023-01-06T08:00:00"/>
        <d v="2023-01-06T09:00:00"/>
        <d v="2023-01-06T10:00:00"/>
        <d v="2023-01-06T11:00:00"/>
        <d v="2023-01-06T12:00:00"/>
        <d v="2023-01-06T13:00:00"/>
        <d v="2023-01-06T14:00:00"/>
        <d v="2023-01-06T15:00:00"/>
        <d v="2023-01-06T16:00:00"/>
        <d v="2023-01-06T17:00:00"/>
        <d v="2023-01-06T18:00:00"/>
        <d v="2023-01-06T19:00:00"/>
        <d v="2023-01-06T20:00:00"/>
        <d v="2023-01-06T21:00:00"/>
        <d v="2023-01-06T22:00:00"/>
        <d v="2023-01-06T23:00:00"/>
        <d v="2023-01-07T00:00:00"/>
        <d v="2023-01-07T01:00:00"/>
        <d v="2023-01-07T02:00:00"/>
        <d v="2023-01-07T03:00:00"/>
        <d v="2023-01-07T04:00:00"/>
        <d v="2023-01-07T05:00:00"/>
        <d v="2023-01-07T06:00:00"/>
        <d v="2023-01-07T07:00:00"/>
        <d v="2023-01-07T08:00:00"/>
        <d v="2023-01-07T09:00:00"/>
        <d v="2023-01-07T10:00:00"/>
        <d v="2023-01-07T11:00:00"/>
        <d v="2023-01-07T12:00:00"/>
        <d v="2023-01-07T13:00:00"/>
        <d v="2023-01-07T14:00:00"/>
        <d v="2023-01-07T15:00:00"/>
        <d v="2023-01-07T16:00:00"/>
        <d v="2023-01-07T17:00:00"/>
        <d v="2023-01-07T18:00:00"/>
        <d v="2023-01-07T19:00:00"/>
        <d v="2023-01-07T20:00:00"/>
        <d v="2023-01-07T21:00:00"/>
        <d v="2023-01-07T22:00:00"/>
        <d v="2023-01-07T23:00:00"/>
        <d v="2023-01-08T00:00:00"/>
        <d v="2023-01-08T01:00:00"/>
        <d v="2023-01-08T02:00:00"/>
        <d v="2023-01-08T03:00:00"/>
        <d v="2023-01-08T04:00:00"/>
        <d v="2023-01-08T05:00:00"/>
        <d v="2023-01-08T06:00:00"/>
        <d v="2023-01-08T07:00:00"/>
        <d v="2023-01-08T08:00:00"/>
        <d v="2023-01-08T09:00:00"/>
        <d v="2023-01-08T10:00:00"/>
        <d v="2023-01-08T11:00:00"/>
        <d v="2023-01-08T12:00:00"/>
        <d v="2023-01-08T13:00:00"/>
        <d v="2023-01-08T14:00:00"/>
        <d v="2023-01-08T15:00:00"/>
        <d v="2023-01-08T16:00:00"/>
        <d v="2023-01-08T17:00:00"/>
        <d v="2023-01-08T18:00:00"/>
        <d v="2023-01-08T19:00:00"/>
        <d v="2023-01-08T20:00:00"/>
        <d v="2023-01-08T21:00:00"/>
        <d v="2023-01-08T22:00:00"/>
        <d v="2023-01-08T23:00:00"/>
        <d v="2023-01-09T00:00:00"/>
        <d v="2023-01-09T01:00:00"/>
        <d v="2023-01-09T02:00:00"/>
        <d v="2023-01-09T03:00:00"/>
        <d v="2023-01-09T04:00:00"/>
        <d v="2023-01-09T05:00:00"/>
        <d v="2023-01-09T06:00:00"/>
        <d v="2023-01-09T07:00:00"/>
        <d v="2023-01-09T08:00:00"/>
        <d v="2023-01-09T09:00:00"/>
        <d v="2023-01-09T10:00:00"/>
        <d v="2023-01-09T11:00:00"/>
        <d v="2023-01-09T12:00:00"/>
        <d v="2023-01-09T13:00:00"/>
        <d v="2023-01-09T14:00:00"/>
        <d v="2023-01-09T15:00:00"/>
        <d v="2023-01-09T16:00:00"/>
        <d v="2023-01-09T17:00:00"/>
        <d v="2023-01-09T18:00:00"/>
        <d v="2023-01-09T19:00:00"/>
        <d v="2023-01-09T20:00:00"/>
        <d v="2023-01-09T21:00:00"/>
        <d v="2023-01-09T22:00:00"/>
        <d v="2023-01-09T23:00:00"/>
        <d v="2023-01-10T00:00:00"/>
        <d v="2023-01-10T01:00:00"/>
        <d v="2023-01-10T02:00:00"/>
        <d v="2023-01-10T03:00:00"/>
        <d v="2023-01-10T04:00:00"/>
        <d v="2023-01-10T05:00:00"/>
        <d v="2023-01-10T06:00:00"/>
        <d v="2023-01-10T07:00:00"/>
        <d v="2023-01-10T08:00:00"/>
        <d v="2023-01-10T09:00:00"/>
        <d v="2023-01-10T10:00:00"/>
        <d v="2023-01-10T11:00:00"/>
        <d v="2023-01-10T12:00:00"/>
        <d v="2023-01-10T13:00:00"/>
        <d v="2023-01-10T14:00:00"/>
        <d v="2023-01-10T15:00:00"/>
        <d v="2023-01-10T16:00:00"/>
        <d v="2023-01-10T17:00:00"/>
        <d v="2023-01-10T18:00:00"/>
        <d v="2023-01-10T19:00:00"/>
        <d v="2023-01-10T20:00:00"/>
        <d v="2023-01-10T21:00:00"/>
        <d v="2023-01-10T22:00:00"/>
        <d v="2023-01-10T23:00:00"/>
        <d v="2023-01-11T00:00:00"/>
        <d v="2023-01-11T01:00:00"/>
        <d v="2023-01-11T02:00:00"/>
        <d v="2023-01-11T03:00:00"/>
        <d v="2023-01-11T04:00:00"/>
        <d v="2023-01-11T05:00:00"/>
        <d v="2023-01-11T06:00:00"/>
        <d v="2023-01-11T07:00:00"/>
        <d v="2023-01-11T08:00:00"/>
        <d v="2023-01-11T09:00:00"/>
        <d v="2023-01-11T10:00:00"/>
        <d v="2023-01-11T11:00:00"/>
        <d v="2023-01-11T12:00:00"/>
        <d v="2023-01-11T13:00:00"/>
        <d v="2023-01-11T14:00:00"/>
        <d v="2023-01-11T15:00:00"/>
        <d v="2023-01-11T16:00:00"/>
        <d v="2023-01-11T17:00:00"/>
        <d v="2023-01-11T18:00:00"/>
        <d v="2023-01-11T19:00:00"/>
        <d v="2023-01-11T20:00:00"/>
        <d v="2023-01-11T21:00:00"/>
        <d v="2023-01-11T22:00:00"/>
        <d v="2023-01-11T23:00:00"/>
        <d v="2023-01-12T00:00:00"/>
        <d v="2023-01-12T01:00:00"/>
        <d v="2023-01-12T02:00:00"/>
        <d v="2023-01-12T03:00:00"/>
        <d v="2023-01-12T04:00:00"/>
        <d v="2023-01-12T05:00:00"/>
        <d v="2023-01-12T06:00:00"/>
        <d v="2023-01-12T07:00:00"/>
        <d v="2023-01-12T08:00:00"/>
        <d v="2023-01-12T09:00:00"/>
        <d v="2023-01-12T10:00:00"/>
        <d v="2023-01-12T11:00:00"/>
        <d v="2023-01-12T12:00:00"/>
        <d v="2023-01-12T13:00:00"/>
        <d v="2023-01-12T14:00:00"/>
        <d v="2023-01-12T15:00:00"/>
        <d v="2023-01-12T16:00:00"/>
        <d v="2023-01-12T17:00:00"/>
        <d v="2023-01-12T18:00:00"/>
        <d v="2023-01-12T19:00:00"/>
        <d v="2023-01-12T20:00:00"/>
        <d v="2023-01-12T21:00:00"/>
        <d v="2023-01-12T22:00:00"/>
        <d v="2023-01-12T23:00:00"/>
        <d v="2023-01-13T00:00:00"/>
        <d v="2023-01-13T01:00:00"/>
        <d v="2023-01-13T02:00:00"/>
        <d v="2023-01-13T03:00:00"/>
        <d v="2023-01-13T04:00:00"/>
        <d v="2023-01-13T05:00:00"/>
        <d v="2023-01-13T06:00:00"/>
        <d v="2023-01-13T07:00:00"/>
        <d v="2023-01-13T08:00:00"/>
        <d v="2023-01-13T09:00:00"/>
        <d v="2023-01-13T10:00:00"/>
        <d v="2023-01-13T11:00:00"/>
        <d v="2023-01-13T12:00:00"/>
        <d v="2023-01-13T13:00:00"/>
        <d v="2023-01-13T14:00:00"/>
        <d v="2023-01-13T15:00:00"/>
        <d v="2023-01-13T16:00:00"/>
        <d v="2023-01-13T17:00:00"/>
        <d v="2023-01-13T18:00:00"/>
        <d v="2023-01-13T19:00:00"/>
        <d v="2023-01-13T20:00:00"/>
        <d v="2023-01-13T21:00:00"/>
        <d v="2023-01-13T22:00:00"/>
        <d v="2023-01-13T23:00:00"/>
        <d v="2023-01-14T00:00:00"/>
        <d v="2023-01-14T01:00:00"/>
        <d v="2023-01-14T02:00:00"/>
        <d v="2023-01-14T03:00:00"/>
        <d v="2023-01-14T04:00:00"/>
        <d v="2023-01-14T05:00:00"/>
        <d v="2023-01-14T06:00:00"/>
        <d v="2023-01-14T07:00:00"/>
        <d v="2023-01-14T08:00:00"/>
        <d v="2023-01-14T09:00:00"/>
        <d v="2023-01-14T10:00:00"/>
        <d v="2023-01-14T11:00:00"/>
        <d v="2023-01-14T12:00:00"/>
        <d v="2023-01-14T13:00:00"/>
        <d v="2023-01-14T14:00:00"/>
        <d v="2023-01-14T15:00:00"/>
        <d v="2023-01-14T16:00:00"/>
        <d v="2023-01-14T17:00:00"/>
        <d v="2023-01-14T18:00:00"/>
        <d v="2023-01-14T19:00:00"/>
        <d v="2023-01-14T20:00:00"/>
        <d v="2023-01-14T21:00:00"/>
        <d v="2023-01-14T22:00:00"/>
        <d v="2023-01-14T23:00:00"/>
        <d v="2023-01-15T00:00:00"/>
        <d v="2023-01-15T01:00:00"/>
        <d v="2023-01-15T02:00:00"/>
        <d v="2023-01-15T03:00:00"/>
        <d v="2023-01-15T04:00:00"/>
        <d v="2023-01-15T05:00:00"/>
        <d v="2023-01-15T06:00:00"/>
        <d v="2023-01-15T07:00:00"/>
        <d v="2023-01-15T08:00:00"/>
        <d v="2023-01-15T09:00:00"/>
        <d v="2023-01-15T10:00:00"/>
        <d v="2023-01-15T11:00:00"/>
        <d v="2023-01-15T12:00:00"/>
        <d v="2023-01-15T13:00:00"/>
        <d v="2023-01-15T14:00:00"/>
        <d v="2023-01-15T15:00:00"/>
        <d v="2023-01-15T16:00:00"/>
        <d v="2023-01-15T17:00:00"/>
        <d v="2023-01-15T18:00:00"/>
        <d v="2023-01-15T19:00:00"/>
        <d v="2023-01-15T20:00:00"/>
        <d v="2023-01-15T21:00:00"/>
        <d v="2023-01-15T22:00:00"/>
        <d v="2023-01-15T23:00:00"/>
        <d v="2023-01-16T00:00:00"/>
        <d v="2023-01-16T01:00:00"/>
        <d v="2023-01-16T02:00:00"/>
        <d v="2023-01-16T03:00:00"/>
        <d v="2023-01-16T04:00:00"/>
        <d v="2023-01-16T05:00:00"/>
        <d v="2023-01-16T06:00:00"/>
        <d v="2023-01-16T07:00:00"/>
        <d v="2023-01-16T08:00:00"/>
        <d v="2023-01-16T09:00:00"/>
        <d v="2023-01-16T10:00:00"/>
        <d v="2023-01-16T11:00:00"/>
        <d v="2023-01-16T12:00:00"/>
        <d v="2023-01-16T13:00:00"/>
        <d v="2023-01-16T14:00:00"/>
        <d v="2023-01-16T15:00:00"/>
        <d v="2023-01-16T16:00:00"/>
        <d v="2023-01-16T17:00:00"/>
        <d v="2023-01-16T18:00:00"/>
        <d v="2023-01-16T19:00:00"/>
        <d v="2023-01-16T20:00:00"/>
        <d v="2023-01-16T21:00:00"/>
        <d v="2023-01-16T22:00:00"/>
        <d v="2023-01-16T23:00:00"/>
        <d v="2023-01-17T00:00:00"/>
        <d v="2023-01-17T01:00:00"/>
        <d v="2023-01-17T02:00:00"/>
        <d v="2023-01-17T03:00:00"/>
        <d v="2023-01-17T04:00:00"/>
        <d v="2023-01-17T05:00:00"/>
        <d v="2023-01-17T06:00:00"/>
        <d v="2023-01-17T07:00:00"/>
        <d v="2023-01-17T08:00:00"/>
        <d v="2023-01-17T09:00:00"/>
        <d v="2023-01-17T10:00:00"/>
        <d v="2023-01-17T11:00:00"/>
        <d v="2023-01-17T12:00:00"/>
        <d v="2023-01-17T13:00:00"/>
        <d v="2023-01-17T14:00:00"/>
        <d v="2023-01-17T15:00:00"/>
        <d v="2023-01-17T16:00:00"/>
        <d v="2023-01-17T17:00:00"/>
        <d v="2023-01-17T18:00:00"/>
        <d v="2023-01-17T19:00:00"/>
        <d v="2023-01-17T20:00:00"/>
        <d v="2023-01-17T21:00:00"/>
        <d v="2023-01-17T22:00:00"/>
        <d v="2023-01-17T23:00:00"/>
        <d v="2023-01-18T00:00:00"/>
        <d v="2023-01-18T01:00:00"/>
        <d v="2023-01-18T02:00:00"/>
        <d v="2023-01-18T03:00:00"/>
        <d v="2023-01-18T04:00:00"/>
        <d v="2023-01-18T05:00:00"/>
        <d v="2023-01-18T06:00:00"/>
        <d v="2023-01-18T07:00:00"/>
        <d v="2023-01-18T08:00:00"/>
        <d v="2023-01-18T09:00:00"/>
        <d v="2023-01-18T10:00:00"/>
        <d v="2023-01-18T11:00:00"/>
        <d v="2023-01-18T12:00:00"/>
        <d v="2023-01-18T13:00:00"/>
        <d v="2023-01-18T14:00:00"/>
        <d v="2023-01-18T15:00:00"/>
        <d v="2023-01-18T16:00:00"/>
        <d v="2023-01-18T17:00:00"/>
        <d v="2023-01-18T18:00:00"/>
        <d v="2023-01-18T19:00:00"/>
        <d v="2023-01-18T20:00:00"/>
        <d v="2023-01-18T21:00:00"/>
        <d v="2023-01-18T22:00:00"/>
        <d v="2023-01-18T23:00:00"/>
        <d v="2023-01-19T00:00:00"/>
        <d v="2023-01-19T01:00:00"/>
        <d v="2023-01-19T02:00:00"/>
        <d v="2023-01-19T03:00:00"/>
        <d v="2023-01-19T04:00:00"/>
        <d v="2023-01-19T05:00:00"/>
        <d v="2023-01-19T06:00:00"/>
        <d v="2023-01-19T07:00:00"/>
        <d v="2023-01-19T08:00:00"/>
        <d v="2023-01-19T09:00:00"/>
        <d v="2023-01-19T10:00:00"/>
        <d v="2023-01-19T11:00:00"/>
        <d v="2023-01-19T12:00:00"/>
        <d v="2023-01-19T13:00:00"/>
        <d v="2023-01-19T14:00:00"/>
        <d v="2023-01-19T15:00:00"/>
        <d v="2023-01-19T16:00:00"/>
        <d v="2023-01-19T17:00:00"/>
        <d v="2023-01-19T18:00:00"/>
        <d v="2023-01-19T19:00:00"/>
        <d v="2023-01-19T20:00:00"/>
        <d v="2023-01-19T21:00:00"/>
        <d v="2023-01-19T22:00:00"/>
        <d v="2023-01-19T23:00:00"/>
        <d v="2023-01-20T00:00:00"/>
        <d v="2023-01-20T01:00:00"/>
        <d v="2023-01-20T02:00:00"/>
        <d v="2023-01-20T03:00:00"/>
        <d v="2023-01-20T04:00:00"/>
        <d v="2023-01-20T05:00:00"/>
        <d v="2023-01-20T06:00:00"/>
        <d v="2023-01-20T07:00:00"/>
        <d v="2023-01-20T08:00:00"/>
        <d v="2023-01-20T09:00:00"/>
        <d v="2023-01-20T10:00:00"/>
        <d v="2023-01-20T11:00:00"/>
        <d v="2023-01-20T12:00:00"/>
        <d v="2023-01-20T13:00:00"/>
        <d v="2023-01-20T14:00:00"/>
        <d v="2023-01-20T15:00:00"/>
        <d v="2023-01-20T16:00:00"/>
        <d v="2023-01-20T17:00:00"/>
        <d v="2023-01-20T18:00:00"/>
        <d v="2023-01-20T19:00:00"/>
        <d v="2023-01-20T20:00:00"/>
        <d v="2023-01-20T21:00:00"/>
        <d v="2023-01-20T22:00:00"/>
        <d v="2023-01-20T23:00:00"/>
        <d v="2023-01-21T00:00:00"/>
        <d v="2023-01-21T01:00:00"/>
        <d v="2023-01-21T02:00:00"/>
        <d v="2023-01-21T03:00:00"/>
        <d v="2023-01-21T04:00:00"/>
        <d v="2023-01-21T05:00:00"/>
        <d v="2023-01-21T06:00:00"/>
        <d v="2023-01-21T07:00:00"/>
        <d v="2023-01-21T08:00:00"/>
        <d v="2023-01-21T09:00:00"/>
        <d v="2023-01-21T10:00:00"/>
        <d v="2023-01-21T11:00:00"/>
        <d v="2023-01-21T12:00:00"/>
        <d v="2023-01-21T13:00:00"/>
        <d v="2023-01-21T14:00:00"/>
        <d v="2023-01-21T15:00:00"/>
        <d v="2023-01-21T16:00:00"/>
        <d v="2023-01-21T17:00:00"/>
        <d v="2023-01-21T18:00:00"/>
        <d v="2023-01-21T19:00:00"/>
        <d v="2023-01-21T20:00:00"/>
        <d v="2023-01-21T21:00:00"/>
        <d v="2023-01-21T22:00:00"/>
        <d v="2023-01-21T23:00:00"/>
        <d v="2023-01-22T00:00:00"/>
        <d v="2023-01-22T01:00:00"/>
        <d v="2023-01-22T02:00:00"/>
        <d v="2023-01-22T03:00:00"/>
        <d v="2023-01-22T04:00:00"/>
        <d v="2023-01-22T05:00:00"/>
        <d v="2023-01-22T06:00:00"/>
        <d v="2023-01-22T07:00:00"/>
        <d v="2023-01-22T08:00:00"/>
        <d v="2023-01-22T09:00:00"/>
        <d v="2023-01-22T10:00:00"/>
        <d v="2023-01-22T11:00:00"/>
        <d v="2023-01-22T12:00:00"/>
        <d v="2023-01-22T13:00:00"/>
        <d v="2023-01-22T14:00:00"/>
        <d v="2023-01-22T15:00:00"/>
        <d v="2023-01-22T16:00:00"/>
        <d v="2023-01-22T17:00:00"/>
        <d v="2023-01-22T18:00:00"/>
        <d v="2023-01-22T19:00:00"/>
        <d v="2023-01-22T20:00:00"/>
        <d v="2023-01-22T21:00:00"/>
        <d v="2023-01-22T22:00:00"/>
        <d v="2023-01-22T23:00:00"/>
        <d v="2023-01-23T00:00:00"/>
        <d v="2023-01-23T01:00:00"/>
        <d v="2023-01-23T02:00:00"/>
        <d v="2023-01-23T03:00:00"/>
        <d v="2023-01-23T04:00:00"/>
        <d v="2023-01-23T05:00:00"/>
        <d v="2023-01-23T06:00:00"/>
        <d v="2023-01-23T07:00:00"/>
        <d v="2023-01-23T08:00:00"/>
        <d v="2023-01-23T09:00:00"/>
        <d v="2023-01-23T10:00:00"/>
        <d v="2023-01-23T11:00:00"/>
        <d v="2023-01-23T12:00:00"/>
        <d v="2023-01-23T13:00:00"/>
        <d v="2023-01-23T14:00:00"/>
        <d v="2023-01-23T15:00:00"/>
        <d v="2023-01-23T16:00:00"/>
        <d v="2023-01-23T17:00:00"/>
        <d v="2023-01-23T18:00:00"/>
        <d v="2023-01-23T19:00:00"/>
        <d v="2023-01-23T20:00:00"/>
        <d v="2023-01-23T21:00:00"/>
        <d v="2023-01-23T22:00:00"/>
        <d v="2023-01-23T23:00:00"/>
        <d v="2023-01-24T00:00:00"/>
        <d v="2023-01-24T01:00:00"/>
        <d v="2023-01-24T02:00:00"/>
        <d v="2023-01-24T03:00:00"/>
        <d v="2023-01-24T04:00:00"/>
        <d v="2023-01-24T05:00:00"/>
        <d v="2023-01-24T06:00:00"/>
        <d v="2023-01-24T07:00:00"/>
        <d v="2023-01-24T08:00:00"/>
        <d v="2023-01-24T09:00:00"/>
        <d v="2023-01-24T10:00:00"/>
        <d v="2023-01-24T11:00:00"/>
        <d v="2023-01-24T12:00:00"/>
        <d v="2023-01-24T13:00:00"/>
        <d v="2023-01-24T14:00:00"/>
        <d v="2023-01-24T15:00:00"/>
        <d v="2023-01-24T16:00:00"/>
        <d v="2023-01-24T17:00:00"/>
        <d v="2023-01-24T18:00:00"/>
        <d v="2023-01-24T19:00:00"/>
        <d v="2023-01-24T20:00:00"/>
        <d v="2023-01-24T21:00:00"/>
        <d v="2023-01-24T22:00:00"/>
        <d v="2023-01-24T23:00:00"/>
        <d v="2023-01-25T00:00:00"/>
        <d v="2023-01-25T01:00:00"/>
        <d v="2023-01-25T02:00:00"/>
        <d v="2023-01-25T03:00:00"/>
        <d v="2023-01-25T04:00:00"/>
        <d v="2023-01-25T05:00:00"/>
        <d v="2023-01-25T06:00:00"/>
        <d v="2023-01-25T07:00:00"/>
        <d v="2023-01-25T08:00:00"/>
        <d v="2023-01-25T09:00:00"/>
        <d v="2023-01-25T10:00:00"/>
        <d v="2023-01-25T11:00:00"/>
        <d v="2023-01-25T12:00:00"/>
        <d v="2023-01-25T13:00:00"/>
        <d v="2023-01-25T14:00:00"/>
        <d v="2023-01-25T15:00:00"/>
        <d v="2023-01-25T16:00:00"/>
        <d v="2023-01-25T17:00:00"/>
        <d v="2023-01-25T18:00:00"/>
        <d v="2023-01-25T19:00:00"/>
        <d v="2023-01-25T20:00:00"/>
        <d v="2023-01-25T21:00:00"/>
        <d v="2023-01-25T22:00:00"/>
        <d v="2023-01-25T23:00:00"/>
        <d v="2023-01-26T00:00:00"/>
        <d v="2023-01-26T01:00:00"/>
        <d v="2023-01-26T02:00:00"/>
        <d v="2023-01-26T03:00:00"/>
        <d v="2023-01-26T04:00:00"/>
        <d v="2023-01-26T05:00:00"/>
        <d v="2023-01-26T06:00:00"/>
        <d v="2023-01-26T07:00:00"/>
        <d v="2023-01-26T08:00:00"/>
        <d v="2023-01-26T09:00:00"/>
        <d v="2023-01-26T10:00:00"/>
        <d v="2023-01-26T11:00:00"/>
        <d v="2023-01-26T12:00:00"/>
        <d v="2023-01-26T13:00:00"/>
        <d v="2023-01-26T14:00:00"/>
        <d v="2023-01-26T15:00:00"/>
        <d v="2023-01-26T16:00:00"/>
        <d v="2023-01-26T17:00:00"/>
        <d v="2023-01-26T18:00:00"/>
        <d v="2023-01-26T19:00:00"/>
        <d v="2023-01-26T20:00:00"/>
        <d v="2023-01-26T21:00:00"/>
        <d v="2023-01-26T22:00:00"/>
        <d v="2023-01-26T23:00:00"/>
        <d v="2023-01-27T00:00:00"/>
        <d v="2023-01-27T01:00:00"/>
        <d v="2023-01-27T02:00:00"/>
        <d v="2023-01-27T03:00:00"/>
        <d v="2023-01-27T04:00:00"/>
        <d v="2023-01-27T05:00:00"/>
        <d v="2023-01-27T06:00:00"/>
        <d v="2023-01-27T07:00:00"/>
        <d v="2023-01-27T08:00:00"/>
        <d v="2023-01-27T09:00:00"/>
        <d v="2023-01-27T10:00:00"/>
        <d v="2023-01-27T11:00:00"/>
        <d v="2023-01-27T12:00:00"/>
        <d v="2023-01-27T13:00:00"/>
        <d v="2023-01-27T14:00:00"/>
        <d v="2023-01-27T15:00:00"/>
        <d v="2023-01-27T16:00:00"/>
        <d v="2023-01-27T17:00:00"/>
        <d v="2023-01-27T18:00:00"/>
        <d v="2023-01-27T19:00:00"/>
        <d v="2023-01-27T20:00:00"/>
        <d v="2023-01-27T21:00:00"/>
        <d v="2023-01-27T22:00:00"/>
        <d v="2023-01-27T23:00:00"/>
        <d v="2023-01-28T00:00:00"/>
        <d v="2023-01-28T01:00:00"/>
        <d v="2023-01-28T02:00:00"/>
        <d v="2023-01-28T03:00:00"/>
        <d v="2023-01-28T04:00:00"/>
        <d v="2023-01-28T05:00:00"/>
        <d v="2023-01-28T06:00:00"/>
        <d v="2023-01-28T07:00:00"/>
        <d v="2023-01-28T08:00:00"/>
        <d v="2023-01-28T09:00:00"/>
        <d v="2023-01-28T10:00:00"/>
        <d v="2023-01-28T11:00:00"/>
        <d v="2023-01-28T12:00:00"/>
        <d v="2023-01-28T13:00:00"/>
        <d v="2023-01-28T14:00:00"/>
        <d v="2023-01-28T15:00:00"/>
        <d v="2023-01-28T16:00:00"/>
        <d v="2023-01-28T17:00:00"/>
        <d v="2023-01-28T18:00:00"/>
        <d v="2023-01-28T19:00:00"/>
        <d v="2023-01-28T20:00:00"/>
        <d v="2023-01-28T21:00:00"/>
        <d v="2023-01-28T22:00:00"/>
        <d v="2023-01-28T23:00:00"/>
        <d v="2023-01-29T00:00:00"/>
        <d v="2023-01-29T01:00:00"/>
        <d v="2023-01-29T02:00:00"/>
        <d v="2023-01-29T03:00:00"/>
        <d v="2023-01-29T04:00:00"/>
        <d v="2023-01-29T05:00:00"/>
        <d v="2023-01-29T06:00:00"/>
        <d v="2023-01-29T07:00:00"/>
        <d v="2023-01-29T08:00:00"/>
        <d v="2023-01-29T09:00:00"/>
        <d v="2023-01-29T10:00:00"/>
        <d v="2023-01-29T11:00:00"/>
        <d v="2023-01-29T12:00:00"/>
        <d v="2023-01-29T13:00:00"/>
        <d v="2023-01-29T14:00:00"/>
        <d v="2023-01-29T15:00:00"/>
        <d v="2023-01-29T16:00:00"/>
        <d v="2023-01-29T17:00:00"/>
        <d v="2023-01-29T18:00:00"/>
        <d v="2023-01-29T19:00:00"/>
        <d v="2023-01-29T20:00:00"/>
        <d v="2023-01-29T21:00:00"/>
        <d v="2023-01-29T22:00:00"/>
        <d v="2023-01-29T23:00:00"/>
        <d v="2023-01-30T00:00:00"/>
        <d v="2023-01-30T01:00:00"/>
        <d v="2023-01-30T02:00:00"/>
        <d v="2023-01-30T03:00:00"/>
        <d v="2023-01-30T04:00:00"/>
        <d v="2023-01-30T05:00:00"/>
        <d v="2023-01-30T06:00:00"/>
        <d v="2023-01-30T07:00:00"/>
        <d v="2023-01-30T08:00:00"/>
        <d v="2023-01-30T09:00:00"/>
        <d v="2023-01-30T10:00:00"/>
        <d v="2023-01-30T11:00:00"/>
        <d v="2023-01-30T12:00:00"/>
        <d v="2023-01-30T13:00:00"/>
        <d v="2023-01-30T14:00:00"/>
        <d v="2023-01-30T15:00:00"/>
        <d v="2023-01-30T16:00:00"/>
        <d v="2023-01-30T17:00:00"/>
        <d v="2023-01-30T18:00:00"/>
        <d v="2023-01-30T19:00:00"/>
        <d v="2023-01-30T20:00:00"/>
        <d v="2023-01-30T21:00:00"/>
        <d v="2023-01-30T22:00:00"/>
        <d v="2023-01-30T23:00:00"/>
        <d v="2023-01-31T00:00:00"/>
        <d v="2023-01-31T01:00:00"/>
        <d v="2023-01-31T02:00:00"/>
        <d v="2023-01-31T03:00:00"/>
        <d v="2023-01-31T04:00:00"/>
        <d v="2023-01-31T05:00:00"/>
        <d v="2023-01-31T06:00:00"/>
        <d v="2023-01-31T07:00:00"/>
        <d v="2023-01-31T08:00:00"/>
        <d v="2023-01-31T09:00:00"/>
        <d v="2023-01-31T10:00:00"/>
        <d v="2023-01-31T11:00:00"/>
        <d v="2023-01-31T12:00:00"/>
        <d v="2023-01-31T13:00:00"/>
        <d v="2023-01-31T14:00:00"/>
        <d v="2023-01-31T15:00:00"/>
        <d v="2023-01-31T16:00:00"/>
        <d v="2023-01-31T17:00:00"/>
        <d v="2023-01-31T18:00:00"/>
        <d v="2023-01-31T19:00:00"/>
        <d v="2023-01-31T20:00:00"/>
        <d v="2023-01-31T21:00:00"/>
        <d v="2023-01-31T22:00:00"/>
        <d v="2023-01-31T23:00:00"/>
        <d v="2023-02-01T00:00:00"/>
        <d v="2023-02-01T01:00:00"/>
        <d v="2023-02-01T02:00:00"/>
        <d v="2023-02-01T03:00:00"/>
        <d v="2023-02-01T04:00:00"/>
        <d v="2023-02-01T05:00:00"/>
        <d v="2023-02-01T06:00:00"/>
        <d v="2023-02-01T07:00:00"/>
        <d v="2023-02-01T08:00:00"/>
        <d v="2023-02-01T09:00:00"/>
        <d v="2023-02-01T10:00:00"/>
        <d v="2023-02-01T11:00:00"/>
        <d v="2023-02-01T12:00:00"/>
        <d v="2023-02-01T13:00:00"/>
        <d v="2023-02-01T14:00:00"/>
        <d v="2023-02-01T15:00:00"/>
        <d v="2023-02-01T16:00:00"/>
        <d v="2023-02-01T17:00:00"/>
        <d v="2023-02-01T18:00:00"/>
        <d v="2023-02-01T19:00:00"/>
        <d v="2023-02-01T20:00:00"/>
        <d v="2023-02-01T21:00:00"/>
        <d v="2023-02-01T22:00:00"/>
        <d v="2023-02-01T23:00:00"/>
        <d v="2023-02-02T00:00:00"/>
        <d v="2023-02-02T01:00:00"/>
        <d v="2023-02-02T02:00:00"/>
        <d v="2023-02-02T03:00:00"/>
        <d v="2023-02-02T04:00:00"/>
        <d v="2023-02-02T05:00:00"/>
        <d v="2023-02-02T06:00:00"/>
        <d v="2023-02-02T07:00:00"/>
        <d v="2023-02-02T08:00:00"/>
        <d v="2023-02-02T09:00:00"/>
        <d v="2023-02-02T10:00:00"/>
        <d v="2023-02-02T11:00:00"/>
        <d v="2023-02-02T12:00:00"/>
        <d v="2023-02-02T13:00:00"/>
        <d v="2023-02-02T14:00:00"/>
        <d v="2023-02-02T15:00:00"/>
        <d v="2023-02-02T16:00:00"/>
        <d v="2023-02-02T17:00:00"/>
        <d v="2023-02-02T18:00:00"/>
        <d v="2023-02-02T19:00:00"/>
        <d v="2023-02-02T20:00:00"/>
        <d v="2023-02-02T21:00:00"/>
        <d v="2023-02-02T22:00:00"/>
        <d v="2023-02-02T23:00:00"/>
        <d v="2023-02-03T00:00:00"/>
        <d v="2023-02-03T01:00:00"/>
        <d v="2023-02-03T02:00:00"/>
        <d v="2023-02-03T03:00:00"/>
        <d v="2023-02-03T04:00:00"/>
        <d v="2023-02-03T05:00:00"/>
        <d v="2023-02-03T06:00:00"/>
        <d v="2023-02-03T07:00:00"/>
        <d v="2023-02-03T08:00:00"/>
        <d v="2023-02-03T09:00:00"/>
        <d v="2023-02-03T10:00:00"/>
        <d v="2023-02-03T11:00:00"/>
        <d v="2023-02-03T12:00:00"/>
        <d v="2023-02-03T13:00:00"/>
        <d v="2023-02-03T14:00:00"/>
        <d v="2023-02-03T15:00:00"/>
        <d v="2023-02-03T16:00:00"/>
        <d v="2023-02-03T17:00:00"/>
        <d v="2023-02-03T18:00:00"/>
        <d v="2023-02-03T19:00:00"/>
        <d v="2023-02-03T20:00:00"/>
        <d v="2023-02-03T21:00:00"/>
        <d v="2023-02-03T22:00:00"/>
        <d v="2023-02-03T23:00:00"/>
        <d v="2023-02-04T00:00:00"/>
        <d v="2023-02-04T01:00:00"/>
        <d v="2023-02-04T02:00:00"/>
        <d v="2023-02-04T03:00:00"/>
        <d v="2023-02-04T04:00:00"/>
        <d v="2023-02-04T05:00:00"/>
        <d v="2023-02-04T06:00:00"/>
        <d v="2023-02-04T07:00:00"/>
        <d v="2023-02-04T08:00:00"/>
        <d v="2023-02-04T09:00:00"/>
        <d v="2023-02-04T10:00:00"/>
        <d v="2023-02-04T11:00:00"/>
        <d v="2023-02-04T12:00:00"/>
        <d v="2023-02-04T13:00:00"/>
        <d v="2023-02-04T14:00:00"/>
        <d v="2023-02-04T15:00:00"/>
        <d v="2023-02-04T16:00:00"/>
        <d v="2023-02-04T17:00:00"/>
        <d v="2023-02-04T18:00:00"/>
        <d v="2023-02-04T19:00:00"/>
        <d v="2023-02-04T20:00:00"/>
        <d v="2023-02-04T21:00:00"/>
        <d v="2023-02-04T22:00:00"/>
        <d v="2023-02-04T23:00:00"/>
        <d v="2023-02-05T00:00:00"/>
        <d v="2023-02-05T01:00:00"/>
        <d v="2023-02-05T02:00:00"/>
        <d v="2023-02-05T03:00:00"/>
        <d v="2023-02-05T04:00:00"/>
        <d v="2023-02-05T05:00:00"/>
        <d v="2023-02-05T06:00:00"/>
        <d v="2023-02-05T07:00:00"/>
        <d v="2023-02-05T08:00:00"/>
        <d v="2023-02-05T09:00:00"/>
        <d v="2023-02-05T10:00:00"/>
        <d v="2023-02-05T11:00:00"/>
        <d v="2023-02-05T12:00:00"/>
        <d v="2023-02-05T13:00:00"/>
        <d v="2023-02-05T14:00:00"/>
        <d v="2023-02-05T15:00:00"/>
        <d v="2023-02-05T16:00:00"/>
        <d v="2023-02-05T17:00:00"/>
        <d v="2023-02-05T18:00:00"/>
        <d v="2023-02-05T19:00:00"/>
        <d v="2023-02-05T20:00:00"/>
        <d v="2023-02-05T21:00:00"/>
        <d v="2023-02-05T22:00:00"/>
        <d v="2023-02-05T23:00:00"/>
        <d v="2023-02-06T00:00:00"/>
        <d v="2023-02-06T01:00:00"/>
        <d v="2023-02-06T02:00:00"/>
        <d v="2023-02-06T03:00:00"/>
        <d v="2023-02-06T04:00:00"/>
        <d v="2023-02-06T05:00:00"/>
        <d v="2023-02-06T06:00:00"/>
        <d v="2023-02-06T07:00:00"/>
        <d v="2023-02-06T08:00:00"/>
        <d v="2023-02-06T09:00:00"/>
        <d v="2023-02-06T10:00:00"/>
        <d v="2023-02-06T11:00:00"/>
        <d v="2023-02-06T12:00:00"/>
        <d v="2023-02-06T13:00:00"/>
        <d v="2023-02-06T14:00:00"/>
        <d v="2023-02-06T15:00:00"/>
        <d v="2023-02-06T16:00:00"/>
        <d v="2023-02-06T17:00:00"/>
        <d v="2023-02-06T18:00:00"/>
        <d v="2023-02-06T19:00:00"/>
        <d v="2023-02-06T20:00:00"/>
        <d v="2023-02-06T21:00:00"/>
        <d v="2023-02-06T22:00:00"/>
        <d v="2023-02-06T23:00:00"/>
        <d v="2023-02-07T00:00:00"/>
        <d v="2023-02-07T01:00:00"/>
        <d v="2023-02-07T02:00:00"/>
        <d v="2023-02-07T03:00:00"/>
        <d v="2023-02-07T04:00:00"/>
        <d v="2023-02-07T05:00:00"/>
        <d v="2023-02-07T06:00:00"/>
        <d v="2023-02-07T07:00:00"/>
        <d v="2023-02-07T08:00:00"/>
        <d v="2023-02-07T09:00:00"/>
        <d v="2023-02-07T10:00:00"/>
        <d v="2023-02-07T11:00:00"/>
        <d v="2023-02-07T12:00:00"/>
        <d v="2023-02-07T13:00:00"/>
        <d v="2023-02-07T14:00:00"/>
        <d v="2023-02-07T15:00:00"/>
        <d v="2023-02-07T16:00:00"/>
        <d v="2023-02-07T17:00:00"/>
        <d v="2023-02-07T18:00:00"/>
        <d v="2023-02-07T19:00:00"/>
        <d v="2023-02-07T20:00:00"/>
        <d v="2023-02-07T21:00:00"/>
        <d v="2023-02-07T22:00:00"/>
        <d v="2023-02-07T23:00:00"/>
        <d v="2023-02-08T00:00:00"/>
        <d v="2023-02-08T01:00:00"/>
        <d v="2023-02-08T02:00:00"/>
        <d v="2023-02-08T03:00:00"/>
        <d v="2023-02-08T04:00:00"/>
        <d v="2023-02-08T05:00:00"/>
        <d v="2023-02-08T06:00:00"/>
        <d v="2023-02-08T07:00:00"/>
        <d v="2023-02-08T08:00:00"/>
        <d v="2023-02-08T09:00:00"/>
        <d v="2023-02-08T10:00:00"/>
        <d v="2023-02-08T11:00:00"/>
        <d v="2023-02-08T12:00:00"/>
        <d v="2023-02-08T13:00:00"/>
        <d v="2023-02-08T14:00:00"/>
        <d v="2023-02-08T15:00:00"/>
        <d v="2023-02-08T16:00:00"/>
        <d v="2023-02-08T17:00:00"/>
        <d v="2023-02-08T18:00:00"/>
        <d v="2023-02-08T19:00:00"/>
        <d v="2023-02-08T20:00:00"/>
        <d v="2023-02-08T21:00:00"/>
        <d v="2023-02-08T22:00:00"/>
        <d v="2023-02-08T23:00:00"/>
        <d v="2023-02-09T00:00:00"/>
        <d v="2023-02-09T01:00:00"/>
        <d v="2023-02-09T02:00:00"/>
        <d v="2023-02-09T03:00:00"/>
        <d v="2023-02-09T04:00:00"/>
        <d v="2023-02-09T05:00:00"/>
        <d v="2023-02-09T06:00:00"/>
        <d v="2023-02-09T07:00:00"/>
        <d v="2023-02-09T08:00:00"/>
        <d v="2023-02-09T09:00:00"/>
        <d v="2023-02-09T10:00:00"/>
        <d v="2023-02-09T11:00:00"/>
        <d v="2023-02-09T12:00:00"/>
        <d v="2023-02-09T13:00:00"/>
        <d v="2023-02-09T14:00:00"/>
        <d v="2023-02-09T15:00:00"/>
        <d v="2023-02-09T16:00:00"/>
        <d v="2023-02-09T17:00:00"/>
        <d v="2023-02-09T18:00:00"/>
        <d v="2023-02-09T19:00:00"/>
        <d v="2023-02-09T20:00:00"/>
        <d v="2023-02-09T21:00:00"/>
        <d v="2023-02-09T22:00:00"/>
        <d v="2023-02-09T23:00:00"/>
        <d v="2023-02-10T00:00:00"/>
        <d v="2023-02-10T01:00:00"/>
        <d v="2023-02-10T02:00:00"/>
        <d v="2023-02-10T03:00:00"/>
        <d v="2023-02-10T04:00:00"/>
        <d v="2023-02-10T05:00:00"/>
        <d v="2023-02-10T06:00:00"/>
        <d v="2023-02-10T07:00:00"/>
        <d v="2023-02-10T08:00:00"/>
        <d v="2023-02-10T09:00:00"/>
        <d v="2023-02-10T10:00:00"/>
        <d v="2023-02-10T11:00:00"/>
        <d v="2023-02-10T12:00:00"/>
        <d v="2023-02-10T13:00:00"/>
        <d v="2023-02-10T14:00:00"/>
        <d v="2023-02-10T15:00:00"/>
        <d v="2023-02-10T16:00:00"/>
        <d v="2023-02-10T17:00:00"/>
        <d v="2023-02-10T18:00:00"/>
        <d v="2023-02-10T19:00:00"/>
        <d v="2023-02-10T20:00:00"/>
        <d v="2023-02-10T21:00:00"/>
        <d v="2023-02-10T22:00:00"/>
        <d v="2023-02-10T23:00:00"/>
        <d v="2023-02-11T00:00:00"/>
        <d v="2023-02-11T01:00:00"/>
        <d v="2023-02-11T02:00:00"/>
        <d v="2023-02-11T03:00:00"/>
        <d v="2023-02-11T04:00:00"/>
        <d v="2023-02-11T05:00:00"/>
        <d v="2023-02-11T06:00:00"/>
        <d v="2023-02-11T07:00:00"/>
        <d v="2023-02-11T08:00:00"/>
        <d v="2023-02-11T09:00:00"/>
        <d v="2023-02-11T10:00:00"/>
        <d v="2023-02-11T11:00:00"/>
        <d v="2023-02-11T12:00:00"/>
        <d v="2023-02-11T13:00:00"/>
        <d v="2023-02-11T14:00:00"/>
        <d v="2023-02-11T15:00:00"/>
        <d v="2023-02-11T16:00:00"/>
        <d v="2023-02-11T17:00:00"/>
        <d v="2023-02-11T18:00:00"/>
        <d v="2023-02-11T19:00:00"/>
        <d v="2023-02-11T20:00:00"/>
        <d v="2023-02-11T21:00:00"/>
        <d v="2023-02-11T22:00:00"/>
        <d v="2023-02-11T23:00:00"/>
        <d v="2023-02-12T00:00:00"/>
        <d v="2023-02-12T01:00:00"/>
        <d v="2023-02-12T02:00:00"/>
        <d v="2023-02-12T03:00:00"/>
        <d v="2023-02-12T04:00:00"/>
        <d v="2023-02-12T05:00:00"/>
        <d v="2023-02-12T06:00:00"/>
        <d v="2023-02-12T07:00:00"/>
        <d v="2023-02-12T08:00:00"/>
        <d v="2023-02-12T09:00:00"/>
        <d v="2023-02-12T10:00:00"/>
        <d v="2023-02-12T11:00:00"/>
        <d v="2023-02-12T12:00:00"/>
        <d v="2023-02-12T13:00:00"/>
        <d v="2023-02-12T14:00:00"/>
        <d v="2023-02-12T15:00:00"/>
        <d v="2023-02-12T16:00:00"/>
        <d v="2023-02-12T17:00:00"/>
        <d v="2023-02-12T18:00:00"/>
        <d v="2023-02-12T19:00:00"/>
        <d v="2023-02-12T20:00:00"/>
        <d v="2023-02-12T21:00:00"/>
        <d v="2023-02-12T22:00:00"/>
        <d v="2023-02-12T23:00:00"/>
        <d v="2023-02-13T00:00:00"/>
        <d v="2023-02-13T01:00:00"/>
        <d v="2023-02-13T02:00:00"/>
        <d v="2023-02-13T03:00:00"/>
        <d v="2023-02-13T04:00:00"/>
        <d v="2023-02-13T05:00:00"/>
        <d v="2023-02-13T06:00:00"/>
        <d v="2023-02-13T07:00:00"/>
        <d v="2023-02-13T08:00:00"/>
        <d v="2023-02-13T09:00:00"/>
        <d v="2023-02-13T10:00:00"/>
        <d v="2023-02-13T11:00:00"/>
        <d v="2023-02-13T12:00:00"/>
        <d v="2023-02-13T13:00:00"/>
        <d v="2023-02-13T14:00:00"/>
        <d v="2023-02-13T15:00:00"/>
        <d v="2023-02-13T16:00:00"/>
        <d v="2023-02-13T17:00:00"/>
        <d v="2023-02-13T18:00:00"/>
        <d v="2023-02-13T19:00:00"/>
        <d v="2023-02-13T20:00:00"/>
        <d v="2023-02-13T21:00:00"/>
        <d v="2023-02-13T22:00:00"/>
        <d v="2023-02-13T23:00:00"/>
        <d v="2023-02-14T00:00:00"/>
        <d v="2023-02-14T01:00:00"/>
        <d v="2023-02-14T02:00:00"/>
        <d v="2023-02-14T03:00:00"/>
        <d v="2023-02-14T04:00:00"/>
        <d v="2023-02-14T05:00:00"/>
        <d v="2023-02-14T06:00:00"/>
        <d v="2023-02-14T07:00:00"/>
        <d v="2023-02-14T08:00:00"/>
        <d v="2023-02-14T09:00:00"/>
        <d v="2023-02-14T10:00:00"/>
        <d v="2023-02-14T11:00:00"/>
        <d v="2023-02-14T12:00:00"/>
        <d v="2023-02-14T13:00:00"/>
        <d v="2023-02-14T14:00:00"/>
        <d v="2023-02-14T15:00:00"/>
        <d v="2023-02-14T16:00:00"/>
        <d v="2023-02-14T17:00:00"/>
        <d v="2023-02-14T18:00:00"/>
        <d v="2023-02-14T19:00:00"/>
        <d v="2023-02-14T20:00:00"/>
        <d v="2023-02-14T21:00:00"/>
        <d v="2023-02-14T22:00:00"/>
        <d v="2023-02-14T23:00:00"/>
        <d v="2023-02-15T00:00:00"/>
        <d v="2023-02-15T01:00:00"/>
        <d v="2023-02-15T02:00:00"/>
        <d v="2023-02-15T03:00:00"/>
        <d v="2023-02-15T04:00:00"/>
        <d v="2023-02-15T05:00:00"/>
        <d v="2023-02-15T06:00:00"/>
        <d v="2023-02-15T07:00:00"/>
        <d v="2023-02-15T08:00:00"/>
        <d v="2023-02-15T09:00:00"/>
        <d v="2023-02-15T10:00:00"/>
        <d v="2023-02-15T11:00:00"/>
        <d v="2023-02-15T12:00:00"/>
        <d v="2023-02-15T13:00:00"/>
        <d v="2023-02-15T14:00:00"/>
        <d v="2023-02-15T15:00:00"/>
        <d v="2023-02-15T16:00:00"/>
        <d v="2023-02-15T17:00:00"/>
        <d v="2023-02-15T18:00:00"/>
        <d v="2023-02-15T19:00:00"/>
        <d v="2023-02-15T20:00:00"/>
        <d v="2023-02-15T21:00:00"/>
        <d v="2023-02-15T22:00:00"/>
        <d v="2023-02-15T23:00:00"/>
        <d v="2023-02-16T00:00:00"/>
        <d v="2023-02-16T01:00:00"/>
        <d v="2023-02-16T02:00:00"/>
        <d v="2023-02-16T03:00:00"/>
        <d v="2023-02-16T04:00:00"/>
        <d v="2023-02-16T05:00:00"/>
        <d v="2023-02-16T06:00:00"/>
        <d v="2023-02-16T07:00:00"/>
        <d v="2023-02-16T08:00:00"/>
        <d v="2023-02-16T09:00:00"/>
        <d v="2023-02-16T10:00:00"/>
        <d v="2023-02-16T11:00:00"/>
        <d v="2023-02-16T12:00:00"/>
        <d v="2023-02-16T13:00:00"/>
        <d v="2023-02-16T14:00:00"/>
        <d v="2023-02-16T15:00:00"/>
        <d v="2023-02-16T16:00:00"/>
        <d v="2023-02-16T17:00:00"/>
        <d v="2023-02-16T18:00:00"/>
        <d v="2023-02-16T19:00:00"/>
        <d v="2023-02-16T20:00:00"/>
        <d v="2023-02-16T21:00:00"/>
        <d v="2023-02-16T22:00:00"/>
        <d v="2023-02-16T23:00:00"/>
        <d v="2023-02-17T00:00:00"/>
        <d v="2023-02-17T01:00:00"/>
        <d v="2023-02-17T02:00:00"/>
        <d v="2023-02-17T03:00:00"/>
        <d v="2023-02-17T04:00:00"/>
        <d v="2023-02-17T05:00:00"/>
        <d v="2023-02-17T06:00:00"/>
        <d v="2023-02-17T07:00:00"/>
        <d v="2023-02-17T08:00:00"/>
        <d v="2023-02-17T09:00:00"/>
        <d v="2023-02-17T10:00:00"/>
        <d v="2023-02-17T11:00:00"/>
        <d v="2023-02-17T12:00:00"/>
        <d v="2023-02-17T13:00:00"/>
        <d v="2023-02-17T14:00:00"/>
        <d v="2023-02-17T15:00:00"/>
        <d v="2023-02-17T16:00:00"/>
        <d v="2023-02-17T17:00:00"/>
        <d v="2023-02-17T18:00:00"/>
        <d v="2023-02-17T19:00:00"/>
        <d v="2023-02-17T20:00:00"/>
        <d v="2023-02-17T21:00:00"/>
        <d v="2023-02-17T22:00:00"/>
        <d v="2023-02-17T23:00:00"/>
        <d v="2023-02-18T00:00:00"/>
        <d v="2023-02-18T01:00:00"/>
        <d v="2023-02-18T02:00:00"/>
        <d v="2023-02-18T03:00:00"/>
        <d v="2023-02-18T04:00:00"/>
        <d v="2023-02-18T05:00:00"/>
        <d v="2023-02-18T06:00:00"/>
        <d v="2023-02-18T07:00:00"/>
        <d v="2023-02-18T08:00:00"/>
        <d v="2023-02-18T09:00:00"/>
        <d v="2023-02-18T10:00:00"/>
        <d v="2023-02-18T11:00:00"/>
        <d v="2023-02-18T12:00:00"/>
        <d v="2023-02-18T13:00:00"/>
        <d v="2023-02-18T14:00:00"/>
        <d v="2023-02-18T15:00:00"/>
        <d v="2023-02-18T16:00:00"/>
        <d v="2023-02-18T17:00:00"/>
        <d v="2023-02-18T18:00:00"/>
        <d v="2023-02-18T19:00:00"/>
        <d v="2023-02-18T20:00:00"/>
        <d v="2023-02-18T21:00:00"/>
        <d v="2023-02-18T22:00:00"/>
        <d v="2023-02-18T23:00:00"/>
        <d v="2023-02-19T00:00:00"/>
        <d v="2023-02-19T01:00:00"/>
        <d v="2023-02-19T02:00:00"/>
        <d v="2023-02-19T03:00:00"/>
        <d v="2023-02-19T04:00:00"/>
        <d v="2023-02-19T05:00:00"/>
        <d v="2023-02-19T06:00:00"/>
        <d v="2023-02-19T07:00:00"/>
        <d v="2023-02-19T08:00:00"/>
        <d v="2023-02-19T09:00:00"/>
        <d v="2023-02-19T10:00:00"/>
        <d v="2023-02-19T11:00:00"/>
        <d v="2023-02-19T12:00:00"/>
        <d v="2023-02-19T13:00:00"/>
        <d v="2023-02-19T14:00:00"/>
        <d v="2023-02-19T15:00:00"/>
        <d v="2023-02-19T16:00:00"/>
        <d v="2023-02-19T17:00:00"/>
        <d v="2023-02-19T18:00:00"/>
        <d v="2023-02-19T19:00:00"/>
        <d v="2023-02-19T20:00:00"/>
        <d v="2023-02-19T21:00:00"/>
        <d v="2023-02-19T22:00:00"/>
        <d v="2023-02-19T23:00:00"/>
        <d v="2023-02-20T00:00:00"/>
        <d v="2023-02-20T01:00:00"/>
        <d v="2023-02-20T02:00:00"/>
        <d v="2023-02-20T03:00:00"/>
        <d v="2023-02-20T04:00:00"/>
        <d v="2023-02-20T05:00:00"/>
        <d v="2023-02-20T06:00:00"/>
        <d v="2023-02-20T07:00:00"/>
        <d v="2023-02-20T08:00:00"/>
        <d v="2023-02-20T09:00:00"/>
        <d v="2023-02-20T10:00:00"/>
        <d v="2023-02-20T11:00:00"/>
        <d v="2023-02-20T12:00:00"/>
        <d v="2023-02-20T13:00:00"/>
        <d v="2023-02-20T14:00:00"/>
        <d v="2023-02-20T15:00:00"/>
        <d v="2023-02-20T16:00:00"/>
        <d v="2023-02-20T17:00:00"/>
        <d v="2023-02-20T18:00:00"/>
        <d v="2023-02-20T19:00:00"/>
        <d v="2023-02-20T20:00:00"/>
        <d v="2023-02-20T21:00:00"/>
        <d v="2023-02-20T22:00:00"/>
        <d v="2023-02-20T23:00:00"/>
        <d v="2023-02-21T00:00:00"/>
        <d v="2023-02-21T01:00:00"/>
        <d v="2023-02-21T02:00:00"/>
        <d v="2023-02-21T03:00:00"/>
        <d v="2023-02-21T04:00:00"/>
        <d v="2023-02-21T05:00:00"/>
        <d v="2023-02-21T06:00:00"/>
        <d v="2023-02-21T07:00:00"/>
        <d v="2023-02-21T08:00:00"/>
        <d v="2023-02-21T09:00:00"/>
        <d v="2023-02-21T10:00:00"/>
        <d v="2023-02-21T11:00:00"/>
        <d v="2023-02-21T12:00:00"/>
        <d v="2023-02-21T13:00:00"/>
        <d v="2023-02-21T14:00:00"/>
        <d v="2023-02-21T15:00:00"/>
        <d v="2023-02-21T16:00:00"/>
        <d v="2023-02-21T17:00:00"/>
        <d v="2023-02-21T18:00:00"/>
        <d v="2023-02-21T19:00:00"/>
        <d v="2023-02-21T20:00:00"/>
        <d v="2023-02-21T21:00:00"/>
        <d v="2023-02-21T22:00:00"/>
        <d v="2023-02-21T23:00:00"/>
        <d v="2023-02-22T00:00:00"/>
        <d v="2023-02-22T01:00:00"/>
        <d v="2023-02-22T02:00:00"/>
        <d v="2023-02-22T03:00:00"/>
        <d v="2023-02-22T04:00:00"/>
        <d v="2023-02-22T05:00:00"/>
        <d v="2023-02-22T06:00:00"/>
        <d v="2023-02-22T07:00:00"/>
        <d v="2023-02-22T08:00:00"/>
        <d v="2023-02-22T09:00:00"/>
        <d v="2023-02-22T10:00:00"/>
        <d v="2023-02-22T11:00:00"/>
        <d v="2023-02-22T12:00:00"/>
        <d v="2023-02-22T13:00:00"/>
        <d v="2023-02-22T14:00:00"/>
        <d v="2023-02-22T15:00:00"/>
        <d v="2023-02-22T16:00:00"/>
        <d v="2023-02-22T17:00:00"/>
        <d v="2023-02-22T18:00:00"/>
        <d v="2023-02-22T19:00:00"/>
        <d v="2023-02-22T20:00:00"/>
        <d v="2023-02-22T21:00:00"/>
        <d v="2023-02-22T22:00:00"/>
        <d v="2023-02-22T23:00:00"/>
        <d v="2023-02-23T00:00:00"/>
        <d v="2023-02-23T01:00:00"/>
        <d v="2023-02-23T02:00:00"/>
        <d v="2023-02-23T03:00:00"/>
        <d v="2023-02-23T04:00:00"/>
        <d v="2023-02-23T05:00:00"/>
        <d v="2023-02-23T06:00:00"/>
        <d v="2023-02-23T07:00:00"/>
        <d v="2023-02-23T08:00:00"/>
        <d v="2023-02-23T09:00:00"/>
        <d v="2023-02-23T10:00:00"/>
        <d v="2023-02-23T11:00:00"/>
        <d v="2023-02-23T12:00:00"/>
        <d v="2023-02-23T13:00:00"/>
        <d v="2023-02-23T14:00:00"/>
        <d v="2023-02-23T15:00:00"/>
        <d v="2023-02-23T16:00:00"/>
        <d v="2023-02-23T17:00:00"/>
        <d v="2023-02-23T18:00:00"/>
        <d v="2023-02-23T19:00:00"/>
        <d v="2023-02-23T20:00:00"/>
        <d v="2023-02-23T21:00:00"/>
        <d v="2023-02-23T22:00:00"/>
        <d v="2023-02-23T23:00:00"/>
        <d v="2023-02-24T00:00:00"/>
        <d v="2023-02-24T01:00:00"/>
        <d v="2023-02-24T02:00:00"/>
        <d v="2023-02-24T03:00:00"/>
        <d v="2023-02-24T04:00:00"/>
        <d v="2023-02-24T05:00:00"/>
        <d v="2023-02-24T06:00:00"/>
        <d v="2023-02-24T07:00:00"/>
        <d v="2023-02-24T08:00:00"/>
        <d v="2023-02-24T09:00:00"/>
        <d v="2023-02-24T10:00:00"/>
        <d v="2023-02-24T11:00:00"/>
        <d v="2023-02-24T12:00:00"/>
        <d v="2023-02-24T13:00:00"/>
        <d v="2023-02-24T14:00:00"/>
        <d v="2023-02-24T15:00:00"/>
        <d v="2023-02-24T16:00:00"/>
        <d v="2023-02-24T17:00:00"/>
        <d v="2023-02-24T18:00:00"/>
        <d v="2023-02-24T19:00:00"/>
        <d v="2023-02-24T20:00:00"/>
        <d v="2023-02-24T21:00:00"/>
        <d v="2023-02-24T22:00:00"/>
        <d v="2023-02-24T23:00:00"/>
        <d v="2023-02-25T00:00:00"/>
        <d v="2023-02-25T01:00:00"/>
        <d v="2023-02-25T02:00:00"/>
        <d v="2023-02-25T03:00:00"/>
        <d v="2023-02-25T04:00:00"/>
        <d v="2023-02-25T05:00:00"/>
        <d v="2023-02-25T06:00:00"/>
        <d v="2023-02-25T07:00:00"/>
        <d v="2023-02-25T08:00:00"/>
        <d v="2023-02-25T09:00:00"/>
        <d v="2023-02-25T10:00:00"/>
        <d v="2023-02-25T11:00:00"/>
        <d v="2023-02-25T12:00:00"/>
        <d v="2023-02-25T13:00:00"/>
        <d v="2023-02-25T14:00:00"/>
        <d v="2023-02-25T15:00:00"/>
        <d v="2023-02-25T16:00:00"/>
        <d v="2023-02-25T17:00:00"/>
        <d v="2023-02-25T18:00:00"/>
        <d v="2023-02-25T19:00:00"/>
        <d v="2023-02-25T20:00:00"/>
        <d v="2023-02-25T21:00:00"/>
        <d v="2023-02-25T22:00:00"/>
        <d v="2023-02-25T23:00:00"/>
        <d v="2023-02-26T00:00:00"/>
        <d v="2023-02-26T01:00:00"/>
        <d v="2023-02-26T02:00:00"/>
        <d v="2023-02-26T03:00:00"/>
        <d v="2023-02-26T04:00:00"/>
        <d v="2023-02-26T05:00:00"/>
        <d v="2023-02-26T06:00:00"/>
        <d v="2023-02-26T07:00:00"/>
        <d v="2023-02-26T08:00:00"/>
        <d v="2023-02-26T09:00:00"/>
        <d v="2023-02-26T10:00:00"/>
        <d v="2023-02-26T11:00:00"/>
        <d v="2023-02-26T12:00:00"/>
        <d v="2023-02-26T13:00:00"/>
        <d v="2023-02-26T14:00:00"/>
        <d v="2023-02-26T15:00:00"/>
        <d v="2023-02-26T16:00:00"/>
        <d v="2023-02-26T17:00:00"/>
        <d v="2023-02-26T18:00:00"/>
        <d v="2023-02-26T19:00:00"/>
        <d v="2023-02-26T20:00:00"/>
        <d v="2023-02-26T21:00:00"/>
        <d v="2023-02-26T22:00:00"/>
        <d v="2023-02-26T23:00:00"/>
        <d v="2023-02-27T00:00:00"/>
        <d v="2023-02-27T01:00:00"/>
        <d v="2023-02-27T02:00:00"/>
        <d v="2023-02-27T03:00:00"/>
        <d v="2023-02-27T04:00:00"/>
        <d v="2023-02-27T05:00:00"/>
        <d v="2023-02-27T06:00:00"/>
        <d v="2023-02-27T07:00:00"/>
        <d v="2023-02-27T08:00:00"/>
        <d v="2023-02-27T09:00:00"/>
        <d v="2023-02-27T10:00:00"/>
        <d v="2023-02-27T11:00:00"/>
        <d v="2023-02-27T12:00:00"/>
        <d v="2023-02-27T13:00:00"/>
        <d v="2023-02-27T14:00:00"/>
        <d v="2023-02-27T15:00:00"/>
        <d v="2023-02-27T16:00:00"/>
        <d v="2023-02-27T17:00:00"/>
        <d v="2023-02-27T18:00:00"/>
        <d v="2023-02-27T19:00:00"/>
        <d v="2023-02-27T20:00:00"/>
        <d v="2023-02-27T21:00:00"/>
        <d v="2023-02-27T22:00:00"/>
        <d v="2023-02-27T23:00:00"/>
        <d v="2023-02-28T00:00:00"/>
        <d v="2023-02-28T01:00:00"/>
        <d v="2023-02-28T02:00:00"/>
        <d v="2023-02-28T03:00:00"/>
        <d v="2023-02-28T04:00:00"/>
        <d v="2023-02-28T05:00:00"/>
        <d v="2023-02-28T06:00:00"/>
        <d v="2023-02-28T07:00:00"/>
        <d v="2023-02-28T08:00:00"/>
        <d v="2023-02-28T09:00:00"/>
        <d v="2023-02-28T10:00:00"/>
        <d v="2023-02-28T11:00:00"/>
        <d v="2023-02-28T12:00:00"/>
        <d v="2023-02-28T13:00:00"/>
        <d v="2023-02-28T14:00:00"/>
        <d v="2023-02-28T15:00:00"/>
        <d v="2023-02-28T16:00:00"/>
        <d v="2023-02-28T17:00:00"/>
        <d v="2023-02-28T18:00:00"/>
        <d v="2023-02-28T19:00:00"/>
        <d v="2023-02-28T20:00:00"/>
        <d v="2023-02-28T21:00:00"/>
        <d v="2023-02-28T22:00:00"/>
        <d v="2023-02-28T23:00:00"/>
        <d v="2023-03-01T00:00:00"/>
        <d v="2023-03-01T01:00:00"/>
        <d v="2023-03-01T02:00:00"/>
        <d v="2023-03-01T03:00:00"/>
        <d v="2023-03-01T04:00:00"/>
        <d v="2023-03-01T05:00:00"/>
        <d v="2023-03-01T06:00:00"/>
        <d v="2023-03-01T07:00:00"/>
        <d v="2023-03-01T08:00:00"/>
        <d v="2023-03-01T09:00:00"/>
        <d v="2023-03-01T10:00:00"/>
        <d v="2023-03-01T11:00:00"/>
        <d v="2023-03-01T12:00:00"/>
        <d v="2023-03-01T13:00:00"/>
        <d v="2023-03-01T14:00:00"/>
        <d v="2023-03-01T15:00:00"/>
        <d v="2023-03-01T16:00:00"/>
        <d v="2023-03-01T17:00:00"/>
        <d v="2023-03-01T18:00:00"/>
        <d v="2023-03-01T19:00:00"/>
        <d v="2023-03-01T20:00:00"/>
        <d v="2023-03-01T21:00:00"/>
        <d v="2023-03-01T22:00:00"/>
        <d v="2023-03-01T23:00:00"/>
        <d v="2023-03-02T00:00:00"/>
        <d v="2023-03-02T01:00:00"/>
        <d v="2023-03-02T02:00:00"/>
        <d v="2023-03-02T03:00:00"/>
        <d v="2023-03-02T04:00:00"/>
        <d v="2023-03-02T05:00:00"/>
        <d v="2023-03-02T06:00:00"/>
        <d v="2023-03-02T07:00:00"/>
        <d v="2023-03-02T08:00:00"/>
        <d v="2023-03-02T09:00:00"/>
        <d v="2023-03-02T10:00:00"/>
        <d v="2023-03-02T11:00:00"/>
        <d v="2023-03-02T12:00:00"/>
        <d v="2023-03-02T13:00:00"/>
        <d v="2023-03-02T14:00:00"/>
        <d v="2023-03-02T15:00:00"/>
        <d v="2023-03-02T16:00:00"/>
        <d v="2023-03-02T17:00:00"/>
        <d v="2023-03-02T18:00:00"/>
        <d v="2023-03-02T19:00:00"/>
        <d v="2023-03-02T20:00:00"/>
        <d v="2023-03-02T21:00:00"/>
        <d v="2023-03-02T22:00:00"/>
        <d v="2023-03-02T23:00:00"/>
        <d v="2023-03-03T00:00:00"/>
        <d v="2023-03-03T01:00:00"/>
        <d v="2023-03-03T02:00:00"/>
        <d v="2023-03-03T03:00:00"/>
        <d v="2023-03-03T04:00:00"/>
        <d v="2023-03-03T05:00:00"/>
        <d v="2023-03-03T06:00:00"/>
        <d v="2023-03-03T07:00:00"/>
        <d v="2023-03-03T08:00:00"/>
        <d v="2023-03-03T09:00:00"/>
        <d v="2023-03-03T10:00:00"/>
        <d v="2023-03-03T11:00:00"/>
        <d v="2023-03-03T12:00:00"/>
        <d v="2023-03-03T13:00:00"/>
        <d v="2023-03-03T14:00:00"/>
        <d v="2023-03-03T15:00:00"/>
        <d v="2023-03-03T16:00:00"/>
        <d v="2023-03-03T17:00:00"/>
        <d v="2023-03-03T18:00:00"/>
        <d v="2023-03-03T19:00:00"/>
        <d v="2023-03-03T20:00:00"/>
        <d v="2023-03-03T21:00:00"/>
        <d v="2023-03-03T22:00:00"/>
        <d v="2023-03-03T23:00:00"/>
        <d v="2023-03-04T00:00:00"/>
        <d v="2023-03-04T01:00:00"/>
        <d v="2023-03-04T02:00:00"/>
        <d v="2023-03-04T03:00:00"/>
        <d v="2023-03-04T04:00:00"/>
        <d v="2023-03-04T05:00:00"/>
        <d v="2023-03-04T06:00:00"/>
        <d v="2023-03-04T07:00:00"/>
        <d v="2023-03-04T08:00:00"/>
        <d v="2023-03-04T09:00:00"/>
        <d v="2023-03-04T10:00:00"/>
        <d v="2023-03-04T11:00:00"/>
        <d v="2023-03-04T12:00:00"/>
        <d v="2023-03-04T13:00:00"/>
        <d v="2023-03-04T14:00:00"/>
        <d v="2023-03-04T15:00:00"/>
        <d v="2023-03-04T16:00:00"/>
        <d v="2023-03-04T17:00:00"/>
        <d v="2023-03-04T18:00:00"/>
        <d v="2023-03-04T19:00:00"/>
        <d v="2023-03-04T20:00:00"/>
        <d v="2023-03-04T21:00:00"/>
        <d v="2023-03-04T22:00:00"/>
        <d v="2023-03-04T23:00:00"/>
        <d v="2023-03-05T00:00:00"/>
        <d v="2023-03-05T01:00:00"/>
        <d v="2023-03-05T02:00:00"/>
        <d v="2023-03-05T03:00:00"/>
        <d v="2023-03-05T04:00:00"/>
        <d v="2023-03-05T05:00:00"/>
        <d v="2023-03-05T06:00:00"/>
        <d v="2023-03-05T07:00:00"/>
        <d v="2023-03-05T08:00:00"/>
        <d v="2023-03-05T09:00:00"/>
        <d v="2023-03-05T10:00:00"/>
        <d v="2023-03-05T11:00:00"/>
        <d v="2023-03-05T12:00:00"/>
        <d v="2023-03-05T13:00:00"/>
        <d v="2023-03-05T14:00:00"/>
        <d v="2023-03-05T15:00:00"/>
        <d v="2023-03-05T16:00:00"/>
        <d v="2023-03-05T17:00:00"/>
        <d v="2023-03-05T18:00:00"/>
        <d v="2023-03-05T19:00:00"/>
        <d v="2023-03-05T20:00:00"/>
        <d v="2023-03-05T21:00:00"/>
        <d v="2023-03-05T22:00:00"/>
        <d v="2023-03-05T23:00:00"/>
        <d v="2023-03-06T00:00:00"/>
        <d v="2023-03-06T01:00:00"/>
        <d v="2023-03-06T02:00:00"/>
        <d v="2023-03-06T03:00:00"/>
        <d v="2023-03-06T04:00:00"/>
        <d v="2023-03-06T05:00:00"/>
        <d v="2023-03-06T06:00:00"/>
        <d v="2023-03-06T07:00:00"/>
        <d v="2023-03-06T08:00:00"/>
        <d v="2023-03-06T09:00:00"/>
        <d v="2023-03-06T10:00:00"/>
        <d v="2023-03-06T11:00:00"/>
        <d v="2023-03-06T12:00:00"/>
        <d v="2023-03-06T13:00:00"/>
        <d v="2023-03-06T14:00:00"/>
        <d v="2023-03-06T15:00:00"/>
        <d v="2023-03-06T16:00:00"/>
        <d v="2023-03-06T17:00:00"/>
        <d v="2023-03-06T18:00:00"/>
        <d v="2023-03-06T19:00:00"/>
        <d v="2023-03-06T20:00:00"/>
        <d v="2023-03-06T21:00:00"/>
        <d v="2023-03-06T22:00:00"/>
        <d v="2023-03-06T23:00:00"/>
        <d v="2023-03-07T00:00:00"/>
        <d v="2023-03-07T01:00:00"/>
        <d v="2023-03-07T02:00:00"/>
        <d v="2023-03-07T03:00:00"/>
        <d v="2023-03-07T04:00:00"/>
        <d v="2023-03-07T05:00:00"/>
        <d v="2023-03-07T06:00:00"/>
        <d v="2023-03-07T07:00:00"/>
        <d v="2023-03-07T08:00:00"/>
        <d v="2023-03-07T09:00:00"/>
        <d v="2023-03-07T10:00:00"/>
        <d v="2023-03-07T11:00:00"/>
        <d v="2023-03-07T12:00:00"/>
        <d v="2023-03-07T13:00:00"/>
        <d v="2023-03-07T14:00:00"/>
        <d v="2023-03-07T15:00:00"/>
        <d v="2023-03-07T16:00:00"/>
        <d v="2023-03-07T17:00:00"/>
        <d v="2023-03-07T18:00:00"/>
        <d v="2023-03-07T19:00:00"/>
        <d v="2023-03-07T20:00:00"/>
        <d v="2023-03-07T21:00:00"/>
        <d v="2023-03-07T22:00:00"/>
        <d v="2023-03-07T23:00:00"/>
        <d v="2023-03-08T00:00:00"/>
        <d v="2023-03-08T01:00:00"/>
        <d v="2023-03-08T02:00:00"/>
        <d v="2023-03-08T03:00:00"/>
        <d v="2023-03-08T04:00:00"/>
        <d v="2023-03-08T05:00:00"/>
        <d v="2023-03-08T06:00:00"/>
        <d v="2023-03-08T07:00:00"/>
        <d v="2023-03-08T08:00:00"/>
        <d v="2023-03-08T09:00:00"/>
        <d v="2023-03-08T10:00:00"/>
        <d v="2023-03-08T11:00:00"/>
        <d v="2023-03-08T12:00:00"/>
        <d v="2023-03-08T13:00:00"/>
        <d v="2023-03-08T14:00:00"/>
        <d v="2023-03-08T15:00:00"/>
        <d v="2023-03-08T16:00:00"/>
        <d v="2023-03-08T17:00:00"/>
        <d v="2023-03-08T18:00:00"/>
        <d v="2023-03-08T19:00:00"/>
        <d v="2023-03-08T20:00:00"/>
        <d v="2023-03-08T21:00:00"/>
        <d v="2023-03-08T22:00:00"/>
        <d v="2023-03-08T23:00:00"/>
        <d v="2023-03-09T00:00:00"/>
        <d v="2023-03-09T01:00:00"/>
        <d v="2023-03-09T02:00:00"/>
        <d v="2023-03-09T03:00:00"/>
        <d v="2023-03-09T04:00:00"/>
        <d v="2023-03-09T05:00:00"/>
        <d v="2023-03-09T06:00:00"/>
        <d v="2023-03-09T07:00:00"/>
        <d v="2023-03-09T08:00:00"/>
        <d v="2023-03-09T09:00:00"/>
        <d v="2023-03-09T10:00:00"/>
        <d v="2023-03-09T11:00:00"/>
        <d v="2023-03-09T12:00:00"/>
        <d v="2023-03-09T13:00:00"/>
        <d v="2023-03-09T14:00:00"/>
        <d v="2023-03-09T15:00:00"/>
        <d v="2023-03-09T16:00:00"/>
        <d v="2023-03-09T17:00:00"/>
        <d v="2023-03-09T18:00:00"/>
        <d v="2023-03-09T19:00:00"/>
        <d v="2023-03-09T20:00:00"/>
        <d v="2023-03-09T21:00:00"/>
        <d v="2023-03-09T22:00:00"/>
        <d v="2023-03-09T23:00:00"/>
        <d v="2023-03-10T00:00:00"/>
        <d v="2023-03-10T01:00:00"/>
        <d v="2023-03-10T02:00:00"/>
        <d v="2023-03-10T03:00:00"/>
        <d v="2023-03-10T04:00:00"/>
        <d v="2023-03-10T05:00:00"/>
        <d v="2023-03-10T06:00:00"/>
        <d v="2023-03-10T07:00:00"/>
        <d v="2023-03-10T08:00:00"/>
        <d v="2023-03-10T09:00:00"/>
        <d v="2023-03-10T10:00:00"/>
        <d v="2023-03-10T11:00:00"/>
        <d v="2023-03-10T12:00:00"/>
        <d v="2023-03-10T13:00:00"/>
        <d v="2023-03-10T14:00:00"/>
        <d v="2023-03-10T15:00:00"/>
        <d v="2023-03-10T16:00:00"/>
        <d v="2023-03-10T17:00:00"/>
        <d v="2023-03-10T18:00:00"/>
        <d v="2023-03-10T19:00:00"/>
        <d v="2023-03-10T20:00:00"/>
        <d v="2023-03-10T21:00:00"/>
        <d v="2023-03-10T22:00:00"/>
        <d v="2023-03-10T23:00:00"/>
        <d v="2023-03-11T00:00:00"/>
        <d v="2023-03-11T01:00:00"/>
        <d v="2023-03-11T02:00:00"/>
        <d v="2023-03-11T03:00:00"/>
        <d v="2023-03-11T04:00:00"/>
        <d v="2023-03-11T05:00:00"/>
        <d v="2023-03-11T06:00:00"/>
        <d v="2023-03-11T07:00:00"/>
        <d v="2023-03-11T08:00:00"/>
        <d v="2023-03-11T09:00:00"/>
        <d v="2023-03-11T10:00:00"/>
        <d v="2023-03-11T11:00:00"/>
        <d v="2023-03-11T12:00:00"/>
        <d v="2023-03-11T13:00:00"/>
        <d v="2023-03-11T14:00:00"/>
        <d v="2023-03-11T15:00:00"/>
        <d v="2023-03-11T16:00:00"/>
        <d v="2023-03-11T17:00:00"/>
        <d v="2023-03-11T18:00:00"/>
        <d v="2023-03-11T19:00:00"/>
        <d v="2023-03-11T20:00:00"/>
        <d v="2023-03-11T21:00:00"/>
        <d v="2023-03-11T22:00:00"/>
        <d v="2023-03-11T23:00:00"/>
        <d v="2023-03-12T00:00:00"/>
        <d v="2023-03-12T01:00:00"/>
        <d v="2023-03-12T02:00:00"/>
        <d v="2023-03-12T03:00:00"/>
        <d v="2023-03-12T04:00:00"/>
        <d v="2023-03-12T05:00:00"/>
        <d v="2023-03-12T06:00:00"/>
        <d v="2023-03-12T07:00:00"/>
        <d v="2023-03-12T08:00:00"/>
        <d v="2023-03-12T09:00:00"/>
        <d v="2023-03-12T10:00:00"/>
        <d v="2023-03-12T11:00:00"/>
        <d v="2023-03-12T12:00:00"/>
        <d v="2023-03-12T13:00:00"/>
        <d v="2023-03-12T14:00:00"/>
        <d v="2023-03-12T15:00:00"/>
        <d v="2023-03-12T16:00:00"/>
        <d v="2023-03-12T17:00:00"/>
        <d v="2023-03-12T18:00:00"/>
        <d v="2023-03-12T19:00:00"/>
        <d v="2023-03-12T20:00:00"/>
        <d v="2023-03-12T21:00:00"/>
        <d v="2023-03-12T22:00:00"/>
        <d v="2023-03-12T23:00:00"/>
        <d v="2023-03-13T00:00:00"/>
        <d v="2023-03-13T01:00:00"/>
        <d v="2023-03-13T02:00:00"/>
        <d v="2023-03-13T03:00:00"/>
        <d v="2023-03-13T04:00:00"/>
        <d v="2023-03-13T05:00:00"/>
        <d v="2023-03-13T06:00:00"/>
        <d v="2023-03-13T07:00:00"/>
        <d v="2023-03-13T08:00:00"/>
        <d v="2023-03-13T09:00:00"/>
        <d v="2023-03-13T10:00:00"/>
        <d v="2023-03-13T11:00:00"/>
        <d v="2023-03-13T12:00:00"/>
        <d v="2023-03-13T13:00:00"/>
        <d v="2023-03-13T14:00:00"/>
        <d v="2023-03-13T15:00:00"/>
        <d v="2023-03-13T16:00:00"/>
        <d v="2023-03-13T17:00:00"/>
        <d v="2023-03-13T18:00:00"/>
        <d v="2023-03-13T19:00:00"/>
        <d v="2023-03-13T20:00:00"/>
        <d v="2023-03-13T21:00:00"/>
        <d v="2023-03-13T22:00:00"/>
        <d v="2023-03-13T23:00:00"/>
        <d v="2023-03-14T00:00:00"/>
        <d v="2023-03-14T01:00:00"/>
        <d v="2023-03-14T02:00:00"/>
        <d v="2023-03-14T03:00:00"/>
        <d v="2023-03-14T04:00:00"/>
        <d v="2023-03-14T05:00:00"/>
        <d v="2023-03-14T06:00:00"/>
        <d v="2023-03-14T07:00:00"/>
        <d v="2023-03-14T08:00:00"/>
        <d v="2023-03-14T09:00:00"/>
        <d v="2023-03-14T10:00:00"/>
        <d v="2023-03-14T11:00:00"/>
        <d v="2023-03-14T12:00:00"/>
        <d v="2023-03-14T13:00:00"/>
        <d v="2023-03-14T14:00:00"/>
        <d v="2023-03-14T15:00:00"/>
        <d v="2023-03-14T16:00:00"/>
        <d v="2023-03-14T17:00:00"/>
        <d v="2023-03-14T18:00:00"/>
        <d v="2023-03-14T19:00:00"/>
        <d v="2023-03-14T20:00:00"/>
        <d v="2023-03-14T21:00:00"/>
        <d v="2023-03-14T22:00:00"/>
        <d v="2023-03-14T23:00:00"/>
        <d v="2023-03-15T00:00:00"/>
        <d v="2023-03-15T01:00:00"/>
        <d v="2023-03-15T02:00:00"/>
        <d v="2023-03-15T03:00:00"/>
        <d v="2023-03-15T04:00:00"/>
        <d v="2023-03-15T05:00:00"/>
        <d v="2023-03-15T06:00:00"/>
        <d v="2023-03-15T07:00:00"/>
        <d v="2023-03-15T08:00:00"/>
        <d v="2023-03-15T09:00:00"/>
        <d v="2023-03-15T10:00:00"/>
        <d v="2023-03-15T11:00:00"/>
        <d v="2023-03-15T12:00:00"/>
        <d v="2023-03-15T13:00:00"/>
        <d v="2023-03-15T14:00:00"/>
        <d v="2023-03-15T15:00:00"/>
        <d v="2023-03-15T16:00:00"/>
        <d v="2023-03-15T17:00:00"/>
        <d v="2023-03-15T18:00:00"/>
        <d v="2023-03-15T19:00:00"/>
        <d v="2023-03-15T20:00:00"/>
        <d v="2023-03-15T21:00:00"/>
        <d v="2023-03-15T22:00:00"/>
        <d v="2023-03-15T23:00:00"/>
        <d v="2023-03-16T00:00:00"/>
        <d v="2023-03-16T01:00:00"/>
        <d v="2023-03-16T02:00:00"/>
        <d v="2023-03-16T03:00:00"/>
        <d v="2023-03-16T04:00:00"/>
        <d v="2023-03-16T05:00:00"/>
        <d v="2023-03-16T06:00:00"/>
        <d v="2023-03-16T07:00:00"/>
        <d v="2023-03-16T08:00:00"/>
        <d v="2023-03-16T09:00:00"/>
        <d v="2023-03-16T10:00:00"/>
        <d v="2023-03-16T11:00:00"/>
        <d v="2023-03-16T12:00:00"/>
        <d v="2023-03-16T13:00:00"/>
        <d v="2023-03-16T14:00:00"/>
        <d v="2023-03-16T15:00:00"/>
        <d v="2023-03-16T16:00:00"/>
        <d v="2023-03-16T17:00:00"/>
        <d v="2023-03-16T18:00:00"/>
        <d v="2023-03-16T19:00:00"/>
        <d v="2023-03-16T20:00:00"/>
        <d v="2023-03-16T21:00:00"/>
        <d v="2023-03-16T22:00:00"/>
        <d v="2023-03-16T23:00:00"/>
        <d v="2023-03-17T00:00:00"/>
        <d v="2023-03-17T01:00:00"/>
        <d v="2023-03-17T02:00:00"/>
        <d v="2023-03-17T03:00:00"/>
        <d v="2023-03-17T04:00:00"/>
        <d v="2023-03-17T05:00:00"/>
        <d v="2023-03-17T06:00:00"/>
        <d v="2023-03-17T07:00:00"/>
        <d v="2023-03-17T08:00:00"/>
        <d v="2023-03-17T09:00:00"/>
        <d v="2023-03-17T10:00:00"/>
        <d v="2023-03-17T11:00:00"/>
        <d v="2023-03-17T12:00:00"/>
        <d v="2023-03-17T13:00:00"/>
        <d v="2023-03-17T14:00:00"/>
        <d v="2023-03-17T15:00:00"/>
        <d v="2023-03-17T16:00:00"/>
        <d v="2023-03-17T17:00:00"/>
        <d v="2023-03-17T18:00:00"/>
        <d v="2023-03-17T19:00:00"/>
        <d v="2023-03-17T20:00:00"/>
        <d v="2023-03-17T21:00:00"/>
        <d v="2023-03-17T22:00:00"/>
        <d v="2023-03-17T23:00:00"/>
        <d v="2023-03-18T00:00:00"/>
        <d v="2023-03-18T01:00:00"/>
        <d v="2023-03-18T02:00:00"/>
        <d v="2023-03-18T03:00:00"/>
        <d v="2023-03-18T04:00:00"/>
        <d v="2023-03-18T05:00:00"/>
        <d v="2023-03-18T06:00:00"/>
        <d v="2023-03-18T07:00:00"/>
        <d v="2023-03-18T08:00:00"/>
        <d v="2023-03-18T09:00:00"/>
        <d v="2023-03-18T10:00:00"/>
        <d v="2023-03-18T11:00:00"/>
        <d v="2023-03-18T12:00:00"/>
        <d v="2023-03-18T13:00:00"/>
        <d v="2023-03-18T14:00:00"/>
        <d v="2023-03-18T15:00:00"/>
        <d v="2023-03-18T16:00:00"/>
        <d v="2023-03-18T17:00:00"/>
        <d v="2023-03-18T18:00:00"/>
        <d v="2023-03-18T19:00:00"/>
        <d v="2023-03-18T20:00:00"/>
        <d v="2023-03-18T21:00:00"/>
        <d v="2023-03-18T22:00:00"/>
        <d v="2023-03-18T23:00:00"/>
        <d v="2023-03-19T00:00:00"/>
        <d v="2023-03-19T01:00:00"/>
        <d v="2023-03-19T02:00:00"/>
        <d v="2023-03-19T03:00:00"/>
        <d v="2023-03-19T04:00:00"/>
        <d v="2023-03-19T05:00:00"/>
        <d v="2023-03-19T06:00:00"/>
        <d v="2023-03-19T07:00:00"/>
        <d v="2023-03-19T08:00:00"/>
        <d v="2023-03-19T09:00:00"/>
        <d v="2023-03-19T10:00:00"/>
        <d v="2023-03-19T11:00:00"/>
        <d v="2023-03-19T12:00:00"/>
        <d v="2023-03-19T13:00:00"/>
        <d v="2023-03-19T14:00:00"/>
        <d v="2023-03-19T15:00:00"/>
        <d v="2023-03-19T16:00:00"/>
        <d v="2023-03-19T17:00:00"/>
        <d v="2023-03-19T18:00:00"/>
        <d v="2023-03-19T19:00:00"/>
        <d v="2023-03-19T20:00:00"/>
        <d v="2023-03-19T21:00:00"/>
        <d v="2023-03-19T22:00:00"/>
        <d v="2023-03-19T23:00:00"/>
        <d v="2023-03-20T00:00:00"/>
        <d v="2023-03-20T01:00:00"/>
        <d v="2023-03-20T02:00:00"/>
        <d v="2023-03-20T03:00:00"/>
        <d v="2023-03-20T04:00:00"/>
        <d v="2023-03-20T05:00:00"/>
        <d v="2023-03-20T06:00:00"/>
        <d v="2023-03-20T07:00:00"/>
        <d v="2023-03-20T08:00:00"/>
        <d v="2023-03-20T09:00:00"/>
        <d v="2023-03-20T10:00:00"/>
        <d v="2023-03-20T11:00:00"/>
        <d v="2023-03-20T12:00:00"/>
        <d v="2023-03-20T13:00:00"/>
        <d v="2023-03-20T14:00:00"/>
        <d v="2023-03-20T15:00:00"/>
        <d v="2023-03-20T16:00:00"/>
        <d v="2023-03-20T17:00:00"/>
        <d v="2023-03-20T18:00:00"/>
        <d v="2023-03-20T19:00:00"/>
        <d v="2023-03-20T20:00:00"/>
        <d v="2023-03-20T21:00:00"/>
        <d v="2023-03-20T22:00:00"/>
        <d v="2023-03-20T23:00:00"/>
        <d v="2023-03-21T00:00:00"/>
        <d v="2023-03-21T01:00:00"/>
        <d v="2023-03-21T02:00:00"/>
        <d v="2023-03-21T03:00:00"/>
        <d v="2023-03-21T04:00:00"/>
        <d v="2023-03-21T05:00:00"/>
        <d v="2023-03-21T06:00:00"/>
        <d v="2023-03-21T07:00:00"/>
        <d v="2023-03-21T08:00:00"/>
        <d v="2023-03-21T09:00:00"/>
        <d v="2023-03-21T10:00:00"/>
        <d v="2023-03-21T11:00:00"/>
        <d v="2023-03-21T12:00:00"/>
        <d v="2023-03-21T13:00:00"/>
        <d v="2023-03-21T14:00:00"/>
        <d v="2023-03-21T15:00:00"/>
        <d v="2023-03-21T16:00:00"/>
        <d v="2023-03-21T17:00:00"/>
        <d v="2023-03-21T18:00:00"/>
        <d v="2023-03-21T19:00:00"/>
        <d v="2023-03-21T20:00:00"/>
        <d v="2023-03-21T21:00:00"/>
        <d v="2023-03-21T22:00:00"/>
        <d v="2023-03-21T23:00:00"/>
        <d v="2023-03-22T00:00:00"/>
        <d v="2023-03-22T01:00:00"/>
        <d v="2023-03-22T02:00:00"/>
        <d v="2023-03-22T03:00:00"/>
        <d v="2023-03-22T04:00:00"/>
        <d v="2023-03-22T05:00:00"/>
        <d v="2023-03-22T06:00:00"/>
        <d v="2023-03-22T07:00:00"/>
        <d v="2023-03-22T08:00:00"/>
        <d v="2023-03-22T09:00:00"/>
        <d v="2023-03-22T10:00:00"/>
        <d v="2023-03-22T11:00:00"/>
        <d v="2023-03-22T12:00:00"/>
        <d v="2023-03-22T13:00:00"/>
        <d v="2023-03-22T14:00:00"/>
        <d v="2023-03-22T15:00:00"/>
        <d v="2023-03-22T16:00:00"/>
        <d v="2023-03-22T17:00:00"/>
        <d v="2023-03-22T18:00:00"/>
        <d v="2023-03-22T19:00:00"/>
        <d v="2023-03-22T20:00:00"/>
        <d v="2023-03-22T21:00:00"/>
        <d v="2023-03-22T22:00:00"/>
        <d v="2023-03-22T23:00:00"/>
        <d v="2023-03-23T00:00:00"/>
        <d v="2023-03-23T01:00:00"/>
        <d v="2023-03-23T02:00:00"/>
        <d v="2023-03-23T03:00:00"/>
        <d v="2023-03-23T04:00:00"/>
        <d v="2023-03-23T05:00:00"/>
        <d v="2023-03-23T06:00:00"/>
        <d v="2023-03-23T07:00:00"/>
        <d v="2023-03-23T08:00:00"/>
        <d v="2023-03-23T09:00:00"/>
        <d v="2023-03-23T10:00:00"/>
        <d v="2023-03-23T11:00:00"/>
        <d v="2023-03-23T12:00:00"/>
        <d v="2023-03-23T13:00:00"/>
        <d v="2023-03-23T14:00:00"/>
        <d v="2023-03-23T15:00:00"/>
        <d v="2023-03-23T16:00:00"/>
        <d v="2023-03-23T17:00:00"/>
        <d v="2023-03-23T18:00:00"/>
        <d v="2023-03-23T19:00:00"/>
        <d v="2023-03-23T20:00:00"/>
        <d v="2023-03-23T21:00:00"/>
        <d v="2023-03-23T22:00:00"/>
        <d v="2023-03-23T23:00:00"/>
        <d v="2023-03-24T00:00:00"/>
        <d v="2023-03-24T01:00:00"/>
        <d v="2023-03-24T02:00:00"/>
        <d v="2023-03-24T03:00:00"/>
        <d v="2023-03-24T04:00:00"/>
        <d v="2023-03-24T05:00:00"/>
        <d v="2023-03-24T06:00:00"/>
        <d v="2023-03-24T07:00:00"/>
        <d v="2023-03-24T08:00:00"/>
        <d v="2023-03-24T09:00:00"/>
        <d v="2023-03-24T10:00:00"/>
        <d v="2023-03-24T11:00:00"/>
        <d v="2023-03-24T12:00:00"/>
        <d v="2023-03-24T13:00:00"/>
        <d v="2023-03-24T14:00:00"/>
        <d v="2023-03-24T15:00:00"/>
        <d v="2023-03-24T16:00:00"/>
        <d v="2023-03-24T17:00:00"/>
        <d v="2023-03-24T18:00:00"/>
        <d v="2023-03-24T19:00:00"/>
        <d v="2023-03-24T20:00:00"/>
        <d v="2023-03-24T21:00:00"/>
        <d v="2023-03-24T22:00:00"/>
        <d v="2023-03-24T23:00:00"/>
        <d v="2023-03-25T00:00:00"/>
        <d v="2023-03-25T01:00:00"/>
        <d v="2023-03-25T02:00:00"/>
        <d v="2023-03-25T03:00:00"/>
        <d v="2023-03-25T04:00:00"/>
        <d v="2023-03-25T05:00:00"/>
        <d v="2023-03-25T06:00:00"/>
        <d v="2023-03-25T07:00:00"/>
        <d v="2023-03-25T08:00:00"/>
        <d v="2023-03-25T09:00:00"/>
        <d v="2023-03-25T10:00:00"/>
        <d v="2023-03-25T11:00:00"/>
        <d v="2023-03-25T12:00:00"/>
        <d v="2023-03-25T13:00:00"/>
        <d v="2023-03-25T14:00:00"/>
        <d v="2023-03-25T15:00:00"/>
        <d v="2023-03-25T16:00:00"/>
        <d v="2023-03-25T17:00:00"/>
        <d v="2023-03-25T18:00:00"/>
        <d v="2023-03-25T19:00:00"/>
        <d v="2023-03-25T20:00:00"/>
        <d v="2023-03-25T21:00:00"/>
        <d v="2023-03-25T22:00:00"/>
        <d v="2023-03-25T23:00:00"/>
        <d v="2023-03-26T00:00:00"/>
        <d v="2023-03-26T01:00:00"/>
        <d v="2023-03-26T02:00:00"/>
        <d v="2023-03-26T03:00:00"/>
        <d v="2023-03-26T04:00:00"/>
        <d v="2023-03-26T05:00:00"/>
        <d v="2023-03-26T06:00:00"/>
        <d v="2023-03-26T07:00:00"/>
        <d v="2023-03-26T08:00:00"/>
        <d v="2023-03-26T09:00:00"/>
        <d v="2023-03-26T10:00:00"/>
        <d v="2023-03-26T11:00:00"/>
        <d v="2023-03-26T12:00:00"/>
        <d v="2023-03-26T13:00:00"/>
        <d v="2023-03-26T14:00:00"/>
        <d v="2023-03-26T15:00:00"/>
        <d v="2023-03-26T16:00:00"/>
        <d v="2023-03-26T17:00:00"/>
        <d v="2023-03-26T18:00:00"/>
        <d v="2023-03-26T19:00:00"/>
        <d v="2023-03-26T20:00:00"/>
        <d v="2023-03-26T21:00:00"/>
        <d v="2023-03-26T22:00:00"/>
        <d v="2023-03-26T23:00:00"/>
        <d v="2023-03-27T00:00:00"/>
        <d v="2023-03-27T01:00:00"/>
        <d v="2023-03-27T02:00:00"/>
        <d v="2023-03-27T03:00:00"/>
        <d v="2023-03-27T04:00:00"/>
        <d v="2023-03-27T05:00:00"/>
        <d v="2023-03-27T06:00:00"/>
        <d v="2023-03-27T07:00:00"/>
        <d v="2023-03-27T08:00:00"/>
        <d v="2023-03-27T09:00:00"/>
        <d v="2023-03-27T10:00:00"/>
        <d v="2023-03-27T11:00:00"/>
        <d v="2023-03-27T12:00:00"/>
        <d v="2023-03-27T13:00:00"/>
        <d v="2023-03-27T14:00:00"/>
        <d v="2023-03-27T15:00:00"/>
        <d v="2023-03-27T16:00:00"/>
        <d v="2023-03-27T17:00:00"/>
        <d v="2023-03-27T18:00:00"/>
        <d v="2023-03-27T19:00:00"/>
        <d v="2023-03-27T20:00:00"/>
        <d v="2023-03-27T21:00:00"/>
        <d v="2023-03-27T22:00:00"/>
        <d v="2023-03-27T23:00:00"/>
        <d v="2023-03-28T00:00:00"/>
        <d v="2023-03-28T01:00:00"/>
        <d v="2023-03-28T02:00:00"/>
        <d v="2023-03-28T03:00:00"/>
        <d v="2023-03-28T04:00:00"/>
        <d v="2023-03-28T05:00:00"/>
        <d v="2023-03-28T06:00:00"/>
        <d v="2023-03-28T07:00:00"/>
        <d v="2023-03-28T08:00:00"/>
        <d v="2023-03-28T09:00:00"/>
        <d v="2023-03-28T10:00:00"/>
        <d v="2023-03-28T11:00:00"/>
        <d v="2023-03-28T12:00:00"/>
        <d v="2023-03-28T13:00:00"/>
        <d v="2023-03-28T14:00:00"/>
        <d v="2023-03-28T15:00:00"/>
        <d v="2023-03-28T16:00:00"/>
        <d v="2023-03-28T17:00:00"/>
        <d v="2023-03-28T18:00:00"/>
        <d v="2023-03-28T19:00:00"/>
        <d v="2023-03-28T20:00:00"/>
        <d v="2023-03-28T21:00:00"/>
        <d v="2023-03-28T22:00:00"/>
        <d v="2023-03-28T23:00:00"/>
        <d v="2023-03-29T00:00:00"/>
        <d v="2023-03-29T01:00:00"/>
        <d v="2023-03-29T02:00:00"/>
        <d v="2023-03-29T03:00:00"/>
        <d v="2023-03-29T04:00:00"/>
        <d v="2023-03-29T05:00:00"/>
        <d v="2023-03-29T06:00:00"/>
        <d v="2023-03-29T07:00:00"/>
        <d v="2023-03-29T08:00:00"/>
        <d v="2023-03-29T09:00:00"/>
        <d v="2023-03-29T10:00:00"/>
        <d v="2023-03-29T11:00:00"/>
        <d v="2023-03-29T12:00:00"/>
        <d v="2023-03-29T13:00:00"/>
        <d v="2023-03-29T14:00:00"/>
        <d v="2023-03-29T15:00:00"/>
        <d v="2023-03-29T16:00:00"/>
        <d v="2023-03-29T17:00:00"/>
        <d v="2023-03-29T18:00:00"/>
        <d v="2023-03-29T19:00:00"/>
        <d v="2023-03-29T20:00:00"/>
        <d v="2023-03-29T21:00:00"/>
        <d v="2023-03-29T22:00:00"/>
        <d v="2023-03-29T23:00:00"/>
        <d v="2023-03-30T00:00:00"/>
        <d v="2023-03-30T01:00:00"/>
        <d v="2023-03-30T02:00:00"/>
        <d v="2023-03-30T03:00:00"/>
        <d v="2023-03-30T04:00:00"/>
        <d v="2023-03-30T05:00:00"/>
        <d v="2023-03-30T06:00:00"/>
        <d v="2023-03-30T07:00:00"/>
        <d v="2023-03-30T08:00:00"/>
        <d v="2023-03-30T09:00:00"/>
        <d v="2023-03-30T10:00:00"/>
        <d v="2023-03-30T11:00:00"/>
        <d v="2023-03-30T12:00:00"/>
        <d v="2023-03-30T13:00:00"/>
        <d v="2023-03-30T14:00:00"/>
        <d v="2023-03-30T15:00:00"/>
        <d v="2023-03-30T16:00:00"/>
        <d v="2023-03-30T17:00:00"/>
        <d v="2023-03-30T18:00:00"/>
        <d v="2023-03-30T19:00:00"/>
        <d v="2023-03-30T20:00:00"/>
        <d v="2023-03-30T21:00:00"/>
        <d v="2023-03-30T22:00:00"/>
        <d v="2023-03-30T23:00:00"/>
        <d v="2023-03-31T00:00:00"/>
        <d v="2023-03-31T01:00:00"/>
        <d v="2023-03-31T02:00:00"/>
        <d v="2023-03-31T03:00:00"/>
        <d v="2023-03-31T04:00:00"/>
        <d v="2023-03-31T05:00:00"/>
        <d v="2023-03-31T06:00:00"/>
        <d v="2023-03-31T07:00:00"/>
        <d v="2023-03-31T08:00:00"/>
        <d v="2023-03-31T09:00:00"/>
        <d v="2023-03-31T10:00:00"/>
        <d v="2023-03-31T11:00:00"/>
        <d v="2023-03-31T12:00:00"/>
        <d v="2023-03-31T13:00:00"/>
        <d v="2023-03-31T14:00:00"/>
        <d v="2023-03-31T15:00:00"/>
        <d v="2023-03-31T16:00:00"/>
        <d v="2023-03-31T17:00:00"/>
        <d v="2023-03-31T18:00:00"/>
        <d v="2023-03-31T19:00:00"/>
        <d v="2023-03-31T20:00:00"/>
        <d v="2023-03-31T21:00:00"/>
        <d v="2023-03-31T22:00:00"/>
        <d v="2023-03-31T23:00:00"/>
        <d v="2023-04-01T00:00:00"/>
        <d v="2023-04-01T01:00:00"/>
        <d v="2023-04-01T02:00:00"/>
        <d v="2023-04-01T03:00:00"/>
        <d v="2023-04-01T04:00:00"/>
        <d v="2023-04-01T05:00:00"/>
        <d v="2023-04-01T06:00:00"/>
        <d v="2023-04-01T07:00:00"/>
        <d v="2023-04-01T08:00:00"/>
        <d v="2023-04-01T09:00:00"/>
        <d v="2023-04-01T10:00:00"/>
        <d v="2023-04-01T11:00:00"/>
        <d v="2023-04-01T12:00:00"/>
        <d v="2023-04-01T13:00:00"/>
        <d v="2023-04-01T14:00:00"/>
        <d v="2023-04-01T15:00:00"/>
        <d v="2023-04-01T16:00:00"/>
        <d v="2023-04-01T17:00:00"/>
        <d v="2023-04-01T18:00:00"/>
        <d v="2023-04-01T19:00:00"/>
        <d v="2023-04-01T20:00:00"/>
        <d v="2023-04-01T21:00:00"/>
        <d v="2023-04-01T22:00:00"/>
        <d v="2023-04-01T23:00:00"/>
        <d v="2023-04-02T00:00:00"/>
        <d v="2023-04-02T01:00:00"/>
        <d v="2023-04-02T02:00:00"/>
        <d v="2023-04-02T03:00:00"/>
        <d v="2023-04-02T04:00:00"/>
        <d v="2023-04-02T05:00:00"/>
        <d v="2023-04-02T06:00:00"/>
        <d v="2023-04-02T07:00:00"/>
        <d v="2023-04-02T08:00:00"/>
        <d v="2023-04-02T09:00:00"/>
        <d v="2023-04-02T10:00:00"/>
        <d v="2023-04-02T11:00:00"/>
        <d v="2023-04-02T12:00:00"/>
        <d v="2023-04-02T13:00:00"/>
        <d v="2023-04-02T14:00:00"/>
        <d v="2023-04-02T15:00:00"/>
        <d v="2023-04-02T16:00:00"/>
        <d v="2023-04-02T17:00:00"/>
        <d v="2023-04-02T18:00:00"/>
        <d v="2023-04-02T19:00:00"/>
        <d v="2023-04-02T20:00:00"/>
        <d v="2023-04-02T21:00:00"/>
        <d v="2023-04-02T22:00:00"/>
        <d v="2023-04-02T23:00:00"/>
        <d v="2023-04-03T00:00:00"/>
        <d v="2023-04-03T01:00:00"/>
        <d v="2023-04-03T02:00:00"/>
        <d v="2023-04-03T03:00:00"/>
        <d v="2023-04-03T04:00:00"/>
        <d v="2023-04-03T05:00:00"/>
        <d v="2023-04-03T06:00:00"/>
        <d v="2023-04-03T07:00:00"/>
        <d v="2023-04-03T08:00:00"/>
        <d v="2023-04-03T09:00:00"/>
        <d v="2023-04-03T10:00:00"/>
        <d v="2023-04-03T11:00:00"/>
        <d v="2023-04-03T12:00:00"/>
        <d v="2023-04-03T13:00:00"/>
        <d v="2023-04-03T14:00:00"/>
        <d v="2023-04-03T15:00:00"/>
        <d v="2023-04-03T16:00:00"/>
        <d v="2023-04-03T17:00:00"/>
        <d v="2023-04-03T18:00:00"/>
        <d v="2023-04-03T19:00:00"/>
        <d v="2023-04-03T20:00:00"/>
        <d v="2023-04-03T21:00:00"/>
        <d v="2023-04-03T22:00:00"/>
        <d v="2023-04-03T23:00:00"/>
        <d v="2023-04-04T00:00:00"/>
        <d v="2023-04-04T01:00:00"/>
        <d v="2023-04-04T02:00:00"/>
        <d v="2023-04-04T03:00:00"/>
        <d v="2023-04-04T04:00:00"/>
        <d v="2023-04-04T05:00:00"/>
        <d v="2023-04-04T06:00:00"/>
        <d v="2023-04-04T07:00:00"/>
        <d v="2023-04-04T08:00:00"/>
        <d v="2023-04-04T09:00:00"/>
        <d v="2023-04-04T10:00:00"/>
        <d v="2023-04-04T11:00:00"/>
        <d v="2023-04-04T12:00:00"/>
        <d v="2023-04-04T13:00:00"/>
        <d v="2023-04-04T14:00:00"/>
        <d v="2023-04-04T15:00:00"/>
        <d v="2023-04-04T16:00:00"/>
        <d v="2023-04-04T17:00:00"/>
        <d v="2023-04-04T18:00:00"/>
        <d v="2023-04-04T19:00:00"/>
        <d v="2023-04-04T20:00:00"/>
        <d v="2023-04-04T21:00:00"/>
        <d v="2023-04-04T22:00:00"/>
        <d v="2023-04-04T23:00:00"/>
        <d v="2023-04-05T00:00:00"/>
        <d v="2023-04-05T01:00:00"/>
        <d v="2023-04-05T02:00:00"/>
        <d v="2023-04-05T03:00:00"/>
        <d v="2023-04-05T04:00:00"/>
        <d v="2023-04-05T05:00:00"/>
        <d v="2023-04-05T06:00:00"/>
        <d v="2023-04-05T07:00:00"/>
        <d v="2023-04-05T08:00:00"/>
        <d v="2023-04-05T09:00:00"/>
        <d v="2023-04-05T10:00:00"/>
        <d v="2023-04-05T11:00:00"/>
        <d v="2023-04-05T12:00:00"/>
        <d v="2023-04-05T13:00:00"/>
        <d v="2023-04-05T14:00:00"/>
        <d v="2023-04-05T15:00:00"/>
        <d v="2023-04-05T16:00:00"/>
        <d v="2023-04-05T17:00:00"/>
        <d v="2023-04-05T18:00:00"/>
        <d v="2023-04-05T19:00:00"/>
        <d v="2023-04-05T20:00:00"/>
        <d v="2023-04-05T21:00:00"/>
        <d v="2023-04-05T22:00:00"/>
        <d v="2023-04-05T23:00:00"/>
        <d v="2023-04-06T00:00:00"/>
        <d v="2023-04-06T01:00:00"/>
        <d v="2023-04-06T02:00:00"/>
        <d v="2023-04-06T03:00:00"/>
        <d v="2023-04-06T04:00:00"/>
        <d v="2023-04-06T05:00:00"/>
        <d v="2023-04-06T06:00:00"/>
        <d v="2023-04-06T07:00:00"/>
        <d v="2023-04-06T08:00:00"/>
        <d v="2023-04-06T09:00:00"/>
        <d v="2023-04-06T10:00:00"/>
        <d v="2023-04-06T11:00:00"/>
        <d v="2023-04-06T12:00:00"/>
        <d v="2023-04-06T13:00:00"/>
        <d v="2023-04-06T14:00:00"/>
        <d v="2023-04-06T15:00:00"/>
        <d v="2023-04-06T16:00:00"/>
        <d v="2023-04-06T17:00:00"/>
        <d v="2023-04-06T18:00:00"/>
        <d v="2023-04-06T19:00:00"/>
        <d v="2023-04-06T20:00:00"/>
        <d v="2023-04-06T21:00:00"/>
        <d v="2023-04-06T22:00:00"/>
        <d v="2023-04-06T23:00:00"/>
        <d v="2023-04-07T00:00:00"/>
        <d v="2023-04-07T01:00:00"/>
        <d v="2023-04-07T02:00:00"/>
        <d v="2023-04-07T03:00:00"/>
        <d v="2023-04-07T04:00:00"/>
        <d v="2023-04-07T05:00:00"/>
        <d v="2023-04-07T06:00:00"/>
        <d v="2023-04-07T07:00:00"/>
        <d v="2023-04-07T08:00:00"/>
        <d v="2023-04-07T09:00:00"/>
        <d v="2023-04-07T10:00:00"/>
        <d v="2023-04-07T11:00:00"/>
        <d v="2023-04-07T12:00:00"/>
        <d v="2023-04-07T13:00:00"/>
        <d v="2023-04-07T14:00:00"/>
        <d v="2023-04-07T15:00:00"/>
        <d v="2023-04-07T16:00:00"/>
        <d v="2023-04-07T17:00:00"/>
        <d v="2023-04-07T18:00:00"/>
        <d v="2023-04-07T19:00:00"/>
        <d v="2023-04-07T20:00:00"/>
        <d v="2023-04-07T21:00:00"/>
        <d v="2023-04-07T22:00:00"/>
        <d v="2023-04-07T23:00:00"/>
        <d v="2023-04-08T00:00:00"/>
        <d v="2023-04-08T01:00:00"/>
        <d v="2023-04-08T02:00:00"/>
        <d v="2023-04-08T03:00:00"/>
        <d v="2023-04-08T04:00:00"/>
        <d v="2023-04-08T05:00:00"/>
        <d v="2023-04-08T06:00:00"/>
        <d v="2023-04-08T07:00:00"/>
        <d v="2023-04-08T08:00:00"/>
        <d v="2023-04-08T09:00:00"/>
        <d v="2023-04-08T10:00:00"/>
        <d v="2023-04-08T11:00:00"/>
        <d v="2023-04-08T12:00:00"/>
        <d v="2023-04-08T13:00:00"/>
        <d v="2023-04-08T14:00:00"/>
        <d v="2023-04-08T15:00:00"/>
        <d v="2023-04-08T16:00:00"/>
        <d v="2023-04-08T17:00:00"/>
        <d v="2023-04-08T18:00:00"/>
        <d v="2023-04-08T19:00:00"/>
        <d v="2023-04-08T20:00:00"/>
        <d v="2023-04-08T21:00:00"/>
        <d v="2023-04-08T22:00:00"/>
        <d v="2023-04-08T23:00:00"/>
        <d v="2023-04-09T00:00:00"/>
        <d v="2023-04-09T01:00:00"/>
        <d v="2023-04-09T02:00:00"/>
        <d v="2023-04-09T03:00:00"/>
        <d v="2023-04-09T04:00:00"/>
        <d v="2023-04-09T05:00:00"/>
        <d v="2023-04-09T06:00:00"/>
        <d v="2023-04-09T07:00:00"/>
        <d v="2023-04-09T08:00:00"/>
        <d v="2023-04-09T09:00:00"/>
        <d v="2023-04-09T10:00:00"/>
        <d v="2023-04-09T11:00:00"/>
        <d v="2023-04-09T12:00:00"/>
        <d v="2023-04-09T13:00:00"/>
        <d v="2023-04-09T14:00:00"/>
        <d v="2023-04-09T15:00:00"/>
        <d v="2023-04-09T16:00:00"/>
        <d v="2023-04-09T17:00:00"/>
        <d v="2023-04-09T18:00:00"/>
        <d v="2023-04-09T19:00:00"/>
        <d v="2023-04-09T20:00:00"/>
        <d v="2023-04-09T21:00:00"/>
        <d v="2023-04-09T22:00:00"/>
        <d v="2023-04-09T23:00:00"/>
        <d v="2023-04-10T00:00:00"/>
        <d v="2023-04-10T01:00:00"/>
        <d v="2023-04-10T02:00:00"/>
        <d v="2023-04-10T03:00:00"/>
        <d v="2023-04-10T04:00:00"/>
        <d v="2023-04-10T05:00:00"/>
        <d v="2023-04-10T06:00:00"/>
        <d v="2023-04-10T07:00:00"/>
        <d v="2023-04-10T08:00:00"/>
        <d v="2023-04-10T09:00:00"/>
        <d v="2023-04-10T10:00:00"/>
        <d v="2023-04-10T11:00:00"/>
        <d v="2023-04-10T12:00:00"/>
        <d v="2023-04-10T13:00:00"/>
        <d v="2023-04-10T14:00:00"/>
        <d v="2023-04-10T15:00:00"/>
        <d v="2023-04-10T16:00:00"/>
        <d v="2023-04-10T17:00:00"/>
        <d v="2023-04-10T18:00:00"/>
        <d v="2023-04-10T19:00:00"/>
        <d v="2023-04-10T20:00:00"/>
        <d v="2023-04-10T21:00:00"/>
        <d v="2023-04-10T22:00:00"/>
        <d v="2023-04-10T23:00:00"/>
        <d v="2023-04-11T00:00:00"/>
        <d v="2023-04-11T01:00:00"/>
        <d v="2023-04-11T02:00:00"/>
        <d v="2023-04-11T03:00:00"/>
        <d v="2023-04-11T04:00:00"/>
        <d v="2023-04-11T05:00:00"/>
        <d v="2023-04-11T06:00:00"/>
        <d v="2023-04-11T07:00:00"/>
        <d v="2023-04-11T08:00:00"/>
        <d v="2023-04-11T09:00:00"/>
        <d v="2023-04-11T10:00:00"/>
        <d v="2023-04-11T11:00:00"/>
        <d v="2023-04-11T12:00:00"/>
        <d v="2023-04-11T13:00:00"/>
        <d v="2023-04-11T14:00:00"/>
        <d v="2023-04-11T15:00:00"/>
        <d v="2023-04-11T16:00:00"/>
        <d v="2023-04-11T17:00:00"/>
        <d v="2023-04-11T18:00:00"/>
        <d v="2023-04-11T19:00:00"/>
        <d v="2023-04-11T20:00:00"/>
        <d v="2023-04-11T21:00:00"/>
        <d v="2023-04-11T22:00:00"/>
        <d v="2023-04-11T23:00:00"/>
        <d v="2023-04-12T00:00:00"/>
        <d v="2023-04-12T01:00:00"/>
        <d v="2023-04-12T02:00:00"/>
        <d v="2023-04-12T03:00:00"/>
        <d v="2023-04-12T04:00:00"/>
        <d v="2023-04-12T05:00:00"/>
        <d v="2023-04-12T06:00:00"/>
        <d v="2023-04-12T07:00:00"/>
        <d v="2023-04-12T08:00:00"/>
        <d v="2023-04-12T09:00:00"/>
        <d v="2023-04-12T10:00:00"/>
        <d v="2023-04-12T11:00:00"/>
        <d v="2023-04-12T12:00:00"/>
        <d v="2023-04-12T13:00:00"/>
        <d v="2023-04-12T14:00:00"/>
        <d v="2023-04-12T15:00:00"/>
        <d v="2023-04-12T16:00:00"/>
        <d v="2023-04-12T17:00:00"/>
        <d v="2023-04-12T18:00:00"/>
        <d v="2023-04-12T19:00:00"/>
        <d v="2023-04-12T20:00:00"/>
        <d v="2023-04-12T21:00:00"/>
        <d v="2023-04-12T22:00:00"/>
        <d v="2023-04-12T23:00:00"/>
        <d v="2023-04-13T00:00:00"/>
        <d v="2023-04-13T01:00:00"/>
        <d v="2023-04-13T02:00:00"/>
        <d v="2023-04-13T03:00:00"/>
        <d v="2023-04-13T04:00:00"/>
        <d v="2023-04-13T05:00:00"/>
        <d v="2023-04-13T06:00:00"/>
        <d v="2023-04-13T07:00:00"/>
        <d v="2023-04-13T08:00:00"/>
        <d v="2023-04-13T09:00:00"/>
        <d v="2023-04-13T10:00:00"/>
        <d v="2023-04-13T11:00:00"/>
        <d v="2023-04-13T12:00:00"/>
        <d v="2023-04-13T13:00:00"/>
        <d v="2023-04-13T14:00:00"/>
        <d v="2023-04-13T15:00:00"/>
        <d v="2023-04-13T16:00:00"/>
        <d v="2023-04-13T17:00:00"/>
        <d v="2023-04-13T18:00:00"/>
        <d v="2023-04-13T19:00:00"/>
        <d v="2023-04-13T20:00:00"/>
        <d v="2023-04-13T21:00:00"/>
        <d v="2023-04-13T22:00:00"/>
        <d v="2023-04-13T23:00:00"/>
        <d v="2023-04-14T00:00:00"/>
        <d v="2023-04-14T01:00:00"/>
        <d v="2023-04-14T02:00:00"/>
        <d v="2023-04-14T03:00:00"/>
        <d v="2023-04-14T04:00:00"/>
        <d v="2023-04-14T05:00:00"/>
        <d v="2023-04-14T06:00:00"/>
        <d v="2023-04-14T07:00:00"/>
        <d v="2023-04-14T08:00:00"/>
        <d v="2023-04-14T09:00:00"/>
        <d v="2023-04-14T10:00:00"/>
        <d v="2023-04-14T11:00:00"/>
        <d v="2023-04-14T12:00:00"/>
        <d v="2023-04-14T13:00:00"/>
        <d v="2023-04-14T14:00:00"/>
        <d v="2023-04-14T15:00:00"/>
        <d v="2023-04-14T16:00:00"/>
        <d v="2023-04-14T17:00:00"/>
        <d v="2023-04-14T18:00:00"/>
        <d v="2023-04-14T19:00:00"/>
        <d v="2023-04-14T20:00:00"/>
        <d v="2023-04-14T21:00:00"/>
        <d v="2023-04-14T22:00:00"/>
        <d v="2023-04-14T23:00:00"/>
        <d v="2023-04-15T00:00:00"/>
        <d v="2023-04-15T01:00:00"/>
        <d v="2023-04-15T02:00:00"/>
        <d v="2023-04-15T03:00:00"/>
        <d v="2023-04-15T04:00:00"/>
        <d v="2023-04-15T05:00:00"/>
        <d v="2023-04-15T06:00:00"/>
        <d v="2023-04-15T07:00:00"/>
        <d v="2023-04-15T08:00:00"/>
        <d v="2023-04-15T09:00:00"/>
        <d v="2023-04-15T10:00:00"/>
        <d v="2023-04-15T11:00:00"/>
        <d v="2023-04-15T12:00:00"/>
        <d v="2023-04-15T13:00:00"/>
        <d v="2023-04-15T14:00:00"/>
        <d v="2023-04-15T15:00:00"/>
        <d v="2023-04-15T16:00:00"/>
        <d v="2023-04-15T17:00:00"/>
        <d v="2023-04-15T18:00:00"/>
        <d v="2023-04-15T19:00:00"/>
        <d v="2023-04-15T20:00:00"/>
        <d v="2023-04-15T21:00:00"/>
        <d v="2023-04-15T22:00:00"/>
        <d v="2023-04-15T23:00:00"/>
        <d v="2023-04-16T00:00:00"/>
        <d v="2023-04-16T01:00:00"/>
        <d v="2023-04-16T02:00:00"/>
        <d v="2023-04-16T03:00:00"/>
        <d v="2023-04-16T04:00:00"/>
        <d v="2023-04-16T05:00:00"/>
        <d v="2023-04-16T06:00:00"/>
        <d v="2023-04-16T07:00:00"/>
        <d v="2023-04-16T08:00:00"/>
        <d v="2023-04-16T09:00:00"/>
        <d v="2023-04-16T10:00:00"/>
        <d v="2023-04-16T11:00:00"/>
        <d v="2023-04-16T12:00:00"/>
        <d v="2023-04-16T13:00:00"/>
        <d v="2023-04-16T14:00:00"/>
        <d v="2023-04-16T15:00:00"/>
        <d v="2023-04-16T16:00:00"/>
        <d v="2023-04-16T17:00:00"/>
        <d v="2023-04-16T18:00:00"/>
        <d v="2023-04-16T19:00:00"/>
        <d v="2023-04-16T20:00:00"/>
        <d v="2023-04-16T21:00:00"/>
        <d v="2023-04-16T22:00:00"/>
        <d v="2023-04-16T23:00:00"/>
        <d v="2023-04-17T00:00:00"/>
        <d v="2023-04-17T01:00:00"/>
        <d v="2023-04-17T02:00:00"/>
        <d v="2023-04-17T03:00:00"/>
        <d v="2023-04-17T04:00:00"/>
        <d v="2023-04-17T05:00:00"/>
        <d v="2023-04-17T06:00:00"/>
        <d v="2023-04-17T07:00:00"/>
        <d v="2023-04-17T08:00:00"/>
        <d v="2023-04-17T09:00:00"/>
        <d v="2023-04-17T10:00:00"/>
        <d v="2023-04-17T11:00:00"/>
        <d v="2023-04-17T12:00:00"/>
        <d v="2023-04-17T13:00:00"/>
        <d v="2023-04-17T14:00:00"/>
        <d v="2023-04-17T15:00:00"/>
        <d v="2023-04-17T16:00:00"/>
        <d v="2023-04-17T17:00:00"/>
        <d v="2023-04-17T18:00:00"/>
        <d v="2023-04-17T19:00:00"/>
        <d v="2023-04-17T20:00:00"/>
        <d v="2023-04-17T21:00:00"/>
        <d v="2023-04-17T22:00:00"/>
        <d v="2023-04-17T23:00:00"/>
        <d v="2023-04-18T00:00:00"/>
        <d v="2023-04-18T01:00:00"/>
        <d v="2023-04-18T02:00:00"/>
        <d v="2023-04-18T03:00:00"/>
        <d v="2023-04-18T04:00:00"/>
        <d v="2023-04-18T05:00:00"/>
        <d v="2023-04-18T06:00:00"/>
        <d v="2023-04-18T07:00:00"/>
        <d v="2023-04-18T08:00:00"/>
        <d v="2023-04-18T09:00:00"/>
        <d v="2023-04-18T10:00:00"/>
        <d v="2023-04-18T11:00:00"/>
        <d v="2023-04-18T12:00:00"/>
        <d v="2023-04-18T13:00:00"/>
        <d v="2023-04-18T14:00:00"/>
        <d v="2023-04-18T15:00:00"/>
        <d v="2023-04-18T16:00:00"/>
        <d v="2023-04-18T17:00:00"/>
        <d v="2023-04-18T18:00:00"/>
        <d v="2023-04-18T19:00:00"/>
        <d v="2023-04-18T20:00:00"/>
        <d v="2023-04-18T21:00:00"/>
        <d v="2023-04-18T22:00:00"/>
        <d v="2023-04-18T23:00:00"/>
        <d v="2023-04-19T00:00:00"/>
        <d v="2023-04-19T01:00:00"/>
        <d v="2023-04-19T02:00:00"/>
        <d v="2023-04-19T03:00:00"/>
        <d v="2023-04-19T04:00:00"/>
        <d v="2023-04-19T05:00:00"/>
        <d v="2023-04-19T06:00:00"/>
        <d v="2023-04-19T07:00:00"/>
        <d v="2023-04-19T08:00:00"/>
        <d v="2023-04-19T09:00:00"/>
        <d v="2023-04-19T10:00:00"/>
        <d v="2023-04-19T11:00:00"/>
        <d v="2023-04-19T12:00:00"/>
        <d v="2023-04-19T13:00:00"/>
        <d v="2023-04-19T14:00:00"/>
        <d v="2023-04-19T15:00:00"/>
        <d v="2023-04-19T16:00:00"/>
        <d v="2023-04-19T17:00:00"/>
        <d v="2023-04-19T18:00:00"/>
        <d v="2023-04-19T19:00:00"/>
        <d v="2023-04-19T20:00:00"/>
        <d v="2023-04-19T21:00:00"/>
        <d v="2023-04-19T22:00:00"/>
        <d v="2023-04-19T23:00:00"/>
        <d v="2023-04-20T00:00:00"/>
        <d v="2023-04-20T01:00:00"/>
        <d v="2023-04-20T02:00:00"/>
        <d v="2023-04-20T03:00:00"/>
        <d v="2023-04-20T04:00:00"/>
        <d v="2023-04-20T05:00:00"/>
        <d v="2023-04-20T06:00:00"/>
        <d v="2023-04-20T07:00:00"/>
        <d v="2023-04-20T08:00:00"/>
        <d v="2023-04-20T09:00:00"/>
        <d v="2023-04-20T10:00:00"/>
        <d v="2023-04-20T11:00:00"/>
        <d v="2023-04-20T12:00:00"/>
        <d v="2023-04-20T13:00:00"/>
        <d v="2023-04-20T14:00:00"/>
        <d v="2023-04-20T15:00:00"/>
        <d v="2023-04-20T16:00:00"/>
        <d v="2023-04-20T17:00:00"/>
        <d v="2023-04-20T18:00:00"/>
        <d v="2023-04-20T19:00:00"/>
        <d v="2023-04-20T20:00:00"/>
        <d v="2023-04-20T21:00:00"/>
        <d v="2023-04-20T22:00:00"/>
        <d v="2023-04-20T23:00:00"/>
        <d v="2023-04-21T00:00:00"/>
        <d v="2023-04-21T01:00:00"/>
        <d v="2023-04-21T02:00:00"/>
        <d v="2023-04-21T03:00:00"/>
        <d v="2023-04-21T04:00:00"/>
        <d v="2023-04-21T05:00:00"/>
        <d v="2023-04-21T06:00:00"/>
        <d v="2023-04-21T07:00:00"/>
        <d v="2023-04-21T08:00:00"/>
        <d v="2023-04-21T09:00:00"/>
        <d v="2023-04-21T10:00:00"/>
        <d v="2023-04-21T11:00:00"/>
        <d v="2023-04-21T12:00:00"/>
        <d v="2023-04-21T13:00:00"/>
        <d v="2023-04-21T14:00:00"/>
        <d v="2023-04-21T15:00:00"/>
        <d v="2023-04-21T16:00:00"/>
        <d v="2023-04-21T17:00:00"/>
        <d v="2023-04-21T18:00:00"/>
        <d v="2023-04-21T19:00:00"/>
        <d v="2023-04-21T20:00:00"/>
        <d v="2023-04-21T21:00:00"/>
        <d v="2023-04-21T22:00:00"/>
        <d v="2023-04-21T23:00:00"/>
        <d v="2023-04-22T00:00:00"/>
        <d v="2023-04-22T01:00:00"/>
        <d v="2023-04-22T02:00:00"/>
        <d v="2023-04-22T03:00:00"/>
        <d v="2023-04-22T04:00:00"/>
        <d v="2023-04-22T05:00:00"/>
        <d v="2023-04-22T06:00:00"/>
        <d v="2023-04-22T07:00:00"/>
        <d v="2023-04-22T08:00:00"/>
        <d v="2023-04-22T09:00:00"/>
        <d v="2023-04-22T10:00:00"/>
        <d v="2023-04-22T11:00:00"/>
        <d v="2023-04-22T12:00:00"/>
        <d v="2023-04-22T13:00:00"/>
        <d v="2023-04-22T14:00:00"/>
        <d v="2023-04-22T15:00:00"/>
        <d v="2023-04-22T16:00:00"/>
        <d v="2023-04-22T17:00:00"/>
        <d v="2023-04-22T18:00:00"/>
        <d v="2023-04-22T19:00:00"/>
        <d v="2023-04-22T20:00:00"/>
        <d v="2023-04-22T21:00:00"/>
        <d v="2023-04-22T22:00:00"/>
        <d v="2023-04-22T23:00:00"/>
        <d v="2023-04-23T00:00:00"/>
        <d v="2023-04-23T01:00:00"/>
        <d v="2023-04-23T02:00:00"/>
        <d v="2023-04-23T03:00:00"/>
        <d v="2023-04-23T04:00:00"/>
        <d v="2023-04-23T05:00:00"/>
        <d v="2023-04-23T06:00:00"/>
        <d v="2023-04-23T07:00:00"/>
        <d v="2023-04-23T08:00:00"/>
        <d v="2023-04-23T09:00:00"/>
        <d v="2023-04-23T10:00:00"/>
        <d v="2023-04-23T11:00:00"/>
        <d v="2023-04-23T12:00:00"/>
        <d v="2023-04-23T13:00:00"/>
        <d v="2023-04-23T14:00:00"/>
        <d v="2023-04-23T15:00:00"/>
        <d v="2023-04-23T16:00:00"/>
        <d v="2023-04-23T17:00:00"/>
        <d v="2023-04-23T18:00:00"/>
        <d v="2023-04-23T19:00:00"/>
        <d v="2023-04-23T20:00:00"/>
        <d v="2023-04-23T21:00:00"/>
        <d v="2023-04-23T22:00:00"/>
        <d v="2023-04-23T23:00:00"/>
        <d v="2023-04-24T00:00:00"/>
        <d v="2023-04-24T01:00:00"/>
        <d v="2023-04-24T02:00:00"/>
        <d v="2023-04-24T03:00:00"/>
        <d v="2023-04-24T04:00:00"/>
        <d v="2023-04-24T05:00:00"/>
        <d v="2023-04-24T06:00:00"/>
        <d v="2023-04-24T07:00:00"/>
        <d v="2023-04-24T08:00:00"/>
        <d v="2023-04-24T09:00:00"/>
        <d v="2023-04-24T10:00:00"/>
        <d v="2023-04-24T11:00:00"/>
        <d v="2023-04-24T12:00:00"/>
        <d v="2023-04-24T13:00:00"/>
        <d v="2023-04-24T14:00:00"/>
        <d v="2023-04-24T15:00:00"/>
        <d v="2023-04-24T16:00:00"/>
        <d v="2023-04-24T17:00:00"/>
        <d v="2023-04-24T18:00:00"/>
        <d v="2023-04-24T19:00:00"/>
        <d v="2023-04-24T20:00:00"/>
        <d v="2023-04-24T21:00:00"/>
        <d v="2023-04-24T22:00:00"/>
        <d v="2023-04-24T23:00:00"/>
        <d v="2023-04-25T00:00:00"/>
        <d v="2023-04-25T01:00:00"/>
        <d v="2023-04-25T02:00:00"/>
        <d v="2023-04-25T03:00:00"/>
        <d v="2023-04-25T04:00:00"/>
        <d v="2023-04-25T05:00:00"/>
        <d v="2023-04-25T06:00:00"/>
        <d v="2023-04-25T07:00:00"/>
        <d v="2023-04-25T08:00:00"/>
        <d v="2023-04-25T09:00:00"/>
        <d v="2023-04-25T10:00:00"/>
        <d v="2023-04-25T11:00:00"/>
        <d v="2023-04-25T12:00:00"/>
        <d v="2023-04-25T13:00:00"/>
        <d v="2023-04-25T14:00:00"/>
        <d v="2023-04-25T15:00:00"/>
        <d v="2023-04-25T16:00:00"/>
        <d v="2023-04-25T17:00:00"/>
        <d v="2023-04-25T18:00:00"/>
        <d v="2023-04-25T19:00:00"/>
        <d v="2023-04-25T20:00:00"/>
        <d v="2023-04-25T21:00:00"/>
        <d v="2023-04-25T22:00:00"/>
        <d v="2023-04-25T23:00:00"/>
        <d v="2023-04-26T00:00:00"/>
        <d v="2023-04-26T01:00:00"/>
        <d v="2023-04-26T02:00:00"/>
        <d v="2023-04-26T03:00:00"/>
        <d v="2023-04-26T04:00:00"/>
        <d v="2023-04-26T05:00:00"/>
        <d v="2023-04-26T06:00:00"/>
        <d v="2023-04-26T07:00:00"/>
        <d v="2023-04-26T08:00:00"/>
        <d v="2023-04-26T09:00:00"/>
        <d v="2023-04-26T10:00:00"/>
        <d v="2023-04-26T11:00:00"/>
        <d v="2023-04-26T12:00:00"/>
        <d v="2023-04-26T13:00:00"/>
        <d v="2023-04-26T14:00:00"/>
        <d v="2023-04-26T15:00:00"/>
        <d v="2023-04-26T16:00:00"/>
        <d v="2023-04-26T17:00:00"/>
        <d v="2023-04-26T18:00:00"/>
        <d v="2023-04-26T19:00:00"/>
        <d v="2023-04-26T20:00:00"/>
        <d v="2023-04-26T21:00:00"/>
        <d v="2023-04-26T22:00:00"/>
        <d v="2023-04-26T23:00:00"/>
        <d v="2023-04-27T00:00:00"/>
        <d v="2023-04-27T01:00:00"/>
        <d v="2023-04-27T02:00:00"/>
        <d v="2023-04-27T03:00:00"/>
        <d v="2023-04-27T04:00:00"/>
        <d v="2023-04-27T05:00:00"/>
        <d v="2023-04-27T06:00:00"/>
        <d v="2023-04-27T07:00:00"/>
        <d v="2023-04-27T08:00:00"/>
        <d v="2023-04-27T09:00:00"/>
        <d v="2023-04-27T10:00:00"/>
        <d v="2023-04-27T11:00:00"/>
        <d v="2023-04-27T12:00:00"/>
        <d v="2023-04-27T13:00:00"/>
        <d v="2023-04-27T14:00:00"/>
        <d v="2023-04-27T15:00:00"/>
      </sharedItems>
    </cacheField>
    <cacheField name="supplier_reliability_score" numFmtId="2">
      <sharedItems containsSemiMixedTypes="0" containsString="0" containsNumber="1" minValue="4.1666666666666666E-3" maxValue="6.8749999999999992E-2"/>
    </cacheField>
    <cacheField name="warehouse_inventory_level" numFmtId="1">
      <sharedItems containsSemiMixedTypes="0" containsString="0" containsNumber="1" containsInteger="1" minValue="52" maxValue="4996"/>
    </cacheField>
    <cacheField name="order_quantity" numFmtId="1">
      <sharedItems containsSemiMixedTypes="0" containsString="0" containsNumber="1" containsInteger="1" minValue="1" maxValue="499"/>
    </cacheField>
    <cacheField name="shipping_distance_km" numFmtId="2">
      <sharedItems containsSemiMixedTypes="0" containsString="0" containsNumber="1" minValue="0.20972222222222223" maxValue="83.254166666666663"/>
    </cacheField>
    <cacheField name="shipping_method" numFmtId="0">
      <sharedItems count="4">
        <s v="Sea"/>
        <s v="Road"/>
        <s v="Rail"/>
        <s v="Air"/>
      </sharedItems>
    </cacheField>
    <cacheField name="weather_condition" numFmtId="0">
      <sharedItems count="4">
        <s v="Fog"/>
        <s v="Storm"/>
        <s v="Rain"/>
        <s v="Clear"/>
      </sharedItems>
    </cacheField>
    <cacheField name="processing_time_hours" numFmtId="2">
      <sharedItems containsSemiMixedTypes="0" containsString="0" containsNumber="1" minValue="4.2361111111111106E-2" maxValue="3"/>
    </cacheField>
    <cacheField name="processing_benchmark" numFmtId="169">
      <sharedItems/>
    </cacheField>
    <cacheField name="order_priority" numFmtId="0">
      <sharedItems count="3">
        <s v="Low"/>
        <s v="High"/>
        <s v="Medium"/>
      </sharedItems>
    </cacheField>
    <cacheField name="delayed" numFmtId="1">
      <sharedItems containsSemiMixedTypes="0" containsString="0" containsNumber="1" containsInteger="1" minValue="0" maxValue="1"/>
    </cacheField>
    <cacheField name="delayed_status" numFmtId="0">
      <sharedItems count="2">
        <s v="Delayed"/>
        <s v="On Time"/>
      </sharedItems>
    </cacheField>
    <cacheField name="risk_category" numFmtId="0">
      <sharedItems count="3">
        <s v="Medium Risk"/>
        <s v="Low Risk"/>
        <s v="High Risk"/>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800">
  <r>
    <n v="1"/>
    <x v="0"/>
    <n v="4.3750000000000004E-2"/>
    <n v="2869"/>
    <n v="253"/>
    <n v="75.922222222222231"/>
    <x v="0"/>
    <x v="0"/>
    <n v="0.62916666666666665"/>
    <s v="Fast"/>
    <x v="0"/>
    <n v="1"/>
    <x v="0"/>
    <x v="0"/>
  </r>
  <r>
    <n v="2"/>
    <x v="1"/>
    <n v="6.3194444444444442E-2"/>
    <n v="2406"/>
    <n v="370"/>
    <n v="36.500694444444441"/>
    <x v="1"/>
    <x v="0"/>
    <n v="2.2097222222222221"/>
    <s v="Slow"/>
    <x v="0"/>
    <n v="0"/>
    <x v="1"/>
    <x v="1"/>
  </r>
  <r>
    <n v="3"/>
    <x v="2"/>
    <n v="5.4166666666666669E-2"/>
    <n v="4665"/>
    <n v="198"/>
    <n v="5.5847222222222221"/>
    <x v="2"/>
    <x v="0"/>
    <n v="2.5847222222222221"/>
    <s v="Slow"/>
    <x v="0"/>
    <n v="0"/>
    <x v="1"/>
    <x v="1"/>
  </r>
  <r>
    <n v="4"/>
    <x v="3"/>
    <n v="6.1805555555555558E-2"/>
    <n v="1545"/>
    <n v="363"/>
    <n v="34.047916666666666"/>
    <x v="0"/>
    <x v="1"/>
    <n v="0.3347222222222222"/>
    <s v="Fast"/>
    <x v="1"/>
    <n v="0"/>
    <x v="1"/>
    <x v="1"/>
  </r>
  <r>
    <n v="5"/>
    <x v="4"/>
    <n v="6.8749999999999992E-2"/>
    <n v="511"/>
    <n v="454"/>
    <n v="41.002083333333331"/>
    <x v="0"/>
    <x v="1"/>
    <n v="1.9201388888888891"/>
    <s v="Slow"/>
    <x v="1"/>
    <n v="1"/>
    <x v="0"/>
    <x v="2"/>
  </r>
  <r>
    <n v="6"/>
    <x v="5"/>
    <n v="5.6944444444444443E-2"/>
    <n v="1270"/>
    <n v="44"/>
    <n v="4.2145833333333336"/>
    <x v="3"/>
    <x v="0"/>
    <n v="0.79236111111111107"/>
    <s v="Fast"/>
    <x v="1"/>
    <n v="1"/>
    <x v="0"/>
    <x v="0"/>
  </r>
  <r>
    <n v="7"/>
    <x v="6"/>
    <n v="5.5555555555555558E-3"/>
    <n v="3629"/>
    <n v="155"/>
    <n v="9.6305555555555546"/>
    <x v="1"/>
    <x v="1"/>
    <n v="1.8784722222222223"/>
    <s v="Slow"/>
    <x v="0"/>
    <n v="1"/>
    <x v="0"/>
    <x v="2"/>
  </r>
  <r>
    <n v="8"/>
    <x v="7"/>
    <n v="4.3750000000000004E-2"/>
    <n v="4468"/>
    <n v="66"/>
    <n v="81.836805555555557"/>
    <x v="2"/>
    <x v="2"/>
    <n v="1.9645833333333333"/>
    <s v="Slow"/>
    <x v="2"/>
    <n v="0"/>
    <x v="1"/>
    <x v="1"/>
  </r>
  <r>
    <n v="9"/>
    <x v="8"/>
    <n v="4.9305555555555554E-2"/>
    <n v="614"/>
    <n v="471"/>
    <n v="71.251388888888883"/>
    <x v="0"/>
    <x v="2"/>
    <n v="0.12708333333333333"/>
    <s v="Fast"/>
    <x v="2"/>
    <n v="0"/>
    <x v="1"/>
    <x v="1"/>
  </r>
  <r>
    <n v="10"/>
    <x v="9"/>
    <n v="5.5555555555555558E-3"/>
    <n v="3312"/>
    <n v="276"/>
    <n v="13.670833333333334"/>
    <x v="2"/>
    <x v="1"/>
    <n v="0.21249999999999999"/>
    <s v="Fast"/>
    <x v="2"/>
    <n v="0"/>
    <x v="1"/>
    <x v="1"/>
  </r>
  <r>
    <n v="11"/>
    <x v="10"/>
    <n v="6.0416666666666667E-2"/>
    <n v="4686"/>
    <n v="233"/>
    <n v="53.292361111111113"/>
    <x v="1"/>
    <x v="1"/>
    <n v="0.25486111111111109"/>
    <s v="Fast"/>
    <x v="2"/>
    <n v="0"/>
    <x v="1"/>
    <x v="1"/>
  </r>
  <r>
    <n v="12"/>
    <x v="11"/>
    <n v="6.3888888888888898E-2"/>
    <n v="1580"/>
    <n v="137"/>
    <n v="57.631250000000001"/>
    <x v="3"/>
    <x v="2"/>
    <n v="1.3812499999999999"/>
    <s v="Fast"/>
    <x v="0"/>
    <n v="1"/>
    <x v="0"/>
    <x v="0"/>
  </r>
  <r>
    <n v="13"/>
    <x v="12"/>
    <n v="5.2083333333333336E-2"/>
    <n v="1309"/>
    <n v="199"/>
    <n v="36.87638888888889"/>
    <x v="2"/>
    <x v="0"/>
    <n v="1.7944444444444445"/>
    <s v="Slow"/>
    <x v="0"/>
    <n v="0"/>
    <x v="1"/>
    <x v="1"/>
  </r>
  <r>
    <n v="14"/>
    <x v="13"/>
    <n v="4.3750000000000004E-2"/>
    <n v="3853"/>
    <n v="335"/>
    <n v="68.172222222222231"/>
    <x v="0"/>
    <x v="2"/>
    <n v="1.8812499999999999"/>
    <s v="Slow"/>
    <x v="0"/>
    <n v="0"/>
    <x v="1"/>
    <x v="1"/>
  </r>
  <r>
    <n v="15"/>
    <x v="14"/>
    <n v="4.9999999999999996E-2"/>
    <n v="4802"/>
    <n v="177"/>
    <n v="51.418749999999996"/>
    <x v="0"/>
    <x v="1"/>
    <n v="0.1673611111111111"/>
    <s v="Fast"/>
    <x v="1"/>
    <n v="0"/>
    <x v="1"/>
    <x v="1"/>
  </r>
  <r>
    <n v="16"/>
    <x v="15"/>
    <n v="6.6666666666666666E-2"/>
    <n v="62"/>
    <n v="207"/>
    <n v="23.250694444444445"/>
    <x v="1"/>
    <x v="1"/>
    <n v="2.9208333333333329"/>
    <s v="Slow"/>
    <x v="1"/>
    <n v="0"/>
    <x v="1"/>
    <x v="1"/>
  </r>
  <r>
    <n v="17"/>
    <x v="16"/>
    <n v="4.7916666666666663E-2"/>
    <n v="2432"/>
    <n v="425"/>
    <n v="25.256249999999998"/>
    <x v="0"/>
    <x v="1"/>
    <n v="2.0479166666666666"/>
    <s v="Slow"/>
    <x v="0"/>
    <n v="0"/>
    <x v="1"/>
    <x v="1"/>
  </r>
  <r>
    <n v="18"/>
    <x v="17"/>
    <n v="5.4166666666666669E-2"/>
    <n v="4416"/>
    <n v="495"/>
    <n v="0.875"/>
    <x v="0"/>
    <x v="3"/>
    <n v="2.3381944444444445"/>
    <s v="Slow"/>
    <x v="2"/>
    <n v="1"/>
    <x v="0"/>
    <x v="0"/>
  </r>
  <r>
    <n v="19"/>
    <x v="18"/>
    <n v="6.7361111111111108E-2"/>
    <n v="3172"/>
    <n v="422"/>
    <n v="75.379166666666663"/>
    <x v="0"/>
    <x v="2"/>
    <n v="1.7562499999999999"/>
    <s v="Slow"/>
    <x v="2"/>
    <n v="0"/>
    <x v="1"/>
    <x v="1"/>
  </r>
  <r>
    <n v="20"/>
    <x v="19"/>
    <n v="4.2361111111111106E-2"/>
    <n v="4051"/>
    <n v="124"/>
    <n v="47.667361111111113"/>
    <x v="0"/>
    <x v="1"/>
    <n v="0.96111111111111114"/>
    <s v="Fast"/>
    <x v="0"/>
    <n v="0"/>
    <x v="1"/>
    <x v="1"/>
  </r>
  <r>
    <n v="21"/>
    <x v="20"/>
    <n v="5.8333333333333327E-2"/>
    <n v="639"/>
    <n v="27"/>
    <n v="8.0048611111111114"/>
    <x v="2"/>
    <x v="3"/>
    <n v="1.1722222222222223"/>
    <s v="Fast"/>
    <x v="2"/>
    <n v="1"/>
    <x v="0"/>
    <x v="0"/>
  </r>
  <r>
    <n v="22"/>
    <x v="21"/>
    <n v="6.805555555555555E-2"/>
    <n v="485"/>
    <n v="4"/>
    <n v="35.713194444444447"/>
    <x v="0"/>
    <x v="1"/>
    <n v="0.29375000000000001"/>
    <s v="Fast"/>
    <x v="0"/>
    <n v="0"/>
    <x v="1"/>
    <x v="1"/>
  </r>
  <r>
    <n v="23"/>
    <x v="22"/>
    <n v="4.7916666666666663E-2"/>
    <n v="3454"/>
    <n v="21"/>
    <n v="21.377083333333331"/>
    <x v="1"/>
    <x v="3"/>
    <n v="2.6687499999999997"/>
    <s v="Slow"/>
    <x v="2"/>
    <n v="0"/>
    <x v="1"/>
    <x v="1"/>
  </r>
  <r>
    <n v="24"/>
    <x v="23"/>
    <n v="5.6944444444444443E-2"/>
    <n v="4182"/>
    <n v="285"/>
    <n v="24.625694444444445"/>
    <x v="0"/>
    <x v="0"/>
    <n v="1.8798611111111112"/>
    <s v="Slow"/>
    <x v="2"/>
    <n v="0"/>
    <x v="1"/>
    <x v="1"/>
  </r>
  <r>
    <n v="25"/>
    <x v="24"/>
    <n v="6.6666666666666666E-2"/>
    <n v="4349"/>
    <n v="329"/>
    <n v="1.1305555555555555"/>
    <x v="2"/>
    <x v="0"/>
    <n v="2.3395833333333331"/>
    <s v="Slow"/>
    <x v="2"/>
    <n v="0"/>
    <x v="1"/>
    <x v="1"/>
  </r>
  <r>
    <n v="26"/>
    <x v="25"/>
    <n v="4.5138888888888888E-2"/>
    <n v="2011"/>
    <n v="393"/>
    <n v="81.75"/>
    <x v="2"/>
    <x v="0"/>
    <n v="2.7958333333333329"/>
    <s v="Slow"/>
    <x v="0"/>
    <n v="0"/>
    <x v="1"/>
    <x v="1"/>
  </r>
  <r>
    <n v="27"/>
    <x v="26"/>
    <n v="5.6250000000000001E-2"/>
    <n v="4161"/>
    <n v="346"/>
    <n v="10.586805555555555"/>
    <x v="1"/>
    <x v="1"/>
    <n v="2.6694444444444443"/>
    <s v="Slow"/>
    <x v="2"/>
    <n v="0"/>
    <x v="1"/>
    <x v="1"/>
  </r>
  <r>
    <n v="28"/>
    <x v="27"/>
    <n v="6.2499999999999995E-3"/>
    <n v="303"/>
    <n v="455"/>
    <n v="2.7951388888888888"/>
    <x v="0"/>
    <x v="0"/>
    <n v="0.75624999999999998"/>
    <s v="Fast"/>
    <x v="0"/>
    <n v="1"/>
    <x v="0"/>
    <x v="0"/>
  </r>
  <r>
    <n v="29"/>
    <x v="28"/>
    <n v="6.0416666666666667E-2"/>
    <n v="3180"/>
    <n v="121"/>
    <n v="37.50277777777778"/>
    <x v="3"/>
    <x v="2"/>
    <n v="1.1305555555555555"/>
    <s v="Fast"/>
    <x v="1"/>
    <n v="0"/>
    <x v="1"/>
    <x v="1"/>
  </r>
  <r>
    <n v="30"/>
    <x v="29"/>
    <n v="5.486111111111111E-2"/>
    <n v="3364"/>
    <n v="290"/>
    <n v="71.922222222222231"/>
    <x v="2"/>
    <x v="2"/>
    <n v="2.1284722222222223"/>
    <s v="Slow"/>
    <x v="1"/>
    <n v="0"/>
    <x v="1"/>
    <x v="1"/>
  </r>
  <r>
    <n v="31"/>
    <x v="30"/>
    <n v="4.7222222222222221E-2"/>
    <n v="361"/>
    <n v="265"/>
    <n v="23.295138888888889"/>
    <x v="1"/>
    <x v="1"/>
    <n v="0.25347222222222221"/>
    <s v="Fast"/>
    <x v="0"/>
    <n v="1"/>
    <x v="0"/>
    <x v="2"/>
  </r>
  <r>
    <n v="32"/>
    <x v="31"/>
    <n v="5.5555555555555558E-3"/>
    <n v="3415"/>
    <n v="136"/>
    <n v="27.212500000000002"/>
    <x v="1"/>
    <x v="0"/>
    <n v="0.79305555555555562"/>
    <s v="Fast"/>
    <x v="0"/>
    <n v="0"/>
    <x v="1"/>
    <x v="1"/>
  </r>
  <r>
    <n v="33"/>
    <x v="32"/>
    <n v="5.2083333333333336E-2"/>
    <n v="4898"/>
    <n v="317"/>
    <n v="65.922222222222231"/>
    <x v="0"/>
    <x v="2"/>
    <n v="0.12916666666666668"/>
    <s v="Fast"/>
    <x v="1"/>
    <n v="0"/>
    <x v="1"/>
    <x v="1"/>
  </r>
  <r>
    <n v="34"/>
    <x v="33"/>
    <n v="5.486111111111111E-2"/>
    <n v="2899"/>
    <n v="148"/>
    <n v="67.296527777777769"/>
    <x v="2"/>
    <x v="1"/>
    <n v="1.3361111111111112"/>
    <s v="Fast"/>
    <x v="1"/>
    <n v="1"/>
    <x v="0"/>
    <x v="2"/>
  </r>
  <r>
    <n v="35"/>
    <x v="34"/>
    <n v="5.2083333333333336E-2"/>
    <n v="407"/>
    <n v="485"/>
    <n v="34.631250000000001"/>
    <x v="0"/>
    <x v="1"/>
    <n v="1.4222222222222223"/>
    <s v="Fast"/>
    <x v="1"/>
    <n v="1"/>
    <x v="0"/>
    <x v="2"/>
  </r>
  <r>
    <n v="36"/>
    <x v="35"/>
    <n v="6.5277777777777782E-2"/>
    <n v="4559"/>
    <n v="360"/>
    <n v="5.7118055555555562"/>
    <x v="3"/>
    <x v="2"/>
    <n v="1.9229166666666666"/>
    <s v="Slow"/>
    <x v="0"/>
    <n v="1"/>
    <x v="0"/>
    <x v="0"/>
  </r>
  <r>
    <n v="37"/>
    <x v="36"/>
    <n v="6.3194444444444442E-2"/>
    <n v="2124"/>
    <n v="434"/>
    <n v="77.667361111111106"/>
    <x v="3"/>
    <x v="3"/>
    <n v="2.3354166666666667"/>
    <s v="Slow"/>
    <x v="2"/>
    <n v="1"/>
    <x v="0"/>
    <x v="0"/>
  </r>
  <r>
    <n v="38"/>
    <x v="37"/>
    <n v="5.0694444444444438E-2"/>
    <n v="775"/>
    <n v="478"/>
    <n v="58.12638888888889"/>
    <x v="1"/>
    <x v="1"/>
    <n v="2.9618055555555554"/>
    <s v="Slow"/>
    <x v="1"/>
    <n v="0"/>
    <x v="1"/>
    <x v="1"/>
  </r>
  <r>
    <n v="39"/>
    <x v="38"/>
    <n v="5.7638888888888885E-2"/>
    <n v="1148"/>
    <n v="433"/>
    <n v="57.918055555555554"/>
    <x v="0"/>
    <x v="3"/>
    <n v="1.4611111111111112"/>
    <s v="Fast"/>
    <x v="1"/>
    <n v="1"/>
    <x v="0"/>
    <x v="0"/>
  </r>
  <r>
    <n v="40"/>
    <x v="39"/>
    <n v="4.9305555555555554E-2"/>
    <n v="4245"/>
    <n v="41"/>
    <n v="10.25"/>
    <x v="1"/>
    <x v="3"/>
    <n v="0.75624999999999998"/>
    <s v="Fast"/>
    <x v="0"/>
    <n v="0"/>
    <x v="1"/>
    <x v="1"/>
  </r>
  <r>
    <n v="41"/>
    <x v="40"/>
    <n v="5.4166666666666669E-2"/>
    <n v="865"/>
    <n v="115"/>
    <n v="10.714583333333332"/>
    <x v="1"/>
    <x v="1"/>
    <n v="1.5840277777777778"/>
    <s v="Slow"/>
    <x v="2"/>
    <n v="1"/>
    <x v="0"/>
    <x v="2"/>
  </r>
  <r>
    <n v="42"/>
    <x v="41"/>
    <n v="5.1388888888888894E-2"/>
    <n v="4680"/>
    <n v="286"/>
    <n v="35.583333333333336"/>
    <x v="0"/>
    <x v="3"/>
    <n v="2.8812500000000001"/>
    <s v="Slow"/>
    <x v="2"/>
    <n v="1"/>
    <x v="0"/>
    <x v="0"/>
  </r>
  <r>
    <n v="43"/>
    <x v="42"/>
    <n v="5.9722222222222225E-2"/>
    <n v="1658"/>
    <n v="191"/>
    <n v="32.297222222222224"/>
    <x v="1"/>
    <x v="2"/>
    <n v="2.1701388888888888"/>
    <s v="Slow"/>
    <x v="0"/>
    <n v="0"/>
    <x v="1"/>
    <x v="1"/>
  </r>
  <r>
    <n v="44"/>
    <x v="43"/>
    <n v="5.2083333333333336E-2"/>
    <n v="642"/>
    <n v="193"/>
    <n v="13.339583333333332"/>
    <x v="0"/>
    <x v="1"/>
    <n v="1.7958333333333334"/>
    <s v="Slow"/>
    <x v="0"/>
    <n v="0"/>
    <x v="1"/>
    <x v="1"/>
  </r>
  <r>
    <n v="45"/>
    <x v="44"/>
    <n v="5.4166666666666669E-2"/>
    <n v="537"/>
    <n v="457"/>
    <n v="31.376388888888886"/>
    <x v="1"/>
    <x v="3"/>
    <n v="0.29305555555555557"/>
    <s v="Fast"/>
    <x v="0"/>
    <n v="0"/>
    <x v="1"/>
    <x v="1"/>
  </r>
  <r>
    <n v="46"/>
    <x v="45"/>
    <n v="6.1805555555555558E-2"/>
    <n v="3086"/>
    <n v="351"/>
    <n v="39.625"/>
    <x v="3"/>
    <x v="0"/>
    <n v="2.5861111111111112"/>
    <s v="Slow"/>
    <x v="0"/>
    <n v="0"/>
    <x v="1"/>
    <x v="1"/>
  </r>
  <r>
    <n v="47"/>
    <x v="46"/>
    <n v="5.3472222222222227E-2"/>
    <n v="757"/>
    <n v="201"/>
    <n v="38.962499999999999"/>
    <x v="0"/>
    <x v="0"/>
    <n v="1.16875"/>
    <s v="Fast"/>
    <x v="0"/>
    <n v="0"/>
    <x v="1"/>
    <x v="1"/>
  </r>
  <r>
    <n v="48"/>
    <x v="47"/>
    <n v="6.6666666666666666E-2"/>
    <n v="1743"/>
    <n v="460"/>
    <n v="1.7944444444444445"/>
    <x v="1"/>
    <x v="3"/>
    <n v="0.25416666666666665"/>
    <s v="Fast"/>
    <x v="1"/>
    <n v="0"/>
    <x v="1"/>
    <x v="1"/>
  </r>
  <r>
    <n v="49"/>
    <x v="48"/>
    <n v="4.6527777777777779E-2"/>
    <n v="3206"/>
    <n v="252"/>
    <n v="82.918055555555554"/>
    <x v="1"/>
    <x v="1"/>
    <n v="0.58819444444444446"/>
    <s v="Fast"/>
    <x v="0"/>
    <n v="0"/>
    <x v="1"/>
    <x v="1"/>
  </r>
  <r>
    <n v="50"/>
    <x v="49"/>
    <n v="6.2499999999999995E-3"/>
    <n v="3889"/>
    <n v="105"/>
    <n v="14.045833333333334"/>
    <x v="1"/>
    <x v="2"/>
    <n v="0.3347222222222222"/>
    <s v="Fast"/>
    <x v="0"/>
    <n v="0"/>
    <x v="1"/>
    <x v="1"/>
  </r>
  <r>
    <n v="51"/>
    <x v="50"/>
    <n v="5.3472222222222227E-2"/>
    <n v="522"/>
    <n v="38"/>
    <n v="30.709722222222222"/>
    <x v="1"/>
    <x v="3"/>
    <n v="1.8361111111111112"/>
    <s v="Slow"/>
    <x v="1"/>
    <n v="0"/>
    <x v="1"/>
    <x v="1"/>
  </r>
  <r>
    <n v="52"/>
    <x v="51"/>
    <n v="5.3472222222222227E-2"/>
    <n v="3285"/>
    <n v="492"/>
    <n v="76.377083333333331"/>
    <x v="3"/>
    <x v="0"/>
    <n v="2.8361111111111108"/>
    <s v="Slow"/>
    <x v="2"/>
    <n v="0"/>
    <x v="1"/>
    <x v="1"/>
  </r>
  <r>
    <n v="53"/>
    <x v="52"/>
    <n v="5.9027777777777783E-2"/>
    <n v="2374"/>
    <n v="185"/>
    <n v="79.420833333333334"/>
    <x v="1"/>
    <x v="0"/>
    <n v="0.58472222222222225"/>
    <s v="Fast"/>
    <x v="1"/>
    <n v="1"/>
    <x v="0"/>
    <x v="0"/>
  </r>
  <r>
    <n v="54"/>
    <x v="53"/>
    <n v="5.6250000000000001E-2"/>
    <n v="2889"/>
    <n v="410"/>
    <n v="28.797916666666666"/>
    <x v="1"/>
    <x v="1"/>
    <n v="0.42222222222222222"/>
    <s v="Fast"/>
    <x v="0"/>
    <n v="0"/>
    <x v="1"/>
    <x v="1"/>
  </r>
  <r>
    <n v="55"/>
    <x v="54"/>
    <n v="5.3472222222222227E-2"/>
    <n v="2967"/>
    <n v="14"/>
    <n v="20.211805555555554"/>
    <x v="1"/>
    <x v="1"/>
    <n v="1.1729166666666666"/>
    <s v="Fast"/>
    <x v="1"/>
    <n v="0"/>
    <x v="1"/>
    <x v="1"/>
  </r>
  <r>
    <n v="56"/>
    <x v="55"/>
    <n v="4.1666666666666666E-3"/>
    <n v="4363"/>
    <n v="293"/>
    <n v="30.709027777777777"/>
    <x v="1"/>
    <x v="0"/>
    <n v="1.5013888888888889"/>
    <s v="Slow"/>
    <x v="1"/>
    <n v="0"/>
    <x v="1"/>
    <x v="1"/>
  </r>
  <r>
    <n v="57"/>
    <x v="56"/>
    <n v="4.4444444444444446E-2"/>
    <n v="3305"/>
    <n v="79"/>
    <n v="20.418749999999999"/>
    <x v="0"/>
    <x v="0"/>
    <n v="0.25277777777777777"/>
    <s v="Fast"/>
    <x v="0"/>
    <n v="0"/>
    <x v="1"/>
    <x v="1"/>
  </r>
  <r>
    <n v="58"/>
    <x v="57"/>
    <n v="6.1111111111111109E-2"/>
    <n v="3799"/>
    <n v="183"/>
    <n v="71.58819444444444"/>
    <x v="3"/>
    <x v="3"/>
    <n v="2.129861111111111"/>
    <s v="Slow"/>
    <x v="0"/>
    <n v="0"/>
    <x v="1"/>
    <x v="1"/>
  </r>
  <r>
    <n v="59"/>
    <x v="58"/>
    <n v="5.6250000000000001E-2"/>
    <n v="2799"/>
    <n v="83"/>
    <n v="7.0868055555555562"/>
    <x v="1"/>
    <x v="3"/>
    <n v="1.7145833333333333"/>
    <s v="Slow"/>
    <x v="0"/>
    <n v="0"/>
    <x v="1"/>
    <x v="1"/>
  </r>
  <r>
    <n v="60"/>
    <x v="59"/>
    <n v="6.1111111111111109E-2"/>
    <n v="650"/>
    <n v="181"/>
    <n v="63.50138888888889"/>
    <x v="1"/>
    <x v="1"/>
    <n v="0.25138888888888888"/>
    <s v="Fast"/>
    <x v="1"/>
    <n v="1"/>
    <x v="0"/>
    <x v="2"/>
  </r>
  <r>
    <n v="61"/>
    <x v="60"/>
    <n v="6.805555555555555E-2"/>
    <n v="843"/>
    <n v="442"/>
    <n v="41.834722222222219"/>
    <x v="1"/>
    <x v="0"/>
    <n v="2.5013888888888887"/>
    <s v="Slow"/>
    <x v="0"/>
    <n v="0"/>
    <x v="1"/>
    <x v="1"/>
  </r>
  <r>
    <n v="62"/>
    <x v="61"/>
    <n v="6.0416666666666667E-2"/>
    <n v="1948"/>
    <n v="346"/>
    <n v="77.086805555555557"/>
    <x v="3"/>
    <x v="1"/>
    <n v="0.21388888888888891"/>
    <s v="Fast"/>
    <x v="2"/>
    <n v="1"/>
    <x v="0"/>
    <x v="2"/>
  </r>
  <r>
    <n v="63"/>
    <x v="62"/>
    <n v="4.3055555555555562E-2"/>
    <n v="140"/>
    <n v="208"/>
    <n v="62.920138888888886"/>
    <x v="3"/>
    <x v="3"/>
    <n v="1.4215277777777777"/>
    <s v="Fast"/>
    <x v="1"/>
    <n v="1"/>
    <x v="0"/>
    <x v="0"/>
  </r>
  <r>
    <n v="64"/>
    <x v="63"/>
    <n v="4.9999999999999996E-2"/>
    <n v="2098"/>
    <n v="112"/>
    <n v="37.502083333333331"/>
    <x v="0"/>
    <x v="1"/>
    <n v="1.2979166666666666"/>
    <s v="Fast"/>
    <x v="2"/>
    <n v="0"/>
    <x v="1"/>
    <x v="1"/>
  </r>
  <r>
    <n v="65"/>
    <x v="64"/>
    <n v="5.8333333333333327E-2"/>
    <n v="1317"/>
    <n v="131"/>
    <n v="0.95833333333333337"/>
    <x v="1"/>
    <x v="1"/>
    <n v="1.5062499999999999"/>
    <s v="Slow"/>
    <x v="2"/>
    <n v="1"/>
    <x v="0"/>
    <x v="2"/>
  </r>
  <r>
    <n v="66"/>
    <x v="65"/>
    <n v="4.7916666666666663E-2"/>
    <n v="566"/>
    <n v="476"/>
    <n v="78.501388888888883"/>
    <x v="1"/>
    <x v="3"/>
    <n v="1.9590277777777778"/>
    <s v="Slow"/>
    <x v="1"/>
    <n v="0"/>
    <x v="1"/>
    <x v="1"/>
  </r>
  <r>
    <n v="67"/>
    <x v="66"/>
    <n v="6.8749999999999992E-2"/>
    <n v="4058"/>
    <n v="73"/>
    <n v="61.13055555555556"/>
    <x v="2"/>
    <x v="2"/>
    <n v="2.5451388888888888"/>
    <s v="Slow"/>
    <x v="0"/>
    <n v="1"/>
    <x v="0"/>
    <x v="0"/>
  </r>
  <r>
    <n v="68"/>
    <x v="67"/>
    <n v="6.805555555555555E-2"/>
    <n v="2727"/>
    <n v="260"/>
    <n v="37.378472222222221"/>
    <x v="2"/>
    <x v="0"/>
    <n v="2.9597222222222221"/>
    <s v="Slow"/>
    <x v="1"/>
    <n v="1"/>
    <x v="0"/>
    <x v="0"/>
  </r>
  <r>
    <n v="69"/>
    <x v="68"/>
    <n v="6.5277777777777782E-2"/>
    <n v="4673"/>
    <n v="143"/>
    <n v="10.625694444444445"/>
    <x v="0"/>
    <x v="2"/>
    <n v="2.3791666666666669"/>
    <s v="Slow"/>
    <x v="0"/>
    <n v="1"/>
    <x v="0"/>
    <x v="0"/>
  </r>
  <r>
    <n v="70"/>
    <x v="69"/>
    <n v="5.486111111111111E-2"/>
    <n v="871"/>
    <n v="257"/>
    <n v="38.25416666666667"/>
    <x v="1"/>
    <x v="3"/>
    <n v="1.125"/>
    <s v="Fast"/>
    <x v="0"/>
    <n v="0"/>
    <x v="1"/>
    <x v="1"/>
  </r>
  <r>
    <n v="71"/>
    <x v="70"/>
    <n v="6.5277777777777782E-2"/>
    <n v="2836"/>
    <n v="270"/>
    <n v="53.254166666666663"/>
    <x v="3"/>
    <x v="1"/>
    <n v="2.463888888888889"/>
    <s v="Slow"/>
    <x v="2"/>
    <n v="0"/>
    <x v="1"/>
    <x v="1"/>
  </r>
  <r>
    <n v="72"/>
    <x v="71"/>
    <n v="4.5138888888888888E-2"/>
    <n v="3693"/>
    <n v="177"/>
    <n v="11.961805555555555"/>
    <x v="3"/>
    <x v="3"/>
    <n v="1.4229166666666666"/>
    <s v="Fast"/>
    <x v="0"/>
    <n v="0"/>
    <x v="1"/>
    <x v="1"/>
  </r>
  <r>
    <n v="73"/>
    <x v="72"/>
    <n v="4.9999999999999996E-2"/>
    <n v="1119"/>
    <n v="99"/>
    <n v="36.547916666666666"/>
    <x v="3"/>
    <x v="0"/>
    <n v="0.79791666666666661"/>
    <s v="Fast"/>
    <x v="0"/>
    <n v="1"/>
    <x v="0"/>
    <x v="0"/>
  </r>
  <r>
    <n v="74"/>
    <x v="73"/>
    <n v="5.486111111111111E-2"/>
    <n v="66"/>
    <n v="136"/>
    <n v="23.502083333333331"/>
    <x v="0"/>
    <x v="3"/>
    <n v="1.0854166666666667"/>
    <s v="Fast"/>
    <x v="2"/>
    <n v="0"/>
    <x v="1"/>
    <x v="1"/>
  </r>
  <r>
    <n v="75"/>
    <x v="74"/>
    <n v="6.2499999999999995E-3"/>
    <n v="4279"/>
    <n v="134"/>
    <n v="26.291666666666668"/>
    <x v="0"/>
    <x v="2"/>
    <n v="1.5048611111111112"/>
    <s v="Slow"/>
    <x v="0"/>
    <n v="0"/>
    <x v="1"/>
    <x v="1"/>
  </r>
  <r>
    <n v="76"/>
    <x v="75"/>
    <n v="5.486111111111111E-2"/>
    <n v="3592"/>
    <n v="164"/>
    <n v="37.75138888888889"/>
    <x v="0"/>
    <x v="0"/>
    <n v="0.37777777777777777"/>
    <s v="Fast"/>
    <x v="0"/>
    <n v="1"/>
    <x v="0"/>
    <x v="0"/>
  </r>
  <r>
    <n v="77"/>
    <x v="76"/>
    <n v="4.5138888888888888E-2"/>
    <n v="3857"/>
    <n v="270"/>
    <n v="54.75"/>
    <x v="3"/>
    <x v="2"/>
    <n v="0.7104166666666667"/>
    <s v="Fast"/>
    <x v="1"/>
    <n v="0"/>
    <x v="1"/>
    <x v="1"/>
  </r>
  <r>
    <n v="78"/>
    <x v="77"/>
    <n v="5.1388888888888894E-2"/>
    <n v="2378"/>
    <n v="230"/>
    <n v="60.83819444444444"/>
    <x v="0"/>
    <x v="2"/>
    <n v="1.7090277777777778"/>
    <s v="Slow"/>
    <x v="2"/>
    <n v="0"/>
    <x v="1"/>
    <x v="1"/>
  </r>
  <r>
    <n v="79"/>
    <x v="78"/>
    <n v="5.0694444444444438E-2"/>
    <n v="3598"/>
    <n v="306"/>
    <n v="69.127083333333331"/>
    <x v="0"/>
    <x v="0"/>
    <n v="1.8388888888888888"/>
    <s v="Slow"/>
    <x v="1"/>
    <n v="0"/>
    <x v="1"/>
    <x v="1"/>
  </r>
  <r>
    <n v="80"/>
    <x v="79"/>
    <n v="4.9999999999999996E-2"/>
    <n v="1241"/>
    <n v="2"/>
    <n v="45.791666666666664"/>
    <x v="2"/>
    <x v="2"/>
    <n v="0.75347222222222221"/>
    <s v="Fast"/>
    <x v="1"/>
    <n v="0"/>
    <x v="1"/>
    <x v="1"/>
  </r>
  <r>
    <n v="81"/>
    <x v="80"/>
    <n v="4.6527777777777779E-2"/>
    <n v="269"/>
    <n v="227"/>
    <n v="64.296527777777769"/>
    <x v="2"/>
    <x v="1"/>
    <n v="1.6729166666666666"/>
    <s v="Slow"/>
    <x v="1"/>
    <n v="0"/>
    <x v="1"/>
    <x v="1"/>
  </r>
  <r>
    <n v="82"/>
    <x v="81"/>
    <n v="5.3472222222222227E-2"/>
    <n v="587"/>
    <n v="252"/>
    <n v="68.08541666666666"/>
    <x v="1"/>
    <x v="0"/>
    <n v="0.42291666666666666"/>
    <s v="Fast"/>
    <x v="0"/>
    <n v="0"/>
    <x v="1"/>
    <x v="1"/>
  </r>
  <r>
    <n v="83"/>
    <x v="82"/>
    <n v="5.4166666666666669E-2"/>
    <n v="1085"/>
    <n v="253"/>
    <n v="48.506250000000001"/>
    <x v="3"/>
    <x v="0"/>
    <n v="0.12847222222222224"/>
    <s v="Fast"/>
    <x v="2"/>
    <n v="0"/>
    <x v="1"/>
    <x v="1"/>
  </r>
  <r>
    <n v="84"/>
    <x v="83"/>
    <n v="6.3194444444444442E-2"/>
    <n v="1522"/>
    <n v="493"/>
    <n v="74.961805555555557"/>
    <x v="0"/>
    <x v="0"/>
    <n v="0.71458333333333324"/>
    <s v="Fast"/>
    <x v="2"/>
    <n v="0"/>
    <x v="1"/>
    <x v="1"/>
  </r>
  <r>
    <n v="85"/>
    <x v="84"/>
    <n v="6.3888888888888898E-2"/>
    <n v="879"/>
    <n v="450"/>
    <n v="75.042361111111106"/>
    <x v="0"/>
    <x v="2"/>
    <n v="1.5034722222222223"/>
    <s v="Slow"/>
    <x v="1"/>
    <n v="0"/>
    <x v="1"/>
    <x v="1"/>
  </r>
  <r>
    <n v="86"/>
    <x v="85"/>
    <n v="5.6250000000000001E-2"/>
    <n v="753"/>
    <n v="472"/>
    <n v="56.63055555555556"/>
    <x v="1"/>
    <x v="0"/>
    <n v="0.91875000000000007"/>
    <s v="Fast"/>
    <x v="2"/>
    <n v="1"/>
    <x v="0"/>
    <x v="0"/>
  </r>
  <r>
    <n v="87"/>
    <x v="86"/>
    <n v="5.4166666666666669E-2"/>
    <n v="2746"/>
    <n v="283"/>
    <n v="66.295138888888886"/>
    <x v="3"/>
    <x v="0"/>
    <n v="1.7555555555555555"/>
    <s v="Slow"/>
    <x v="1"/>
    <n v="0"/>
    <x v="1"/>
    <x v="1"/>
  </r>
  <r>
    <n v="88"/>
    <x v="87"/>
    <n v="6.3194444444444442E-2"/>
    <n v="2802"/>
    <n v="285"/>
    <n v="30.504166666666666"/>
    <x v="3"/>
    <x v="3"/>
    <n v="2.754861111111111"/>
    <s v="Slow"/>
    <x v="1"/>
    <n v="0"/>
    <x v="1"/>
    <x v="1"/>
  </r>
  <r>
    <n v="89"/>
    <x v="88"/>
    <n v="6.5972222222222224E-2"/>
    <n v="2256"/>
    <n v="400"/>
    <n v="44.33680555555555"/>
    <x v="3"/>
    <x v="1"/>
    <n v="2.2083333333333335"/>
    <s v="Slow"/>
    <x v="2"/>
    <n v="0"/>
    <x v="1"/>
    <x v="1"/>
  </r>
  <r>
    <n v="90"/>
    <x v="89"/>
    <n v="6.0416666666666667E-2"/>
    <n v="3442"/>
    <n v="180"/>
    <n v="34.125"/>
    <x v="0"/>
    <x v="0"/>
    <n v="1.9645833333333333"/>
    <s v="Slow"/>
    <x v="0"/>
    <n v="0"/>
    <x v="1"/>
    <x v="1"/>
  </r>
  <r>
    <n v="91"/>
    <x v="90"/>
    <n v="6.3888888888888898E-2"/>
    <n v="2117"/>
    <n v="58"/>
    <n v="39.250694444444441"/>
    <x v="1"/>
    <x v="0"/>
    <n v="0.79791666666666661"/>
    <s v="Fast"/>
    <x v="0"/>
    <n v="0"/>
    <x v="1"/>
    <x v="1"/>
  </r>
  <r>
    <n v="92"/>
    <x v="91"/>
    <n v="6.805555555555555E-2"/>
    <n v="864"/>
    <n v="61"/>
    <n v="61.13055555555556"/>
    <x v="2"/>
    <x v="0"/>
    <n v="0.41805555555555557"/>
    <s v="Fast"/>
    <x v="1"/>
    <n v="0"/>
    <x v="1"/>
    <x v="1"/>
  </r>
  <r>
    <n v="93"/>
    <x v="92"/>
    <n v="4.3055555555555562E-2"/>
    <n v="4681"/>
    <n v="388"/>
    <n v="18.461111111111112"/>
    <x v="1"/>
    <x v="0"/>
    <n v="8.4027777777777771E-2"/>
    <s v="Fast"/>
    <x v="0"/>
    <n v="0"/>
    <x v="1"/>
    <x v="1"/>
  </r>
  <r>
    <n v="94"/>
    <x v="93"/>
    <n v="6.5972222222222224E-2"/>
    <n v="3091"/>
    <n v="174"/>
    <n v="28.210416666666664"/>
    <x v="3"/>
    <x v="3"/>
    <n v="2.9604166666666667"/>
    <s v="Slow"/>
    <x v="1"/>
    <n v="0"/>
    <x v="1"/>
    <x v="1"/>
  </r>
  <r>
    <n v="95"/>
    <x v="94"/>
    <n v="4.9305555555555554E-2"/>
    <n v="2594"/>
    <n v="111"/>
    <n v="5.2520833333333332"/>
    <x v="0"/>
    <x v="0"/>
    <n v="1.2125000000000001"/>
    <s v="Fast"/>
    <x v="2"/>
    <n v="0"/>
    <x v="1"/>
    <x v="1"/>
  </r>
  <r>
    <n v="96"/>
    <x v="95"/>
    <n v="5.486111111111111E-2"/>
    <n v="4825"/>
    <n v="237"/>
    <n v="48.752777777777773"/>
    <x v="1"/>
    <x v="3"/>
    <n v="0.46180555555555558"/>
    <s v="Fast"/>
    <x v="0"/>
    <n v="0"/>
    <x v="1"/>
    <x v="1"/>
  </r>
  <r>
    <n v="97"/>
    <x v="96"/>
    <n v="6.3888888888888898E-2"/>
    <n v="2591"/>
    <n v="386"/>
    <n v="75.711111111111109"/>
    <x v="3"/>
    <x v="0"/>
    <n v="0.67083333333333339"/>
    <s v="Fast"/>
    <x v="1"/>
    <n v="0"/>
    <x v="1"/>
    <x v="1"/>
  </r>
  <r>
    <n v="98"/>
    <x v="97"/>
    <n v="6.1805555555555558E-2"/>
    <n v="3212"/>
    <n v="232"/>
    <n v="38.961111111111116"/>
    <x v="1"/>
    <x v="0"/>
    <n v="1.7090277777777778"/>
    <s v="Slow"/>
    <x v="1"/>
    <n v="1"/>
    <x v="0"/>
    <x v="0"/>
  </r>
  <r>
    <n v="99"/>
    <x v="98"/>
    <n v="4.5833333333333337E-2"/>
    <n v="564"/>
    <n v="282"/>
    <n v="66.295833333333334"/>
    <x v="1"/>
    <x v="2"/>
    <n v="2.3333333333333335"/>
    <s v="Slow"/>
    <x v="0"/>
    <n v="1"/>
    <x v="0"/>
    <x v="0"/>
  </r>
  <r>
    <n v="100"/>
    <x v="99"/>
    <n v="5.9722222222222225E-2"/>
    <n v="1289"/>
    <n v="291"/>
    <n v="34.043749999999996"/>
    <x v="3"/>
    <x v="2"/>
    <n v="1.0006944444444443"/>
    <s v="Fast"/>
    <x v="0"/>
    <n v="1"/>
    <x v="0"/>
    <x v="0"/>
  </r>
  <r>
    <n v="101"/>
    <x v="100"/>
    <n v="4.3750000000000004E-2"/>
    <n v="1826"/>
    <n v="86"/>
    <n v="79.379861111111111"/>
    <x v="1"/>
    <x v="0"/>
    <n v="2.7916666666666665"/>
    <s v="Slow"/>
    <x v="2"/>
    <n v="0"/>
    <x v="1"/>
    <x v="1"/>
  </r>
  <r>
    <n v="102"/>
    <x v="101"/>
    <n v="5.1388888888888894E-2"/>
    <n v="4940"/>
    <n v="20"/>
    <n v="55.044444444444444"/>
    <x v="0"/>
    <x v="0"/>
    <n v="1.5"/>
    <s v="Fast"/>
    <x v="1"/>
    <n v="1"/>
    <x v="0"/>
    <x v="0"/>
  </r>
  <r>
    <n v="103"/>
    <x v="102"/>
    <n v="6.458333333333334E-2"/>
    <n v="3371"/>
    <n v="13"/>
    <n v="47.08680555555555"/>
    <x v="2"/>
    <x v="0"/>
    <n v="2.963888888888889"/>
    <s v="Slow"/>
    <x v="0"/>
    <n v="1"/>
    <x v="0"/>
    <x v="0"/>
  </r>
  <r>
    <n v="104"/>
    <x v="103"/>
    <n v="5.3472222222222227E-2"/>
    <n v="450"/>
    <n v="316"/>
    <n v="42.336111111111116"/>
    <x v="3"/>
    <x v="2"/>
    <n v="2.6312500000000001"/>
    <s v="Slow"/>
    <x v="2"/>
    <n v="0"/>
    <x v="1"/>
    <x v="1"/>
  </r>
  <r>
    <n v="105"/>
    <x v="104"/>
    <n v="5.8333333333333327E-2"/>
    <n v="3594"/>
    <n v="280"/>
    <n v="49.506250000000001"/>
    <x v="2"/>
    <x v="2"/>
    <n v="0.92083333333333339"/>
    <s v="Fast"/>
    <x v="2"/>
    <n v="1"/>
    <x v="0"/>
    <x v="0"/>
  </r>
  <r>
    <n v="106"/>
    <x v="105"/>
    <n v="6.1805555555555558E-2"/>
    <n v="3152"/>
    <n v="357"/>
    <n v="65.002083333333331"/>
    <x v="0"/>
    <x v="2"/>
    <n v="0.42222222222222222"/>
    <s v="Fast"/>
    <x v="0"/>
    <n v="0"/>
    <x v="1"/>
    <x v="1"/>
  </r>
  <r>
    <n v="107"/>
    <x v="106"/>
    <n v="6.458333333333334E-2"/>
    <n v="3401"/>
    <n v="382"/>
    <n v="78.752083333333331"/>
    <x v="0"/>
    <x v="2"/>
    <n v="2.338888888888889"/>
    <s v="Slow"/>
    <x v="1"/>
    <n v="0"/>
    <x v="1"/>
    <x v="1"/>
  </r>
  <r>
    <n v="108"/>
    <x v="107"/>
    <n v="6.2499999999999995E-3"/>
    <n v="1377"/>
    <n v="56"/>
    <n v="32.046527777777776"/>
    <x v="2"/>
    <x v="1"/>
    <n v="2.1673611111111111"/>
    <s v="Slow"/>
    <x v="1"/>
    <n v="0"/>
    <x v="1"/>
    <x v="1"/>
  </r>
  <r>
    <n v="109"/>
    <x v="108"/>
    <n v="4.1666666666666666E-3"/>
    <n v="649"/>
    <n v="18"/>
    <n v="17.043749999999999"/>
    <x v="0"/>
    <x v="0"/>
    <n v="0.7104166666666667"/>
    <s v="Fast"/>
    <x v="1"/>
    <n v="0"/>
    <x v="1"/>
    <x v="1"/>
  </r>
  <r>
    <n v="110"/>
    <x v="109"/>
    <n v="5.3472222222222227E-2"/>
    <n v="3114"/>
    <n v="310"/>
    <n v="63.416666666666664"/>
    <x v="1"/>
    <x v="2"/>
    <n v="2.875"/>
    <s v="Slow"/>
    <x v="0"/>
    <n v="0"/>
    <x v="1"/>
    <x v="1"/>
  </r>
  <r>
    <n v="111"/>
    <x v="110"/>
    <n v="5.486111111111111E-2"/>
    <n v="2369"/>
    <n v="298"/>
    <n v="1.7104166666666665"/>
    <x v="2"/>
    <x v="2"/>
    <n v="1.0416666666666667"/>
    <s v="Fast"/>
    <x v="2"/>
    <n v="0"/>
    <x v="1"/>
    <x v="1"/>
  </r>
  <r>
    <n v="112"/>
    <x v="111"/>
    <n v="4.3055555555555562E-2"/>
    <n v="1256"/>
    <n v="241"/>
    <n v="7.9645833333333336"/>
    <x v="1"/>
    <x v="3"/>
    <n v="1.2916666666666667"/>
    <s v="Fast"/>
    <x v="2"/>
    <n v="0"/>
    <x v="1"/>
    <x v="1"/>
  </r>
  <r>
    <n v="113"/>
    <x v="112"/>
    <n v="5.6944444444444443E-2"/>
    <n v="2789"/>
    <n v="38"/>
    <n v="68.419444444444437"/>
    <x v="3"/>
    <x v="0"/>
    <n v="0.75277777777777777"/>
    <s v="Fast"/>
    <x v="1"/>
    <n v="1"/>
    <x v="0"/>
    <x v="0"/>
  </r>
  <r>
    <n v="114"/>
    <x v="113"/>
    <n v="5.8333333333333327E-2"/>
    <n v="512"/>
    <n v="297"/>
    <n v="15.879166666666668"/>
    <x v="2"/>
    <x v="0"/>
    <n v="0.5"/>
    <s v="Fast"/>
    <x v="1"/>
    <n v="0"/>
    <x v="1"/>
    <x v="1"/>
  </r>
  <r>
    <n v="115"/>
    <x v="114"/>
    <n v="6.458333333333334E-2"/>
    <n v="784"/>
    <n v="309"/>
    <n v="14.7125"/>
    <x v="1"/>
    <x v="2"/>
    <n v="1.3791666666666667"/>
    <s v="Fast"/>
    <x v="0"/>
    <n v="0"/>
    <x v="1"/>
    <x v="1"/>
  </r>
  <r>
    <n v="116"/>
    <x v="115"/>
    <n v="6.805555555555555E-2"/>
    <n v="1892"/>
    <n v="479"/>
    <n v="60.418749999999996"/>
    <x v="1"/>
    <x v="0"/>
    <n v="2.2520833333333332"/>
    <s v="Slow"/>
    <x v="0"/>
    <n v="0"/>
    <x v="1"/>
    <x v="1"/>
  </r>
  <r>
    <n v="117"/>
    <x v="116"/>
    <n v="4.5138888888888888E-2"/>
    <n v="3711"/>
    <n v="78"/>
    <n v="6.0854166666666671"/>
    <x v="1"/>
    <x v="0"/>
    <n v="2.838194444444444"/>
    <s v="Slow"/>
    <x v="2"/>
    <n v="0"/>
    <x v="1"/>
    <x v="1"/>
  </r>
  <r>
    <n v="118"/>
    <x v="117"/>
    <n v="4.7916666666666663E-2"/>
    <n v="4346"/>
    <n v="259"/>
    <n v="41.922916666666666"/>
    <x v="0"/>
    <x v="2"/>
    <n v="1.752777777777778"/>
    <s v="Slow"/>
    <x v="1"/>
    <n v="0"/>
    <x v="1"/>
    <x v="1"/>
  </r>
  <r>
    <n v="119"/>
    <x v="118"/>
    <n v="5.9722222222222225E-2"/>
    <n v="3496"/>
    <n v="153"/>
    <n v="11.416666666666666"/>
    <x v="0"/>
    <x v="1"/>
    <n v="0.58819444444444446"/>
    <s v="Fast"/>
    <x v="2"/>
    <n v="1"/>
    <x v="0"/>
    <x v="2"/>
  </r>
  <r>
    <n v="120"/>
    <x v="119"/>
    <n v="4.5138888888888888E-2"/>
    <n v="3339"/>
    <n v="290"/>
    <n v="22.251388888888886"/>
    <x v="3"/>
    <x v="0"/>
    <n v="0.42291666666666666"/>
    <s v="Fast"/>
    <x v="2"/>
    <n v="1"/>
    <x v="0"/>
    <x v="0"/>
  </r>
  <r>
    <n v="121"/>
    <x v="120"/>
    <n v="4.7916666666666663E-2"/>
    <n v="2831"/>
    <n v="196"/>
    <n v="66.586805555555557"/>
    <x v="2"/>
    <x v="1"/>
    <n v="1.2541666666666667"/>
    <s v="Fast"/>
    <x v="2"/>
    <n v="1"/>
    <x v="0"/>
    <x v="2"/>
  </r>
  <r>
    <n v="122"/>
    <x v="121"/>
    <n v="5.7638888888888885E-2"/>
    <n v="2427"/>
    <n v="80"/>
    <n v="2.5874999999999999"/>
    <x v="0"/>
    <x v="0"/>
    <n v="1.9194444444444445"/>
    <s v="Slow"/>
    <x v="0"/>
    <n v="1"/>
    <x v="0"/>
    <x v="0"/>
  </r>
  <r>
    <n v="123"/>
    <x v="122"/>
    <n v="4.6527777777777779E-2"/>
    <n v="1721"/>
    <n v="371"/>
    <n v="27.750694444444445"/>
    <x v="3"/>
    <x v="2"/>
    <n v="1.7513888888888889"/>
    <s v="Slow"/>
    <x v="0"/>
    <n v="0"/>
    <x v="1"/>
    <x v="1"/>
  </r>
  <r>
    <n v="124"/>
    <x v="123"/>
    <n v="6.3194444444444442E-2"/>
    <n v="1286"/>
    <n v="489"/>
    <n v="65.046527777777769"/>
    <x v="1"/>
    <x v="1"/>
    <n v="8.819444444444445E-2"/>
    <s v="Fast"/>
    <x v="2"/>
    <n v="1"/>
    <x v="0"/>
    <x v="2"/>
  </r>
  <r>
    <n v="125"/>
    <x v="124"/>
    <n v="6.5277777777777782E-2"/>
    <n v="2726"/>
    <n v="2"/>
    <n v="74.627083333333331"/>
    <x v="2"/>
    <x v="1"/>
    <n v="1.2506944444444443"/>
    <s v="Fast"/>
    <x v="1"/>
    <n v="0"/>
    <x v="1"/>
    <x v="1"/>
  </r>
  <r>
    <n v="126"/>
    <x v="125"/>
    <n v="4.2361111111111106E-2"/>
    <n v="4848"/>
    <n v="38"/>
    <n v="1.91875"/>
    <x v="1"/>
    <x v="1"/>
    <n v="0.29652777777777778"/>
    <s v="Fast"/>
    <x v="2"/>
    <n v="0"/>
    <x v="1"/>
    <x v="1"/>
  </r>
  <r>
    <n v="127"/>
    <x v="126"/>
    <n v="5.6250000000000001E-2"/>
    <n v="3338"/>
    <n v="150"/>
    <n v="66.877083333333331"/>
    <x v="3"/>
    <x v="0"/>
    <n v="2.5874999999999999"/>
    <s v="Slow"/>
    <x v="0"/>
    <n v="0"/>
    <x v="1"/>
    <x v="1"/>
  </r>
  <r>
    <n v="128"/>
    <x v="127"/>
    <n v="6.3888888888888898E-2"/>
    <n v="2693"/>
    <n v="239"/>
    <n v="56.833333333333336"/>
    <x v="2"/>
    <x v="1"/>
    <n v="4.5833333333333337E-2"/>
    <s v="Fast"/>
    <x v="1"/>
    <n v="0"/>
    <x v="1"/>
    <x v="1"/>
  </r>
  <r>
    <n v="129"/>
    <x v="128"/>
    <n v="6.8749999999999992E-2"/>
    <n v="1061"/>
    <n v="257"/>
    <n v="66.25"/>
    <x v="2"/>
    <x v="3"/>
    <n v="2.5062500000000001"/>
    <s v="Slow"/>
    <x v="1"/>
    <n v="1"/>
    <x v="0"/>
    <x v="0"/>
  </r>
  <r>
    <n v="130"/>
    <x v="129"/>
    <n v="4.9305555555555554E-2"/>
    <n v="3501"/>
    <n v="185"/>
    <n v="35.875694444444441"/>
    <x v="2"/>
    <x v="1"/>
    <n v="2.7562500000000001"/>
    <s v="Slow"/>
    <x v="1"/>
    <n v="0"/>
    <x v="1"/>
    <x v="1"/>
  </r>
  <r>
    <n v="131"/>
    <x v="130"/>
    <n v="4.6527777777777779E-2"/>
    <n v="2435"/>
    <n v="270"/>
    <n v="15.753472222222221"/>
    <x v="3"/>
    <x v="3"/>
    <n v="4.7222222222222221E-2"/>
    <s v="Fast"/>
    <x v="0"/>
    <n v="1"/>
    <x v="0"/>
    <x v="0"/>
  </r>
  <r>
    <n v="132"/>
    <x v="131"/>
    <n v="6.5972222222222224E-2"/>
    <n v="4994"/>
    <n v="252"/>
    <n v="3.3347222222222221"/>
    <x v="0"/>
    <x v="1"/>
    <n v="2.6291666666666669"/>
    <s v="Slow"/>
    <x v="0"/>
    <n v="0"/>
    <x v="1"/>
    <x v="1"/>
  </r>
  <r>
    <n v="133"/>
    <x v="132"/>
    <n v="6.6666666666666666E-2"/>
    <n v="1517"/>
    <n v="128"/>
    <n v="23.543055555555554"/>
    <x v="2"/>
    <x v="3"/>
    <n v="1.7979166666666666"/>
    <s v="Slow"/>
    <x v="1"/>
    <n v="1"/>
    <x v="0"/>
    <x v="0"/>
  </r>
  <r>
    <n v="134"/>
    <x v="133"/>
    <n v="4.7222222222222221E-2"/>
    <n v="2335"/>
    <n v="146"/>
    <n v="69.08819444444444"/>
    <x v="1"/>
    <x v="1"/>
    <n v="2.9187499999999997"/>
    <s v="Slow"/>
    <x v="2"/>
    <n v="0"/>
    <x v="1"/>
    <x v="1"/>
  </r>
  <r>
    <n v="135"/>
    <x v="134"/>
    <n v="5.4166666666666669E-2"/>
    <n v="1183"/>
    <n v="483"/>
    <n v="61.922916666666673"/>
    <x v="1"/>
    <x v="2"/>
    <n v="1.6694444444444445"/>
    <s v="Slow"/>
    <x v="1"/>
    <n v="0"/>
    <x v="1"/>
    <x v="1"/>
  </r>
  <r>
    <n v="136"/>
    <x v="135"/>
    <n v="6.1805555555555558E-2"/>
    <n v="4562"/>
    <n v="68"/>
    <n v="71.87777777777778"/>
    <x v="2"/>
    <x v="1"/>
    <n v="0.54375000000000007"/>
    <s v="Fast"/>
    <x v="2"/>
    <n v="1"/>
    <x v="0"/>
    <x v="2"/>
  </r>
  <r>
    <n v="137"/>
    <x v="136"/>
    <n v="6.5277777777777782E-2"/>
    <n v="1246"/>
    <n v="109"/>
    <n v="16.712500000000002"/>
    <x v="2"/>
    <x v="3"/>
    <n v="2.0416666666666665"/>
    <s v="Slow"/>
    <x v="2"/>
    <n v="0"/>
    <x v="1"/>
    <x v="1"/>
  </r>
  <r>
    <n v="138"/>
    <x v="137"/>
    <n v="4.6527777777777779E-2"/>
    <n v="2072"/>
    <n v="67"/>
    <n v="13.293750000000001"/>
    <x v="3"/>
    <x v="0"/>
    <n v="0.33958333333333335"/>
    <s v="Fast"/>
    <x v="2"/>
    <n v="0"/>
    <x v="1"/>
    <x v="1"/>
  </r>
  <r>
    <n v="139"/>
    <x v="138"/>
    <n v="6.0416666666666667E-2"/>
    <n v="4417"/>
    <n v="290"/>
    <n v="53.464583333333337"/>
    <x v="0"/>
    <x v="2"/>
    <n v="2.8756944444444446"/>
    <s v="Slow"/>
    <x v="2"/>
    <n v="0"/>
    <x v="1"/>
    <x v="1"/>
  </r>
  <r>
    <n v="140"/>
    <x v="139"/>
    <n v="6.3888888888888898E-2"/>
    <n v="4530"/>
    <n v="49"/>
    <n v="19.838194444444444"/>
    <x v="0"/>
    <x v="1"/>
    <n v="1.8805555555555555"/>
    <s v="Slow"/>
    <x v="1"/>
    <n v="0"/>
    <x v="1"/>
    <x v="1"/>
  </r>
  <r>
    <n v="141"/>
    <x v="140"/>
    <n v="5.6944444444444443E-2"/>
    <n v="2330"/>
    <n v="490"/>
    <n v="65.839583333333337"/>
    <x v="1"/>
    <x v="1"/>
    <n v="1.0895833333333333"/>
    <s v="Fast"/>
    <x v="1"/>
    <n v="0"/>
    <x v="1"/>
    <x v="1"/>
  </r>
  <r>
    <n v="142"/>
    <x v="141"/>
    <n v="4.6527777777777779E-2"/>
    <n v="2811"/>
    <n v="474"/>
    <n v="28.292361111111109"/>
    <x v="0"/>
    <x v="3"/>
    <n v="0.12569444444444444"/>
    <s v="Fast"/>
    <x v="1"/>
    <n v="0"/>
    <x v="1"/>
    <x v="1"/>
  </r>
  <r>
    <n v="143"/>
    <x v="142"/>
    <n v="4.2361111111111106E-2"/>
    <n v="4816"/>
    <n v="146"/>
    <n v="48.502777777777773"/>
    <x v="2"/>
    <x v="2"/>
    <n v="1.1694444444444445"/>
    <s v="Fast"/>
    <x v="0"/>
    <n v="1"/>
    <x v="0"/>
    <x v="0"/>
  </r>
  <r>
    <n v="144"/>
    <x v="143"/>
    <n v="4.9305555555555554E-2"/>
    <n v="1448"/>
    <n v="67"/>
    <n v="75.839583333333337"/>
    <x v="1"/>
    <x v="1"/>
    <n v="0.66805555555555562"/>
    <s v="Fast"/>
    <x v="1"/>
    <n v="1"/>
    <x v="0"/>
    <x v="2"/>
  </r>
  <r>
    <n v="145"/>
    <x v="144"/>
    <n v="6.3888888888888898E-2"/>
    <n v="4547"/>
    <n v="89"/>
    <n v="49.046527777777776"/>
    <x v="3"/>
    <x v="2"/>
    <n v="0.50277777777777777"/>
    <s v="Fast"/>
    <x v="0"/>
    <n v="0"/>
    <x v="1"/>
    <x v="1"/>
  </r>
  <r>
    <n v="146"/>
    <x v="145"/>
    <n v="4.3055555555555562E-2"/>
    <n v="2101"/>
    <n v="201"/>
    <n v="65.631250000000009"/>
    <x v="2"/>
    <x v="2"/>
    <n v="0.62916666666666665"/>
    <s v="Fast"/>
    <x v="2"/>
    <n v="1"/>
    <x v="0"/>
    <x v="0"/>
  </r>
  <r>
    <n v="147"/>
    <x v="146"/>
    <n v="4.1666666666666666E-3"/>
    <n v="1515"/>
    <n v="40"/>
    <n v="13.459027777777777"/>
    <x v="0"/>
    <x v="0"/>
    <n v="0.91805555555555562"/>
    <s v="Fast"/>
    <x v="2"/>
    <n v="1"/>
    <x v="0"/>
    <x v="0"/>
  </r>
  <r>
    <n v="148"/>
    <x v="147"/>
    <n v="5.1388888888888894E-2"/>
    <n v="4723"/>
    <n v="250"/>
    <n v="22.170138888888889"/>
    <x v="3"/>
    <x v="0"/>
    <n v="2.129861111111111"/>
    <s v="Slow"/>
    <x v="1"/>
    <n v="0"/>
    <x v="1"/>
    <x v="1"/>
  </r>
  <r>
    <n v="149"/>
    <x v="148"/>
    <n v="4.3750000000000004E-2"/>
    <n v="1300"/>
    <n v="431"/>
    <n v="53.714583333333337"/>
    <x v="3"/>
    <x v="1"/>
    <n v="0.12569444444444444"/>
    <s v="Fast"/>
    <x v="0"/>
    <n v="0"/>
    <x v="1"/>
    <x v="1"/>
  </r>
  <r>
    <n v="150"/>
    <x v="149"/>
    <n v="4.5833333333333337E-2"/>
    <n v="2228"/>
    <n v="453"/>
    <n v="19.838194444444444"/>
    <x v="3"/>
    <x v="2"/>
    <n v="0.62847222222222221"/>
    <s v="Fast"/>
    <x v="0"/>
    <n v="0"/>
    <x v="1"/>
    <x v="1"/>
  </r>
  <r>
    <n v="151"/>
    <x v="150"/>
    <n v="4.2361111111111106E-2"/>
    <n v="2645"/>
    <n v="16"/>
    <n v="4.7124999999999995"/>
    <x v="1"/>
    <x v="3"/>
    <n v="1.2513888888888889"/>
    <s v="Fast"/>
    <x v="2"/>
    <n v="0"/>
    <x v="1"/>
    <x v="1"/>
  </r>
  <r>
    <n v="152"/>
    <x v="151"/>
    <n v="5.6250000000000001E-2"/>
    <n v="4942"/>
    <n v="29"/>
    <n v="46.381250000000001"/>
    <x v="1"/>
    <x v="1"/>
    <n v="2"/>
    <s v="Slow"/>
    <x v="1"/>
    <n v="0"/>
    <x v="1"/>
    <x v="1"/>
  </r>
  <r>
    <n v="153"/>
    <x v="152"/>
    <n v="6.1111111111111109E-2"/>
    <n v="4403"/>
    <n v="315"/>
    <n v="54.50555555555556"/>
    <x v="0"/>
    <x v="0"/>
    <n v="0.54305555555555551"/>
    <s v="Fast"/>
    <x v="1"/>
    <n v="0"/>
    <x v="1"/>
    <x v="1"/>
  </r>
  <r>
    <n v="154"/>
    <x v="153"/>
    <n v="5.3472222222222227E-2"/>
    <n v="4674"/>
    <n v="133"/>
    <n v="49.5"/>
    <x v="2"/>
    <x v="0"/>
    <n v="1.4645833333333333"/>
    <s v="Fast"/>
    <x v="0"/>
    <n v="0"/>
    <x v="1"/>
    <x v="1"/>
  </r>
  <r>
    <n v="155"/>
    <x v="154"/>
    <n v="4.5138888888888888E-2"/>
    <n v="2032"/>
    <n v="365"/>
    <n v="41.713888888888889"/>
    <x v="0"/>
    <x v="1"/>
    <n v="1.0055555555555555"/>
    <s v="Fast"/>
    <x v="0"/>
    <n v="1"/>
    <x v="0"/>
    <x v="2"/>
  </r>
  <r>
    <n v="156"/>
    <x v="155"/>
    <n v="5.0694444444444438E-2"/>
    <n v="1451"/>
    <n v="25"/>
    <n v="0.33888888888888885"/>
    <x v="3"/>
    <x v="2"/>
    <n v="2.75"/>
    <s v="Slow"/>
    <x v="1"/>
    <n v="0"/>
    <x v="1"/>
    <x v="1"/>
  </r>
  <r>
    <n v="157"/>
    <x v="156"/>
    <n v="5.8333333333333327E-2"/>
    <n v="148"/>
    <n v="482"/>
    <n v="39.377083333333331"/>
    <x v="2"/>
    <x v="2"/>
    <n v="2.2506944444444446"/>
    <s v="Slow"/>
    <x v="1"/>
    <n v="0"/>
    <x v="1"/>
    <x v="1"/>
  </r>
  <r>
    <n v="158"/>
    <x v="157"/>
    <n v="6.805555555555555E-2"/>
    <n v="1916"/>
    <n v="109"/>
    <n v="63.042361111111113"/>
    <x v="3"/>
    <x v="3"/>
    <n v="2.3361111111111112"/>
    <s v="Slow"/>
    <x v="1"/>
    <n v="0"/>
    <x v="1"/>
    <x v="1"/>
  </r>
  <r>
    <n v="159"/>
    <x v="158"/>
    <n v="4.1666666666666664E-2"/>
    <n v="2390"/>
    <n v="472"/>
    <n v="79.421527777777769"/>
    <x v="1"/>
    <x v="2"/>
    <n v="0.7090277777777777"/>
    <s v="Fast"/>
    <x v="2"/>
    <n v="0"/>
    <x v="1"/>
    <x v="1"/>
  </r>
  <r>
    <n v="160"/>
    <x v="159"/>
    <n v="4.8611111111111112E-3"/>
    <n v="760"/>
    <n v="393"/>
    <n v="0.21388888888888891"/>
    <x v="2"/>
    <x v="2"/>
    <n v="1.6284722222222223"/>
    <s v="Slow"/>
    <x v="2"/>
    <n v="0"/>
    <x v="1"/>
    <x v="1"/>
  </r>
  <r>
    <n v="161"/>
    <x v="160"/>
    <n v="4.1666666666666666E-3"/>
    <n v="3643"/>
    <n v="312"/>
    <n v="72.794444444444437"/>
    <x v="1"/>
    <x v="2"/>
    <n v="1.8784722222222223"/>
    <s v="Slow"/>
    <x v="2"/>
    <n v="0"/>
    <x v="1"/>
    <x v="1"/>
  </r>
  <r>
    <n v="162"/>
    <x v="161"/>
    <n v="6.458333333333334E-2"/>
    <n v="276"/>
    <n v="259"/>
    <n v="49.96180555555555"/>
    <x v="3"/>
    <x v="1"/>
    <n v="0.71319444444444446"/>
    <s v="Fast"/>
    <x v="0"/>
    <n v="0"/>
    <x v="1"/>
    <x v="1"/>
  </r>
  <r>
    <n v="163"/>
    <x v="162"/>
    <n v="6.7361111111111108E-2"/>
    <n v="1336"/>
    <n v="251"/>
    <n v="76.834722222222226"/>
    <x v="1"/>
    <x v="2"/>
    <n v="1.8388888888888888"/>
    <s v="Slow"/>
    <x v="0"/>
    <n v="0"/>
    <x v="1"/>
    <x v="1"/>
  </r>
  <r>
    <n v="164"/>
    <x v="163"/>
    <n v="5.4166666666666669E-2"/>
    <n v="4055"/>
    <n v="143"/>
    <n v="42.833333333333336"/>
    <x v="3"/>
    <x v="2"/>
    <n v="1.9590277777777778"/>
    <s v="Slow"/>
    <x v="2"/>
    <n v="1"/>
    <x v="0"/>
    <x v="0"/>
  </r>
  <r>
    <n v="165"/>
    <x v="164"/>
    <n v="6.3194444444444442E-2"/>
    <n v="2490"/>
    <n v="91"/>
    <n v="40.170138888888893"/>
    <x v="3"/>
    <x v="0"/>
    <n v="1.5055555555555555"/>
    <s v="Slow"/>
    <x v="1"/>
    <n v="0"/>
    <x v="1"/>
    <x v="1"/>
  </r>
  <r>
    <n v="166"/>
    <x v="165"/>
    <n v="6.5972222222222224E-2"/>
    <n v="4732"/>
    <n v="208"/>
    <n v="82.379166666666663"/>
    <x v="0"/>
    <x v="0"/>
    <n v="2.3381944444444445"/>
    <s v="Slow"/>
    <x v="1"/>
    <n v="1"/>
    <x v="0"/>
    <x v="0"/>
  </r>
  <r>
    <n v="167"/>
    <x v="166"/>
    <n v="5.8333333333333327E-2"/>
    <n v="2576"/>
    <n v="46"/>
    <n v="60.875694444444441"/>
    <x v="1"/>
    <x v="0"/>
    <n v="0.67291666666666661"/>
    <s v="Fast"/>
    <x v="1"/>
    <n v="0"/>
    <x v="1"/>
    <x v="1"/>
  </r>
  <r>
    <n v="168"/>
    <x v="167"/>
    <n v="6.5972222222222224E-2"/>
    <n v="3539"/>
    <n v="50"/>
    <n v="52.667361111111113"/>
    <x v="2"/>
    <x v="1"/>
    <n v="1.7979166666666666"/>
    <s v="Slow"/>
    <x v="0"/>
    <n v="0"/>
    <x v="1"/>
    <x v="1"/>
  </r>
  <r>
    <n v="169"/>
    <x v="168"/>
    <n v="4.2361111111111106E-2"/>
    <n v="3444"/>
    <n v="208"/>
    <n v="8.7972222222222225"/>
    <x v="2"/>
    <x v="2"/>
    <n v="1.4201388888888891"/>
    <s v="Fast"/>
    <x v="2"/>
    <n v="0"/>
    <x v="1"/>
    <x v="1"/>
  </r>
  <r>
    <n v="170"/>
    <x v="169"/>
    <n v="4.9305555555555554E-2"/>
    <n v="2055"/>
    <n v="225"/>
    <n v="23.213194444444444"/>
    <x v="0"/>
    <x v="3"/>
    <n v="1.5006944444444443"/>
    <s v="Slow"/>
    <x v="2"/>
    <n v="1"/>
    <x v="0"/>
    <x v="0"/>
  </r>
  <r>
    <n v="171"/>
    <x v="170"/>
    <n v="4.9305555555555554E-2"/>
    <n v="934"/>
    <n v="175"/>
    <n v="8.5013888888888882"/>
    <x v="2"/>
    <x v="3"/>
    <n v="1.7979166666666666"/>
    <s v="Slow"/>
    <x v="2"/>
    <n v="0"/>
    <x v="1"/>
    <x v="1"/>
  </r>
  <r>
    <n v="172"/>
    <x v="171"/>
    <n v="4.5138888888888888E-2"/>
    <n v="819"/>
    <n v="103"/>
    <n v="41.125"/>
    <x v="3"/>
    <x v="0"/>
    <n v="1.6680555555555554"/>
    <s v="Slow"/>
    <x v="0"/>
    <n v="0"/>
    <x v="1"/>
    <x v="1"/>
  </r>
  <r>
    <n v="173"/>
    <x v="172"/>
    <n v="6.6666666666666666E-2"/>
    <n v="3854"/>
    <n v="349"/>
    <n v="15.709027777777777"/>
    <x v="2"/>
    <x v="0"/>
    <n v="0.96111111111111114"/>
    <s v="Fast"/>
    <x v="1"/>
    <n v="0"/>
    <x v="1"/>
    <x v="1"/>
  </r>
  <r>
    <n v="174"/>
    <x v="173"/>
    <n v="4.2361111111111106E-2"/>
    <n v="3491"/>
    <n v="281"/>
    <n v="11.752083333333333"/>
    <x v="3"/>
    <x v="2"/>
    <n v="1.0055555555555555"/>
    <s v="Fast"/>
    <x v="0"/>
    <n v="0"/>
    <x v="1"/>
    <x v="1"/>
  </r>
  <r>
    <n v="175"/>
    <x v="174"/>
    <n v="6.0416666666666667E-2"/>
    <n v="553"/>
    <n v="334"/>
    <n v="12.836805555555555"/>
    <x v="3"/>
    <x v="3"/>
    <n v="1.7951388888888891"/>
    <s v="Slow"/>
    <x v="2"/>
    <n v="0"/>
    <x v="1"/>
    <x v="1"/>
  </r>
  <r>
    <n v="176"/>
    <x v="175"/>
    <n v="4.3750000000000004E-2"/>
    <n v="4134"/>
    <n v="455"/>
    <n v="32.710416666666667"/>
    <x v="0"/>
    <x v="0"/>
    <n v="1.1256944444444443"/>
    <s v="Fast"/>
    <x v="1"/>
    <n v="1"/>
    <x v="0"/>
    <x v="0"/>
  </r>
  <r>
    <n v="177"/>
    <x v="176"/>
    <n v="5.1388888888888894E-2"/>
    <n v="1918"/>
    <n v="401"/>
    <n v="39.417361111111113"/>
    <x v="0"/>
    <x v="0"/>
    <n v="2.9618055555555554"/>
    <s v="Slow"/>
    <x v="0"/>
    <n v="0"/>
    <x v="1"/>
    <x v="1"/>
  </r>
  <r>
    <n v="178"/>
    <x v="177"/>
    <n v="5.3472222222222227E-2"/>
    <n v="914"/>
    <n v="210"/>
    <n v="35.37777777777778"/>
    <x v="3"/>
    <x v="0"/>
    <n v="0.58472222222222225"/>
    <s v="Fast"/>
    <x v="2"/>
    <n v="0"/>
    <x v="1"/>
    <x v="1"/>
  </r>
  <r>
    <n v="179"/>
    <x v="178"/>
    <n v="4.6527777777777779E-2"/>
    <n v="518"/>
    <n v="133"/>
    <n v="19.25138888888889"/>
    <x v="1"/>
    <x v="3"/>
    <n v="2.2916666666666665"/>
    <s v="Slow"/>
    <x v="0"/>
    <n v="1"/>
    <x v="0"/>
    <x v="0"/>
  </r>
  <r>
    <n v="180"/>
    <x v="179"/>
    <n v="5.6250000000000001E-2"/>
    <n v="4485"/>
    <n v="344"/>
    <n v="23.834722222222222"/>
    <x v="1"/>
    <x v="2"/>
    <n v="2.5430555555555556"/>
    <s v="Slow"/>
    <x v="1"/>
    <n v="0"/>
    <x v="1"/>
    <x v="1"/>
  </r>
  <r>
    <n v="181"/>
    <x v="180"/>
    <n v="5.6250000000000001E-2"/>
    <n v="2439"/>
    <n v="490"/>
    <n v="62.085416666666667"/>
    <x v="3"/>
    <x v="2"/>
    <n v="1.5895833333333333"/>
    <s v="Slow"/>
    <x v="0"/>
    <n v="0"/>
    <x v="1"/>
    <x v="1"/>
  </r>
  <r>
    <n v="182"/>
    <x v="181"/>
    <n v="5.0694444444444438E-2"/>
    <n v="3565"/>
    <n v="157"/>
    <n v="28.420833333333334"/>
    <x v="1"/>
    <x v="3"/>
    <n v="2.4229166666666666"/>
    <s v="Slow"/>
    <x v="0"/>
    <n v="0"/>
    <x v="1"/>
    <x v="1"/>
  </r>
  <r>
    <n v="183"/>
    <x v="182"/>
    <n v="6.1805555555555558E-2"/>
    <n v="4907"/>
    <n v="291"/>
    <n v="47"/>
    <x v="0"/>
    <x v="1"/>
    <n v="0.79652777777777783"/>
    <s v="Fast"/>
    <x v="1"/>
    <n v="0"/>
    <x v="1"/>
    <x v="1"/>
  </r>
  <r>
    <n v="184"/>
    <x v="183"/>
    <n v="4.5833333333333337E-2"/>
    <n v="4566"/>
    <n v="323"/>
    <n v="42.296527777777776"/>
    <x v="2"/>
    <x v="0"/>
    <n v="2.2972222222222221"/>
    <s v="Slow"/>
    <x v="1"/>
    <n v="0"/>
    <x v="1"/>
    <x v="1"/>
  </r>
  <r>
    <n v="185"/>
    <x v="184"/>
    <n v="4.7222222222222221E-2"/>
    <n v="3653"/>
    <n v="79"/>
    <n v="54.044444444444444"/>
    <x v="1"/>
    <x v="1"/>
    <n v="2.3791666666666669"/>
    <s v="Slow"/>
    <x v="0"/>
    <n v="0"/>
    <x v="1"/>
    <x v="1"/>
  </r>
  <r>
    <n v="186"/>
    <x v="185"/>
    <n v="5.1388888888888894E-2"/>
    <n v="2879"/>
    <n v="475"/>
    <n v="51.046527777777776"/>
    <x v="3"/>
    <x v="1"/>
    <n v="1.0479166666666666"/>
    <s v="Fast"/>
    <x v="0"/>
    <n v="0"/>
    <x v="1"/>
    <x v="1"/>
  </r>
  <r>
    <n v="187"/>
    <x v="186"/>
    <n v="5.2083333333333336E-2"/>
    <n v="2464"/>
    <n v="430"/>
    <n v="16.588194444444444"/>
    <x v="2"/>
    <x v="2"/>
    <n v="2.6305555555555555"/>
    <s v="Slow"/>
    <x v="2"/>
    <n v="0"/>
    <x v="1"/>
    <x v="1"/>
  </r>
  <r>
    <n v="188"/>
    <x v="187"/>
    <n v="4.7222222222222221E-2"/>
    <n v="4486"/>
    <n v="280"/>
    <n v="10.418750000000001"/>
    <x v="1"/>
    <x v="0"/>
    <n v="1.4173611111111111"/>
    <s v="Fast"/>
    <x v="1"/>
    <n v="0"/>
    <x v="1"/>
    <x v="1"/>
  </r>
  <r>
    <n v="189"/>
    <x v="188"/>
    <n v="6.7361111111111108E-2"/>
    <n v="2153"/>
    <n v="62"/>
    <n v="51.334027777777777"/>
    <x v="2"/>
    <x v="3"/>
    <n v="1.2548611111111112"/>
    <s v="Fast"/>
    <x v="0"/>
    <n v="0"/>
    <x v="1"/>
    <x v="1"/>
  </r>
  <r>
    <n v="190"/>
    <x v="189"/>
    <n v="6.458333333333334E-2"/>
    <n v="3624"/>
    <n v="168"/>
    <n v="43.333333333333336"/>
    <x v="2"/>
    <x v="0"/>
    <n v="2.9208333333333329"/>
    <s v="Slow"/>
    <x v="1"/>
    <n v="0"/>
    <x v="1"/>
    <x v="1"/>
  </r>
  <r>
    <n v="191"/>
    <x v="190"/>
    <n v="4.4444444444444446E-2"/>
    <n v="1336"/>
    <n v="468"/>
    <n v="44.297916666666673"/>
    <x v="3"/>
    <x v="1"/>
    <n v="2.6722222222222225"/>
    <s v="Slow"/>
    <x v="2"/>
    <n v="1"/>
    <x v="0"/>
    <x v="2"/>
  </r>
  <r>
    <n v="192"/>
    <x v="191"/>
    <n v="5.2083333333333336E-2"/>
    <n v="291"/>
    <n v="109"/>
    <n v="44.922222222222224"/>
    <x v="3"/>
    <x v="2"/>
    <n v="2.5854166666666667"/>
    <s v="Slow"/>
    <x v="0"/>
    <n v="0"/>
    <x v="1"/>
    <x v="1"/>
  </r>
  <r>
    <n v="193"/>
    <x v="192"/>
    <n v="4.7916666666666663E-2"/>
    <n v="4091"/>
    <n v="337"/>
    <n v="10.213194444444445"/>
    <x v="0"/>
    <x v="2"/>
    <n v="1.3784722222222223"/>
    <s v="Fast"/>
    <x v="1"/>
    <n v="0"/>
    <x v="1"/>
    <x v="1"/>
  </r>
  <r>
    <n v="194"/>
    <x v="193"/>
    <n v="5.4166666666666669E-2"/>
    <n v="2372"/>
    <n v="111"/>
    <n v="69.169444444444437"/>
    <x v="3"/>
    <x v="1"/>
    <n v="0.92152777777777783"/>
    <s v="Fast"/>
    <x v="0"/>
    <n v="1"/>
    <x v="0"/>
    <x v="2"/>
  </r>
  <r>
    <n v="195"/>
    <x v="194"/>
    <n v="4.9305555555555554E-2"/>
    <n v="2867"/>
    <n v="192"/>
    <n v="79.211111111111109"/>
    <x v="3"/>
    <x v="0"/>
    <n v="1.7145833333333333"/>
    <s v="Slow"/>
    <x v="0"/>
    <n v="1"/>
    <x v="0"/>
    <x v="0"/>
  </r>
  <r>
    <n v="196"/>
    <x v="195"/>
    <n v="5.5555555555555558E-3"/>
    <n v="3422"/>
    <n v="422"/>
    <n v="55.587499999999999"/>
    <x v="1"/>
    <x v="2"/>
    <n v="0.54652777777777783"/>
    <s v="Fast"/>
    <x v="1"/>
    <n v="0"/>
    <x v="1"/>
    <x v="1"/>
  </r>
  <r>
    <n v="197"/>
    <x v="196"/>
    <n v="6.7361111111111108E-2"/>
    <n v="3238"/>
    <n v="348"/>
    <n v="64.669444444444437"/>
    <x v="1"/>
    <x v="0"/>
    <n v="0.67222222222222217"/>
    <s v="Fast"/>
    <x v="1"/>
    <n v="0"/>
    <x v="1"/>
    <x v="1"/>
  </r>
  <r>
    <n v="198"/>
    <x v="197"/>
    <n v="5.2083333333333336E-2"/>
    <n v="1338"/>
    <n v="360"/>
    <n v="43.838888888888896"/>
    <x v="1"/>
    <x v="0"/>
    <n v="4.7222222222222221E-2"/>
    <s v="Fast"/>
    <x v="1"/>
    <n v="0"/>
    <x v="1"/>
    <x v="1"/>
  </r>
  <r>
    <n v="199"/>
    <x v="198"/>
    <n v="5.9722222222222225E-2"/>
    <n v="2369"/>
    <n v="279"/>
    <n v="43.295833333333327"/>
    <x v="0"/>
    <x v="0"/>
    <n v="1.9590277777777778"/>
    <s v="Slow"/>
    <x v="1"/>
    <n v="1"/>
    <x v="0"/>
    <x v="0"/>
  </r>
  <r>
    <n v="200"/>
    <x v="199"/>
    <n v="5.8333333333333327E-2"/>
    <n v="2756"/>
    <n v="55"/>
    <n v="26.043749999999999"/>
    <x v="2"/>
    <x v="1"/>
    <n v="0.54166666666666663"/>
    <s v="Fast"/>
    <x v="2"/>
    <n v="0"/>
    <x v="1"/>
    <x v="1"/>
  </r>
  <r>
    <n v="201"/>
    <x v="200"/>
    <n v="6.2499999999999995E-3"/>
    <n v="2406"/>
    <n v="250"/>
    <n v="68.088888888888889"/>
    <x v="1"/>
    <x v="3"/>
    <n v="2.2916666666666665"/>
    <s v="Slow"/>
    <x v="2"/>
    <n v="0"/>
    <x v="1"/>
    <x v="1"/>
  </r>
  <r>
    <n v="202"/>
    <x v="201"/>
    <n v="4.3055555555555562E-2"/>
    <n v="600"/>
    <n v="281"/>
    <n v="1.1305555555555555"/>
    <x v="3"/>
    <x v="2"/>
    <n v="0.79236111111111107"/>
    <s v="Fast"/>
    <x v="0"/>
    <n v="0"/>
    <x v="1"/>
    <x v="1"/>
  </r>
  <r>
    <n v="203"/>
    <x v="202"/>
    <n v="6.2499999999999995E-3"/>
    <n v="2848"/>
    <n v="238"/>
    <n v="44.419444444444444"/>
    <x v="1"/>
    <x v="0"/>
    <n v="2.7513888888888887"/>
    <s v="Slow"/>
    <x v="0"/>
    <n v="0"/>
    <x v="1"/>
    <x v="1"/>
  </r>
  <r>
    <n v="204"/>
    <x v="203"/>
    <n v="6.805555555555555E-2"/>
    <n v="1857"/>
    <n v="467"/>
    <n v="72.879861111111111"/>
    <x v="3"/>
    <x v="2"/>
    <n v="2.3340277777777776"/>
    <s v="Slow"/>
    <x v="2"/>
    <n v="0"/>
    <x v="1"/>
    <x v="1"/>
  </r>
  <r>
    <n v="205"/>
    <x v="204"/>
    <n v="5.8333333333333327E-2"/>
    <n v="1432"/>
    <n v="169"/>
    <n v="77.793750000000003"/>
    <x v="3"/>
    <x v="0"/>
    <n v="1.8395833333333333"/>
    <s v="Slow"/>
    <x v="2"/>
    <n v="0"/>
    <x v="1"/>
    <x v="1"/>
  </r>
  <r>
    <n v="206"/>
    <x v="205"/>
    <n v="4.9999999999999996E-2"/>
    <n v="3912"/>
    <n v="268"/>
    <n v="55.791666666666664"/>
    <x v="2"/>
    <x v="2"/>
    <n v="0.83680555555555547"/>
    <s v="Fast"/>
    <x v="2"/>
    <n v="0"/>
    <x v="1"/>
    <x v="1"/>
  </r>
  <r>
    <n v="207"/>
    <x v="206"/>
    <n v="6.0416666666666667E-2"/>
    <n v="121"/>
    <n v="301"/>
    <n v="48.920833333333327"/>
    <x v="3"/>
    <x v="2"/>
    <n v="0.50347222222222221"/>
    <s v="Fast"/>
    <x v="0"/>
    <n v="0"/>
    <x v="1"/>
    <x v="1"/>
  </r>
  <r>
    <n v="208"/>
    <x v="207"/>
    <n v="6.1111111111111109E-2"/>
    <n v="2405"/>
    <n v="27"/>
    <n v="82.797222222222231"/>
    <x v="2"/>
    <x v="1"/>
    <n v="0.3354166666666667"/>
    <s v="Fast"/>
    <x v="2"/>
    <n v="0"/>
    <x v="1"/>
    <x v="1"/>
  </r>
  <r>
    <n v="209"/>
    <x v="208"/>
    <n v="5.9722222222222225E-2"/>
    <n v="4803"/>
    <n v="434"/>
    <n v="5.584027777777778"/>
    <x v="2"/>
    <x v="0"/>
    <n v="2"/>
    <s v="Slow"/>
    <x v="1"/>
    <n v="1"/>
    <x v="0"/>
    <x v="0"/>
  </r>
  <r>
    <n v="210"/>
    <x v="209"/>
    <n v="4.5833333333333337E-2"/>
    <n v="4588"/>
    <n v="169"/>
    <n v="21.00138888888889"/>
    <x v="1"/>
    <x v="2"/>
    <n v="1.7979166666666666"/>
    <s v="Slow"/>
    <x v="1"/>
    <n v="0"/>
    <x v="1"/>
    <x v="1"/>
  </r>
  <r>
    <n v="211"/>
    <x v="210"/>
    <n v="6.8749999999999992E-2"/>
    <n v="3028"/>
    <n v="465"/>
    <n v="37.836805555555557"/>
    <x v="1"/>
    <x v="3"/>
    <n v="0.46319444444444446"/>
    <s v="Fast"/>
    <x v="1"/>
    <n v="0"/>
    <x v="1"/>
    <x v="1"/>
  </r>
  <r>
    <n v="212"/>
    <x v="211"/>
    <n v="6.805555555555555E-2"/>
    <n v="4975"/>
    <n v="193"/>
    <n v="37.293055555555554"/>
    <x v="3"/>
    <x v="2"/>
    <n v="2.0416666666666665"/>
    <s v="Slow"/>
    <x v="0"/>
    <n v="0"/>
    <x v="1"/>
    <x v="1"/>
  </r>
  <r>
    <n v="213"/>
    <x v="212"/>
    <n v="5.3472222222222227E-2"/>
    <n v="283"/>
    <n v="146"/>
    <n v="71.128472222222214"/>
    <x v="1"/>
    <x v="2"/>
    <n v="2.5416666666666665"/>
    <s v="Slow"/>
    <x v="1"/>
    <n v="1"/>
    <x v="0"/>
    <x v="0"/>
  </r>
  <r>
    <n v="214"/>
    <x v="213"/>
    <n v="5.8333333333333327E-2"/>
    <n v="2025"/>
    <n v="31"/>
    <n v="54.500694444444441"/>
    <x v="3"/>
    <x v="3"/>
    <n v="2.7916666666666665"/>
    <s v="Slow"/>
    <x v="0"/>
    <n v="0"/>
    <x v="1"/>
    <x v="1"/>
  </r>
  <r>
    <n v="215"/>
    <x v="214"/>
    <n v="4.3055555555555562E-2"/>
    <n v="72"/>
    <n v="1"/>
    <n v="14.046527777777778"/>
    <x v="3"/>
    <x v="0"/>
    <n v="2.7097222222222221"/>
    <s v="Slow"/>
    <x v="2"/>
    <n v="1"/>
    <x v="0"/>
    <x v="0"/>
  </r>
  <r>
    <n v="216"/>
    <x v="215"/>
    <n v="4.1666666666666664E-2"/>
    <n v="4021"/>
    <n v="68"/>
    <n v="49.420138888888886"/>
    <x v="2"/>
    <x v="0"/>
    <n v="2.9645833333333336"/>
    <s v="Slow"/>
    <x v="0"/>
    <n v="0"/>
    <x v="1"/>
    <x v="1"/>
  </r>
  <r>
    <n v="217"/>
    <x v="216"/>
    <n v="6.458333333333334E-2"/>
    <n v="200"/>
    <n v="215"/>
    <n v="69.294444444444437"/>
    <x v="2"/>
    <x v="1"/>
    <n v="0.20972222222222223"/>
    <s v="Fast"/>
    <x v="1"/>
    <n v="0"/>
    <x v="1"/>
    <x v="1"/>
  </r>
  <r>
    <n v="218"/>
    <x v="217"/>
    <n v="5.9027777777777783E-2"/>
    <n v="4956"/>
    <n v="363"/>
    <n v="4.334027777777778"/>
    <x v="1"/>
    <x v="2"/>
    <n v="2.7506944444444446"/>
    <s v="Slow"/>
    <x v="1"/>
    <n v="0"/>
    <x v="1"/>
    <x v="1"/>
  </r>
  <r>
    <n v="219"/>
    <x v="218"/>
    <n v="6.2499999999999995E-3"/>
    <n v="1534"/>
    <n v="187"/>
    <n v="6.4597222222222221"/>
    <x v="1"/>
    <x v="0"/>
    <n v="1.877777777777778"/>
    <s v="Slow"/>
    <x v="0"/>
    <n v="0"/>
    <x v="1"/>
    <x v="1"/>
  </r>
  <r>
    <n v="220"/>
    <x v="219"/>
    <n v="4.7222222222222221E-2"/>
    <n v="239"/>
    <n v="345"/>
    <n v="45.834027777777777"/>
    <x v="0"/>
    <x v="1"/>
    <n v="0.58680555555555558"/>
    <s v="Fast"/>
    <x v="1"/>
    <n v="0"/>
    <x v="1"/>
    <x v="1"/>
  </r>
  <r>
    <n v="221"/>
    <x v="220"/>
    <n v="4.9999999999999996E-2"/>
    <n v="4321"/>
    <n v="45"/>
    <n v="41.087499999999999"/>
    <x v="0"/>
    <x v="3"/>
    <n v="0.12847222222222224"/>
    <s v="Fast"/>
    <x v="0"/>
    <n v="0"/>
    <x v="1"/>
    <x v="1"/>
  </r>
  <r>
    <n v="222"/>
    <x v="221"/>
    <n v="4.8611111111111112E-3"/>
    <n v="4354"/>
    <n v="326"/>
    <n v="73.586805555555557"/>
    <x v="0"/>
    <x v="2"/>
    <n v="1.0062499999999999"/>
    <s v="Fast"/>
    <x v="2"/>
    <n v="0"/>
    <x v="1"/>
    <x v="1"/>
  </r>
  <r>
    <n v="223"/>
    <x v="222"/>
    <n v="5.8333333333333327E-2"/>
    <n v="1681"/>
    <n v="491"/>
    <n v="6.1312500000000005"/>
    <x v="3"/>
    <x v="0"/>
    <n v="0.37708333333333338"/>
    <s v="Fast"/>
    <x v="2"/>
    <n v="0"/>
    <x v="1"/>
    <x v="1"/>
  </r>
  <r>
    <n v="224"/>
    <x v="223"/>
    <n v="4.4444444444444446E-2"/>
    <n v="2238"/>
    <n v="139"/>
    <n v="13.584722222222224"/>
    <x v="3"/>
    <x v="2"/>
    <n v="3"/>
    <s v="Slow"/>
    <x v="1"/>
    <n v="0"/>
    <x v="1"/>
    <x v="1"/>
  </r>
  <r>
    <n v="225"/>
    <x v="224"/>
    <n v="6.6666666666666666E-2"/>
    <n v="968"/>
    <n v="364"/>
    <n v="3.6256944444444446"/>
    <x v="3"/>
    <x v="3"/>
    <n v="2.0020833333333332"/>
    <s v="Slow"/>
    <x v="1"/>
    <n v="1"/>
    <x v="0"/>
    <x v="0"/>
  </r>
  <r>
    <n v="226"/>
    <x v="225"/>
    <n v="5.4166666666666669E-2"/>
    <n v="3790"/>
    <n v="133"/>
    <n v="34.459027777777777"/>
    <x v="1"/>
    <x v="2"/>
    <n v="2.8340277777777776"/>
    <s v="Slow"/>
    <x v="2"/>
    <n v="0"/>
    <x v="1"/>
    <x v="1"/>
  </r>
  <r>
    <n v="227"/>
    <x v="226"/>
    <n v="5.4166666666666669E-2"/>
    <n v="2549"/>
    <n v="195"/>
    <n v="83.00555555555556"/>
    <x v="1"/>
    <x v="3"/>
    <n v="1.0041666666666667"/>
    <s v="Fast"/>
    <x v="2"/>
    <n v="1"/>
    <x v="0"/>
    <x v="0"/>
  </r>
  <r>
    <n v="228"/>
    <x v="227"/>
    <n v="4.4444444444444446E-2"/>
    <n v="2096"/>
    <n v="30"/>
    <n v="5.1715277777777775"/>
    <x v="1"/>
    <x v="0"/>
    <n v="0.66875000000000007"/>
    <s v="Fast"/>
    <x v="1"/>
    <n v="0"/>
    <x v="1"/>
    <x v="1"/>
  </r>
  <r>
    <n v="229"/>
    <x v="228"/>
    <n v="6.0416666666666667E-2"/>
    <n v="2916"/>
    <n v="293"/>
    <n v="29.960416666666664"/>
    <x v="2"/>
    <x v="2"/>
    <n v="0.75347222222222221"/>
    <s v="Fast"/>
    <x v="1"/>
    <n v="0"/>
    <x v="1"/>
    <x v="1"/>
  </r>
  <r>
    <n v="230"/>
    <x v="229"/>
    <n v="6.458333333333334E-2"/>
    <n v="3938"/>
    <n v="311"/>
    <n v="3.3333333333333335"/>
    <x v="3"/>
    <x v="0"/>
    <n v="1.6291666666666667"/>
    <s v="Slow"/>
    <x v="0"/>
    <n v="0"/>
    <x v="1"/>
    <x v="1"/>
  </r>
  <r>
    <n v="231"/>
    <x v="230"/>
    <n v="5.9027777777777783E-2"/>
    <n v="3647"/>
    <n v="466"/>
    <n v="28.254861111111111"/>
    <x v="1"/>
    <x v="3"/>
    <n v="0.92291666666666661"/>
    <s v="Fast"/>
    <x v="1"/>
    <n v="0"/>
    <x v="1"/>
    <x v="1"/>
  </r>
  <r>
    <n v="232"/>
    <x v="231"/>
    <n v="4.8611111111111112E-3"/>
    <n v="4465"/>
    <n v="386"/>
    <n v="60.793749999999996"/>
    <x v="3"/>
    <x v="3"/>
    <n v="0.50416666666666665"/>
    <s v="Fast"/>
    <x v="2"/>
    <n v="0"/>
    <x v="1"/>
    <x v="1"/>
  </r>
  <r>
    <n v="233"/>
    <x v="232"/>
    <n v="6.3194444444444442E-2"/>
    <n v="70"/>
    <n v="272"/>
    <n v="10.711805555555555"/>
    <x v="0"/>
    <x v="3"/>
    <n v="1.4611111111111112"/>
    <s v="Fast"/>
    <x v="1"/>
    <n v="0"/>
    <x v="1"/>
    <x v="1"/>
  </r>
  <r>
    <n v="234"/>
    <x v="233"/>
    <n v="4.5833333333333337E-2"/>
    <n v="4438"/>
    <n v="378"/>
    <n v="8.8347222222222221"/>
    <x v="2"/>
    <x v="2"/>
    <n v="1.4215277777777777"/>
    <s v="Fast"/>
    <x v="2"/>
    <n v="0"/>
    <x v="1"/>
    <x v="1"/>
  </r>
  <r>
    <n v="235"/>
    <x v="234"/>
    <n v="6.458333333333334E-2"/>
    <n v="1770"/>
    <n v="426"/>
    <n v="6.0027777777777773"/>
    <x v="0"/>
    <x v="1"/>
    <n v="2.4597222222222221"/>
    <s v="Slow"/>
    <x v="2"/>
    <n v="1"/>
    <x v="0"/>
    <x v="2"/>
  </r>
  <r>
    <n v="236"/>
    <x v="235"/>
    <n v="5.7638888888888885E-2"/>
    <n v="240"/>
    <n v="271"/>
    <n v="76.833333333333329"/>
    <x v="2"/>
    <x v="1"/>
    <n v="1.7520833333333332"/>
    <s v="Slow"/>
    <x v="2"/>
    <n v="1"/>
    <x v="0"/>
    <x v="2"/>
  </r>
  <r>
    <n v="237"/>
    <x v="236"/>
    <n v="4.9999999999999996E-2"/>
    <n v="4100"/>
    <n v="384"/>
    <n v="24.5"/>
    <x v="1"/>
    <x v="2"/>
    <n v="0.33888888888888885"/>
    <s v="Fast"/>
    <x v="2"/>
    <n v="1"/>
    <x v="0"/>
    <x v="0"/>
  </r>
  <r>
    <n v="238"/>
    <x v="237"/>
    <n v="5.6250000000000001E-2"/>
    <n v="4914"/>
    <n v="363"/>
    <n v="81.21041666666666"/>
    <x v="2"/>
    <x v="3"/>
    <n v="1.5423611111111111"/>
    <s v="Slow"/>
    <x v="2"/>
    <n v="0"/>
    <x v="1"/>
    <x v="1"/>
  </r>
  <r>
    <n v="239"/>
    <x v="238"/>
    <n v="5.9027777777777783E-2"/>
    <n v="2630"/>
    <n v="165"/>
    <n v="27.916666666666668"/>
    <x v="0"/>
    <x v="2"/>
    <n v="2.6687499999999997"/>
    <s v="Slow"/>
    <x v="0"/>
    <n v="1"/>
    <x v="0"/>
    <x v="0"/>
  </r>
  <r>
    <n v="240"/>
    <x v="239"/>
    <n v="4.8611111111111112E-3"/>
    <n v="429"/>
    <n v="261"/>
    <n v="4.0895833333333336"/>
    <x v="0"/>
    <x v="0"/>
    <n v="1.8368055555555556"/>
    <s v="Slow"/>
    <x v="1"/>
    <n v="0"/>
    <x v="1"/>
    <x v="1"/>
  </r>
  <r>
    <n v="241"/>
    <x v="240"/>
    <n v="6.5277777777777782E-2"/>
    <n v="4296"/>
    <n v="59"/>
    <n v="81.00555555555556"/>
    <x v="2"/>
    <x v="1"/>
    <n v="0.50486111111111109"/>
    <s v="Fast"/>
    <x v="1"/>
    <n v="0"/>
    <x v="1"/>
    <x v="1"/>
  </r>
  <r>
    <n v="242"/>
    <x v="241"/>
    <n v="5.3472222222222227E-2"/>
    <n v="518"/>
    <n v="447"/>
    <n v="72.96319444444444"/>
    <x v="2"/>
    <x v="2"/>
    <n v="2.3756944444444446"/>
    <s v="Slow"/>
    <x v="0"/>
    <n v="1"/>
    <x v="0"/>
    <x v="0"/>
  </r>
  <r>
    <n v="243"/>
    <x v="242"/>
    <n v="6.6666666666666666E-2"/>
    <n v="2832"/>
    <n v="175"/>
    <n v="33.881250000000001"/>
    <x v="2"/>
    <x v="0"/>
    <n v="0.83472222222222225"/>
    <s v="Fast"/>
    <x v="0"/>
    <n v="0"/>
    <x v="1"/>
    <x v="1"/>
  </r>
  <r>
    <n v="244"/>
    <x v="243"/>
    <n v="6.458333333333334E-2"/>
    <n v="2596"/>
    <n v="256"/>
    <n v="43.834722222222219"/>
    <x v="2"/>
    <x v="0"/>
    <n v="0.96250000000000002"/>
    <s v="Fast"/>
    <x v="0"/>
    <n v="0"/>
    <x v="1"/>
    <x v="1"/>
  </r>
  <r>
    <n v="245"/>
    <x v="244"/>
    <n v="4.4444444444444446E-2"/>
    <n v="548"/>
    <n v="263"/>
    <n v="15.422222222222222"/>
    <x v="0"/>
    <x v="0"/>
    <n v="0.71250000000000002"/>
    <s v="Fast"/>
    <x v="1"/>
    <n v="0"/>
    <x v="1"/>
    <x v="1"/>
  </r>
  <r>
    <n v="246"/>
    <x v="245"/>
    <n v="5.9722222222222225E-2"/>
    <n v="2992"/>
    <n v="225"/>
    <n v="0.5"/>
    <x v="3"/>
    <x v="0"/>
    <n v="2.4597222222222221"/>
    <s v="Slow"/>
    <x v="2"/>
    <n v="0"/>
    <x v="1"/>
    <x v="1"/>
  </r>
  <r>
    <n v="247"/>
    <x v="246"/>
    <n v="4.9999999999999996E-2"/>
    <n v="1579"/>
    <n v="325"/>
    <n v="47.543055555555554"/>
    <x v="3"/>
    <x v="0"/>
    <n v="2.2555555555555555"/>
    <s v="Slow"/>
    <x v="0"/>
    <n v="0"/>
    <x v="1"/>
    <x v="1"/>
  </r>
  <r>
    <n v="248"/>
    <x v="247"/>
    <n v="6.2499999999999995E-3"/>
    <n v="336"/>
    <n v="20"/>
    <n v="83.045138888888886"/>
    <x v="3"/>
    <x v="3"/>
    <n v="1.79375"/>
    <s v="Slow"/>
    <x v="2"/>
    <n v="0"/>
    <x v="1"/>
    <x v="1"/>
  </r>
  <r>
    <n v="249"/>
    <x v="248"/>
    <n v="5.6944444444444443E-2"/>
    <n v="774"/>
    <n v="194"/>
    <n v="41.168749999999996"/>
    <x v="3"/>
    <x v="0"/>
    <n v="0.54375000000000007"/>
    <s v="Fast"/>
    <x v="1"/>
    <n v="0"/>
    <x v="1"/>
    <x v="1"/>
  </r>
  <r>
    <n v="250"/>
    <x v="249"/>
    <n v="5.4166666666666669E-2"/>
    <n v="4720"/>
    <n v="478"/>
    <n v="9.0881944444444454"/>
    <x v="1"/>
    <x v="2"/>
    <n v="1.5416666666666667"/>
    <s v="Slow"/>
    <x v="1"/>
    <n v="0"/>
    <x v="1"/>
    <x v="1"/>
  </r>
  <r>
    <n v="251"/>
    <x v="250"/>
    <n v="6.6666666666666666E-2"/>
    <n v="4472"/>
    <n v="330"/>
    <n v="70.542361111111106"/>
    <x v="2"/>
    <x v="1"/>
    <n v="2.3770833333333332"/>
    <s v="Slow"/>
    <x v="0"/>
    <n v="1"/>
    <x v="0"/>
    <x v="2"/>
  </r>
  <r>
    <n v="252"/>
    <x v="251"/>
    <n v="4.3055555555555562E-2"/>
    <n v="3642"/>
    <n v="224"/>
    <n v="1.7930555555555554"/>
    <x v="3"/>
    <x v="2"/>
    <n v="2.9215277777777775"/>
    <s v="Slow"/>
    <x v="0"/>
    <n v="0"/>
    <x v="1"/>
    <x v="1"/>
  </r>
  <r>
    <n v="253"/>
    <x v="252"/>
    <n v="5.6944444444444443E-2"/>
    <n v="941"/>
    <n v="290"/>
    <n v="30.461805555555557"/>
    <x v="1"/>
    <x v="3"/>
    <n v="2.6277777777777778"/>
    <s v="Slow"/>
    <x v="0"/>
    <n v="0"/>
    <x v="1"/>
    <x v="1"/>
  </r>
  <r>
    <n v="254"/>
    <x v="253"/>
    <n v="5.0694444444444438E-2"/>
    <n v="574"/>
    <n v="419"/>
    <n v="9.1305555555555546"/>
    <x v="0"/>
    <x v="1"/>
    <n v="1.54375"/>
    <s v="Slow"/>
    <x v="2"/>
    <n v="1"/>
    <x v="0"/>
    <x v="2"/>
  </r>
  <r>
    <n v="255"/>
    <x v="254"/>
    <n v="4.2361111111111106E-2"/>
    <n v="3296"/>
    <n v="28"/>
    <n v="66.796527777777769"/>
    <x v="1"/>
    <x v="1"/>
    <n v="2.1666666666666665"/>
    <s v="Slow"/>
    <x v="2"/>
    <n v="0"/>
    <x v="1"/>
    <x v="1"/>
  </r>
  <r>
    <n v="256"/>
    <x v="255"/>
    <n v="6.2499999999999995E-3"/>
    <n v="4021"/>
    <n v="341"/>
    <n v="22.254166666666666"/>
    <x v="3"/>
    <x v="2"/>
    <n v="0.58402777777777781"/>
    <s v="Fast"/>
    <x v="1"/>
    <n v="0"/>
    <x v="1"/>
    <x v="1"/>
  </r>
  <r>
    <n v="257"/>
    <x v="256"/>
    <n v="5.6944444444444443E-2"/>
    <n v="3926"/>
    <n v="207"/>
    <n v="26.129166666666666"/>
    <x v="2"/>
    <x v="2"/>
    <n v="2.3368055555555558"/>
    <s v="Slow"/>
    <x v="1"/>
    <n v="1"/>
    <x v="0"/>
    <x v="0"/>
  </r>
  <r>
    <n v="258"/>
    <x v="257"/>
    <n v="6.6666666666666666E-2"/>
    <n v="4571"/>
    <n v="377"/>
    <n v="15.545138888888888"/>
    <x v="3"/>
    <x v="1"/>
    <n v="1.5875000000000001"/>
    <s v="Slow"/>
    <x v="1"/>
    <n v="1"/>
    <x v="0"/>
    <x v="2"/>
  </r>
  <r>
    <n v="259"/>
    <x v="258"/>
    <n v="5.8333333333333327E-2"/>
    <n v="3468"/>
    <n v="180"/>
    <n v="59.834027777777777"/>
    <x v="2"/>
    <x v="0"/>
    <n v="2.963194444444444"/>
    <s v="Slow"/>
    <x v="0"/>
    <n v="0"/>
    <x v="1"/>
    <x v="1"/>
  </r>
  <r>
    <n v="260"/>
    <x v="259"/>
    <n v="5.0694444444444438E-2"/>
    <n v="870"/>
    <n v="121"/>
    <n v="9.4166666666666661"/>
    <x v="0"/>
    <x v="1"/>
    <n v="1.6694444444444445"/>
    <s v="Slow"/>
    <x v="0"/>
    <n v="1"/>
    <x v="0"/>
    <x v="2"/>
  </r>
  <r>
    <n v="261"/>
    <x v="260"/>
    <n v="6.8749999999999992E-2"/>
    <n v="2086"/>
    <n v="344"/>
    <n v="70.547222222222231"/>
    <x v="3"/>
    <x v="3"/>
    <n v="2.875"/>
    <s v="Slow"/>
    <x v="2"/>
    <n v="0"/>
    <x v="1"/>
    <x v="1"/>
  </r>
  <r>
    <n v="262"/>
    <x v="261"/>
    <n v="4.5138888888888888E-2"/>
    <n v="3467"/>
    <n v="346"/>
    <n v="46.25"/>
    <x v="2"/>
    <x v="2"/>
    <n v="1.7513888888888889"/>
    <s v="Slow"/>
    <x v="1"/>
    <n v="1"/>
    <x v="0"/>
    <x v="0"/>
  </r>
  <r>
    <n v="263"/>
    <x v="262"/>
    <n v="4.3055555555555562E-2"/>
    <n v="334"/>
    <n v="492"/>
    <n v="12.797916666666666"/>
    <x v="3"/>
    <x v="3"/>
    <n v="0.8340277777777777"/>
    <s v="Fast"/>
    <x v="0"/>
    <n v="0"/>
    <x v="1"/>
    <x v="1"/>
  </r>
  <r>
    <n v="264"/>
    <x v="263"/>
    <n v="6.1805555555555558E-2"/>
    <n v="3527"/>
    <n v="268"/>
    <n v="61.168749999999996"/>
    <x v="3"/>
    <x v="0"/>
    <n v="1.7097222222222221"/>
    <s v="Slow"/>
    <x v="2"/>
    <n v="0"/>
    <x v="1"/>
    <x v="1"/>
  </r>
  <r>
    <n v="265"/>
    <x v="264"/>
    <n v="5.2083333333333336E-2"/>
    <n v="4176"/>
    <n v="266"/>
    <n v="14.628472222222221"/>
    <x v="1"/>
    <x v="0"/>
    <n v="2.1277777777777778"/>
    <s v="Slow"/>
    <x v="2"/>
    <n v="0"/>
    <x v="1"/>
    <x v="1"/>
  </r>
  <r>
    <n v="266"/>
    <x v="265"/>
    <n v="5.1388888888888894E-2"/>
    <n v="2543"/>
    <n v="24"/>
    <n v="17.544444444444444"/>
    <x v="3"/>
    <x v="0"/>
    <n v="0.125"/>
    <s v="Fast"/>
    <x v="1"/>
    <n v="1"/>
    <x v="0"/>
    <x v="0"/>
  </r>
  <r>
    <n v="267"/>
    <x v="266"/>
    <n v="6.5972222222222224E-2"/>
    <n v="2953"/>
    <n v="132"/>
    <n v="45.96319444444444"/>
    <x v="0"/>
    <x v="3"/>
    <n v="2.504861111111111"/>
    <s v="Slow"/>
    <x v="0"/>
    <n v="1"/>
    <x v="0"/>
    <x v="0"/>
  </r>
  <r>
    <n v="268"/>
    <x v="267"/>
    <n v="5.0694444444444438E-2"/>
    <n v="2780"/>
    <n v="468"/>
    <n v="74.920138888888886"/>
    <x v="0"/>
    <x v="0"/>
    <n v="2.0874999999999999"/>
    <s v="Slow"/>
    <x v="2"/>
    <n v="0"/>
    <x v="1"/>
    <x v="1"/>
  </r>
  <r>
    <n v="269"/>
    <x v="268"/>
    <n v="6.6666666666666666E-2"/>
    <n v="2295"/>
    <n v="156"/>
    <n v="69.543750000000003"/>
    <x v="3"/>
    <x v="1"/>
    <n v="0.87569444444444444"/>
    <s v="Fast"/>
    <x v="2"/>
    <n v="0"/>
    <x v="1"/>
    <x v="1"/>
  </r>
  <r>
    <n v="270"/>
    <x v="269"/>
    <n v="5.9722222222222225E-2"/>
    <n v="4294"/>
    <n v="383"/>
    <n v="58.084027777777777"/>
    <x v="2"/>
    <x v="3"/>
    <n v="1.1305555555555555"/>
    <s v="Fast"/>
    <x v="1"/>
    <n v="0"/>
    <x v="1"/>
    <x v="1"/>
  </r>
  <r>
    <n v="271"/>
    <x v="270"/>
    <n v="5.0694444444444438E-2"/>
    <n v="1532"/>
    <n v="280"/>
    <n v="3.5013888888888887"/>
    <x v="1"/>
    <x v="2"/>
    <n v="2.4208333333333334"/>
    <s v="Slow"/>
    <x v="2"/>
    <n v="0"/>
    <x v="1"/>
    <x v="1"/>
  </r>
  <r>
    <n v="272"/>
    <x v="271"/>
    <n v="4.3055555555555562E-2"/>
    <n v="1590"/>
    <n v="42"/>
    <n v="41.750694444444441"/>
    <x v="1"/>
    <x v="0"/>
    <n v="1.7541666666666667"/>
    <s v="Slow"/>
    <x v="1"/>
    <n v="1"/>
    <x v="0"/>
    <x v="0"/>
  </r>
  <r>
    <n v="273"/>
    <x v="272"/>
    <n v="4.8611111111111112E-3"/>
    <n v="2647"/>
    <n v="1"/>
    <n v="50.753472222222221"/>
    <x v="1"/>
    <x v="3"/>
    <n v="0.16805555555555554"/>
    <s v="Fast"/>
    <x v="2"/>
    <n v="0"/>
    <x v="1"/>
    <x v="1"/>
  </r>
  <r>
    <n v="274"/>
    <x v="273"/>
    <n v="6.8749999999999992E-2"/>
    <n v="1525"/>
    <n v="462"/>
    <n v="80.126388888888883"/>
    <x v="0"/>
    <x v="3"/>
    <n v="0.7944444444444444"/>
    <s v="Fast"/>
    <x v="0"/>
    <n v="0"/>
    <x v="1"/>
    <x v="1"/>
  </r>
  <r>
    <n v="275"/>
    <x v="274"/>
    <n v="5.2777777777777778E-2"/>
    <n v="3190"/>
    <n v="342"/>
    <n v="10.921527777777778"/>
    <x v="1"/>
    <x v="3"/>
    <n v="2.0430555555555556"/>
    <s v="Slow"/>
    <x v="0"/>
    <n v="0"/>
    <x v="1"/>
    <x v="1"/>
  </r>
  <r>
    <n v="276"/>
    <x v="275"/>
    <n v="4.5833333333333337E-2"/>
    <n v="1416"/>
    <n v="7"/>
    <n v="48.753472222222221"/>
    <x v="2"/>
    <x v="1"/>
    <n v="2.2937499999999997"/>
    <s v="Slow"/>
    <x v="0"/>
    <n v="1"/>
    <x v="0"/>
    <x v="2"/>
  </r>
  <r>
    <n v="277"/>
    <x v="276"/>
    <n v="4.9999999999999996E-2"/>
    <n v="2006"/>
    <n v="367"/>
    <n v="80.88055555555556"/>
    <x v="1"/>
    <x v="0"/>
    <n v="4.7916666666666663E-2"/>
    <s v="Fast"/>
    <x v="0"/>
    <n v="0"/>
    <x v="1"/>
    <x v="1"/>
  </r>
  <r>
    <n v="278"/>
    <x v="277"/>
    <n v="6.6666666666666666E-2"/>
    <n v="1683"/>
    <n v="22"/>
    <n v="44.25"/>
    <x v="1"/>
    <x v="1"/>
    <n v="1.6729166666666666"/>
    <s v="Slow"/>
    <x v="2"/>
    <n v="0"/>
    <x v="1"/>
    <x v="1"/>
  </r>
  <r>
    <n v="279"/>
    <x v="278"/>
    <n v="4.6527777777777779E-2"/>
    <n v="3115"/>
    <n v="125"/>
    <n v="41.292361111111113"/>
    <x v="1"/>
    <x v="2"/>
    <n v="1.1708333333333334"/>
    <s v="Fast"/>
    <x v="2"/>
    <n v="0"/>
    <x v="1"/>
    <x v="1"/>
  </r>
  <r>
    <n v="280"/>
    <x v="279"/>
    <n v="6.3194444444444442E-2"/>
    <n v="2503"/>
    <n v="471"/>
    <n v="21.213888888888889"/>
    <x v="2"/>
    <x v="3"/>
    <n v="0.21180555555555555"/>
    <s v="Fast"/>
    <x v="0"/>
    <n v="0"/>
    <x v="1"/>
    <x v="1"/>
  </r>
  <r>
    <n v="281"/>
    <x v="280"/>
    <n v="4.5138888888888888E-2"/>
    <n v="3874"/>
    <n v="18"/>
    <n v="45.75138888888889"/>
    <x v="2"/>
    <x v="3"/>
    <n v="2.7944444444444443"/>
    <s v="Slow"/>
    <x v="1"/>
    <n v="0"/>
    <x v="1"/>
    <x v="1"/>
  </r>
  <r>
    <n v="282"/>
    <x v="281"/>
    <n v="6.805555555555555E-2"/>
    <n v="2949"/>
    <n v="241"/>
    <n v="53.544444444444444"/>
    <x v="2"/>
    <x v="3"/>
    <n v="0.67013888888888884"/>
    <s v="Fast"/>
    <x v="0"/>
    <n v="0"/>
    <x v="1"/>
    <x v="1"/>
  </r>
  <r>
    <n v="283"/>
    <x v="282"/>
    <n v="5.6250000000000001E-2"/>
    <n v="59"/>
    <n v="63"/>
    <n v="68.418750000000003"/>
    <x v="0"/>
    <x v="1"/>
    <n v="0.50208333333333333"/>
    <s v="Fast"/>
    <x v="1"/>
    <n v="0"/>
    <x v="1"/>
    <x v="1"/>
  </r>
  <r>
    <n v="284"/>
    <x v="283"/>
    <n v="4.3055555555555562E-2"/>
    <n v="1023"/>
    <n v="251"/>
    <n v="44.670138888888886"/>
    <x v="2"/>
    <x v="2"/>
    <n v="0.13055555555555556"/>
    <s v="Fast"/>
    <x v="1"/>
    <n v="1"/>
    <x v="0"/>
    <x v="0"/>
  </r>
  <r>
    <n v="285"/>
    <x v="284"/>
    <n v="6.7361111111111108E-2"/>
    <n v="3462"/>
    <n v="390"/>
    <n v="9.3368055555555554"/>
    <x v="0"/>
    <x v="3"/>
    <n v="2.5451388888888888"/>
    <s v="Slow"/>
    <x v="0"/>
    <n v="0"/>
    <x v="1"/>
    <x v="1"/>
  </r>
  <r>
    <n v="286"/>
    <x v="285"/>
    <n v="5.1388888888888894E-2"/>
    <n v="315"/>
    <n v="132"/>
    <n v="53.420138888888886"/>
    <x v="2"/>
    <x v="2"/>
    <n v="0.83680555555555547"/>
    <s v="Fast"/>
    <x v="0"/>
    <n v="1"/>
    <x v="0"/>
    <x v="0"/>
  </r>
  <r>
    <n v="287"/>
    <x v="286"/>
    <n v="6.1805555555555558E-2"/>
    <n v="2706"/>
    <n v="67"/>
    <n v="23.588888888888889"/>
    <x v="3"/>
    <x v="2"/>
    <n v="1.2979166666666666"/>
    <s v="Fast"/>
    <x v="0"/>
    <n v="1"/>
    <x v="0"/>
    <x v="0"/>
  </r>
  <r>
    <n v="288"/>
    <x v="287"/>
    <n v="5.6250000000000001E-2"/>
    <n v="497"/>
    <n v="10"/>
    <n v="77.96319444444444"/>
    <x v="2"/>
    <x v="2"/>
    <n v="0.63124999999999998"/>
    <s v="Fast"/>
    <x v="0"/>
    <n v="0"/>
    <x v="1"/>
    <x v="1"/>
  </r>
  <r>
    <n v="289"/>
    <x v="288"/>
    <n v="4.4444444444444446E-2"/>
    <n v="2288"/>
    <n v="249"/>
    <n v="17.545833333333334"/>
    <x v="0"/>
    <x v="0"/>
    <n v="1.4583333333333333"/>
    <s v="Fast"/>
    <x v="2"/>
    <n v="0"/>
    <x v="1"/>
    <x v="1"/>
  </r>
  <r>
    <n v="290"/>
    <x v="289"/>
    <n v="4.4444444444444446E-2"/>
    <n v="4108"/>
    <n v="414"/>
    <n v="72.796527777777769"/>
    <x v="2"/>
    <x v="2"/>
    <n v="2.4166666666666665"/>
    <s v="Slow"/>
    <x v="2"/>
    <n v="0"/>
    <x v="1"/>
    <x v="1"/>
  </r>
  <r>
    <n v="291"/>
    <x v="290"/>
    <n v="4.5833333333333337E-2"/>
    <n v="2945"/>
    <n v="316"/>
    <n v="44.047222222222224"/>
    <x v="2"/>
    <x v="2"/>
    <n v="2.0833333333333335"/>
    <s v="Slow"/>
    <x v="0"/>
    <n v="0"/>
    <x v="1"/>
    <x v="1"/>
  </r>
  <r>
    <n v="292"/>
    <x v="291"/>
    <n v="4.5833333333333337E-2"/>
    <n v="3907"/>
    <n v="268"/>
    <n v="18.171527777777779"/>
    <x v="3"/>
    <x v="0"/>
    <n v="2.7541666666666664"/>
    <s v="Slow"/>
    <x v="2"/>
    <n v="0"/>
    <x v="1"/>
    <x v="1"/>
  </r>
  <r>
    <n v="293"/>
    <x v="292"/>
    <n v="4.3055555555555562E-2"/>
    <n v="2653"/>
    <n v="319"/>
    <n v="54.542361111111113"/>
    <x v="1"/>
    <x v="1"/>
    <n v="1.8798611111111112"/>
    <s v="Slow"/>
    <x v="0"/>
    <n v="1"/>
    <x v="0"/>
    <x v="2"/>
  </r>
  <r>
    <n v="294"/>
    <x v="293"/>
    <n v="4.3055555555555562E-2"/>
    <n v="3983"/>
    <n v="193"/>
    <n v="69.042361111111106"/>
    <x v="3"/>
    <x v="2"/>
    <n v="1.8368055555555556"/>
    <s v="Slow"/>
    <x v="0"/>
    <n v="0"/>
    <x v="1"/>
    <x v="1"/>
  </r>
  <r>
    <n v="295"/>
    <x v="294"/>
    <n v="6.805555555555555E-2"/>
    <n v="126"/>
    <n v="194"/>
    <n v="13.004166666666668"/>
    <x v="0"/>
    <x v="0"/>
    <n v="8.6805555555555566E-2"/>
    <s v="Fast"/>
    <x v="1"/>
    <n v="0"/>
    <x v="1"/>
    <x v="1"/>
  </r>
  <r>
    <n v="296"/>
    <x v="295"/>
    <n v="4.4444444444444446E-2"/>
    <n v="2271"/>
    <n v="401"/>
    <n v="10.672222222222222"/>
    <x v="2"/>
    <x v="1"/>
    <n v="2.5465277777777779"/>
    <s v="Slow"/>
    <x v="2"/>
    <n v="0"/>
    <x v="1"/>
    <x v="1"/>
  </r>
  <r>
    <n v="297"/>
    <x v="296"/>
    <n v="5.5555555555555558E-3"/>
    <n v="2687"/>
    <n v="447"/>
    <n v="71.209027777777777"/>
    <x v="0"/>
    <x v="0"/>
    <n v="1.2138888888888888"/>
    <s v="Fast"/>
    <x v="0"/>
    <n v="0"/>
    <x v="1"/>
    <x v="1"/>
  </r>
  <r>
    <n v="298"/>
    <x v="297"/>
    <n v="4.5138888888888888E-2"/>
    <n v="2459"/>
    <n v="73"/>
    <n v="8.9173611111111111"/>
    <x v="0"/>
    <x v="3"/>
    <n v="2.963888888888889"/>
    <s v="Slow"/>
    <x v="1"/>
    <n v="1"/>
    <x v="0"/>
    <x v="0"/>
  </r>
  <r>
    <n v="299"/>
    <x v="298"/>
    <n v="4.7916666666666663E-2"/>
    <n v="3246"/>
    <n v="181"/>
    <n v="67.631250000000009"/>
    <x v="0"/>
    <x v="2"/>
    <n v="2.3784722222222223"/>
    <s v="Slow"/>
    <x v="1"/>
    <n v="0"/>
    <x v="1"/>
    <x v="1"/>
  </r>
  <r>
    <n v="300"/>
    <x v="299"/>
    <n v="6.3194444444444442E-2"/>
    <n v="3382"/>
    <n v="216"/>
    <n v="77.006250000000009"/>
    <x v="2"/>
    <x v="1"/>
    <n v="2.7923611111111111"/>
    <s v="Slow"/>
    <x v="1"/>
    <n v="0"/>
    <x v="1"/>
    <x v="1"/>
  </r>
  <r>
    <n v="301"/>
    <x v="300"/>
    <n v="6.805555555555555E-2"/>
    <n v="2676"/>
    <n v="118"/>
    <n v="38.628472222222221"/>
    <x v="0"/>
    <x v="3"/>
    <n v="0.50347222222222221"/>
    <s v="Fast"/>
    <x v="1"/>
    <n v="0"/>
    <x v="1"/>
    <x v="1"/>
  </r>
  <r>
    <n v="302"/>
    <x v="301"/>
    <n v="5.486111111111111E-2"/>
    <n v="4222"/>
    <n v="54"/>
    <n v="55.543749999999996"/>
    <x v="0"/>
    <x v="3"/>
    <n v="2.5840277777777776"/>
    <s v="Slow"/>
    <x v="2"/>
    <n v="1"/>
    <x v="0"/>
    <x v="0"/>
  </r>
  <r>
    <n v="303"/>
    <x v="302"/>
    <n v="4.1666666666666666E-3"/>
    <n v="172"/>
    <n v="89"/>
    <n v="13.379166666666668"/>
    <x v="3"/>
    <x v="3"/>
    <n v="0.29375000000000001"/>
    <s v="Fast"/>
    <x v="0"/>
    <n v="0"/>
    <x v="1"/>
    <x v="1"/>
  </r>
  <r>
    <n v="304"/>
    <x v="303"/>
    <n v="4.1666666666666664E-2"/>
    <n v="120"/>
    <n v="1"/>
    <n v="35.545138888888893"/>
    <x v="2"/>
    <x v="2"/>
    <n v="0.20902777777777778"/>
    <s v="Fast"/>
    <x v="1"/>
    <n v="1"/>
    <x v="0"/>
    <x v="0"/>
  </r>
  <r>
    <n v="305"/>
    <x v="304"/>
    <n v="4.3055555555555562E-2"/>
    <n v="2217"/>
    <n v="373"/>
    <n v="9.6687500000000011"/>
    <x v="0"/>
    <x v="1"/>
    <n v="0.17291666666666669"/>
    <s v="Fast"/>
    <x v="1"/>
    <n v="1"/>
    <x v="0"/>
    <x v="2"/>
  </r>
  <r>
    <n v="306"/>
    <x v="305"/>
    <n v="5.2777777777777778E-2"/>
    <n v="2132"/>
    <n v="444"/>
    <n v="29.834027777777777"/>
    <x v="0"/>
    <x v="3"/>
    <n v="8.7500000000000008E-2"/>
    <s v="Fast"/>
    <x v="2"/>
    <n v="0"/>
    <x v="1"/>
    <x v="1"/>
  </r>
  <r>
    <n v="307"/>
    <x v="306"/>
    <n v="5.6944444444444443E-2"/>
    <n v="4794"/>
    <n v="372"/>
    <n v="82.291666666666671"/>
    <x v="0"/>
    <x v="0"/>
    <n v="1.3791666666666667"/>
    <s v="Fast"/>
    <x v="1"/>
    <n v="0"/>
    <x v="1"/>
    <x v="1"/>
  </r>
  <r>
    <n v="308"/>
    <x v="307"/>
    <n v="6.6666666666666666E-2"/>
    <n v="712"/>
    <n v="492"/>
    <n v="39.296527777777776"/>
    <x v="1"/>
    <x v="3"/>
    <n v="2.0465277777777779"/>
    <s v="Slow"/>
    <x v="2"/>
    <n v="0"/>
    <x v="1"/>
    <x v="1"/>
  </r>
  <r>
    <n v="309"/>
    <x v="308"/>
    <n v="6.458333333333334E-2"/>
    <n v="1066"/>
    <n v="493"/>
    <n v="43.13055555555556"/>
    <x v="1"/>
    <x v="0"/>
    <n v="2.6270833333333332"/>
    <s v="Slow"/>
    <x v="0"/>
    <n v="0"/>
    <x v="1"/>
    <x v="1"/>
  </r>
  <r>
    <n v="310"/>
    <x v="309"/>
    <n v="5.8333333333333327E-2"/>
    <n v="3642"/>
    <n v="5"/>
    <n v="56.88055555555556"/>
    <x v="2"/>
    <x v="0"/>
    <n v="0.3756944444444445"/>
    <s v="Fast"/>
    <x v="2"/>
    <n v="0"/>
    <x v="1"/>
    <x v="1"/>
  </r>
  <r>
    <n v="311"/>
    <x v="310"/>
    <n v="5.2777777777777778E-2"/>
    <n v="4463"/>
    <n v="194"/>
    <n v="35.836111111111116"/>
    <x v="1"/>
    <x v="2"/>
    <n v="1.6722222222222223"/>
    <s v="Slow"/>
    <x v="1"/>
    <n v="0"/>
    <x v="1"/>
    <x v="1"/>
  </r>
  <r>
    <n v="312"/>
    <x v="311"/>
    <n v="6.458333333333334E-2"/>
    <n v="3348"/>
    <n v="410"/>
    <n v="58.169444444444444"/>
    <x v="3"/>
    <x v="2"/>
    <n v="0.92083333333333339"/>
    <s v="Fast"/>
    <x v="1"/>
    <n v="1"/>
    <x v="0"/>
    <x v="0"/>
  </r>
  <r>
    <n v="313"/>
    <x v="312"/>
    <n v="6.5972222222222224E-2"/>
    <n v="693"/>
    <n v="292"/>
    <n v="30.378472222222225"/>
    <x v="2"/>
    <x v="0"/>
    <n v="1.2923611111111111"/>
    <s v="Fast"/>
    <x v="0"/>
    <n v="0"/>
    <x v="1"/>
    <x v="1"/>
  </r>
  <r>
    <n v="314"/>
    <x v="313"/>
    <n v="6.5972222222222224E-2"/>
    <n v="2697"/>
    <n v="266"/>
    <n v="17.37638888888889"/>
    <x v="2"/>
    <x v="2"/>
    <n v="2.9583333333333335"/>
    <s v="Slow"/>
    <x v="0"/>
    <n v="1"/>
    <x v="0"/>
    <x v="0"/>
  </r>
  <r>
    <n v="315"/>
    <x v="314"/>
    <n v="6.1805555555555558E-2"/>
    <n v="878"/>
    <n v="241"/>
    <n v="31.417361111111109"/>
    <x v="0"/>
    <x v="0"/>
    <n v="1.3791666666666667"/>
    <s v="Fast"/>
    <x v="0"/>
    <n v="0"/>
    <x v="1"/>
    <x v="1"/>
  </r>
  <r>
    <n v="316"/>
    <x v="315"/>
    <n v="4.4444444444444446E-2"/>
    <n v="599"/>
    <n v="490"/>
    <n v="8.6722222222222225"/>
    <x v="1"/>
    <x v="3"/>
    <n v="2.0458333333333334"/>
    <s v="Slow"/>
    <x v="0"/>
    <n v="0"/>
    <x v="1"/>
    <x v="1"/>
  </r>
  <r>
    <n v="317"/>
    <x v="316"/>
    <n v="4.9999999999999996E-2"/>
    <n v="2077"/>
    <n v="496"/>
    <n v="24.962500000000002"/>
    <x v="3"/>
    <x v="2"/>
    <n v="2.6256944444444446"/>
    <s v="Slow"/>
    <x v="1"/>
    <n v="1"/>
    <x v="0"/>
    <x v="0"/>
  </r>
  <r>
    <n v="318"/>
    <x v="317"/>
    <n v="5.486111111111111E-2"/>
    <n v="412"/>
    <n v="69"/>
    <n v="13.834722222222224"/>
    <x v="1"/>
    <x v="1"/>
    <n v="1.7541666666666667"/>
    <s v="Slow"/>
    <x v="0"/>
    <n v="0"/>
    <x v="1"/>
    <x v="1"/>
  </r>
  <r>
    <n v="319"/>
    <x v="318"/>
    <n v="5.5555555555555558E-3"/>
    <n v="4468"/>
    <n v="455"/>
    <n v="4.0013888888888891"/>
    <x v="0"/>
    <x v="0"/>
    <n v="1.5861111111111112"/>
    <s v="Slow"/>
    <x v="1"/>
    <n v="0"/>
    <x v="1"/>
    <x v="1"/>
  </r>
  <r>
    <n v="320"/>
    <x v="319"/>
    <n v="6.458333333333334E-2"/>
    <n v="3098"/>
    <n v="239"/>
    <n v="71.131250000000009"/>
    <x v="0"/>
    <x v="1"/>
    <n v="1.0055555555555555"/>
    <s v="Fast"/>
    <x v="0"/>
    <n v="1"/>
    <x v="0"/>
    <x v="2"/>
  </r>
  <r>
    <n v="321"/>
    <x v="320"/>
    <n v="4.8611111111111112E-3"/>
    <n v="4641"/>
    <n v="179"/>
    <n v="31.334027777777777"/>
    <x v="1"/>
    <x v="1"/>
    <n v="2.3374999999999999"/>
    <s v="Slow"/>
    <x v="0"/>
    <n v="0"/>
    <x v="1"/>
    <x v="1"/>
  </r>
  <r>
    <n v="322"/>
    <x v="321"/>
    <n v="6.0416666666666667E-2"/>
    <n v="4048"/>
    <n v="363"/>
    <n v="75.087499999999991"/>
    <x v="3"/>
    <x v="2"/>
    <n v="1.211111111111111"/>
    <s v="Fast"/>
    <x v="2"/>
    <n v="0"/>
    <x v="1"/>
    <x v="1"/>
  </r>
  <r>
    <n v="323"/>
    <x v="322"/>
    <n v="5.2083333333333336E-2"/>
    <n v="444"/>
    <n v="254"/>
    <n v="47.542361111111113"/>
    <x v="3"/>
    <x v="1"/>
    <n v="2.7541666666666664"/>
    <s v="Slow"/>
    <x v="0"/>
    <n v="1"/>
    <x v="0"/>
    <x v="2"/>
  </r>
  <r>
    <n v="324"/>
    <x v="323"/>
    <n v="6.3194444444444442E-2"/>
    <n v="4132"/>
    <n v="184"/>
    <n v="49.250694444444441"/>
    <x v="1"/>
    <x v="3"/>
    <n v="0.33611111111111108"/>
    <s v="Fast"/>
    <x v="0"/>
    <n v="0"/>
    <x v="1"/>
    <x v="1"/>
  </r>
  <r>
    <n v="325"/>
    <x v="324"/>
    <n v="4.7222222222222221E-2"/>
    <n v="3740"/>
    <n v="201"/>
    <n v="44.585416666666667"/>
    <x v="0"/>
    <x v="3"/>
    <n v="1.0027777777777778"/>
    <s v="Fast"/>
    <x v="1"/>
    <n v="0"/>
    <x v="1"/>
    <x v="1"/>
  </r>
  <r>
    <n v="326"/>
    <x v="325"/>
    <n v="5.486111111111111E-2"/>
    <n v="936"/>
    <n v="453"/>
    <n v="68.71319444444444"/>
    <x v="0"/>
    <x v="3"/>
    <n v="0.9590277777777777"/>
    <s v="Fast"/>
    <x v="2"/>
    <n v="0"/>
    <x v="1"/>
    <x v="1"/>
  </r>
  <r>
    <n v="327"/>
    <x v="326"/>
    <n v="4.4444444444444446E-2"/>
    <n v="3442"/>
    <n v="472"/>
    <n v="28.004861111111111"/>
    <x v="2"/>
    <x v="3"/>
    <n v="2.2541666666666669"/>
    <s v="Slow"/>
    <x v="1"/>
    <n v="0"/>
    <x v="1"/>
    <x v="1"/>
  </r>
  <r>
    <n v="328"/>
    <x v="327"/>
    <n v="4.7222222222222221E-2"/>
    <n v="1770"/>
    <n v="338"/>
    <n v="69.833333333333329"/>
    <x v="1"/>
    <x v="2"/>
    <n v="2.5854166666666667"/>
    <s v="Slow"/>
    <x v="1"/>
    <n v="0"/>
    <x v="1"/>
    <x v="1"/>
  </r>
  <r>
    <n v="329"/>
    <x v="328"/>
    <n v="6.7361111111111108E-2"/>
    <n v="640"/>
    <n v="132"/>
    <n v="54.422916666666673"/>
    <x v="2"/>
    <x v="2"/>
    <n v="0.79305555555555562"/>
    <s v="Fast"/>
    <x v="0"/>
    <n v="0"/>
    <x v="1"/>
    <x v="1"/>
  </r>
  <r>
    <n v="330"/>
    <x v="329"/>
    <n v="5.0694444444444438E-2"/>
    <n v="2196"/>
    <n v="368"/>
    <n v="52.297916666666673"/>
    <x v="3"/>
    <x v="0"/>
    <n v="0.42291666666666666"/>
    <s v="Fast"/>
    <x v="2"/>
    <n v="1"/>
    <x v="0"/>
    <x v="0"/>
  </r>
  <r>
    <n v="331"/>
    <x v="330"/>
    <n v="6.6666666666666666E-2"/>
    <n v="3554"/>
    <n v="307"/>
    <n v="30.084027777777777"/>
    <x v="1"/>
    <x v="3"/>
    <n v="0.2951388888888889"/>
    <s v="Fast"/>
    <x v="0"/>
    <n v="0"/>
    <x v="1"/>
    <x v="1"/>
  </r>
  <r>
    <n v="332"/>
    <x v="331"/>
    <n v="5.6250000000000001E-2"/>
    <n v="3018"/>
    <n v="396"/>
    <n v="63.00555555555556"/>
    <x v="0"/>
    <x v="0"/>
    <n v="2.713194444444444"/>
    <s v="Slow"/>
    <x v="2"/>
    <n v="0"/>
    <x v="1"/>
    <x v="1"/>
  </r>
  <r>
    <n v="333"/>
    <x v="332"/>
    <n v="4.3055555555555562E-2"/>
    <n v="4702"/>
    <n v="314"/>
    <n v="63.586111111111109"/>
    <x v="1"/>
    <x v="3"/>
    <n v="0.7090277777777777"/>
    <s v="Fast"/>
    <x v="0"/>
    <n v="0"/>
    <x v="1"/>
    <x v="1"/>
  </r>
  <r>
    <n v="334"/>
    <x v="333"/>
    <n v="6.3888888888888898E-2"/>
    <n v="683"/>
    <n v="298"/>
    <n v="19.628472222222221"/>
    <x v="1"/>
    <x v="2"/>
    <n v="0.21458333333333335"/>
    <s v="Fast"/>
    <x v="0"/>
    <n v="0"/>
    <x v="1"/>
    <x v="1"/>
  </r>
  <r>
    <n v="335"/>
    <x v="334"/>
    <n v="4.3055555555555562E-2"/>
    <n v="2666"/>
    <n v="199"/>
    <n v="81.170833333333334"/>
    <x v="1"/>
    <x v="0"/>
    <n v="1.6284722222222223"/>
    <s v="Slow"/>
    <x v="1"/>
    <n v="1"/>
    <x v="0"/>
    <x v="0"/>
  </r>
  <r>
    <n v="336"/>
    <x v="335"/>
    <n v="6.458333333333334E-2"/>
    <n v="4019"/>
    <n v="403"/>
    <n v="11.125"/>
    <x v="2"/>
    <x v="3"/>
    <n v="2.9618055555555554"/>
    <s v="Slow"/>
    <x v="1"/>
    <n v="0"/>
    <x v="1"/>
    <x v="1"/>
  </r>
  <r>
    <n v="337"/>
    <x v="336"/>
    <n v="4.1666666666666666E-3"/>
    <n v="4679"/>
    <n v="452"/>
    <n v="32.252083333333331"/>
    <x v="2"/>
    <x v="3"/>
    <n v="0.29375000000000001"/>
    <s v="Fast"/>
    <x v="1"/>
    <n v="0"/>
    <x v="1"/>
    <x v="1"/>
  </r>
  <r>
    <n v="338"/>
    <x v="337"/>
    <n v="6.0416666666666667E-2"/>
    <n v="2639"/>
    <n v="475"/>
    <n v="12.795138888888888"/>
    <x v="3"/>
    <x v="1"/>
    <n v="1.625"/>
    <s v="Slow"/>
    <x v="1"/>
    <n v="1"/>
    <x v="0"/>
    <x v="2"/>
  </r>
  <r>
    <n v="339"/>
    <x v="338"/>
    <n v="4.6527777777777779E-2"/>
    <n v="4405"/>
    <n v="234"/>
    <n v="42.37777777777778"/>
    <x v="0"/>
    <x v="1"/>
    <n v="1.5861111111111112"/>
    <s v="Slow"/>
    <x v="0"/>
    <n v="1"/>
    <x v="0"/>
    <x v="2"/>
  </r>
  <r>
    <n v="340"/>
    <x v="339"/>
    <n v="5.1388888888888894E-2"/>
    <n v="3457"/>
    <n v="6"/>
    <n v="8.9618055555555554"/>
    <x v="1"/>
    <x v="0"/>
    <n v="0.25625000000000003"/>
    <s v="Fast"/>
    <x v="1"/>
    <n v="1"/>
    <x v="0"/>
    <x v="0"/>
  </r>
  <r>
    <n v="341"/>
    <x v="340"/>
    <n v="6.805555555555555E-2"/>
    <n v="794"/>
    <n v="480"/>
    <n v="7.6291666666666664"/>
    <x v="1"/>
    <x v="1"/>
    <n v="0.12638888888888888"/>
    <s v="Fast"/>
    <x v="1"/>
    <n v="0"/>
    <x v="1"/>
    <x v="1"/>
  </r>
  <r>
    <n v="342"/>
    <x v="341"/>
    <n v="5.486111111111111E-2"/>
    <n v="2135"/>
    <n v="34"/>
    <n v="58.756250000000001"/>
    <x v="3"/>
    <x v="1"/>
    <n v="0.75486111111111109"/>
    <s v="Fast"/>
    <x v="2"/>
    <n v="1"/>
    <x v="0"/>
    <x v="2"/>
  </r>
  <r>
    <n v="343"/>
    <x v="342"/>
    <n v="5.9722222222222225E-2"/>
    <n v="3513"/>
    <n v="347"/>
    <n v="58.795833333333327"/>
    <x v="2"/>
    <x v="3"/>
    <n v="0.83750000000000002"/>
    <s v="Fast"/>
    <x v="1"/>
    <n v="0"/>
    <x v="1"/>
    <x v="1"/>
  </r>
  <r>
    <n v="344"/>
    <x v="343"/>
    <n v="6.2499999999999995E-3"/>
    <n v="3826"/>
    <n v="2"/>
    <n v="76.753472222222214"/>
    <x v="1"/>
    <x v="1"/>
    <n v="1.5465277777777777"/>
    <s v="Slow"/>
    <x v="2"/>
    <n v="0"/>
    <x v="1"/>
    <x v="1"/>
  </r>
  <r>
    <n v="345"/>
    <x v="344"/>
    <n v="4.4444444444444446E-2"/>
    <n v="2883"/>
    <n v="147"/>
    <n v="11.629861111111111"/>
    <x v="2"/>
    <x v="3"/>
    <n v="2.75"/>
    <s v="Slow"/>
    <x v="2"/>
    <n v="0"/>
    <x v="1"/>
    <x v="1"/>
  </r>
  <r>
    <n v="346"/>
    <x v="345"/>
    <n v="6.5277777777777782E-2"/>
    <n v="4701"/>
    <n v="447"/>
    <n v="26.631249999999998"/>
    <x v="0"/>
    <x v="0"/>
    <n v="0.92083333333333339"/>
    <s v="Fast"/>
    <x v="0"/>
    <n v="0"/>
    <x v="1"/>
    <x v="1"/>
  </r>
  <r>
    <n v="347"/>
    <x v="346"/>
    <n v="6.7361111111111108E-2"/>
    <n v="703"/>
    <n v="476"/>
    <n v="1.9638888888888888"/>
    <x v="0"/>
    <x v="1"/>
    <n v="2.5479166666666666"/>
    <s v="Slow"/>
    <x v="0"/>
    <n v="1"/>
    <x v="0"/>
    <x v="2"/>
  </r>
  <r>
    <n v="348"/>
    <x v="347"/>
    <n v="4.5833333333333337E-2"/>
    <n v="4463"/>
    <n v="255"/>
    <n v="34.795833333333334"/>
    <x v="3"/>
    <x v="1"/>
    <n v="0.13125000000000001"/>
    <s v="Fast"/>
    <x v="1"/>
    <n v="0"/>
    <x v="1"/>
    <x v="1"/>
  </r>
  <r>
    <n v="349"/>
    <x v="348"/>
    <n v="5.6944444444444443E-2"/>
    <n v="2583"/>
    <n v="98"/>
    <n v="40.837499999999999"/>
    <x v="1"/>
    <x v="1"/>
    <n v="0.75069444444444444"/>
    <s v="Fast"/>
    <x v="0"/>
    <n v="0"/>
    <x v="1"/>
    <x v="1"/>
  </r>
  <r>
    <n v="350"/>
    <x v="349"/>
    <n v="4.9305555555555554E-2"/>
    <n v="2000"/>
    <n v="232"/>
    <n v="37.754861111111111"/>
    <x v="1"/>
    <x v="0"/>
    <n v="0.37847222222222227"/>
    <s v="Fast"/>
    <x v="0"/>
    <n v="1"/>
    <x v="0"/>
    <x v="0"/>
  </r>
  <r>
    <n v="351"/>
    <x v="350"/>
    <n v="6.2499999999999995E-3"/>
    <n v="3445"/>
    <n v="338"/>
    <n v="41.792361111111113"/>
    <x v="2"/>
    <x v="3"/>
    <n v="0.91805555555555562"/>
    <s v="Fast"/>
    <x v="0"/>
    <n v="0"/>
    <x v="1"/>
    <x v="1"/>
  </r>
  <r>
    <n v="352"/>
    <x v="351"/>
    <n v="4.2361111111111106E-2"/>
    <n v="3435"/>
    <n v="107"/>
    <n v="24.834027777777777"/>
    <x v="3"/>
    <x v="1"/>
    <n v="1.1694444444444445"/>
    <s v="Fast"/>
    <x v="0"/>
    <n v="0"/>
    <x v="1"/>
    <x v="1"/>
  </r>
  <r>
    <n v="353"/>
    <x v="352"/>
    <n v="5.6250000000000001E-2"/>
    <n v="52"/>
    <n v="228"/>
    <n v="12.125694444444443"/>
    <x v="1"/>
    <x v="3"/>
    <n v="0.54236111111111118"/>
    <s v="Fast"/>
    <x v="2"/>
    <n v="0"/>
    <x v="1"/>
    <x v="1"/>
  </r>
  <r>
    <n v="354"/>
    <x v="353"/>
    <n v="6.3888888888888898E-2"/>
    <n v="2302"/>
    <n v="179"/>
    <n v="9.7118055555555554"/>
    <x v="3"/>
    <x v="3"/>
    <n v="2.4604166666666667"/>
    <s v="Slow"/>
    <x v="0"/>
    <n v="1"/>
    <x v="0"/>
    <x v="0"/>
  </r>
  <r>
    <n v="355"/>
    <x v="354"/>
    <n v="6.1805555555555558E-2"/>
    <n v="1906"/>
    <n v="427"/>
    <n v="23.626388888888886"/>
    <x v="1"/>
    <x v="0"/>
    <n v="2.0874999999999999"/>
    <s v="Slow"/>
    <x v="0"/>
    <n v="0"/>
    <x v="1"/>
    <x v="1"/>
  </r>
  <r>
    <n v="356"/>
    <x v="355"/>
    <n v="4.4444444444444446E-2"/>
    <n v="1195"/>
    <n v="125"/>
    <n v="46.959722222222219"/>
    <x v="2"/>
    <x v="3"/>
    <n v="0.83819444444444446"/>
    <s v="Fast"/>
    <x v="0"/>
    <n v="1"/>
    <x v="0"/>
    <x v="0"/>
  </r>
  <r>
    <n v="357"/>
    <x v="356"/>
    <n v="6.458333333333334E-2"/>
    <n v="2452"/>
    <n v="215"/>
    <n v="66.629166666666663"/>
    <x v="2"/>
    <x v="3"/>
    <n v="2.379861111111111"/>
    <s v="Slow"/>
    <x v="1"/>
    <n v="0"/>
    <x v="1"/>
    <x v="1"/>
  </r>
  <r>
    <n v="358"/>
    <x v="357"/>
    <n v="4.8611111111111112E-3"/>
    <n v="3624"/>
    <n v="480"/>
    <n v="54.088888888888896"/>
    <x v="1"/>
    <x v="2"/>
    <n v="0.75416666666666676"/>
    <s v="Fast"/>
    <x v="2"/>
    <n v="1"/>
    <x v="0"/>
    <x v="0"/>
  </r>
  <r>
    <n v="359"/>
    <x v="358"/>
    <n v="6.3888888888888898E-2"/>
    <n v="994"/>
    <n v="410"/>
    <n v="9.2937500000000011"/>
    <x v="3"/>
    <x v="2"/>
    <n v="0.29583333333333334"/>
    <s v="Fast"/>
    <x v="0"/>
    <n v="0"/>
    <x v="1"/>
    <x v="1"/>
  </r>
  <r>
    <n v="360"/>
    <x v="359"/>
    <n v="5.5555555555555558E-3"/>
    <n v="3878"/>
    <n v="466"/>
    <n v="48.25138888888889"/>
    <x v="3"/>
    <x v="2"/>
    <n v="2.3381944444444445"/>
    <s v="Slow"/>
    <x v="2"/>
    <n v="0"/>
    <x v="1"/>
    <x v="1"/>
  </r>
  <r>
    <n v="361"/>
    <x v="360"/>
    <n v="4.5833333333333337E-2"/>
    <n v="3134"/>
    <n v="216"/>
    <n v="14.254861111111111"/>
    <x v="3"/>
    <x v="1"/>
    <n v="0.54236111111111118"/>
    <s v="Fast"/>
    <x v="1"/>
    <n v="0"/>
    <x v="1"/>
    <x v="1"/>
  </r>
  <r>
    <n v="362"/>
    <x v="361"/>
    <n v="6.1805555555555558E-2"/>
    <n v="3501"/>
    <n v="372"/>
    <n v="14.629861111111111"/>
    <x v="0"/>
    <x v="3"/>
    <n v="0.63124999999999998"/>
    <s v="Fast"/>
    <x v="0"/>
    <n v="0"/>
    <x v="1"/>
    <x v="1"/>
  </r>
  <r>
    <n v="363"/>
    <x v="362"/>
    <n v="6.3888888888888898E-2"/>
    <n v="2537"/>
    <n v="261"/>
    <n v="61.583333333333336"/>
    <x v="2"/>
    <x v="3"/>
    <n v="2.4187499999999997"/>
    <s v="Slow"/>
    <x v="1"/>
    <n v="0"/>
    <x v="1"/>
    <x v="1"/>
  </r>
  <r>
    <n v="364"/>
    <x v="363"/>
    <n v="6.1111111111111109E-2"/>
    <n v="4923"/>
    <n v="136"/>
    <n v="19.418055555555558"/>
    <x v="1"/>
    <x v="3"/>
    <n v="2.0465277777777779"/>
    <s v="Slow"/>
    <x v="0"/>
    <n v="0"/>
    <x v="1"/>
    <x v="1"/>
  </r>
  <r>
    <n v="365"/>
    <x v="364"/>
    <n v="6.8749999999999992E-2"/>
    <n v="3223"/>
    <n v="296"/>
    <n v="5.0874999999999995"/>
    <x v="1"/>
    <x v="0"/>
    <n v="2.3777777777777778"/>
    <s v="Slow"/>
    <x v="2"/>
    <n v="0"/>
    <x v="1"/>
    <x v="1"/>
  </r>
  <r>
    <n v="366"/>
    <x v="365"/>
    <n v="4.8611111111111112E-3"/>
    <n v="3969"/>
    <n v="278"/>
    <n v="35.463888888888889"/>
    <x v="0"/>
    <x v="3"/>
    <n v="0.58958333333333335"/>
    <s v="Fast"/>
    <x v="1"/>
    <n v="0"/>
    <x v="1"/>
    <x v="1"/>
  </r>
  <r>
    <n v="367"/>
    <x v="366"/>
    <n v="4.7916666666666663E-2"/>
    <n v="2824"/>
    <n v="318"/>
    <n v="29.501388888888886"/>
    <x v="2"/>
    <x v="1"/>
    <n v="2.3805555555555555"/>
    <s v="Slow"/>
    <x v="0"/>
    <n v="0"/>
    <x v="1"/>
    <x v="1"/>
  </r>
  <r>
    <n v="368"/>
    <x v="367"/>
    <n v="4.5833333333333337E-2"/>
    <n v="1608"/>
    <n v="71"/>
    <n v="52.047222222222224"/>
    <x v="1"/>
    <x v="2"/>
    <n v="1.2104166666666667"/>
    <s v="Fast"/>
    <x v="2"/>
    <n v="1"/>
    <x v="0"/>
    <x v="0"/>
  </r>
  <r>
    <n v="369"/>
    <x v="368"/>
    <n v="5.6944444444444443E-2"/>
    <n v="2910"/>
    <n v="309"/>
    <n v="26.254166666666666"/>
    <x v="0"/>
    <x v="3"/>
    <n v="1.7534722222222223"/>
    <s v="Slow"/>
    <x v="0"/>
    <n v="0"/>
    <x v="1"/>
    <x v="1"/>
  </r>
  <r>
    <n v="370"/>
    <x v="369"/>
    <n v="5.2777777777777778E-2"/>
    <n v="1372"/>
    <n v="246"/>
    <n v="66.294444444444437"/>
    <x v="0"/>
    <x v="3"/>
    <n v="0.50069444444444444"/>
    <s v="Fast"/>
    <x v="2"/>
    <n v="0"/>
    <x v="1"/>
    <x v="1"/>
  </r>
  <r>
    <n v="371"/>
    <x v="370"/>
    <n v="5.1388888888888894E-2"/>
    <n v="3007"/>
    <n v="50"/>
    <n v="69.629166666666663"/>
    <x v="3"/>
    <x v="3"/>
    <n v="1.4229166666666666"/>
    <s v="Fast"/>
    <x v="1"/>
    <n v="1"/>
    <x v="0"/>
    <x v="0"/>
  </r>
  <r>
    <n v="372"/>
    <x v="371"/>
    <n v="5.4166666666666669E-2"/>
    <n v="344"/>
    <n v="275"/>
    <n v="34.502083333333331"/>
    <x v="1"/>
    <x v="3"/>
    <n v="1.1715277777777777"/>
    <s v="Fast"/>
    <x v="1"/>
    <n v="0"/>
    <x v="1"/>
    <x v="1"/>
  </r>
  <r>
    <n v="373"/>
    <x v="372"/>
    <n v="4.9305555555555554E-2"/>
    <n v="4806"/>
    <n v="343"/>
    <n v="53.666666666666664"/>
    <x v="3"/>
    <x v="1"/>
    <n v="1.3347222222222221"/>
    <s v="Fast"/>
    <x v="0"/>
    <n v="0"/>
    <x v="1"/>
    <x v="1"/>
  </r>
  <r>
    <n v="374"/>
    <x v="373"/>
    <n v="4.1666666666666666E-3"/>
    <n v="1236"/>
    <n v="410"/>
    <n v="52.046527777777776"/>
    <x v="2"/>
    <x v="1"/>
    <n v="1.4173611111111111"/>
    <s v="Fast"/>
    <x v="0"/>
    <n v="0"/>
    <x v="1"/>
    <x v="1"/>
  </r>
  <r>
    <n v="375"/>
    <x v="374"/>
    <n v="5.486111111111111E-2"/>
    <n v="2930"/>
    <n v="85"/>
    <n v="79.628472222222214"/>
    <x v="3"/>
    <x v="0"/>
    <n v="0.95833333333333337"/>
    <s v="Fast"/>
    <x v="0"/>
    <n v="1"/>
    <x v="0"/>
    <x v="0"/>
  </r>
  <r>
    <n v="376"/>
    <x v="375"/>
    <n v="4.9305555555555554E-2"/>
    <n v="839"/>
    <n v="242"/>
    <n v="59.838888888888896"/>
    <x v="3"/>
    <x v="0"/>
    <n v="1.2104166666666667"/>
    <s v="Fast"/>
    <x v="1"/>
    <n v="1"/>
    <x v="0"/>
    <x v="0"/>
  </r>
  <r>
    <n v="377"/>
    <x v="376"/>
    <n v="5.4166666666666669E-2"/>
    <n v="1071"/>
    <n v="226"/>
    <n v="8.9166666666666661"/>
    <x v="3"/>
    <x v="2"/>
    <n v="2.5861111111111112"/>
    <s v="Slow"/>
    <x v="2"/>
    <n v="0"/>
    <x v="1"/>
    <x v="1"/>
  </r>
  <r>
    <n v="378"/>
    <x v="377"/>
    <n v="6.7361111111111108E-2"/>
    <n v="801"/>
    <n v="53"/>
    <n v="36.170833333333334"/>
    <x v="2"/>
    <x v="1"/>
    <n v="2.5881944444444445"/>
    <s v="Slow"/>
    <x v="1"/>
    <n v="0"/>
    <x v="1"/>
    <x v="1"/>
  </r>
  <r>
    <n v="379"/>
    <x v="378"/>
    <n v="4.6527777777777779E-2"/>
    <n v="1937"/>
    <n v="447"/>
    <n v="48.877777777777773"/>
    <x v="0"/>
    <x v="3"/>
    <n v="2.963194444444444"/>
    <s v="Slow"/>
    <x v="1"/>
    <n v="1"/>
    <x v="0"/>
    <x v="0"/>
  </r>
  <r>
    <n v="380"/>
    <x v="379"/>
    <n v="5.9027777777777783E-2"/>
    <n v="2979"/>
    <n v="329"/>
    <n v="61.337499999999999"/>
    <x v="3"/>
    <x v="2"/>
    <n v="2.8784722222222219"/>
    <s v="Slow"/>
    <x v="0"/>
    <n v="0"/>
    <x v="1"/>
    <x v="1"/>
  </r>
  <r>
    <n v="381"/>
    <x v="380"/>
    <n v="5.9722222222222225E-2"/>
    <n v="3355"/>
    <n v="54"/>
    <n v="65.418055555555554"/>
    <x v="2"/>
    <x v="2"/>
    <n v="2.0027777777777778"/>
    <s v="Slow"/>
    <x v="0"/>
    <n v="1"/>
    <x v="0"/>
    <x v="0"/>
  </r>
  <r>
    <n v="382"/>
    <x v="381"/>
    <n v="4.9305555555555554E-2"/>
    <n v="82"/>
    <n v="189"/>
    <n v="45.541666666666664"/>
    <x v="0"/>
    <x v="3"/>
    <n v="2.1270833333333332"/>
    <s v="Slow"/>
    <x v="2"/>
    <n v="0"/>
    <x v="1"/>
    <x v="1"/>
  </r>
  <r>
    <n v="383"/>
    <x v="382"/>
    <n v="5.486111111111111E-2"/>
    <n v="1308"/>
    <n v="370"/>
    <n v="23.211111111111112"/>
    <x v="0"/>
    <x v="0"/>
    <n v="1.125"/>
    <s v="Fast"/>
    <x v="1"/>
    <n v="1"/>
    <x v="0"/>
    <x v="0"/>
  </r>
  <r>
    <n v="384"/>
    <x v="383"/>
    <n v="6.8749999999999992E-2"/>
    <n v="1270"/>
    <n v="378"/>
    <n v="61.166666666666664"/>
    <x v="0"/>
    <x v="2"/>
    <n v="1.3340277777777778"/>
    <s v="Fast"/>
    <x v="0"/>
    <n v="1"/>
    <x v="0"/>
    <x v="0"/>
  </r>
  <r>
    <n v="385"/>
    <x v="384"/>
    <n v="5.1388888888888894E-2"/>
    <n v="648"/>
    <n v="258"/>
    <n v="27.005555555555556"/>
    <x v="3"/>
    <x v="3"/>
    <n v="0.21249999999999999"/>
    <s v="Fast"/>
    <x v="2"/>
    <n v="0"/>
    <x v="1"/>
    <x v="1"/>
  </r>
  <r>
    <n v="386"/>
    <x v="385"/>
    <n v="6.1111111111111109E-2"/>
    <n v="1929"/>
    <n v="293"/>
    <n v="34.877083333333331"/>
    <x v="1"/>
    <x v="1"/>
    <n v="1.2541666666666667"/>
    <s v="Fast"/>
    <x v="0"/>
    <n v="0"/>
    <x v="1"/>
    <x v="1"/>
  </r>
  <r>
    <n v="387"/>
    <x v="386"/>
    <n v="6.5277777777777782E-2"/>
    <n v="1786"/>
    <n v="474"/>
    <n v="17.627777777777776"/>
    <x v="2"/>
    <x v="0"/>
    <n v="1.9638888888888888"/>
    <s v="Slow"/>
    <x v="1"/>
    <n v="0"/>
    <x v="1"/>
    <x v="1"/>
  </r>
  <r>
    <n v="388"/>
    <x v="387"/>
    <n v="5.1388888888888894E-2"/>
    <n v="1543"/>
    <n v="82"/>
    <n v="73.208333333333329"/>
    <x v="2"/>
    <x v="1"/>
    <n v="2.7506944444444446"/>
    <s v="Slow"/>
    <x v="0"/>
    <n v="1"/>
    <x v="0"/>
    <x v="2"/>
  </r>
  <r>
    <n v="389"/>
    <x v="388"/>
    <n v="4.1666666666666664E-2"/>
    <n v="3634"/>
    <n v="385"/>
    <n v="11.711805555555555"/>
    <x v="2"/>
    <x v="1"/>
    <n v="1.9173611111111111"/>
    <s v="Slow"/>
    <x v="0"/>
    <n v="0"/>
    <x v="1"/>
    <x v="1"/>
  </r>
  <r>
    <n v="390"/>
    <x v="389"/>
    <n v="5.9027777777777783E-2"/>
    <n v="4930"/>
    <n v="49"/>
    <n v="21.583333333333332"/>
    <x v="2"/>
    <x v="1"/>
    <n v="1.9194444444444445"/>
    <s v="Slow"/>
    <x v="0"/>
    <n v="0"/>
    <x v="1"/>
    <x v="1"/>
  </r>
  <r>
    <n v="391"/>
    <x v="390"/>
    <n v="5.5555555555555558E-3"/>
    <n v="3104"/>
    <n v="381"/>
    <n v="58.333333333333336"/>
    <x v="2"/>
    <x v="3"/>
    <n v="2.5847222222222221"/>
    <s v="Slow"/>
    <x v="2"/>
    <n v="0"/>
    <x v="1"/>
    <x v="1"/>
  </r>
  <r>
    <n v="392"/>
    <x v="391"/>
    <n v="6.1805555555555558E-2"/>
    <n v="2499"/>
    <n v="54"/>
    <n v="49.087499999999999"/>
    <x v="2"/>
    <x v="2"/>
    <n v="1.4173611111111111"/>
    <s v="Fast"/>
    <x v="2"/>
    <n v="1"/>
    <x v="0"/>
    <x v="0"/>
  </r>
  <r>
    <n v="393"/>
    <x v="392"/>
    <n v="5.3472222222222227E-2"/>
    <n v="4221"/>
    <n v="270"/>
    <n v="32.75277777777778"/>
    <x v="1"/>
    <x v="3"/>
    <n v="2.2083333333333335"/>
    <s v="Slow"/>
    <x v="0"/>
    <n v="0"/>
    <x v="1"/>
    <x v="1"/>
  </r>
  <r>
    <n v="394"/>
    <x v="393"/>
    <n v="6.1111111111111109E-2"/>
    <n v="1190"/>
    <n v="187"/>
    <n v="50.042361111111113"/>
    <x v="0"/>
    <x v="0"/>
    <n v="2.0041666666666669"/>
    <s v="Slow"/>
    <x v="0"/>
    <n v="0"/>
    <x v="1"/>
    <x v="1"/>
  </r>
  <r>
    <n v="395"/>
    <x v="394"/>
    <n v="4.9305555555555554E-2"/>
    <n v="269"/>
    <n v="55"/>
    <n v="61"/>
    <x v="0"/>
    <x v="0"/>
    <n v="0.8340277777777777"/>
    <s v="Fast"/>
    <x v="2"/>
    <n v="0"/>
    <x v="1"/>
    <x v="1"/>
  </r>
  <r>
    <n v="396"/>
    <x v="395"/>
    <n v="6.7361111111111108E-2"/>
    <n v="4381"/>
    <n v="328"/>
    <n v="48.625"/>
    <x v="2"/>
    <x v="0"/>
    <n v="0.67152777777777783"/>
    <s v="Fast"/>
    <x v="1"/>
    <n v="0"/>
    <x v="1"/>
    <x v="1"/>
  </r>
  <r>
    <n v="397"/>
    <x v="396"/>
    <n v="5.6944444444444443E-2"/>
    <n v="1959"/>
    <n v="250"/>
    <n v="0.79236111111111107"/>
    <x v="2"/>
    <x v="1"/>
    <n v="0.16874999999999998"/>
    <s v="Fast"/>
    <x v="2"/>
    <n v="1"/>
    <x v="0"/>
    <x v="2"/>
  </r>
  <r>
    <n v="398"/>
    <x v="397"/>
    <n v="4.8611111111111112E-3"/>
    <n v="2312"/>
    <n v="223"/>
    <n v="42.502083333333331"/>
    <x v="2"/>
    <x v="2"/>
    <n v="1.8798611111111112"/>
    <s v="Slow"/>
    <x v="2"/>
    <n v="0"/>
    <x v="1"/>
    <x v="1"/>
  </r>
  <r>
    <n v="399"/>
    <x v="398"/>
    <n v="5.3472222222222227E-2"/>
    <n v="2658"/>
    <n v="176"/>
    <n v="8.6263888888888882"/>
    <x v="0"/>
    <x v="3"/>
    <n v="2.0881944444444445"/>
    <s v="Slow"/>
    <x v="1"/>
    <n v="1"/>
    <x v="0"/>
    <x v="0"/>
  </r>
  <r>
    <n v="400"/>
    <x v="399"/>
    <n v="6.6666666666666666E-2"/>
    <n v="2742"/>
    <n v="378"/>
    <n v="60.796527777777776"/>
    <x v="2"/>
    <x v="1"/>
    <n v="1.25"/>
    <s v="Fast"/>
    <x v="2"/>
    <n v="0"/>
    <x v="1"/>
    <x v="1"/>
  </r>
  <r>
    <n v="401"/>
    <x v="400"/>
    <n v="6.3888888888888898E-2"/>
    <n v="718"/>
    <n v="68"/>
    <n v="0.50486111111111109"/>
    <x v="2"/>
    <x v="0"/>
    <n v="8.4027777777777771E-2"/>
    <s v="Fast"/>
    <x v="0"/>
    <n v="0"/>
    <x v="1"/>
    <x v="1"/>
  </r>
  <r>
    <n v="402"/>
    <x v="401"/>
    <n v="5.486111111111111E-2"/>
    <n v="336"/>
    <n v="325"/>
    <n v="18.170138888888889"/>
    <x v="1"/>
    <x v="1"/>
    <n v="2.2930555555555556"/>
    <s v="Slow"/>
    <x v="0"/>
    <n v="0"/>
    <x v="1"/>
    <x v="1"/>
  </r>
  <r>
    <n v="403"/>
    <x v="402"/>
    <n v="5.1388888888888894E-2"/>
    <n v="4153"/>
    <n v="288"/>
    <n v="52.921527777777776"/>
    <x v="2"/>
    <x v="3"/>
    <n v="0.79166666666666663"/>
    <s v="Fast"/>
    <x v="0"/>
    <n v="0"/>
    <x v="1"/>
    <x v="1"/>
  </r>
  <r>
    <n v="404"/>
    <x v="403"/>
    <n v="5.2083333333333336E-2"/>
    <n v="83"/>
    <n v="257"/>
    <n v="70.626388888888883"/>
    <x v="0"/>
    <x v="3"/>
    <n v="0.4597222222222222"/>
    <s v="Fast"/>
    <x v="1"/>
    <n v="0"/>
    <x v="1"/>
    <x v="1"/>
  </r>
  <r>
    <n v="405"/>
    <x v="404"/>
    <n v="6.8749999999999992E-2"/>
    <n v="933"/>
    <n v="188"/>
    <n v="2.7145833333333336"/>
    <x v="0"/>
    <x v="1"/>
    <n v="0.79791666666666661"/>
    <s v="Fast"/>
    <x v="0"/>
    <n v="1"/>
    <x v="0"/>
    <x v="2"/>
  </r>
  <r>
    <n v="406"/>
    <x v="405"/>
    <n v="4.4444444444444446E-2"/>
    <n v="1702"/>
    <n v="205"/>
    <n v="22.712500000000002"/>
    <x v="2"/>
    <x v="3"/>
    <n v="2.3333333333333335"/>
    <s v="Slow"/>
    <x v="0"/>
    <n v="0"/>
    <x v="1"/>
    <x v="1"/>
  </r>
  <r>
    <n v="407"/>
    <x v="406"/>
    <n v="6.6666666666666666E-2"/>
    <n v="2370"/>
    <n v="350"/>
    <n v="47.96180555555555"/>
    <x v="0"/>
    <x v="3"/>
    <n v="2.7520833333333332"/>
    <s v="Slow"/>
    <x v="2"/>
    <n v="0"/>
    <x v="1"/>
    <x v="1"/>
  </r>
  <r>
    <n v="408"/>
    <x v="407"/>
    <n v="6.5277777777777782E-2"/>
    <n v="2185"/>
    <n v="329"/>
    <n v="46.504166666666663"/>
    <x v="0"/>
    <x v="1"/>
    <n v="0.46111111111111108"/>
    <s v="Fast"/>
    <x v="2"/>
    <n v="0"/>
    <x v="1"/>
    <x v="1"/>
  </r>
  <r>
    <n v="409"/>
    <x v="408"/>
    <n v="4.7916666666666663E-2"/>
    <n v="59"/>
    <n v="274"/>
    <n v="66.669444444444437"/>
    <x v="3"/>
    <x v="2"/>
    <n v="8.6111111111111124E-2"/>
    <s v="Fast"/>
    <x v="1"/>
    <n v="0"/>
    <x v="1"/>
    <x v="1"/>
  </r>
  <r>
    <n v="410"/>
    <x v="409"/>
    <n v="5.1388888888888894E-2"/>
    <n v="4695"/>
    <n v="497"/>
    <n v="34.750694444444441"/>
    <x v="1"/>
    <x v="1"/>
    <n v="2.1729166666666666"/>
    <s v="Slow"/>
    <x v="1"/>
    <n v="0"/>
    <x v="1"/>
    <x v="1"/>
  </r>
  <r>
    <n v="411"/>
    <x v="410"/>
    <n v="5.7638888888888885E-2"/>
    <n v="1072"/>
    <n v="178"/>
    <n v="71.712499999999991"/>
    <x v="3"/>
    <x v="0"/>
    <n v="2.4597222222222221"/>
    <s v="Slow"/>
    <x v="0"/>
    <n v="0"/>
    <x v="1"/>
    <x v="1"/>
  </r>
  <r>
    <n v="412"/>
    <x v="411"/>
    <n v="6.3888888888888898E-2"/>
    <n v="719"/>
    <n v="412"/>
    <n v="32.211111111111116"/>
    <x v="0"/>
    <x v="0"/>
    <n v="1.7104166666666665"/>
    <s v="Slow"/>
    <x v="2"/>
    <n v="0"/>
    <x v="1"/>
    <x v="1"/>
  </r>
  <r>
    <n v="413"/>
    <x v="412"/>
    <n v="6.805555555555555E-2"/>
    <n v="2590"/>
    <n v="123"/>
    <n v="45.379861111111104"/>
    <x v="1"/>
    <x v="2"/>
    <n v="2.7118055555555554"/>
    <s v="Slow"/>
    <x v="2"/>
    <n v="0"/>
    <x v="1"/>
    <x v="1"/>
  </r>
  <r>
    <n v="414"/>
    <x v="413"/>
    <n v="4.1666666666666664E-2"/>
    <n v="2627"/>
    <n v="395"/>
    <n v="37.459027777777777"/>
    <x v="1"/>
    <x v="1"/>
    <n v="1.3340277777777778"/>
    <s v="Fast"/>
    <x v="1"/>
    <n v="0"/>
    <x v="1"/>
    <x v="1"/>
  </r>
  <r>
    <n v="415"/>
    <x v="414"/>
    <n v="4.9305555555555554E-2"/>
    <n v="4721"/>
    <n v="401"/>
    <n v="44.50555555555556"/>
    <x v="0"/>
    <x v="0"/>
    <n v="0.41944444444444445"/>
    <s v="Fast"/>
    <x v="0"/>
    <n v="0"/>
    <x v="1"/>
    <x v="1"/>
  </r>
  <r>
    <n v="416"/>
    <x v="415"/>
    <n v="4.7222222222222221E-2"/>
    <n v="4627"/>
    <n v="158"/>
    <n v="11.754166666666668"/>
    <x v="0"/>
    <x v="0"/>
    <n v="1.2979166666666666"/>
    <s v="Fast"/>
    <x v="2"/>
    <n v="1"/>
    <x v="0"/>
    <x v="0"/>
  </r>
  <r>
    <n v="417"/>
    <x v="416"/>
    <n v="5.5555555555555558E-3"/>
    <n v="3501"/>
    <n v="180"/>
    <n v="63.752777777777773"/>
    <x v="3"/>
    <x v="3"/>
    <n v="1.6708333333333334"/>
    <s v="Slow"/>
    <x v="2"/>
    <n v="1"/>
    <x v="0"/>
    <x v="0"/>
  </r>
  <r>
    <n v="418"/>
    <x v="417"/>
    <n v="5.6944444444444443E-2"/>
    <n v="206"/>
    <n v="404"/>
    <n v="11.921527777777778"/>
    <x v="0"/>
    <x v="1"/>
    <n v="2.4173611111111111"/>
    <s v="Slow"/>
    <x v="1"/>
    <n v="1"/>
    <x v="0"/>
    <x v="2"/>
  </r>
  <r>
    <n v="419"/>
    <x v="418"/>
    <n v="5.9722222222222225E-2"/>
    <n v="2558"/>
    <n v="51"/>
    <n v="37.463194444444447"/>
    <x v="0"/>
    <x v="1"/>
    <n v="2.9611111111111108"/>
    <s v="Slow"/>
    <x v="1"/>
    <n v="0"/>
    <x v="1"/>
    <x v="1"/>
  </r>
  <r>
    <n v="420"/>
    <x v="419"/>
    <n v="4.4444444444444446E-2"/>
    <n v="994"/>
    <n v="151"/>
    <n v="53.129166666666663"/>
    <x v="3"/>
    <x v="1"/>
    <n v="1.9604166666666665"/>
    <s v="Slow"/>
    <x v="2"/>
    <n v="0"/>
    <x v="1"/>
    <x v="1"/>
  </r>
  <r>
    <n v="421"/>
    <x v="420"/>
    <n v="5.9722222222222225E-2"/>
    <n v="1979"/>
    <n v="62"/>
    <n v="18.545138888888889"/>
    <x v="1"/>
    <x v="0"/>
    <n v="2.4604166666666667"/>
    <s v="Slow"/>
    <x v="2"/>
    <n v="0"/>
    <x v="1"/>
    <x v="1"/>
  </r>
  <r>
    <n v="422"/>
    <x v="421"/>
    <n v="6.7361111111111108E-2"/>
    <n v="2349"/>
    <n v="406"/>
    <n v="82.172222222222231"/>
    <x v="2"/>
    <x v="2"/>
    <n v="1.6291666666666667"/>
    <s v="Slow"/>
    <x v="2"/>
    <n v="1"/>
    <x v="0"/>
    <x v="0"/>
  </r>
  <r>
    <n v="423"/>
    <x v="422"/>
    <n v="6.7361111111111108E-2"/>
    <n v="3172"/>
    <n v="489"/>
    <n v="57.084722222222219"/>
    <x v="1"/>
    <x v="1"/>
    <n v="4.2361111111111106E-2"/>
    <s v="Fast"/>
    <x v="1"/>
    <n v="0"/>
    <x v="1"/>
    <x v="1"/>
  </r>
  <r>
    <n v="424"/>
    <x v="423"/>
    <n v="6.805555555555555E-2"/>
    <n v="537"/>
    <n v="156"/>
    <n v="10.83611111111111"/>
    <x v="2"/>
    <x v="1"/>
    <n v="0.25069444444444444"/>
    <s v="Fast"/>
    <x v="0"/>
    <n v="0"/>
    <x v="1"/>
    <x v="1"/>
  </r>
  <r>
    <n v="425"/>
    <x v="424"/>
    <n v="6.7361111111111108E-2"/>
    <n v="3338"/>
    <n v="379"/>
    <n v="82.375"/>
    <x v="3"/>
    <x v="3"/>
    <n v="0.37847222222222227"/>
    <s v="Fast"/>
    <x v="2"/>
    <n v="1"/>
    <x v="0"/>
    <x v="0"/>
  </r>
  <r>
    <n v="426"/>
    <x v="425"/>
    <n v="6.805555555555555E-2"/>
    <n v="1473"/>
    <n v="123"/>
    <n v="28.710416666666664"/>
    <x v="0"/>
    <x v="0"/>
    <n v="2.7534722222222219"/>
    <s v="Slow"/>
    <x v="0"/>
    <n v="0"/>
    <x v="1"/>
    <x v="1"/>
  </r>
  <r>
    <n v="427"/>
    <x v="426"/>
    <n v="4.3055555555555562E-2"/>
    <n v="4641"/>
    <n v="308"/>
    <n v="70.833333333333329"/>
    <x v="3"/>
    <x v="0"/>
    <n v="8.3333333333333329E-2"/>
    <s v="Fast"/>
    <x v="0"/>
    <n v="0"/>
    <x v="1"/>
    <x v="1"/>
  </r>
  <r>
    <n v="428"/>
    <x v="427"/>
    <n v="6.7361111111111108E-2"/>
    <n v="3423"/>
    <n v="151"/>
    <n v="28.211805555555557"/>
    <x v="3"/>
    <x v="0"/>
    <n v="1.5013888888888889"/>
    <s v="Slow"/>
    <x v="0"/>
    <n v="1"/>
    <x v="0"/>
    <x v="0"/>
  </r>
  <r>
    <n v="429"/>
    <x v="428"/>
    <n v="4.9305555555555554E-2"/>
    <n v="464"/>
    <n v="387"/>
    <n v="49.879861111111104"/>
    <x v="1"/>
    <x v="0"/>
    <n v="1.2923611111111111"/>
    <s v="Fast"/>
    <x v="1"/>
    <n v="0"/>
    <x v="1"/>
    <x v="1"/>
  </r>
  <r>
    <n v="430"/>
    <x v="429"/>
    <n v="5.0694444444444438E-2"/>
    <n v="4285"/>
    <n v="143"/>
    <n v="60.753472222222221"/>
    <x v="3"/>
    <x v="1"/>
    <n v="2.3805555555555555"/>
    <s v="Slow"/>
    <x v="2"/>
    <n v="0"/>
    <x v="1"/>
    <x v="1"/>
  </r>
  <r>
    <n v="431"/>
    <x v="430"/>
    <n v="5.4166666666666669E-2"/>
    <n v="4569"/>
    <n v="331"/>
    <n v="33.33958333333333"/>
    <x v="3"/>
    <x v="1"/>
    <n v="2.088888888888889"/>
    <s v="Slow"/>
    <x v="1"/>
    <n v="1"/>
    <x v="0"/>
    <x v="2"/>
  </r>
  <r>
    <n v="432"/>
    <x v="431"/>
    <n v="6.805555555555555E-2"/>
    <n v="3290"/>
    <n v="51"/>
    <n v="81.963888888888889"/>
    <x v="2"/>
    <x v="1"/>
    <n v="0.12708333333333333"/>
    <s v="Fast"/>
    <x v="0"/>
    <n v="0"/>
    <x v="1"/>
    <x v="1"/>
  </r>
  <r>
    <n v="433"/>
    <x v="432"/>
    <n v="5.8333333333333327E-2"/>
    <n v="3198"/>
    <n v="124"/>
    <n v="74.045833333333334"/>
    <x v="1"/>
    <x v="3"/>
    <n v="1.3395833333333333"/>
    <s v="Fast"/>
    <x v="2"/>
    <n v="0"/>
    <x v="1"/>
    <x v="1"/>
  </r>
  <r>
    <n v="434"/>
    <x v="433"/>
    <n v="5.1388888888888894E-2"/>
    <n v="1555"/>
    <n v="329"/>
    <n v="20.086111111111112"/>
    <x v="3"/>
    <x v="2"/>
    <n v="2.1666666666666665"/>
    <s v="Slow"/>
    <x v="1"/>
    <n v="0"/>
    <x v="1"/>
    <x v="1"/>
  </r>
  <r>
    <n v="435"/>
    <x v="434"/>
    <n v="5.2083333333333336E-2"/>
    <n v="546"/>
    <n v="440"/>
    <n v="56.504861111111104"/>
    <x v="3"/>
    <x v="2"/>
    <n v="1.3395833333333333"/>
    <s v="Fast"/>
    <x v="2"/>
    <n v="0"/>
    <x v="1"/>
    <x v="1"/>
  </r>
  <r>
    <n v="436"/>
    <x v="435"/>
    <n v="6.6666666666666666E-2"/>
    <n v="4766"/>
    <n v="107"/>
    <n v="36.25138888888889"/>
    <x v="0"/>
    <x v="1"/>
    <n v="0.7944444444444444"/>
    <s v="Fast"/>
    <x v="1"/>
    <n v="1"/>
    <x v="0"/>
    <x v="2"/>
  </r>
  <r>
    <n v="437"/>
    <x v="436"/>
    <n v="6.458333333333334E-2"/>
    <n v="1570"/>
    <n v="314"/>
    <n v="74.416666666666671"/>
    <x v="1"/>
    <x v="2"/>
    <n v="1.2138888888888888"/>
    <s v="Fast"/>
    <x v="2"/>
    <n v="0"/>
    <x v="1"/>
    <x v="1"/>
  </r>
  <r>
    <n v="438"/>
    <x v="437"/>
    <n v="4.5833333333333337E-2"/>
    <n v="3170"/>
    <n v="168"/>
    <n v="13.045138888888888"/>
    <x v="0"/>
    <x v="1"/>
    <n v="1.2097222222222224"/>
    <s v="Fast"/>
    <x v="2"/>
    <n v="0"/>
    <x v="1"/>
    <x v="1"/>
  </r>
  <r>
    <n v="439"/>
    <x v="438"/>
    <n v="4.8611111111111112E-3"/>
    <n v="4813"/>
    <n v="426"/>
    <n v="62.544444444444444"/>
    <x v="1"/>
    <x v="2"/>
    <n v="1.7555555555555555"/>
    <s v="Slow"/>
    <x v="1"/>
    <n v="0"/>
    <x v="1"/>
    <x v="1"/>
  </r>
  <r>
    <n v="440"/>
    <x v="439"/>
    <n v="5.2083333333333336E-2"/>
    <n v="4607"/>
    <n v="107"/>
    <n v="32.461111111111116"/>
    <x v="0"/>
    <x v="3"/>
    <n v="2.0041666666666669"/>
    <s v="Slow"/>
    <x v="0"/>
    <n v="0"/>
    <x v="1"/>
    <x v="1"/>
  </r>
  <r>
    <n v="441"/>
    <x v="440"/>
    <n v="4.7916666666666663E-2"/>
    <n v="2960"/>
    <n v="153"/>
    <n v="42.672916666666673"/>
    <x v="3"/>
    <x v="2"/>
    <n v="0.96111111111111114"/>
    <s v="Fast"/>
    <x v="1"/>
    <n v="1"/>
    <x v="0"/>
    <x v="0"/>
  </r>
  <r>
    <n v="442"/>
    <x v="441"/>
    <n v="5.7638888888888885E-2"/>
    <n v="426"/>
    <n v="276"/>
    <n v="57.670138888888886"/>
    <x v="0"/>
    <x v="0"/>
    <n v="0.12847222222222224"/>
    <s v="Fast"/>
    <x v="1"/>
    <n v="0"/>
    <x v="1"/>
    <x v="1"/>
  </r>
  <r>
    <n v="443"/>
    <x v="442"/>
    <n v="4.7916666666666663E-2"/>
    <n v="4730"/>
    <n v="285"/>
    <n v="17.506249999999998"/>
    <x v="1"/>
    <x v="3"/>
    <n v="2.1680555555555556"/>
    <s v="Slow"/>
    <x v="2"/>
    <n v="0"/>
    <x v="1"/>
    <x v="1"/>
  </r>
  <r>
    <n v="444"/>
    <x v="443"/>
    <n v="5.7638888888888885E-2"/>
    <n v="3056"/>
    <n v="428"/>
    <n v="8.625"/>
    <x v="1"/>
    <x v="2"/>
    <n v="0.25069444444444444"/>
    <s v="Fast"/>
    <x v="2"/>
    <n v="0"/>
    <x v="1"/>
    <x v="1"/>
  </r>
  <r>
    <n v="445"/>
    <x v="444"/>
    <n v="6.7361111111111108E-2"/>
    <n v="3007"/>
    <n v="20"/>
    <n v="22.125694444444445"/>
    <x v="1"/>
    <x v="1"/>
    <n v="2.0027777777777778"/>
    <s v="Slow"/>
    <x v="2"/>
    <n v="0"/>
    <x v="1"/>
    <x v="1"/>
  </r>
  <r>
    <n v="446"/>
    <x v="445"/>
    <n v="6.5277777777777782E-2"/>
    <n v="3159"/>
    <n v="198"/>
    <n v="34.25416666666667"/>
    <x v="3"/>
    <x v="3"/>
    <n v="2.838194444444444"/>
    <s v="Slow"/>
    <x v="2"/>
    <n v="0"/>
    <x v="1"/>
    <x v="1"/>
  </r>
  <r>
    <n v="447"/>
    <x v="446"/>
    <n v="4.4444444444444446E-2"/>
    <n v="3918"/>
    <n v="494"/>
    <n v="24.961111111111112"/>
    <x v="0"/>
    <x v="2"/>
    <n v="1.2534722222222221"/>
    <s v="Fast"/>
    <x v="2"/>
    <n v="1"/>
    <x v="0"/>
    <x v="0"/>
  </r>
  <r>
    <n v="448"/>
    <x v="447"/>
    <n v="4.7222222222222221E-2"/>
    <n v="4506"/>
    <n v="455"/>
    <n v="18.253472222222221"/>
    <x v="1"/>
    <x v="3"/>
    <n v="2.8777777777777778"/>
    <s v="Slow"/>
    <x v="2"/>
    <n v="0"/>
    <x v="1"/>
    <x v="1"/>
  </r>
  <r>
    <n v="449"/>
    <x v="448"/>
    <n v="5.3472222222222227E-2"/>
    <n v="3190"/>
    <n v="474"/>
    <n v="59.006250000000001"/>
    <x v="1"/>
    <x v="1"/>
    <n v="2.7944444444444443"/>
    <s v="Slow"/>
    <x v="2"/>
    <n v="1"/>
    <x v="0"/>
    <x v="2"/>
  </r>
  <r>
    <n v="450"/>
    <x v="449"/>
    <n v="5.9722222222222225E-2"/>
    <n v="4132"/>
    <n v="200"/>
    <n v="63.293749999999996"/>
    <x v="0"/>
    <x v="2"/>
    <n v="2.6729166666666671"/>
    <s v="Slow"/>
    <x v="2"/>
    <n v="0"/>
    <x v="1"/>
    <x v="1"/>
  </r>
  <r>
    <n v="451"/>
    <x v="450"/>
    <n v="5.2083333333333336E-2"/>
    <n v="719"/>
    <n v="342"/>
    <n v="74.879166666666663"/>
    <x v="2"/>
    <x v="3"/>
    <n v="2.2562500000000001"/>
    <s v="Slow"/>
    <x v="1"/>
    <n v="0"/>
    <x v="1"/>
    <x v="1"/>
  </r>
  <r>
    <n v="452"/>
    <x v="451"/>
    <n v="4.8611111111111112E-3"/>
    <n v="2290"/>
    <n v="56"/>
    <n v="24.542361111111109"/>
    <x v="1"/>
    <x v="2"/>
    <n v="1.9625000000000001"/>
    <s v="Slow"/>
    <x v="1"/>
    <n v="0"/>
    <x v="1"/>
    <x v="1"/>
  </r>
  <r>
    <n v="453"/>
    <x v="452"/>
    <n v="5.1388888888888894E-2"/>
    <n v="786"/>
    <n v="185"/>
    <n v="60.335416666666667"/>
    <x v="1"/>
    <x v="1"/>
    <n v="1.75"/>
    <s v="Slow"/>
    <x v="0"/>
    <n v="0"/>
    <x v="1"/>
    <x v="1"/>
  </r>
  <r>
    <n v="454"/>
    <x v="453"/>
    <n v="4.7222222222222221E-2"/>
    <n v="1062"/>
    <n v="86"/>
    <n v="6.8784722222222223"/>
    <x v="3"/>
    <x v="3"/>
    <n v="1.8333333333333333"/>
    <s v="Slow"/>
    <x v="0"/>
    <n v="1"/>
    <x v="0"/>
    <x v="0"/>
  </r>
  <r>
    <n v="455"/>
    <x v="454"/>
    <n v="6.5277777777777782E-2"/>
    <n v="4788"/>
    <n v="171"/>
    <n v="17.419444444444444"/>
    <x v="3"/>
    <x v="1"/>
    <n v="2.8763888888888887"/>
    <s v="Slow"/>
    <x v="1"/>
    <n v="1"/>
    <x v="0"/>
    <x v="2"/>
  </r>
  <r>
    <n v="456"/>
    <x v="455"/>
    <n v="6.1111111111111109E-2"/>
    <n v="3924"/>
    <n v="487"/>
    <n v="11.668750000000001"/>
    <x v="3"/>
    <x v="0"/>
    <n v="0.54305555555555551"/>
    <s v="Fast"/>
    <x v="1"/>
    <n v="0"/>
    <x v="1"/>
    <x v="1"/>
  </r>
  <r>
    <n v="457"/>
    <x v="456"/>
    <n v="5.2777777777777778E-2"/>
    <n v="1069"/>
    <n v="47"/>
    <n v="19.667361111111109"/>
    <x v="1"/>
    <x v="3"/>
    <n v="1.3763888888888889"/>
    <s v="Fast"/>
    <x v="2"/>
    <n v="0"/>
    <x v="1"/>
    <x v="1"/>
  </r>
  <r>
    <n v="458"/>
    <x v="457"/>
    <n v="6.1111111111111109E-2"/>
    <n v="312"/>
    <n v="413"/>
    <n v="58.75555555555556"/>
    <x v="2"/>
    <x v="3"/>
    <n v="1.5840277777777778"/>
    <s v="Slow"/>
    <x v="0"/>
    <n v="0"/>
    <x v="1"/>
    <x v="1"/>
  </r>
  <r>
    <n v="459"/>
    <x v="458"/>
    <n v="5.6250000000000001E-2"/>
    <n v="1938"/>
    <n v="419"/>
    <n v="14.959027777777777"/>
    <x v="3"/>
    <x v="2"/>
    <n v="2.5854166666666667"/>
    <s v="Slow"/>
    <x v="1"/>
    <n v="0"/>
    <x v="1"/>
    <x v="1"/>
  </r>
  <r>
    <n v="460"/>
    <x v="459"/>
    <n v="5.6250000000000001E-2"/>
    <n v="2876"/>
    <n v="15"/>
    <n v="62.047916666666673"/>
    <x v="3"/>
    <x v="1"/>
    <n v="8.7500000000000008E-2"/>
    <s v="Fast"/>
    <x v="1"/>
    <n v="0"/>
    <x v="1"/>
    <x v="1"/>
  </r>
  <r>
    <n v="461"/>
    <x v="460"/>
    <n v="5.2083333333333336E-2"/>
    <n v="2353"/>
    <n v="394"/>
    <n v="39.96458333333333"/>
    <x v="2"/>
    <x v="1"/>
    <n v="2.8368055555555554"/>
    <s v="Slow"/>
    <x v="1"/>
    <n v="1"/>
    <x v="0"/>
    <x v="2"/>
  </r>
  <r>
    <n v="462"/>
    <x v="461"/>
    <n v="5.5555555555555558E-3"/>
    <n v="1224"/>
    <n v="168"/>
    <n v="60.964583333333337"/>
    <x v="2"/>
    <x v="3"/>
    <n v="1.41875"/>
    <s v="Fast"/>
    <x v="2"/>
    <n v="0"/>
    <x v="1"/>
    <x v="1"/>
  </r>
  <r>
    <n v="463"/>
    <x v="462"/>
    <n v="6.8749999999999992E-2"/>
    <n v="817"/>
    <n v="123"/>
    <n v="42.918055555555554"/>
    <x v="1"/>
    <x v="3"/>
    <n v="0.75555555555555554"/>
    <s v="Fast"/>
    <x v="0"/>
    <n v="0"/>
    <x v="1"/>
    <x v="1"/>
  </r>
  <r>
    <n v="464"/>
    <x v="463"/>
    <n v="6.3194444444444442E-2"/>
    <n v="289"/>
    <n v="66"/>
    <n v="33.713888888888889"/>
    <x v="2"/>
    <x v="3"/>
    <n v="1.7083333333333333"/>
    <s v="Slow"/>
    <x v="0"/>
    <n v="0"/>
    <x v="1"/>
    <x v="1"/>
  </r>
  <r>
    <n v="465"/>
    <x v="464"/>
    <n v="6.458333333333334E-2"/>
    <n v="1174"/>
    <n v="189"/>
    <n v="79.251388888888883"/>
    <x v="0"/>
    <x v="0"/>
    <n v="1.1298611111111112"/>
    <s v="Fast"/>
    <x v="1"/>
    <n v="0"/>
    <x v="1"/>
    <x v="1"/>
  </r>
  <r>
    <n v="466"/>
    <x v="465"/>
    <n v="4.5138888888888888E-2"/>
    <n v="4057"/>
    <n v="448"/>
    <n v="61.545138888888886"/>
    <x v="3"/>
    <x v="3"/>
    <n v="2.2958333333333334"/>
    <s v="Slow"/>
    <x v="0"/>
    <n v="1"/>
    <x v="0"/>
    <x v="0"/>
  </r>
  <r>
    <n v="467"/>
    <x v="466"/>
    <n v="5.5555555555555558E-3"/>
    <n v="3506"/>
    <n v="410"/>
    <n v="67.87777777777778"/>
    <x v="1"/>
    <x v="1"/>
    <n v="1.0048611111111112"/>
    <s v="Fast"/>
    <x v="2"/>
    <n v="1"/>
    <x v="0"/>
    <x v="2"/>
  </r>
  <r>
    <n v="468"/>
    <x v="467"/>
    <n v="5.2083333333333336E-2"/>
    <n v="3965"/>
    <n v="10"/>
    <n v="41.669444444444444"/>
    <x v="2"/>
    <x v="3"/>
    <n v="2.4180555555555556"/>
    <s v="Slow"/>
    <x v="1"/>
    <n v="0"/>
    <x v="1"/>
    <x v="1"/>
  </r>
  <r>
    <n v="469"/>
    <x v="468"/>
    <n v="4.4444444444444446E-2"/>
    <n v="3881"/>
    <n v="441"/>
    <n v="4.6312500000000005"/>
    <x v="1"/>
    <x v="0"/>
    <n v="0.62916666666666665"/>
    <s v="Fast"/>
    <x v="1"/>
    <n v="0"/>
    <x v="1"/>
    <x v="1"/>
  </r>
  <r>
    <n v="470"/>
    <x v="469"/>
    <n v="5.2777777777777778E-2"/>
    <n v="3608"/>
    <n v="387"/>
    <n v="47.419444444444444"/>
    <x v="0"/>
    <x v="3"/>
    <n v="1.2513888888888889"/>
    <s v="Fast"/>
    <x v="0"/>
    <n v="0"/>
    <x v="1"/>
    <x v="1"/>
  </r>
  <r>
    <n v="471"/>
    <x v="470"/>
    <n v="4.3750000000000004E-2"/>
    <n v="596"/>
    <n v="308"/>
    <n v="46.88055555555556"/>
    <x v="3"/>
    <x v="2"/>
    <n v="2.5854166666666667"/>
    <s v="Slow"/>
    <x v="1"/>
    <n v="0"/>
    <x v="1"/>
    <x v="1"/>
  </r>
  <r>
    <n v="472"/>
    <x v="471"/>
    <n v="4.7916666666666663E-2"/>
    <n v="2406"/>
    <n v="451"/>
    <n v="72.546527777777769"/>
    <x v="3"/>
    <x v="3"/>
    <n v="1.8395833333333333"/>
    <s v="Slow"/>
    <x v="1"/>
    <n v="0"/>
    <x v="1"/>
    <x v="1"/>
  </r>
  <r>
    <n v="473"/>
    <x v="472"/>
    <n v="6.3888888888888898E-2"/>
    <n v="4831"/>
    <n v="224"/>
    <n v="55.796527777777776"/>
    <x v="1"/>
    <x v="0"/>
    <n v="1.7944444444444445"/>
    <s v="Slow"/>
    <x v="0"/>
    <n v="0"/>
    <x v="1"/>
    <x v="1"/>
  </r>
  <r>
    <n v="474"/>
    <x v="473"/>
    <n v="6.0416666666666667E-2"/>
    <n v="4950"/>
    <n v="298"/>
    <n v="1.6694444444444445"/>
    <x v="0"/>
    <x v="2"/>
    <n v="1.4597222222222221"/>
    <s v="Fast"/>
    <x v="0"/>
    <n v="0"/>
    <x v="1"/>
    <x v="1"/>
  </r>
  <r>
    <n v="475"/>
    <x v="474"/>
    <n v="6.1111111111111109E-2"/>
    <n v="3834"/>
    <n v="445"/>
    <n v="22.336111111111112"/>
    <x v="2"/>
    <x v="1"/>
    <n v="2.4604166666666667"/>
    <s v="Slow"/>
    <x v="0"/>
    <n v="0"/>
    <x v="1"/>
    <x v="1"/>
  </r>
  <r>
    <n v="476"/>
    <x v="475"/>
    <n v="4.3750000000000004E-2"/>
    <n v="3369"/>
    <n v="136"/>
    <n v="63.167361111111113"/>
    <x v="2"/>
    <x v="0"/>
    <n v="1.502777777777778"/>
    <s v="Slow"/>
    <x v="1"/>
    <n v="1"/>
    <x v="0"/>
    <x v="0"/>
  </r>
  <r>
    <n v="477"/>
    <x v="476"/>
    <n v="4.6527777777777779E-2"/>
    <n v="2793"/>
    <n v="199"/>
    <n v="42.336805555555557"/>
    <x v="3"/>
    <x v="3"/>
    <n v="2.4624999999999999"/>
    <s v="Slow"/>
    <x v="2"/>
    <n v="0"/>
    <x v="1"/>
    <x v="1"/>
  </r>
  <r>
    <n v="478"/>
    <x v="477"/>
    <n v="4.2361111111111106E-2"/>
    <n v="2988"/>
    <n v="406"/>
    <n v="59.210416666666667"/>
    <x v="0"/>
    <x v="2"/>
    <n v="1.8361111111111112"/>
    <s v="Slow"/>
    <x v="1"/>
    <n v="1"/>
    <x v="0"/>
    <x v="0"/>
  </r>
  <r>
    <n v="479"/>
    <x v="478"/>
    <n v="4.4444444444444446E-2"/>
    <n v="4969"/>
    <n v="200"/>
    <n v="44.920833333333327"/>
    <x v="1"/>
    <x v="3"/>
    <n v="2.7951388888888888"/>
    <s v="Slow"/>
    <x v="1"/>
    <n v="0"/>
    <x v="1"/>
    <x v="1"/>
  </r>
  <r>
    <n v="480"/>
    <x v="479"/>
    <n v="4.4444444444444446E-2"/>
    <n v="1096"/>
    <n v="300"/>
    <n v="32.546527777777776"/>
    <x v="3"/>
    <x v="2"/>
    <n v="1.6256944444444443"/>
    <s v="Slow"/>
    <x v="2"/>
    <n v="1"/>
    <x v="0"/>
    <x v="0"/>
  </r>
  <r>
    <n v="481"/>
    <x v="480"/>
    <n v="6.805555555555555E-2"/>
    <n v="1306"/>
    <n v="434"/>
    <n v="71.333333333333329"/>
    <x v="2"/>
    <x v="2"/>
    <n v="0.33749999999999997"/>
    <s v="Fast"/>
    <x v="1"/>
    <n v="0"/>
    <x v="1"/>
    <x v="1"/>
  </r>
  <r>
    <n v="482"/>
    <x v="481"/>
    <n v="6.6666666666666666E-2"/>
    <n v="3785"/>
    <n v="421"/>
    <n v="19.584722222222222"/>
    <x v="3"/>
    <x v="0"/>
    <n v="2.2958333333333334"/>
    <s v="Slow"/>
    <x v="1"/>
    <n v="0"/>
    <x v="1"/>
    <x v="1"/>
  </r>
  <r>
    <n v="483"/>
    <x v="482"/>
    <n v="4.7222222222222221E-2"/>
    <n v="4685"/>
    <n v="401"/>
    <n v="1.2125000000000001"/>
    <x v="1"/>
    <x v="1"/>
    <n v="2.3763888888888887"/>
    <s v="Slow"/>
    <x v="0"/>
    <n v="1"/>
    <x v="0"/>
    <x v="2"/>
  </r>
  <r>
    <n v="484"/>
    <x v="483"/>
    <n v="4.8611111111111112E-3"/>
    <n v="127"/>
    <n v="399"/>
    <n v="5.8791666666666664"/>
    <x v="2"/>
    <x v="1"/>
    <n v="2.838888888888889"/>
    <s v="Slow"/>
    <x v="1"/>
    <n v="0"/>
    <x v="1"/>
    <x v="1"/>
  </r>
  <r>
    <n v="485"/>
    <x v="484"/>
    <n v="6.805555555555555E-2"/>
    <n v="1321"/>
    <n v="196"/>
    <n v="8.7090277777777789"/>
    <x v="3"/>
    <x v="1"/>
    <n v="2.4201388888888888"/>
    <s v="Slow"/>
    <x v="1"/>
    <n v="0"/>
    <x v="1"/>
    <x v="1"/>
  </r>
  <r>
    <n v="486"/>
    <x v="485"/>
    <n v="5.7638888888888885E-2"/>
    <n v="484"/>
    <n v="431"/>
    <n v="46.46180555555555"/>
    <x v="0"/>
    <x v="3"/>
    <n v="1.2090277777777778"/>
    <s v="Fast"/>
    <x v="2"/>
    <n v="1"/>
    <x v="0"/>
    <x v="0"/>
  </r>
  <r>
    <n v="487"/>
    <x v="486"/>
    <n v="5.2083333333333336E-2"/>
    <n v="4208"/>
    <n v="427"/>
    <n v="38.670833333333334"/>
    <x v="3"/>
    <x v="0"/>
    <n v="1.3375000000000001"/>
    <s v="Fast"/>
    <x v="0"/>
    <n v="1"/>
    <x v="0"/>
    <x v="0"/>
  </r>
  <r>
    <n v="488"/>
    <x v="487"/>
    <n v="5.486111111111111E-2"/>
    <n v="2448"/>
    <n v="355"/>
    <n v="20.756249999999998"/>
    <x v="2"/>
    <x v="2"/>
    <n v="2.7118055555555554"/>
    <s v="Slow"/>
    <x v="2"/>
    <n v="0"/>
    <x v="1"/>
    <x v="1"/>
  </r>
  <r>
    <n v="489"/>
    <x v="488"/>
    <n v="4.9305555555555554E-2"/>
    <n v="311"/>
    <n v="25"/>
    <n v="5.4638888888888886"/>
    <x v="0"/>
    <x v="2"/>
    <n v="1.7555555555555555"/>
    <s v="Slow"/>
    <x v="1"/>
    <n v="1"/>
    <x v="0"/>
    <x v="0"/>
  </r>
  <r>
    <n v="490"/>
    <x v="489"/>
    <n v="5.7638888888888885E-2"/>
    <n v="4958"/>
    <n v="47"/>
    <n v="58.003472222222221"/>
    <x v="1"/>
    <x v="3"/>
    <n v="1.7111111111111112"/>
    <s v="Slow"/>
    <x v="0"/>
    <n v="0"/>
    <x v="1"/>
    <x v="1"/>
  </r>
  <r>
    <n v="491"/>
    <x v="490"/>
    <n v="6.1805555555555558E-2"/>
    <n v="711"/>
    <n v="185"/>
    <n v="67.086111111111109"/>
    <x v="2"/>
    <x v="2"/>
    <n v="0.67222222222222217"/>
    <s v="Fast"/>
    <x v="1"/>
    <n v="0"/>
    <x v="1"/>
    <x v="1"/>
  </r>
  <r>
    <n v="492"/>
    <x v="491"/>
    <n v="5.6250000000000001E-2"/>
    <n v="1778"/>
    <n v="371"/>
    <n v="60.672222222222224"/>
    <x v="1"/>
    <x v="1"/>
    <n v="0.25347222222222221"/>
    <s v="Fast"/>
    <x v="0"/>
    <n v="0"/>
    <x v="1"/>
    <x v="1"/>
  </r>
  <r>
    <n v="493"/>
    <x v="492"/>
    <n v="6.458333333333334E-2"/>
    <n v="3605"/>
    <n v="364"/>
    <n v="50.959027777777777"/>
    <x v="2"/>
    <x v="1"/>
    <n v="0.3347222222222222"/>
    <s v="Fast"/>
    <x v="0"/>
    <n v="0"/>
    <x v="1"/>
    <x v="1"/>
  </r>
  <r>
    <n v="494"/>
    <x v="493"/>
    <n v="4.5138888888888888E-2"/>
    <n v="4568"/>
    <n v="415"/>
    <n v="69.753472222222214"/>
    <x v="0"/>
    <x v="0"/>
    <n v="2.8340277777777776"/>
    <s v="Slow"/>
    <x v="0"/>
    <n v="1"/>
    <x v="0"/>
    <x v="0"/>
  </r>
  <r>
    <n v="495"/>
    <x v="494"/>
    <n v="5.8333333333333327E-2"/>
    <n v="716"/>
    <n v="147"/>
    <n v="28.878472222222225"/>
    <x v="3"/>
    <x v="3"/>
    <n v="0.96180555555555547"/>
    <s v="Fast"/>
    <x v="2"/>
    <n v="0"/>
    <x v="1"/>
    <x v="1"/>
  </r>
  <r>
    <n v="496"/>
    <x v="495"/>
    <n v="4.1666666666666664E-2"/>
    <n v="4196"/>
    <n v="300"/>
    <n v="14.460416666666667"/>
    <x v="3"/>
    <x v="0"/>
    <n v="1.6680555555555554"/>
    <s v="Slow"/>
    <x v="1"/>
    <n v="0"/>
    <x v="1"/>
    <x v="1"/>
  </r>
  <r>
    <n v="497"/>
    <x v="496"/>
    <n v="4.5833333333333337E-2"/>
    <n v="1305"/>
    <n v="25"/>
    <n v="67.875"/>
    <x v="0"/>
    <x v="1"/>
    <n v="1.6680555555555554"/>
    <s v="Slow"/>
    <x v="1"/>
    <n v="1"/>
    <x v="0"/>
    <x v="2"/>
  </r>
  <r>
    <n v="498"/>
    <x v="497"/>
    <n v="5.5555555555555558E-3"/>
    <n v="328"/>
    <n v="49"/>
    <n v="47.131250000000001"/>
    <x v="1"/>
    <x v="1"/>
    <n v="2.3340277777777776"/>
    <s v="Slow"/>
    <x v="2"/>
    <n v="0"/>
    <x v="1"/>
    <x v="1"/>
  </r>
  <r>
    <n v="499"/>
    <x v="498"/>
    <n v="5.9027777777777783E-2"/>
    <n v="4542"/>
    <n v="104"/>
    <n v="22.963194444444444"/>
    <x v="1"/>
    <x v="2"/>
    <n v="2.5479166666666666"/>
    <s v="Slow"/>
    <x v="0"/>
    <n v="0"/>
    <x v="1"/>
    <x v="1"/>
  </r>
  <r>
    <n v="500"/>
    <x v="499"/>
    <n v="5.1388888888888894E-2"/>
    <n v="1325"/>
    <n v="57"/>
    <n v="75.958333333333329"/>
    <x v="0"/>
    <x v="3"/>
    <n v="1.29375"/>
    <s v="Fast"/>
    <x v="1"/>
    <n v="0"/>
    <x v="1"/>
    <x v="1"/>
  </r>
  <r>
    <n v="501"/>
    <x v="500"/>
    <n v="6.8749999999999992E-2"/>
    <n v="4132"/>
    <n v="308"/>
    <n v="29.126388888888886"/>
    <x v="3"/>
    <x v="1"/>
    <n v="2.3395833333333331"/>
    <s v="Slow"/>
    <x v="0"/>
    <n v="0"/>
    <x v="1"/>
    <x v="1"/>
  </r>
  <r>
    <n v="502"/>
    <x v="501"/>
    <n v="5.486111111111111E-2"/>
    <n v="2276"/>
    <n v="307"/>
    <n v="80.547916666666666"/>
    <x v="1"/>
    <x v="0"/>
    <n v="8.5416666666666655E-2"/>
    <s v="Fast"/>
    <x v="1"/>
    <n v="0"/>
    <x v="1"/>
    <x v="1"/>
  </r>
  <r>
    <n v="503"/>
    <x v="502"/>
    <n v="5.486111111111111E-2"/>
    <n v="1381"/>
    <n v="425"/>
    <n v="62.417361111111113"/>
    <x v="0"/>
    <x v="3"/>
    <n v="0.50208333333333333"/>
    <s v="Fast"/>
    <x v="2"/>
    <n v="0"/>
    <x v="1"/>
    <x v="1"/>
  </r>
  <r>
    <n v="504"/>
    <x v="503"/>
    <n v="6.6666666666666666E-2"/>
    <n v="1677"/>
    <n v="325"/>
    <n v="27.002083333333331"/>
    <x v="0"/>
    <x v="0"/>
    <n v="2.9222222222222225"/>
    <s v="Slow"/>
    <x v="2"/>
    <n v="1"/>
    <x v="0"/>
    <x v="0"/>
  </r>
  <r>
    <n v="505"/>
    <x v="504"/>
    <n v="4.2361111111111106E-2"/>
    <n v="3237"/>
    <n v="106"/>
    <n v="79.795833333333334"/>
    <x v="3"/>
    <x v="3"/>
    <n v="1.4611111111111112"/>
    <s v="Fast"/>
    <x v="2"/>
    <n v="1"/>
    <x v="0"/>
    <x v="0"/>
  </r>
  <r>
    <n v="506"/>
    <x v="505"/>
    <n v="6.5972222222222224E-2"/>
    <n v="4580"/>
    <n v="373"/>
    <n v="0.75416666666666676"/>
    <x v="3"/>
    <x v="0"/>
    <n v="0.83680555555555547"/>
    <s v="Fast"/>
    <x v="2"/>
    <n v="0"/>
    <x v="1"/>
    <x v="1"/>
  </r>
  <r>
    <n v="507"/>
    <x v="506"/>
    <n v="4.5138888888888888E-2"/>
    <n v="4358"/>
    <n v="482"/>
    <n v="25.961111111111112"/>
    <x v="1"/>
    <x v="1"/>
    <n v="2.8347222222222221"/>
    <s v="Slow"/>
    <x v="2"/>
    <n v="0"/>
    <x v="1"/>
    <x v="1"/>
  </r>
  <r>
    <n v="508"/>
    <x v="507"/>
    <n v="5.2083333333333336E-2"/>
    <n v="2246"/>
    <n v="335"/>
    <n v="71.671527777777769"/>
    <x v="3"/>
    <x v="0"/>
    <n v="0.83333333333333337"/>
    <s v="Fast"/>
    <x v="1"/>
    <n v="0"/>
    <x v="1"/>
    <x v="1"/>
  </r>
  <r>
    <n v="509"/>
    <x v="508"/>
    <n v="5.5555555555555558E-3"/>
    <n v="349"/>
    <n v="351"/>
    <n v="20.422916666666666"/>
    <x v="0"/>
    <x v="0"/>
    <n v="2.25"/>
    <s v="Slow"/>
    <x v="0"/>
    <n v="1"/>
    <x v="0"/>
    <x v="0"/>
  </r>
  <r>
    <n v="510"/>
    <x v="509"/>
    <n v="5.486111111111111E-2"/>
    <n v="4820"/>
    <n v="73"/>
    <n v="58.714583333333337"/>
    <x v="0"/>
    <x v="0"/>
    <n v="2.2965277777777779"/>
    <s v="Slow"/>
    <x v="1"/>
    <n v="0"/>
    <x v="1"/>
    <x v="1"/>
  </r>
  <r>
    <n v="511"/>
    <x v="510"/>
    <n v="4.3055555555555562E-2"/>
    <n v="2105"/>
    <n v="209"/>
    <n v="62.922916666666673"/>
    <x v="3"/>
    <x v="2"/>
    <n v="0.96458333333333324"/>
    <s v="Fast"/>
    <x v="1"/>
    <n v="0"/>
    <x v="1"/>
    <x v="1"/>
  </r>
  <r>
    <n v="512"/>
    <x v="511"/>
    <n v="5.0694444444444438E-2"/>
    <n v="1828"/>
    <n v="332"/>
    <n v="31.420833333333334"/>
    <x v="2"/>
    <x v="1"/>
    <n v="0.50624999999999998"/>
    <s v="Fast"/>
    <x v="2"/>
    <n v="0"/>
    <x v="1"/>
    <x v="1"/>
  </r>
  <r>
    <n v="513"/>
    <x v="512"/>
    <n v="5.1388888888888894E-2"/>
    <n v="3938"/>
    <n v="82"/>
    <n v="17.87638888888889"/>
    <x v="3"/>
    <x v="1"/>
    <n v="0.29652777777777778"/>
    <s v="Fast"/>
    <x v="2"/>
    <n v="1"/>
    <x v="0"/>
    <x v="2"/>
  </r>
  <r>
    <n v="514"/>
    <x v="513"/>
    <n v="6.805555555555555E-2"/>
    <n v="3817"/>
    <n v="397"/>
    <n v="33.255555555555553"/>
    <x v="2"/>
    <x v="1"/>
    <n v="1.9618055555555556"/>
    <s v="Slow"/>
    <x v="2"/>
    <n v="0"/>
    <x v="1"/>
    <x v="1"/>
  </r>
  <r>
    <n v="515"/>
    <x v="514"/>
    <n v="6.7361111111111108E-2"/>
    <n v="819"/>
    <n v="326"/>
    <n v="10.375694444444445"/>
    <x v="0"/>
    <x v="3"/>
    <n v="1.4604166666666665"/>
    <s v="Fast"/>
    <x v="0"/>
    <n v="0"/>
    <x v="1"/>
    <x v="1"/>
  </r>
  <r>
    <n v="516"/>
    <x v="515"/>
    <n v="5.7638888888888885E-2"/>
    <n v="3168"/>
    <n v="145"/>
    <n v="43.252777777777773"/>
    <x v="0"/>
    <x v="3"/>
    <n v="2.7090277777777776"/>
    <s v="Slow"/>
    <x v="1"/>
    <n v="1"/>
    <x v="0"/>
    <x v="0"/>
  </r>
  <r>
    <n v="517"/>
    <x v="516"/>
    <n v="6.7361111111111108E-2"/>
    <n v="4197"/>
    <n v="329"/>
    <n v="79.461111111111109"/>
    <x v="1"/>
    <x v="0"/>
    <n v="0.96388888888888891"/>
    <s v="Fast"/>
    <x v="0"/>
    <n v="1"/>
    <x v="0"/>
    <x v="0"/>
  </r>
  <r>
    <n v="518"/>
    <x v="517"/>
    <n v="6.5972222222222224E-2"/>
    <n v="1745"/>
    <n v="303"/>
    <n v="73.71041666666666"/>
    <x v="2"/>
    <x v="1"/>
    <n v="2.7979166666666671"/>
    <s v="Slow"/>
    <x v="1"/>
    <n v="1"/>
    <x v="0"/>
    <x v="2"/>
  </r>
  <r>
    <n v="519"/>
    <x v="518"/>
    <n v="5.2083333333333336E-2"/>
    <n v="3856"/>
    <n v="17"/>
    <n v="49.835416666666667"/>
    <x v="3"/>
    <x v="0"/>
    <n v="0.17013888888888887"/>
    <s v="Fast"/>
    <x v="0"/>
    <n v="0"/>
    <x v="1"/>
    <x v="1"/>
  </r>
  <r>
    <n v="520"/>
    <x v="519"/>
    <n v="4.5138888888888888E-2"/>
    <n v="4790"/>
    <n v="49"/>
    <n v="53.668055555555554"/>
    <x v="2"/>
    <x v="2"/>
    <n v="1.4166666666666667"/>
    <s v="Fast"/>
    <x v="1"/>
    <n v="0"/>
    <x v="1"/>
    <x v="1"/>
  </r>
  <r>
    <n v="521"/>
    <x v="520"/>
    <n v="5.8333333333333327E-2"/>
    <n v="2562"/>
    <n v="97"/>
    <n v="48.918055555555554"/>
    <x v="2"/>
    <x v="3"/>
    <n v="2.879861111111111"/>
    <s v="Slow"/>
    <x v="2"/>
    <n v="0"/>
    <x v="1"/>
    <x v="1"/>
  </r>
  <r>
    <n v="522"/>
    <x v="521"/>
    <n v="5.0694444444444438E-2"/>
    <n v="667"/>
    <n v="140"/>
    <n v="59.919444444444444"/>
    <x v="3"/>
    <x v="2"/>
    <n v="0.1673611111111111"/>
    <s v="Fast"/>
    <x v="2"/>
    <n v="0"/>
    <x v="1"/>
    <x v="1"/>
  </r>
  <r>
    <n v="523"/>
    <x v="522"/>
    <n v="4.1666666666666666E-3"/>
    <n v="2884"/>
    <n v="202"/>
    <n v="18.377083333333335"/>
    <x v="3"/>
    <x v="0"/>
    <n v="0.25486111111111109"/>
    <s v="Fast"/>
    <x v="0"/>
    <n v="1"/>
    <x v="0"/>
    <x v="0"/>
  </r>
  <r>
    <n v="524"/>
    <x v="523"/>
    <n v="6.8749999999999992E-2"/>
    <n v="2615"/>
    <n v="313"/>
    <n v="23.792361111111109"/>
    <x v="2"/>
    <x v="1"/>
    <n v="1.8333333333333333"/>
    <s v="Slow"/>
    <x v="0"/>
    <n v="0"/>
    <x v="1"/>
    <x v="1"/>
  </r>
  <r>
    <n v="525"/>
    <x v="524"/>
    <n v="6.8749999999999992E-2"/>
    <n v="3285"/>
    <n v="129"/>
    <n v="10.25625"/>
    <x v="2"/>
    <x v="0"/>
    <n v="0.87638888888888899"/>
    <s v="Fast"/>
    <x v="1"/>
    <n v="0"/>
    <x v="1"/>
    <x v="1"/>
  </r>
  <r>
    <n v="526"/>
    <x v="525"/>
    <n v="5.6250000000000001E-2"/>
    <n v="842"/>
    <n v="116"/>
    <n v="39.297916666666666"/>
    <x v="2"/>
    <x v="2"/>
    <n v="1.7097222222222221"/>
    <s v="Slow"/>
    <x v="1"/>
    <n v="0"/>
    <x v="1"/>
    <x v="1"/>
  </r>
  <r>
    <n v="527"/>
    <x v="526"/>
    <n v="5.9027777777777783E-2"/>
    <n v="3495"/>
    <n v="131"/>
    <n v="12.127777777777778"/>
    <x v="3"/>
    <x v="2"/>
    <n v="2.9624999999999999"/>
    <s v="Slow"/>
    <x v="2"/>
    <n v="0"/>
    <x v="1"/>
    <x v="1"/>
  </r>
  <r>
    <n v="528"/>
    <x v="527"/>
    <n v="6.0416666666666667E-2"/>
    <n v="1367"/>
    <n v="181"/>
    <n v="36.170833333333334"/>
    <x v="1"/>
    <x v="1"/>
    <n v="2.1708333333333334"/>
    <s v="Slow"/>
    <x v="1"/>
    <n v="0"/>
    <x v="1"/>
    <x v="1"/>
  </r>
  <r>
    <n v="529"/>
    <x v="528"/>
    <n v="6.7361111111111108E-2"/>
    <n v="2616"/>
    <n v="168"/>
    <n v="55.378472222222221"/>
    <x v="1"/>
    <x v="1"/>
    <n v="2.5479166666666666"/>
    <s v="Slow"/>
    <x v="1"/>
    <n v="0"/>
    <x v="1"/>
    <x v="1"/>
  </r>
  <r>
    <n v="530"/>
    <x v="529"/>
    <n v="5.486111111111111E-2"/>
    <n v="3874"/>
    <n v="41"/>
    <n v="38.418749999999996"/>
    <x v="0"/>
    <x v="0"/>
    <n v="1.5451388888888891"/>
    <s v="Slow"/>
    <x v="2"/>
    <n v="1"/>
    <x v="0"/>
    <x v="0"/>
  </r>
  <r>
    <n v="531"/>
    <x v="530"/>
    <n v="5.7638888888888885E-2"/>
    <n v="3854"/>
    <n v="473"/>
    <n v="74.46319444444444"/>
    <x v="3"/>
    <x v="1"/>
    <n v="0.79236111111111107"/>
    <s v="Fast"/>
    <x v="2"/>
    <n v="0"/>
    <x v="1"/>
    <x v="1"/>
  </r>
  <r>
    <n v="532"/>
    <x v="531"/>
    <n v="4.7916666666666663E-2"/>
    <n v="4674"/>
    <n v="69"/>
    <n v="11.380555555555555"/>
    <x v="0"/>
    <x v="3"/>
    <n v="1.9208333333333334"/>
    <s v="Slow"/>
    <x v="2"/>
    <n v="0"/>
    <x v="1"/>
    <x v="1"/>
  </r>
  <r>
    <n v="533"/>
    <x v="532"/>
    <n v="4.8611111111111112E-3"/>
    <n v="2669"/>
    <n v="277"/>
    <n v="33.461111111111116"/>
    <x v="2"/>
    <x v="0"/>
    <n v="0.83333333333333337"/>
    <s v="Fast"/>
    <x v="2"/>
    <n v="1"/>
    <x v="0"/>
    <x v="0"/>
  </r>
  <r>
    <n v="534"/>
    <x v="533"/>
    <n v="5.6250000000000001E-2"/>
    <n v="1148"/>
    <n v="63"/>
    <n v="81.169444444444437"/>
    <x v="0"/>
    <x v="2"/>
    <n v="2.7937499999999997"/>
    <s v="Slow"/>
    <x v="2"/>
    <n v="0"/>
    <x v="1"/>
    <x v="1"/>
  </r>
  <r>
    <n v="535"/>
    <x v="534"/>
    <n v="4.7916666666666663E-2"/>
    <n v="4446"/>
    <n v="381"/>
    <n v="11.50625"/>
    <x v="1"/>
    <x v="0"/>
    <n v="2.875"/>
    <s v="Slow"/>
    <x v="2"/>
    <n v="0"/>
    <x v="1"/>
    <x v="1"/>
  </r>
  <r>
    <n v="536"/>
    <x v="535"/>
    <n v="4.2361111111111106E-2"/>
    <n v="3473"/>
    <n v="118"/>
    <n v="47.084722222222219"/>
    <x v="3"/>
    <x v="3"/>
    <n v="2.838888888888889"/>
    <s v="Slow"/>
    <x v="2"/>
    <n v="0"/>
    <x v="1"/>
    <x v="1"/>
  </r>
  <r>
    <n v="537"/>
    <x v="536"/>
    <n v="5.2083333333333336E-2"/>
    <n v="2421"/>
    <n v="17"/>
    <n v="45.547222222222224"/>
    <x v="1"/>
    <x v="0"/>
    <n v="2.0874999999999999"/>
    <s v="Slow"/>
    <x v="2"/>
    <n v="0"/>
    <x v="1"/>
    <x v="1"/>
  </r>
  <r>
    <n v="538"/>
    <x v="537"/>
    <n v="6.2499999999999995E-3"/>
    <n v="1363"/>
    <n v="145"/>
    <n v="76.836111111111109"/>
    <x v="2"/>
    <x v="3"/>
    <n v="0.54375000000000007"/>
    <s v="Fast"/>
    <x v="0"/>
    <n v="0"/>
    <x v="1"/>
    <x v="1"/>
  </r>
  <r>
    <n v="539"/>
    <x v="538"/>
    <n v="4.9305555555555554E-2"/>
    <n v="1549"/>
    <n v="285"/>
    <n v="72.25555555555556"/>
    <x v="2"/>
    <x v="2"/>
    <n v="2.8340277777777776"/>
    <s v="Slow"/>
    <x v="2"/>
    <n v="0"/>
    <x v="1"/>
    <x v="1"/>
  </r>
  <r>
    <n v="540"/>
    <x v="539"/>
    <n v="6.5972222222222224E-2"/>
    <n v="2931"/>
    <n v="152"/>
    <n v="51.377083333333331"/>
    <x v="3"/>
    <x v="3"/>
    <n v="0.33333333333333331"/>
    <s v="Fast"/>
    <x v="0"/>
    <n v="1"/>
    <x v="0"/>
    <x v="0"/>
  </r>
  <r>
    <n v="541"/>
    <x v="540"/>
    <n v="6.1111111111111109E-2"/>
    <n v="317"/>
    <n v="22"/>
    <n v="82.422916666666666"/>
    <x v="1"/>
    <x v="3"/>
    <n v="1.2513888888888889"/>
    <s v="Fast"/>
    <x v="1"/>
    <n v="0"/>
    <x v="1"/>
    <x v="1"/>
  </r>
  <r>
    <n v="542"/>
    <x v="541"/>
    <n v="5.9722222222222225E-2"/>
    <n v="4407"/>
    <n v="250"/>
    <n v="10.168750000000001"/>
    <x v="1"/>
    <x v="1"/>
    <n v="1.0458333333333334"/>
    <s v="Fast"/>
    <x v="2"/>
    <n v="0"/>
    <x v="1"/>
    <x v="1"/>
  </r>
  <r>
    <n v="543"/>
    <x v="542"/>
    <n v="6.6666666666666666E-2"/>
    <n v="163"/>
    <n v="438"/>
    <n v="58.462499999999999"/>
    <x v="0"/>
    <x v="1"/>
    <n v="0.8340277777777777"/>
    <s v="Fast"/>
    <x v="0"/>
    <n v="1"/>
    <x v="0"/>
    <x v="2"/>
  </r>
  <r>
    <n v="544"/>
    <x v="543"/>
    <n v="4.3750000000000004E-2"/>
    <n v="3887"/>
    <n v="28"/>
    <n v="61.25"/>
    <x v="2"/>
    <x v="3"/>
    <n v="0.1673611111111111"/>
    <s v="Fast"/>
    <x v="0"/>
    <n v="1"/>
    <x v="0"/>
    <x v="0"/>
  </r>
  <r>
    <n v="545"/>
    <x v="544"/>
    <n v="4.6527777777777779E-2"/>
    <n v="3189"/>
    <n v="140"/>
    <n v="34.669444444444444"/>
    <x v="1"/>
    <x v="1"/>
    <n v="1.1263888888888889"/>
    <s v="Fast"/>
    <x v="0"/>
    <n v="0"/>
    <x v="1"/>
    <x v="1"/>
  </r>
  <r>
    <n v="546"/>
    <x v="545"/>
    <n v="6.6666666666666666E-2"/>
    <n v="937"/>
    <n v="203"/>
    <n v="75.045138888888886"/>
    <x v="3"/>
    <x v="1"/>
    <n v="0.37847222222222227"/>
    <s v="Fast"/>
    <x v="2"/>
    <n v="1"/>
    <x v="0"/>
    <x v="2"/>
  </r>
  <r>
    <n v="547"/>
    <x v="546"/>
    <n v="6.6666666666666666E-2"/>
    <n v="3106"/>
    <n v="247"/>
    <n v="16.297916666666666"/>
    <x v="0"/>
    <x v="0"/>
    <n v="0.17013888888888887"/>
    <s v="Fast"/>
    <x v="1"/>
    <n v="1"/>
    <x v="0"/>
    <x v="0"/>
  </r>
  <r>
    <n v="548"/>
    <x v="547"/>
    <n v="4.3750000000000004E-2"/>
    <n v="2994"/>
    <n v="34"/>
    <n v="1.2958333333333334"/>
    <x v="2"/>
    <x v="0"/>
    <n v="2.6305555555555555"/>
    <s v="Slow"/>
    <x v="2"/>
    <n v="1"/>
    <x v="0"/>
    <x v="0"/>
  </r>
  <r>
    <n v="549"/>
    <x v="548"/>
    <n v="6.3194444444444442E-2"/>
    <n v="2682"/>
    <n v="343"/>
    <n v="1.6715277777777777"/>
    <x v="2"/>
    <x v="1"/>
    <n v="1.7965277777777777"/>
    <s v="Slow"/>
    <x v="1"/>
    <n v="1"/>
    <x v="0"/>
    <x v="2"/>
  </r>
  <r>
    <n v="550"/>
    <x v="549"/>
    <n v="4.2361111111111106E-2"/>
    <n v="4726"/>
    <n v="79"/>
    <n v="25.629861111111111"/>
    <x v="0"/>
    <x v="1"/>
    <n v="1.4201388888888891"/>
    <s v="Fast"/>
    <x v="0"/>
    <n v="0"/>
    <x v="1"/>
    <x v="1"/>
  </r>
  <r>
    <n v="551"/>
    <x v="550"/>
    <n v="4.5138888888888888E-2"/>
    <n v="3470"/>
    <n v="186"/>
    <n v="67.797916666666666"/>
    <x v="2"/>
    <x v="0"/>
    <n v="1.1729166666666666"/>
    <s v="Fast"/>
    <x v="1"/>
    <n v="0"/>
    <x v="1"/>
    <x v="1"/>
  </r>
  <r>
    <n v="552"/>
    <x v="551"/>
    <n v="4.4444444444444446E-2"/>
    <n v="1311"/>
    <n v="177"/>
    <n v="66.422222222222231"/>
    <x v="0"/>
    <x v="2"/>
    <n v="1"/>
    <s v="Fast"/>
    <x v="2"/>
    <n v="1"/>
    <x v="0"/>
    <x v="0"/>
  </r>
  <r>
    <n v="553"/>
    <x v="552"/>
    <n v="4.9999999999999996E-2"/>
    <n v="4655"/>
    <n v="121"/>
    <n v="44.295833333333327"/>
    <x v="2"/>
    <x v="1"/>
    <n v="1.2118055555555556"/>
    <s v="Fast"/>
    <x v="0"/>
    <n v="0"/>
    <x v="1"/>
    <x v="1"/>
  </r>
  <r>
    <n v="554"/>
    <x v="553"/>
    <n v="5.2777777777777778E-2"/>
    <n v="2168"/>
    <n v="359"/>
    <n v="32.131250000000001"/>
    <x v="1"/>
    <x v="1"/>
    <n v="2.3805555555555555"/>
    <s v="Slow"/>
    <x v="0"/>
    <n v="1"/>
    <x v="0"/>
    <x v="2"/>
  </r>
  <r>
    <n v="555"/>
    <x v="554"/>
    <n v="6.6666666666666666E-2"/>
    <n v="688"/>
    <n v="384"/>
    <n v="73.672916666666666"/>
    <x v="0"/>
    <x v="2"/>
    <n v="2.755555555555556"/>
    <s v="Slow"/>
    <x v="1"/>
    <n v="0"/>
    <x v="1"/>
    <x v="1"/>
  </r>
  <r>
    <n v="556"/>
    <x v="555"/>
    <n v="5.3472222222222227E-2"/>
    <n v="449"/>
    <n v="486"/>
    <n v="77.336111111111109"/>
    <x v="3"/>
    <x v="2"/>
    <n v="2.4215277777777779"/>
    <s v="Slow"/>
    <x v="2"/>
    <n v="0"/>
    <x v="1"/>
    <x v="1"/>
  </r>
  <r>
    <n v="557"/>
    <x v="556"/>
    <n v="4.5138888888888888E-2"/>
    <n v="3897"/>
    <n v="154"/>
    <n v="52.25138888888889"/>
    <x v="0"/>
    <x v="0"/>
    <n v="4.3055555555555562E-2"/>
    <s v="Fast"/>
    <x v="1"/>
    <n v="0"/>
    <x v="1"/>
    <x v="1"/>
  </r>
  <r>
    <n v="558"/>
    <x v="557"/>
    <n v="4.9305555555555554E-2"/>
    <n v="2002"/>
    <n v="150"/>
    <n v="77.46319444444444"/>
    <x v="3"/>
    <x v="2"/>
    <n v="1.7555555555555555"/>
    <s v="Slow"/>
    <x v="2"/>
    <n v="0"/>
    <x v="1"/>
    <x v="1"/>
  </r>
  <r>
    <n v="559"/>
    <x v="558"/>
    <n v="4.1666666666666666E-3"/>
    <n v="468"/>
    <n v="44"/>
    <n v="37.297222222222224"/>
    <x v="1"/>
    <x v="2"/>
    <n v="1.8756944444444443"/>
    <s v="Slow"/>
    <x v="2"/>
    <n v="0"/>
    <x v="1"/>
    <x v="1"/>
  </r>
  <r>
    <n v="560"/>
    <x v="559"/>
    <n v="4.2361111111111106E-2"/>
    <n v="3624"/>
    <n v="230"/>
    <n v="52.422222222222224"/>
    <x v="3"/>
    <x v="0"/>
    <n v="0.16805555555555554"/>
    <s v="Fast"/>
    <x v="1"/>
    <n v="1"/>
    <x v="0"/>
    <x v="0"/>
  </r>
  <r>
    <n v="561"/>
    <x v="560"/>
    <n v="5.3472222222222227E-2"/>
    <n v="391"/>
    <n v="172"/>
    <n v="30.336805555555557"/>
    <x v="2"/>
    <x v="3"/>
    <n v="2.1680555555555556"/>
    <s v="Slow"/>
    <x v="2"/>
    <n v="0"/>
    <x v="1"/>
    <x v="1"/>
  </r>
  <r>
    <n v="562"/>
    <x v="561"/>
    <n v="5.5555555555555558E-3"/>
    <n v="639"/>
    <n v="199"/>
    <n v="55.211111111111109"/>
    <x v="2"/>
    <x v="3"/>
    <n v="0.62916666666666665"/>
    <s v="Fast"/>
    <x v="1"/>
    <n v="0"/>
    <x v="1"/>
    <x v="1"/>
  </r>
  <r>
    <n v="563"/>
    <x v="562"/>
    <n v="4.8611111111111112E-3"/>
    <n v="4260"/>
    <n v="319"/>
    <n v="75.045833333333334"/>
    <x v="3"/>
    <x v="0"/>
    <n v="0.33402777777777781"/>
    <s v="Fast"/>
    <x v="1"/>
    <n v="0"/>
    <x v="1"/>
    <x v="1"/>
  </r>
  <r>
    <n v="564"/>
    <x v="563"/>
    <n v="5.2083333333333336E-2"/>
    <n v="1865"/>
    <n v="222"/>
    <n v="44.964583333333337"/>
    <x v="3"/>
    <x v="0"/>
    <n v="2.2111111111111112"/>
    <s v="Slow"/>
    <x v="2"/>
    <n v="0"/>
    <x v="1"/>
    <x v="1"/>
  </r>
  <r>
    <n v="565"/>
    <x v="564"/>
    <n v="4.4444444444444446E-2"/>
    <n v="2584"/>
    <n v="188"/>
    <n v="37.459722222222219"/>
    <x v="3"/>
    <x v="3"/>
    <n v="0.87708333333333333"/>
    <s v="Fast"/>
    <x v="2"/>
    <n v="0"/>
    <x v="1"/>
    <x v="1"/>
  </r>
  <r>
    <n v="566"/>
    <x v="565"/>
    <n v="5.9722222222222225E-2"/>
    <n v="3243"/>
    <n v="168"/>
    <n v="59.916666666666664"/>
    <x v="1"/>
    <x v="3"/>
    <n v="0.71458333333333324"/>
    <s v="Fast"/>
    <x v="1"/>
    <n v="0"/>
    <x v="1"/>
    <x v="1"/>
  </r>
  <r>
    <n v="567"/>
    <x v="566"/>
    <n v="5.2777777777777778E-2"/>
    <n v="4511"/>
    <n v="410"/>
    <n v="23.587500000000002"/>
    <x v="2"/>
    <x v="1"/>
    <n v="2.0416666666666665"/>
    <s v="Slow"/>
    <x v="0"/>
    <n v="0"/>
    <x v="1"/>
    <x v="1"/>
  </r>
  <r>
    <n v="568"/>
    <x v="567"/>
    <n v="4.5833333333333337E-2"/>
    <n v="2255"/>
    <n v="231"/>
    <n v="48.418749999999996"/>
    <x v="1"/>
    <x v="1"/>
    <n v="2.4187499999999997"/>
    <s v="Slow"/>
    <x v="1"/>
    <n v="0"/>
    <x v="1"/>
    <x v="1"/>
  </r>
  <r>
    <n v="569"/>
    <x v="568"/>
    <n v="5.5555555555555558E-3"/>
    <n v="1373"/>
    <n v="439"/>
    <n v="47.586111111111109"/>
    <x v="1"/>
    <x v="0"/>
    <n v="0.29305555555555557"/>
    <s v="Fast"/>
    <x v="0"/>
    <n v="1"/>
    <x v="0"/>
    <x v="0"/>
  </r>
  <r>
    <n v="570"/>
    <x v="569"/>
    <n v="4.7222222222222221E-2"/>
    <n v="351"/>
    <n v="67"/>
    <n v="21.625694444444445"/>
    <x v="1"/>
    <x v="3"/>
    <n v="0.88124999999999998"/>
    <s v="Fast"/>
    <x v="2"/>
    <n v="0"/>
    <x v="1"/>
    <x v="1"/>
  </r>
  <r>
    <n v="571"/>
    <x v="570"/>
    <n v="4.9999999999999996E-2"/>
    <n v="406"/>
    <n v="264"/>
    <n v="7.0888888888888886"/>
    <x v="0"/>
    <x v="1"/>
    <n v="1.8340277777777778"/>
    <s v="Slow"/>
    <x v="0"/>
    <n v="1"/>
    <x v="0"/>
    <x v="2"/>
  </r>
  <r>
    <n v="572"/>
    <x v="571"/>
    <n v="4.5138888888888888E-2"/>
    <n v="923"/>
    <n v="310"/>
    <n v="20.417361111111109"/>
    <x v="3"/>
    <x v="2"/>
    <n v="1.0027777777777778"/>
    <s v="Fast"/>
    <x v="2"/>
    <n v="0"/>
    <x v="1"/>
    <x v="1"/>
  </r>
  <r>
    <n v="573"/>
    <x v="572"/>
    <n v="6.3194444444444442E-2"/>
    <n v="2715"/>
    <n v="456"/>
    <n v="4.1680555555555552"/>
    <x v="2"/>
    <x v="3"/>
    <n v="0.21458333333333335"/>
    <s v="Fast"/>
    <x v="1"/>
    <n v="0"/>
    <x v="1"/>
    <x v="1"/>
  </r>
  <r>
    <n v="574"/>
    <x v="573"/>
    <n v="4.9305555555555554E-2"/>
    <n v="2519"/>
    <n v="421"/>
    <n v="11.169444444444444"/>
    <x v="1"/>
    <x v="2"/>
    <n v="2.588888888888889"/>
    <s v="Slow"/>
    <x v="0"/>
    <n v="0"/>
    <x v="1"/>
    <x v="1"/>
  </r>
  <r>
    <n v="575"/>
    <x v="574"/>
    <n v="6.805555555555555E-2"/>
    <n v="2586"/>
    <n v="370"/>
    <n v="50.418055555555554"/>
    <x v="3"/>
    <x v="2"/>
    <n v="0.66875000000000007"/>
    <s v="Fast"/>
    <x v="0"/>
    <n v="1"/>
    <x v="0"/>
    <x v="0"/>
  </r>
  <r>
    <n v="576"/>
    <x v="575"/>
    <n v="5.2777777777777778E-2"/>
    <n v="4918"/>
    <n v="428"/>
    <n v="5.5055555555555555"/>
    <x v="2"/>
    <x v="0"/>
    <n v="1.752777777777778"/>
    <s v="Slow"/>
    <x v="1"/>
    <n v="0"/>
    <x v="1"/>
    <x v="1"/>
  </r>
  <r>
    <n v="577"/>
    <x v="576"/>
    <n v="4.5833333333333337E-2"/>
    <n v="432"/>
    <n v="148"/>
    <n v="68.416666666666671"/>
    <x v="2"/>
    <x v="2"/>
    <n v="2.8333333333333335"/>
    <s v="Slow"/>
    <x v="0"/>
    <n v="0"/>
    <x v="1"/>
    <x v="1"/>
  </r>
  <r>
    <n v="578"/>
    <x v="577"/>
    <n v="6.1111111111111109E-2"/>
    <n v="2130"/>
    <n v="469"/>
    <n v="10.792361111111111"/>
    <x v="1"/>
    <x v="3"/>
    <n v="1.54375"/>
    <s v="Slow"/>
    <x v="2"/>
    <n v="0"/>
    <x v="1"/>
    <x v="1"/>
  </r>
  <r>
    <n v="579"/>
    <x v="578"/>
    <n v="6.1805555555555558E-2"/>
    <n v="1552"/>
    <n v="124"/>
    <n v="7.000694444444445"/>
    <x v="1"/>
    <x v="2"/>
    <n v="0.75486111111111109"/>
    <s v="Fast"/>
    <x v="2"/>
    <n v="0"/>
    <x v="1"/>
    <x v="1"/>
  </r>
  <r>
    <n v="580"/>
    <x v="579"/>
    <n v="6.5972222222222224E-2"/>
    <n v="2108"/>
    <n v="492"/>
    <n v="2.7145833333333336"/>
    <x v="0"/>
    <x v="2"/>
    <n v="0.91805555555555562"/>
    <s v="Fast"/>
    <x v="1"/>
    <n v="1"/>
    <x v="0"/>
    <x v="0"/>
  </r>
  <r>
    <n v="581"/>
    <x v="580"/>
    <n v="4.5138888888888888E-2"/>
    <n v="4173"/>
    <n v="498"/>
    <n v="25.422916666666666"/>
    <x v="0"/>
    <x v="2"/>
    <n v="2.7104166666666667"/>
    <s v="Slow"/>
    <x v="0"/>
    <n v="0"/>
    <x v="1"/>
    <x v="1"/>
  </r>
  <r>
    <n v="582"/>
    <x v="581"/>
    <n v="6.3888888888888898E-2"/>
    <n v="3981"/>
    <n v="197"/>
    <n v="47.87638888888889"/>
    <x v="2"/>
    <x v="3"/>
    <n v="0.37708333333333338"/>
    <s v="Fast"/>
    <x v="1"/>
    <n v="1"/>
    <x v="0"/>
    <x v="0"/>
  </r>
  <r>
    <n v="583"/>
    <x v="582"/>
    <n v="6.5277777777777782E-2"/>
    <n v="814"/>
    <n v="415"/>
    <n v="38.583333333333336"/>
    <x v="1"/>
    <x v="0"/>
    <n v="2.4222222222222221"/>
    <s v="Slow"/>
    <x v="0"/>
    <n v="0"/>
    <x v="1"/>
    <x v="1"/>
  </r>
  <r>
    <n v="584"/>
    <x v="583"/>
    <n v="4.9999999999999996E-2"/>
    <n v="1531"/>
    <n v="102"/>
    <n v="60.046527777777776"/>
    <x v="2"/>
    <x v="0"/>
    <n v="0.83750000000000002"/>
    <s v="Fast"/>
    <x v="0"/>
    <n v="0"/>
    <x v="1"/>
    <x v="1"/>
  </r>
  <r>
    <n v="585"/>
    <x v="584"/>
    <n v="5.4166666666666669E-2"/>
    <n v="1211"/>
    <n v="85"/>
    <n v="76.547916666666666"/>
    <x v="1"/>
    <x v="1"/>
    <n v="4.2361111111111106E-2"/>
    <s v="Fast"/>
    <x v="2"/>
    <n v="0"/>
    <x v="1"/>
    <x v="1"/>
  </r>
  <r>
    <n v="586"/>
    <x v="585"/>
    <n v="5.9027777777777783E-2"/>
    <n v="530"/>
    <n v="46"/>
    <n v="60.672222222222224"/>
    <x v="0"/>
    <x v="1"/>
    <n v="1.1729166666666666"/>
    <s v="Fast"/>
    <x v="0"/>
    <n v="1"/>
    <x v="0"/>
    <x v="2"/>
  </r>
  <r>
    <n v="587"/>
    <x v="586"/>
    <n v="4.8611111111111112E-3"/>
    <n v="1596"/>
    <n v="409"/>
    <n v="22.417361111111109"/>
    <x v="1"/>
    <x v="0"/>
    <n v="0.33611111111111108"/>
    <s v="Fast"/>
    <x v="0"/>
    <n v="1"/>
    <x v="0"/>
    <x v="0"/>
  </r>
  <r>
    <n v="588"/>
    <x v="587"/>
    <n v="6.5972222222222224E-2"/>
    <n v="3038"/>
    <n v="176"/>
    <n v="3.254861111111111"/>
    <x v="2"/>
    <x v="1"/>
    <n v="0.16666666666666666"/>
    <s v="Fast"/>
    <x v="0"/>
    <n v="0"/>
    <x v="1"/>
    <x v="1"/>
  </r>
  <r>
    <n v="589"/>
    <x v="588"/>
    <n v="6.1111111111111109E-2"/>
    <n v="1449"/>
    <n v="477"/>
    <n v="55.631250000000001"/>
    <x v="3"/>
    <x v="1"/>
    <n v="2.2534722222222223"/>
    <s v="Slow"/>
    <x v="2"/>
    <n v="0"/>
    <x v="1"/>
    <x v="1"/>
  </r>
  <r>
    <n v="590"/>
    <x v="589"/>
    <n v="6.5277777777777782E-2"/>
    <n v="2552"/>
    <n v="60"/>
    <n v="6.1701388888888893"/>
    <x v="3"/>
    <x v="3"/>
    <n v="2.8333333333333335"/>
    <s v="Slow"/>
    <x v="2"/>
    <n v="0"/>
    <x v="1"/>
    <x v="1"/>
  </r>
  <r>
    <n v="591"/>
    <x v="590"/>
    <n v="5.4166666666666669E-2"/>
    <n v="3769"/>
    <n v="73"/>
    <n v="44.422222222222224"/>
    <x v="2"/>
    <x v="2"/>
    <n v="1.6722222222222223"/>
    <s v="Slow"/>
    <x v="2"/>
    <n v="0"/>
    <x v="1"/>
    <x v="1"/>
  </r>
  <r>
    <n v="592"/>
    <x v="591"/>
    <n v="5.6250000000000001E-2"/>
    <n v="2510"/>
    <n v="69"/>
    <n v="30.293055555555554"/>
    <x v="3"/>
    <x v="3"/>
    <n v="1.2958333333333334"/>
    <s v="Fast"/>
    <x v="2"/>
    <n v="1"/>
    <x v="0"/>
    <x v="0"/>
  </r>
  <r>
    <n v="593"/>
    <x v="592"/>
    <n v="4.7222222222222221E-2"/>
    <n v="535"/>
    <n v="328"/>
    <n v="52.297222222222224"/>
    <x v="1"/>
    <x v="2"/>
    <n v="1.1256944444444443"/>
    <s v="Fast"/>
    <x v="1"/>
    <n v="0"/>
    <x v="1"/>
    <x v="1"/>
  </r>
  <r>
    <n v="594"/>
    <x v="593"/>
    <n v="5.0694444444444438E-2"/>
    <n v="758"/>
    <n v="157"/>
    <n v="68.711111111111109"/>
    <x v="1"/>
    <x v="0"/>
    <n v="0.66805555555555562"/>
    <s v="Fast"/>
    <x v="2"/>
    <n v="0"/>
    <x v="1"/>
    <x v="1"/>
  </r>
  <r>
    <n v="595"/>
    <x v="594"/>
    <n v="6.1805555555555558E-2"/>
    <n v="731"/>
    <n v="217"/>
    <n v="44.21319444444444"/>
    <x v="2"/>
    <x v="1"/>
    <n v="0.33680555555555558"/>
    <s v="Fast"/>
    <x v="0"/>
    <n v="0"/>
    <x v="1"/>
    <x v="1"/>
  </r>
  <r>
    <n v="596"/>
    <x v="595"/>
    <n v="6.805555555555555E-2"/>
    <n v="3204"/>
    <n v="476"/>
    <n v="50.83680555555555"/>
    <x v="3"/>
    <x v="3"/>
    <n v="2.2520833333333332"/>
    <s v="Slow"/>
    <x v="0"/>
    <n v="1"/>
    <x v="0"/>
    <x v="0"/>
  </r>
  <r>
    <n v="597"/>
    <x v="596"/>
    <n v="4.5833333333333337E-2"/>
    <n v="1679"/>
    <n v="333"/>
    <n v="65.712499999999991"/>
    <x v="3"/>
    <x v="1"/>
    <n v="2.1277777777777778"/>
    <s v="Slow"/>
    <x v="0"/>
    <n v="1"/>
    <x v="0"/>
    <x v="2"/>
  </r>
  <r>
    <n v="598"/>
    <x v="597"/>
    <n v="4.3055555555555562E-2"/>
    <n v="3739"/>
    <n v="11"/>
    <n v="27.417361111111109"/>
    <x v="1"/>
    <x v="2"/>
    <n v="1.875"/>
    <s v="Slow"/>
    <x v="1"/>
    <n v="0"/>
    <x v="1"/>
    <x v="1"/>
  </r>
  <r>
    <n v="599"/>
    <x v="598"/>
    <n v="4.3750000000000004E-2"/>
    <n v="1660"/>
    <n v="161"/>
    <n v="52.795833333333327"/>
    <x v="1"/>
    <x v="1"/>
    <n v="1.9173611111111111"/>
    <s v="Slow"/>
    <x v="1"/>
    <n v="0"/>
    <x v="1"/>
    <x v="1"/>
  </r>
  <r>
    <n v="600"/>
    <x v="599"/>
    <n v="5.3472222222222227E-2"/>
    <n v="2580"/>
    <n v="371"/>
    <n v="6.0465277777777784"/>
    <x v="1"/>
    <x v="2"/>
    <n v="4.7916666666666663E-2"/>
    <s v="Fast"/>
    <x v="1"/>
    <n v="1"/>
    <x v="0"/>
    <x v="0"/>
  </r>
  <r>
    <n v="601"/>
    <x v="600"/>
    <n v="6.3888888888888898E-2"/>
    <n v="3806"/>
    <n v="135"/>
    <n v="26.296527777777779"/>
    <x v="1"/>
    <x v="0"/>
    <n v="2.7972222222222225"/>
    <s v="Slow"/>
    <x v="0"/>
    <n v="1"/>
    <x v="0"/>
    <x v="0"/>
  </r>
  <r>
    <n v="602"/>
    <x v="601"/>
    <n v="4.7916666666666663E-2"/>
    <n v="4312"/>
    <n v="110"/>
    <n v="39.917361111111113"/>
    <x v="2"/>
    <x v="1"/>
    <n v="0.91666666666666663"/>
    <s v="Fast"/>
    <x v="2"/>
    <n v="1"/>
    <x v="0"/>
    <x v="2"/>
  </r>
  <r>
    <n v="603"/>
    <x v="602"/>
    <n v="5.486111111111111E-2"/>
    <n v="4349"/>
    <n v="156"/>
    <n v="79.919444444444437"/>
    <x v="1"/>
    <x v="2"/>
    <n v="1.2131944444444445"/>
    <s v="Fast"/>
    <x v="0"/>
    <n v="0"/>
    <x v="1"/>
    <x v="1"/>
  </r>
  <r>
    <n v="604"/>
    <x v="603"/>
    <n v="5.6250000000000001E-2"/>
    <n v="4734"/>
    <n v="67"/>
    <n v="14.166666666666666"/>
    <x v="3"/>
    <x v="3"/>
    <n v="0.375"/>
    <s v="Fast"/>
    <x v="0"/>
    <n v="1"/>
    <x v="0"/>
    <x v="0"/>
  </r>
  <r>
    <n v="605"/>
    <x v="604"/>
    <n v="6.5277777777777782E-2"/>
    <n v="2981"/>
    <n v="287"/>
    <n v="62.291666666666664"/>
    <x v="2"/>
    <x v="2"/>
    <n v="1.8347222222222221"/>
    <s v="Slow"/>
    <x v="0"/>
    <n v="1"/>
    <x v="0"/>
    <x v="0"/>
  </r>
  <r>
    <n v="606"/>
    <x v="605"/>
    <n v="4.6527777777777779E-2"/>
    <n v="1901"/>
    <n v="96"/>
    <n v="64.211111111111109"/>
    <x v="3"/>
    <x v="1"/>
    <n v="8.8888888888888892E-2"/>
    <s v="Fast"/>
    <x v="2"/>
    <n v="0"/>
    <x v="1"/>
    <x v="1"/>
  </r>
  <r>
    <n v="607"/>
    <x v="606"/>
    <n v="4.2361111111111106E-2"/>
    <n v="1568"/>
    <n v="150"/>
    <n v="39.584027777777777"/>
    <x v="0"/>
    <x v="2"/>
    <n v="1.2916666666666667"/>
    <s v="Fast"/>
    <x v="0"/>
    <n v="0"/>
    <x v="1"/>
    <x v="1"/>
  </r>
  <r>
    <n v="608"/>
    <x v="607"/>
    <n v="5.5555555555555558E-3"/>
    <n v="861"/>
    <n v="426"/>
    <n v="12.545833333333334"/>
    <x v="1"/>
    <x v="2"/>
    <n v="8.5416666666666655E-2"/>
    <s v="Fast"/>
    <x v="2"/>
    <n v="0"/>
    <x v="1"/>
    <x v="1"/>
  </r>
  <r>
    <n v="609"/>
    <x v="608"/>
    <n v="5.1388888888888894E-2"/>
    <n v="1743"/>
    <n v="491"/>
    <n v="16.00138888888889"/>
    <x v="2"/>
    <x v="0"/>
    <n v="1.1701388888888888"/>
    <s v="Fast"/>
    <x v="0"/>
    <n v="0"/>
    <x v="1"/>
    <x v="1"/>
  </r>
  <r>
    <n v="610"/>
    <x v="609"/>
    <n v="4.9999999999999996E-2"/>
    <n v="304"/>
    <n v="452"/>
    <n v="25.419444444444448"/>
    <x v="1"/>
    <x v="1"/>
    <n v="0.25069444444444444"/>
    <s v="Fast"/>
    <x v="0"/>
    <n v="1"/>
    <x v="0"/>
    <x v="2"/>
  </r>
  <r>
    <n v="611"/>
    <x v="610"/>
    <n v="6.3194444444444442E-2"/>
    <n v="2187"/>
    <n v="174"/>
    <n v="51.589583333333337"/>
    <x v="2"/>
    <x v="2"/>
    <n v="1.0430555555555556"/>
    <s v="Fast"/>
    <x v="0"/>
    <n v="0"/>
    <x v="1"/>
    <x v="1"/>
  </r>
  <r>
    <n v="612"/>
    <x v="611"/>
    <n v="6.0416666666666667E-2"/>
    <n v="1390"/>
    <n v="83"/>
    <n v="0.25416666666666665"/>
    <x v="0"/>
    <x v="3"/>
    <n v="2.9173611111111111"/>
    <s v="Slow"/>
    <x v="1"/>
    <n v="0"/>
    <x v="1"/>
    <x v="1"/>
  </r>
  <r>
    <n v="613"/>
    <x v="612"/>
    <n v="4.3750000000000004E-2"/>
    <n v="1100"/>
    <n v="436"/>
    <n v="65.421527777777769"/>
    <x v="3"/>
    <x v="1"/>
    <n v="1.4631944444444445"/>
    <s v="Fast"/>
    <x v="0"/>
    <n v="0"/>
    <x v="1"/>
    <x v="1"/>
  </r>
  <r>
    <n v="614"/>
    <x v="613"/>
    <n v="5.6944444444444443E-2"/>
    <n v="1112"/>
    <n v="302"/>
    <n v="20.045833333333334"/>
    <x v="2"/>
    <x v="1"/>
    <n v="1.0881944444444445"/>
    <s v="Fast"/>
    <x v="0"/>
    <n v="0"/>
    <x v="1"/>
    <x v="1"/>
  </r>
  <r>
    <n v="615"/>
    <x v="614"/>
    <n v="6.3888888888888898E-2"/>
    <n v="168"/>
    <n v="17"/>
    <n v="53.671527777777776"/>
    <x v="3"/>
    <x v="1"/>
    <n v="2.7083333333333335"/>
    <s v="Slow"/>
    <x v="1"/>
    <n v="0"/>
    <x v="1"/>
    <x v="1"/>
  </r>
  <r>
    <n v="616"/>
    <x v="615"/>
    <n v="6.6666666666666666E-2"/>
    <n v="1977"/>
    <n v="408"/>
    <n v="64.375"/>
    <x v="2"/>
    <x v="1"/>
    <n v="0.5"/>
    <s v="Fast"/>
    <x v="2"/>
    <n v="0"/>
    <x v="1"/>
    <x v="1"/>
  </r>
  <r>
    <n v="617"/>
    <x v="616"/>
    <n v="4.1666666666666666E-3"/>
    <n v="615"/>
    <n v="253"/>
    <n v="13.583333333333334"/>
    <x v="2"/>
    <x v="0"/>
    <n v="1.6312499999999999"/>
    <s v="Slow"/>
    <x v="0"/>
    <n v="0"/>
    <x v="1"/>
    <x v="1"/>
  </r>
  <r>
    <n v="618"/>
    <x v="617"/>
    <n v="6.3888888888888898E-2"/>
    <n v="2145"/>
    <n v="396"/>
    <n v="72.588888888888889"/>
    <x v="3"/>
    <x v="3"/>
    <n v="1.9618055555555556"/>
    <s v="Slow"/>
    <x v="0"/>
    <n v="0"/>
    <x v="1"/>
    <x v="1"/>
  </r>
  <r>
    <n v="619"/>
    <x v="618"/>
    <n v="4.3055555555555562E-2"/>
    <n v="475"/>
    <n v="438"/>
    <n v="46.209722222222219"/>
    <x v="1"/>
    <x v="0"/>
    <n v="1.3770833333333332"/>
    <s v="Fast"/>
    <x v="2"/>
    <n v="0"/>
    <x v="1"/>
    <x v="1"/>
  </r>
  <r>
    <n v="620"/>
    <x v="619"/>
    <n v="6.0416666666666667E-2"/>
    <n v="1817"/>
    <n v="286"/>
    <n v="80.629166666666663"/>
    <x v="2"/>
    <x v="2"/>
    <n v="2.2513888888888887"/>
    <s v="Slow"/>
    <x v="0"/>
    <n v="1"/>
    <x v="0"/>
    <x v="0"/>
  </r>
  <r>
    <n v="621"/>
    <x v="620"/>
    <n v="5.8333333333333327E-2"/>
    <n v="1744"/>
    <n v="303"/>
    <n v="82.046527777777769"/>
    <x v="1"/>
    <x v="2"/>
    <n v="0.25347222222222221"/>
    <s v="Fast"/>
    <x v="1"/>
    <n v="1"/>
    <x v="0"/>
    <x v="0"/>
  </r>
  <r>
    <n v="622"/>
    <x v="621"/>
    <n v="6.805555555555555E-2"/>
    <n v="1519"/>
    <n v="269"/>
    <n v="52.71180555555555"/>
    <x v="0"/>
    <x v="1"/>
    <n v="8.5416666666666655E-2"/>
    <s v="Fast"/>
    <x v="0"/>
    <n v="0"/>
    <x v="1"/>
    <x v="1"/>
  </r>
  <r>
    <n v="623"/>
    <x v="622"/>
    <n v="5.9027777777777783E-2"/>
    <n v="3217"/>
    <n v="87"/>
    <n v="18.964583333333334"/>
    <x v="0"/>
    <x v="0"/>
    <n v="2.8354166666666667"/>
    <s v="Slow"/>
    <x v="1"/>
    <n v="0"/>
    <x v="1"/>
    <x v="1"/>
  </r>
  <r>
    <n v="624"/>
    <x v="623"/>
    <n v="4.3750000000000004E-2"/>
    <n v="2944"/>
    <n v="465"/>
    <n v="83.167361111111106"/>
    <x v="2"/>
    <x v="1"/>
    <n v="0.21041666666666667"/>
    <s v="Fast"/>
    <x v="0"/>
    <n v="1"/>
    <x v="0"/>
    <x v="2"/>
  </r>
  <r>
    <n v="625"/>
    <x v="624"/>
    <n v="6.0416666666666667E-2"/>
    <n v="4249"/>
    <n v="430"/>
    <n v="67.544444444444437"/>
    <x v="3"/>
    <x v="1"/>
    <n v="1.8805555555555555"/>
    <s v="Slow"/>
    <x v="1"/>
    <n v="0"/>
    <x v="1"/>
    <x v="1"/>
  </r>
  <r>
    <n v="626"/>
    <x v="625"/>
    <n v="4.8611111111111112E-3"/>
    <n v="2343"/>
    <n v="97"/>
    <n v="81.542361111111106"/>
    <x v="2"/>
    <x v="2"/>
    <n v="2.0013888888888887"/>
    <s v="Slow"/>
    <x v="2"/>
    <n v="0"/>
    <x v="1"/>
    <x v="1"/>
  </r>
  <r>
    <n v="627"/>
    <x v="626"/>
    <n v="6.458333333333334E-2"/>
    <n v="3668"/>
    <n v="411"/>
    <n v="52.587499999999999"/>
    <x v="2"/>
    <x v="3"/>
    <n v="0.91666666666666663"/>
    <s v="Fast"/>
    <x v="0"/>
    <n v="0"/>
    <x v="1"/>
    <x v="1"/>
  </r>
  <r>
    <n v="628"/>
    <x v="627"/>
    <n v="4.2361111111111106E-2"/>
    <n v="1958"/>
    <n v="30"/>
    <n v="42.958333333333336"/>
    <x v="1"/>
    <x v="1"/>
    <n v="1.377777777777778"/>
    <s v="Fast"/>
    <x v="0"/>
    <n v="0"/>
    <x v="1"/>
    <x v="1"/>
  </r>
  <r>
    <n v="629"/>
    <x v="628"/>
    <n v="5.0694444444444438E-2"/>
    <n v="3261"/>
    <n v="143"/>
    <n v="78.547222222222231"/>
    <x v="2"/>
    <x v="2"/>
    <n v="2.7930555555555556"/>
    <s v="Slow"/>
    <x v="2"/>
    <n v="0"/>
    <x v="1"/>
    <x v="1"/>
  </r>
  <r>
    <n v="630"/>
    <x v="629"/>
    <n v="6.0416666666666667E-2"/>
    <n v="2229"/>
    <n v="395"/>
    <n v="61.00138888888889"/>
    <x v="2"/>
    <x v="0"/>
    <n v="2.5861111111111112"/>
    <s v="Slow"/>
    <x v="0"/>
    <n v="0"/>
    <x v="1"/>
    <x v="1"/>
  </r>
  <r>
    <n v="631"/>
    <x v="630"/>
    <n v="4.5833333333333337E-2"/>
    <n v="891"/>
    <n v="58"/>
    <n v="17.797916666666666"/>
    <x v="2"/>
    <x v="0"/>
    <n v="0.29791666666666666"/>
    <s v="Fast"/>
    <x v="1"/>
    <n v="0"/>
    <x v="1"/>
    <x v="1"/>
  </r>
  <r>
    <n v="632"/>
    <x v="631"/>
    <n v="5.9722222222222225E-2"/>
    <n v="3672"/>
    <n v="420"/>
    <n v="52.584722222222219"/>
    <x v="3"/>
    <x v="1"/>
    <n v="2.3354166666666667"/>
    <s v="Slow"/>
    <x v="1"/>
    <n v="0"/>
    <x v="1"/>
    <x v="1"/>
  </r>
  <r>
    <n v="633"/>
    <x v="632"/>
    <n v="6.1111111111111109E-2"/>
    <n v="3672"/>
    <n v="434"/>
    <n v="49.00138888888889"/>
    <x v="3"/>
    <x v="2"/>
    <n v="1.7111111111111112"/>
    <s v="Slow"/>
    <x v="0"/>
    <n v="0"/>
    <x v="1"/>
    <x v="1"/>
  </r>
  <r>
    <n v="634"/>
    <x v="633"/>
    <n v="6.1805555555555558E-2"/>
    <n v="3926"/>
    <n v="162"/>
    <n v="68.547916666666666"/>
    <x v="0"/>
    <x v="2"/>
    <n v="1.0854166666666667"/>
    <s v="Fast"/>
    <x v="1"/>
    <n v="0"/>
    <x v="1"/>
    <x v="1"/>
  </r>
  <r>
    <n v="635"/>
    <x v="634"/>
    <n v="6.5972222222222224E-2"/>
    <n v="3714"/>
    <n v="214"/>
    <n v="13.708333333333334"/>
    <x v="1"/>
    <x v="0"/>
    <n v="0.54513888888888895"/>
    <s v="Fast"/>
    <x v="2"/>
    <n v="0"/>
    <x v="1"/>
    <x v="1"/>
  </r>
  <r>
    <n v="636"/>
    <x v="635"/>
    <n v="5.3472222222222227E-2"/>
    <n v="1004"/>
    <n v="342"/>
    <n v="71.504861111111111"/>
    <x v="0"/>
    <x v="3"/>
    <n v="1.4194444444444445"/>
    <s v="Fast"/>
    <x v="1"/>
    <n v="0"/>
    <x v="1"/>
    <x v="1"/>
  </r>
  <r>
    <n v="637"/>
    <x v="636"/>
    <n v="4.5833333333333337E-2"/>
    <n v="687"/>
    <n v="125"/>
    <n v="71.209722222222226"/>
    <x v="3"/>
    <x v="3"/>
    <n v="1.2513888888888889"/>
    <s v="Fast"/>
    <x v="0"/>
    <n v="1"/>
    <x v="0"/>
    <x v="0"/>
  </r>
  <r>
    <n v="638"/>
    <x v="637"/>
    <n v="4.8611111111111112E-3"/>
    <n v="4062"/>
    <n v="490"/>
    <n v="9.8763888888888882"/>
    <x v="0"/>
    <x v="3"/>
    <n v="1.3347222222222221"/>
    <s v="Fast"/>
    <x v="1"/>
    <n v="0"/>
    <x v="1"/>
    <x v="1"/>
  </r>
  <r>
    <n v="639"/>
    <x v="638"/>
    <n v="5.2777777777777778E-2"/>
    <n v="4160"/>
    <n v="149"/>
    <n v="9.9638888888888886"/>
    <x v="3"/>
    <x v="3"/>
    <n v="0.58680555555555558"/>
    <s v="Fast"/>
    <x v="0"/>
    <n v="0"/>
    <x v="1"/>
    <x v="1"/>
  </r>
  <r>
    <n v="640"/>
    <x v="639"/>
    <n v="4.3055555555555562E-2"/>
    <n v="3623"/>
    <n v="47"/>
    <n v="34.463194444444447"/>
    <x v="1"/>
    <x v="0"/>
    <n v="2.2104166666666667"/>
    <s v="Slow"/>
    <x v="0"/>
    <n v="1"/>
    <x v="0"/>
    <x v="0"/>
  </r>
  <r>
    <n v="641"/>
    <x v="640"/>
    <n v="6.1111111111111109E-2"/>
    <n v="2911"/>
    <n v="457"/>
    <n v="27.542361111111109"/>
    <x v="2"/>
    <x v="3"/>
    <n v="1.211111111111111"/>
    <s v="Fast"/>
    <x v="1"/>
    <n v="0"/>
    <x v="1"/>
    <x v="1"/>
  </r>
  <r>
    <n v="642"/>
    <x v="641"/>
    <n v="4.3750000000000004E-2"/>
    <n v="2478"/>
    <n v="334"/>
    <n v="62.754166666666663"/>
    <x v="3"/>
    <x v="0"/>
    <n v="1.1256944444444443"/>
    <s v="Fast"/>
    <x v="2"/>
    <n v="0"/>
    <x v="1"/>
    <x v="1"/>
  </r>
  <r>
    <n v="643"/>
    <x v="642"/>
    <n v="4.3055555555555562E-2"/>
    <n v="3348"/>
    <n v="497"/>
    <n v="5.667361111111112"/>
    <x v="3"/>
    <x v="1"/>
    <n v="8.7500000000000008E-2"/>
    <s v="Fast"/>
    <x v="2"/>
    <n v="1"/>
    <x v="0"/>
    <x v="2"/>
  </r>
  <r>
    <n v="644"/>
    <x v="643"/>
    <n v="6.7361111111111108E-2"/>
    <n v="1424"/>
    <n v="13"/>
    <n v="44.631250000000001"/>
    <x v="2"/>
    <x v="1"/>
    <n v="0.12708333333333333"/>
    <s v="Fast"/>
    <x v="2"/>
    <n v="0"/>
    <x v="1"/>
    <x v="1"/>
  </r>
  <r>
    <n v="645"/>
    <x v="644"/>
    <n v="6.3888888888888898E-2"/>
    <n v="3287"/>
    <n v="251"/>
    <n v="21.087500000000002"/>
    <x v="0"/>
    <x v="2"/>
    <n v="1.3798611111111112"/>
    <s v="Fast"/>
    <x v="1"/>
    <n v="0"/>
    <x v="1"/>
    <x v="1"/>
  </r>
  <r>
    <n v="646"/>
    <x v="645"/>
    <n v="4.8611111111111112E-3"/>
    <n v="1634"/>
    <n v="354"/>
    <n v="69.922222222222231"/>
    <x v="1"/>
    <x v="1"/>
    <n v="1.3805555555555555"/>
    <s v="Fast"/>
    <x v="1"/>
    <n v="0"/>
    <x v="1"/>
    <x v="1"/>
  </r>
  <r>
    <n v="647"/>
    <x v="646"/>
    <n v="5.1388888888888894E-2"/>
    <n v="4909"/>
    <n v="79"/>
    <n v="41.254861111111111"/>
    <x v="3"/>
    <x v="2"/>
    <n v="2.0458333333333334"/>
    <s v="Slow"/>
    <x v="0"/>
    <n v="0"/>
    <x v="1"/>
    <x v="1"/>
  </r>
  <r>
    <n v="648"/>
    <x v="647"/>
    <n v="6.458333333333334E-2"/>
    <n v="67"/>
    <n v="13"/>
    <n v="49.71319444444444"/>
    <x v="0"/>
    <x v="3"/>
    <n v="0.4201388888888889"/>
    <s v="Fast"/>
    <x v="1"/>
    <n v="1"/>
    <x v="0"/>
    <x v="0"/>
  </r>
  <r>
    <n v="649"/>
    <x v="648"/>
    <n v="5.9027777777777783E-2"/>
    <n v="4632"/>
    <n v="214"/>
    <n v="4.333333333333333"/>
    <x v="0"/>
    <x v="2"/>
    <n v="2.7937499999999997"/>
    <s v="Slow"/>
    <x v="0"/>
    <n v="0"/>
    <x v="1"/>
    <x v="1"/>
  </r>
  <r>
    <n v="650"/>
    <x v="649"/>
    <n v="4.9305555555555554E-2"/>
    <n v="1155"/>
    <n v="53"/>
    <n v="75.750694444444449"/>
    <x v="1"/>
    <x v="2"/>
    <n v="0.46319444444444446"/>
    <s v="Fast"/>
    <x v="1"/>
    <n v="0"/>
    <x v="1"/>
    <x v="1"/>
  </r>
  <r>
    <n v="651"/>
    <x v="650"/>
    <n v="5.4166666666666669E-2"/>
    <n v="4409"/>
    <n v="296"/>
    <n v="33.922222222222224"/>
    <x v="1"/>
    <x v="3"/>
    <n v="2.5465277777777779"/>
    <s v="Slow"/>
    <x v="2"/>
    <n v="0"/>
    <x v="1"/>
    <x v="1"/>
  </r>
  <r>
    <n v="652"/>
    <x v="651"/>
    <n v="6.5277777777777782E-2"/>
    <n v="862"/>
    <n v="444"/>
    <n v="59.753472222222221"/>
    <x v="3"/>
    <x v="3"/>
    <n v="0.3756944444444445"/>
    <s v="Fast"/>
    <x v="1"/>
    <n v="0"/>
    <x v="1"/>
    <x v="1"/>
  </r>
  <r>
    <n v="653"/>
    <x v="652"/>
    <n v="4.1666666666666666E-3"/>
    <n v="314"/>
    <n v="204"/>
    <n v="18.087500000000002"/>
    <x v="2"/>
    <x v="3"/>
    <n v="0.91666666666666663"/>
    <s v="Fast"/>
    <x v="0"/>
    <n v="0"/>
    <x v="1"/>
    <x v="1"/>
  </r>
  <r>
    <n v="654"/>
    <x v="653"/>
    <n v="4.1666666666666664E-2"/>
    <n v="981"/>
    <n v="282"/>
    <n v="42.041666666666664"/>
    <x v="3"/>
    <x v="0"/>
    <n v="4.3055555555555562E-2"/>
    <s v="Fast"/>
    <x v="0"/>
    <n v="0"/>
    <x v="1"/>
    <x v="1"/>
  </r>
  <r>
    <n v="655"/>
    <x v="654"/>
    <n v="5.7638888888888885E-2"/>
    <n v="1833"/>
    <n v="352"/>
    <n v="66.712499999999991"/>
    <x v="3"/>
    <x v="3"/>
    <n v="2.7944444444444443"/>
    <s v="Slow"/>
    <x v="0"/>
    <n v="1"/>
    <x v="0"/>
    <x v="0"/>
  </r>
  <r>
    <n v="656"/>
    <x v="655"/>
    <n v="4.6527777777777779E-2"/>
    <n v="1064"/>
    <n v="228"/>
    <n v="27.545138888888889"/>
    <x v="2"/>
    <x v="2"/>
    <n v="4.6527777777777779E-2"/>
    <s v="Fast"/>
    <x v="2"/>
    <n v="1"/>
    <x v="0"/>
    <x v="0"/>
  </r>
  <r>
    <n v="657"/>
    <x v="656"/>
    <n v="6.3888888888888898E-2"/>
    <n v="317"/>
    <n v="84"/>
    <n v="26.795138888888889"/>
    <x v="1"/>
    <x v="0"/>
    <n v="0.91736111111111107"/>
    <s v="Fast"/>
    <x v="0"/>
    <n v="0"/>
    <x v="1"/>
    <x v="1"/>
  </r>
  <r>
    <n v="658"/>
    <x v="657"/>
    <n v="4.3750000000000004E-2"/>
    <n v="4067"/>
    <n v="433"/>
    <n v="54.50138888888889"/>
    <x v="2"/>
    <x v="2"/>
    <n v="2.4631944444444445"/>
    <s v="Slow"/>
    <x v="2"/>
    <n v="0"/>
    <x v="1"/>
    <x v="1"/>
  </r>
  <r>
    <n v="659"/>
    <x v="658"/>
    <n v="5.2777777777777778E-2"/>
    <n v="3206"/>
    <n v="132"/>
    <n v="16.463194444444444"/>
    <x v="1"/>
    <x v="3"/>
    <n v="1.8375000000000001"/>
    <s v="Slow"/>
    <x v="1"/>
    <n v="1"/>
    <x v="0"/>
    <x v="0"/>
  </r>
  <r>
    <n v="660"/>
    <x v="659"/>
    <n v="5.7638888888888885E-2"/>
    <n v="3543"/>
    <n v="126"/>
    <n v="49.793055555555554"/>
    <x v="0"/>
    <x v="3"/>
    <n v="1.5055555555555555"/>
    <s v="Slow"/>
    <x v="1"/>
    <n v="0"/>
    <x v="1"/>
    <x v="1"/>
  </r>
  <r>
    <n v="661"/>
    <x v="660"/>
    <n v="4.8611111111111112E-3"/>
    <n v="1066"/>
    <n v="119"/>
    <n v="46.921527777777776"/>
    <x v="2"/>
    <x v="3"/>
    <n v="1.2104166666666667"/>
    <s v="Fast"/>
    <x v="0"/>
    <n v="0"/>
    <x v="1"/>
    <x v="1"/>
  </r>
  <r>
    <n v="662"/>
    <x v="661"/>
    <n v="6.5972222222222224E-2"/>
    <n v="2893"/>
    <n v="46"/>
    <n v="74.046527777777769"/>
    <x v="0"/>
    <x v="3"/>
    <n v="1.9173611111111111"/>
    <s v="Slow"/>
    <x v="1"/>
    <n v="0"/>
    <x v="1"/>
    <x v="1"/>
  </r>
  <r>
    <n v="663"/>
    <x v="662"/>
    <n v="6.1111111111111109E-2"/>
    <n v="2316"/>
    <n v="2"/>
    <n v="24.920833333333334"/>
    <x v="0"/>
    <x v="0"/>
    <n v="0.50069444444444444"/>
    <s v="Fast"/>
    <x v="0"/>
    <n v="1"/>
    <x v="0"/>
    <x v="0"/>
  </r>
  <r>
    <n v="664"/>
    <x v="663"/>
    <n v="4.5833333333333337E-2"/>
    <n v="3463"/>
    <n v="12"/>
    <n v="14.75"/>
    <x v="1"/>
    <x v="1"/>
    <n v="1.5451388888888891"/>
    <s v="Slow"/>
    <x v="2"/>
    <n v="0"/>
    <x v="1"/>
    <x v="1"/>
  </r>
  <r>
    <n v="665"/>
    <x v="664"/>
    <n v="4.5833333333333337E-2"/>
    <n v="1317"/>
    <n v="444"/>
    <n v="36.380555555555553"/>
    <x v="2"/>
    <x v="0"/>
    <n v="2.6263888888888887"/>
    <s v="Slow"/>
    <x v="0"/>
    <n v="0"/>
    <x v="1"/>
    <x v="1"/>
  </r>
  <r>
    <n v="666"/>
    <x v="665"/>
    <n v="4.3055555555555562E-2"/>
    <n v="3965"/>
    <n v="406"/>
    <n v="47.256250000000001"/>
    <x v="1"/>
    <x v="0"/>
    <n v="2.5847222222222221"/>
    <s v="Slow"/>
    <x v="0"/>
    <n v="0"/>
    <x v="1"/>
    <x v="1"/>
  </r>
  <r>
    <n v="667"/>
    <x v="666"/>
    <n v="5.7638888888888885E-2"/>
    <n v="4188"/>
    <n v="347"/>
    <n v="10.963888888888889"/>
    <x v="3"/>
    <x v="2"/>
    <n v="1.4631944444444445"/>
    <s v="Fast"/>
    <x v="0"/>
    <n v="0"/>
    <x v="1"/>
    <x v="1"/>
  </r>
  <r>
    <n v="668"/>
    <x v="667"/>
    <n v="4.6527777777777779E-2"/>
    <n v="1875"/>
    <n v="27"/>
    <n v="33.12777777777778"/>
    <x v="0"/>
    <x v="3"/>
    <n v="1.627777777777778"/>
    <s v="Slow"/>
    <x v="1"/>
    <n v="0"/>
    <x v="1"/>
    <x v="1"/>
  </r>
  <r>
    <n v="669"/>
    <x v="668"/>
    <n v="5.6944444444444443E-2"/>
    <n v="1999"/>
    <n v="66"/>
    <n v="24.589583333333334"/>
    <x v="1"/>
    <x v="1"/>
    <n v="1.4631944444444445"/>
    <s v="Fast"/>
    <x v="1"/>
    <n v="0"/>
    <x v="1"/>
    <x v="1"/>
  </r>
  <r>
    <n v="670"/>
    <x v="669"/>
    <n v="6.458333333333334E-2"/>
    <n v="4500"/>
    <n v="218"/>
    <n v="30.462500000000002"/>
    <x v="3"/>
    <x v="2"/>
    <n v="1.6263888888888889"/>
    <s v="Slow"/>
    <x v="2"/>
    <n v="0"/>
    <x v="1"/>
    <x v="1"/>
  </r>
  <r>
    <n v="671"/>
    <x v="670"/>
    <n v="6.5972222222222224E-2"/>
    <n v="2578"/>
    <n v="118"/>
    <n v="31.169444444444448"/>
    <x v="0"/>
    <x v="1"/>
    <n v="1.8388888888888888"/>
    <s v="Slow"/>
    <x v="1"/>
    <n v="0"/>
    <x v="1"/>
    <x v="1"/>
  </r>
  <r>
    <n v="672"/>
    <x v="671"/>
    <n v="4.5138888888888888E-2"/>
    <n v="4463"/>
    <n v="87"/>
    <n v="22.213194444444444"/>
    <x v="1"/>
    <x v="3"/>
    <n v="0.29305555555555557"/>
    <s v="Fast"/>
    <x v="1"/>
    <n v="0"/>
    <x v="1"/>
    <x v="1"/>
  </r>
  <r>
    <n v="673"/>
    <x v="672"/>
    <n v="5.0694444444444438E-2"/>
    <n v="1808"/>
    <n v="399"/>
    <n v="29.502083333333331"/>
    <x v="3"/>
    <x v="1"/>
    <n v="0.54583333333333328"/>
    <s v="Fast"/>
    <x v="0"/>
    <n v="1"/>
    <x v="0"/>
    <x v="2"/>
  </r>
  <r>
    <n v="674"/>
    <x v="673"/>
    <n v="5.3472222222222227E-2"/>
    <n v="4010"/>
    <n v="359"/>
    <n v="68.75555555555556"/>
    <x v="3"/>
    <x v="2"/>
    <n v="0.54513888888888895"/>
    <s v="Fast"/>
    <x v="0"/>
    <n v="0"/>
    <x v="1"/>
    <x v="1"/>
  </r>
  <r>
    <n v="675"/>
    <x v="674"/>
    <n v="5.2083333333333336E-2"/>
    <n v="137"/>
    <n v="268"/>
    <n v="55.920138888888886"/>
    <x v="3"/>
    <x v="3"/>
    <n v="2.4624999999999999"/>
    <s v="Slow"/>
    <x v="2"/>
    <n v="0"/>
    <x v="1"/>
    <x v="1"/>
  </r>
  <r>
    <n v="676"/>
    <x v="675"/>
    <n v="5.3472222222222227E-2"/>
    <n v="1550"/>
    <n v="183"/>
    <n v="47.297222222222224"/>
    <x v="3"/>
    <x v="0"/>
    <n v="0.7104166666666667"/>
    <s v="Fast"/>
    <x v="2"/>
    <n v="0"/>
    <x v="1"/>
    <x v="1"/>
  </r>
  <r>
    <n v="677"/>
    <x v="676"/>
    <n v="5.4166666666666669E-2"/>
    <n v="619"/>
    <n v="403"/>
    <n v="46.754166666666663"/>
    <x v="3"/>
    <x v="0"/>
    <n v="0.87916666666666676"/>
    <s v="Fast"/>
    <x v="1"/>
    <n v="0"/>
    <x v="1"/>
    <x v="1"/>
  </r>
  <r>
    <n v="678"/>
    <x v="677"/>
    <n v="6.2499999999999995E-3"/>
    <n v="2153"/>
    <n v="409"/>
    <n v="45.170833333333327"/>
    <x v="2"/>
    <x v="1"/>
    <n v="0.37638888888888888"/>
    <s v="Fast"/>
    <x v="2"/>
    <n v="0"/>
    <x v="1"/>
    <x v="1"/>
  </r>
  <r>
    <n v="679"/>
    <x v="678"/>
    <n v="4.9999999999999996E-2"/>
    <n v="4577"/>
    <n v="465"/>
    <n v="51.672916666666673"/>
    <x v="1"/>
    <x v="0"/>
    <n v="2.0041666666666669"/>
    <s v="Slow"/>
    <x v="0"/>
    <n v="1"/>
    <x v="0"/>
    <x v="0"/>
  </r>
  <r>
    <n v="680"/>
    <x v="679"/>
    <n v="5.1388888888888894E-2"/>
    <n v="3425"/>
    <n v="153"/>
    <n v="36.794444444444444"/>
    <x v="0"/>
    <x v="3"/>
    <n v="2.7930555555555556"/>
    <s v="Slow"/>
    <x v="2"/>
    <n v="1"/>
    <x v="0"/>
    <x v="0"/>
  </r>
  <r>
    <n v="681"/>
    <x v="680"/>
    <n v="5.2777777777777778E-2"/>
    <n v="3793"/>
    <n v="161"/>
    <n v="23.166666666666668"/>
    <x v="3"/>
    <x v="1"/>
    <n v="2.0034722222222223"/>
    <s v="Slow"/>
    <x v="0"/>
    <n v="0"/>
    <x v="1"/>
    <x v="1"/>
  </r>
  <r>
    <n v="682"/>
    <x v="681"/>
    <n v="4.5833333333333337E-2"/>
    <n v="3820"/>
    <n v="105"/>
    <n v="33.463888888888889"/>
    <x v="0"/>
    <x v="3"/>
    <n v="1.4173611111111111"/>
    <s v="Fast"/>
    <x v="2"/>
    <n v="0"/>
    <x v="1"/>
    <x v="1"/>
  </r>
  <r>
    <n v="683"/>
    <x v="682"/>
    <n v="5.9027777777777783E-2"/>
    <n v="1306"/>
    <n v="85"/>
    <n v="75.666666666666671"/>
    <x v="0"/>
    <x v="2"/>
    <n v="1.0472222222222223"/>
    <s v="Fast"/>
    <x v="0"/>
    <n v="0"/>
    <x v="1"/>
    <x v="1"/>
  </r>
  <r>
    <n v="684"/>
    <x v="683"/>
    <n v="5.2777777777777778E-2"/>
    <n v="536"/>
    <n v="43"/>
    <n v="30.881249999999998"/>
    <x v="3"/>
    <x v="1"/>
    <n v="2.5055555555555555"/>
    <s v="Slow"/>
    <x v="1"/>
    <n v="0"/>
    <x v="1"/>
    <x v="1"/>
  </r>
  <r>
    <n v="685"/>
    <x v="684"/>
    <n v="6.7361111111111108E-2"/>
    <n v="4117"/>
    <n v="495"/>
    <n v="9.3770833333333332"/>
    <x v="3"/>
    <x v="0"/>
    <n v="2.4222222222222221"/>
    <s v="Slow"/>
    <x v="0"/>
    <n v="0"/>
    <x v="1"/>
    <x v="1"/>
  </r>
  <r>
    <n v="686"/>
    <x v="685"/>
    <n v="6.458333333333334E-2"/>
    <n v="3147"/>
    <n v="194"/>
    <n v="59.547222222222224"/>
    <x v="0"/>
    <x v="2"/>
    <n v="0.37986111111111115"/>
    <s v="Fast"/>
    <x v="2"/>
    <n v="0"/>
    <x v="1"/>
    <x v="1"/>
  </r>
  <r>
    <n v="687"/>
    <x v="686"/>
    <n v="4.7916666666666663E-2"/>
    <n v="2122"/>
    <n v="26"/>
    <n v="76.458333333333329"/>
    <x v="3"/>
    <x v="2"/>
    <n v="2.6729166666666671"/>
    <s v="Slow"/>
    <x v="1"/>
    <n v="1"/>
    <x v="0"/>
    <x v="0"/>
  </r>
  <r>
    <n v="688"/>
    <x v="687"/>
    <n v="4.8611111111111112E-3"/>
    <n v="4326"/>
    <n v="318"/>
    <n v="10.714583333333332"/>
    <x v="3"/>
    <x v="0"/>
    <n v="1.6305555555555555"/>
    <s v="Slow"/>
    <x v="1"/>
    <n v="0"/>
    <x v="1"/>
    <x v="1"/>
  </r>
  <r>
    <n v="689"/>
    <x v="688"/>
    <n v="6.3194444444444442E-2"/>
    <n v="1437"/>
    <n v="352"/>
    <n v="48.962499999999999"/>
    <x v="1"/>
    <x v="3"/>
    <n v="1.7513888888888889"/>
    <s v="Slow"/>
    <x v="2"/>
    <n v="0"/>
    <x v="1"/>
    <x v="1"/>
  </r>
  <r>
    <n v="690"/>
    <x v="689"/>
    <n v="5.6944444444444443E-2"/>
    <n v="1824"/>
    <n v="156"/>
    <n v="7.7972222222222216"/>
    <x v="2"/>
    <x v="3"/>
    <n v="2.3770833333333332"/>
    <s v="Slow"/>
    <x v="0"/>
    <n v="0"/>
    <x v="1"/>
    <x v="1"/>
  </r>
  <r>
    <n v="691"/>
    <x v="690"/>
    <n v="4.1666666666666666E-3"/>
    <n v="1752"/>
    <n v="300"/>
    <n v="12.920138888888888"/>
    <x v="0"/>
    <x v="1"/>
    <n v="1.1277777777777778"/>
    <s v="Fast"/>
    <x v="2"/>
    <n v="0"/>
    <x v="1"/>
    <x v="1"/>
  </r>
  <r>
    <n v="692"/>
    <x v="691"/>
    <n v="5.9027777777777783E-2"/>
    <n v="1581"/>
    <n v="201"/>
    <n v="40.879861111111111"/>
    <x v="0"/>
    <x v="1"/>
    <n v="0.50555555555555554"/>
    <s v="Fast"/>
    <x v="1"/>
    <n v="0"/>
    <x v="1"/>
    <x v="1"/>
  </r>
  <r>
    <n v="693"/>
    <x v="692"/>
    <n v="5.2777777777777778E-2"/>
    <n v="4096"/>
    <n v="317"/>
    <n v="28.171527777777779"/>
    <x v="2"/>
    <x v="1"/>
    <n v="0.4201388888888889"/>
    <s v="Fast"/>
    <x v="2"/>
    <n v="0"/>
    <x v="1"/>
    <x v="1"/>
  </r>
  <r>
    <n v="694"/>
    <x v="693"/>
    <n v="6.3194444444444442E-2"/>
    <n v="2873"/>
    <n v="494"/>
    <n v="26.503472222222225"/>
    <x v="1"/>
    <x v="0"/>
    <n v="2.2513888888888887"/>
    <s v="Slow"/>
    <x v="2"/>
    <n v="0"/>
    <x v="1"/>
    <x v="1"/>
  </r>
  <r>
    <n v="695"/>
    <x v="694"/>
    <n v="6.2499999999999995E-3"/>
    <n v="4406"/>
    <n v="178"/>
    <n v="27.960416666666664"/>
    <x v="2"/>
    <x v="2"/>
    <n v="1.9645833333333333"/>
    <s v="Slow"/>
    <x v="0"/>
    <n v="0"/>
    <x v="1"/>
    <x v="1"/>
  </r>
  <r>
    <n v="696"/>
    <x v="695"/>
    <n v="6.7361111111111108E-2"/>
    <n v="1179"/>
    <n v="458"/>
    <n v="14.796527777777778"/>
    <x v="2"/>
    <x v="0"/>
    <n v="1.8381944444444445"/>
    <s v="Slow"/>
    <x v="1"/>
    <n v="0"/>
    <x v="1"/>
    <x v="1"/>
  </r>
  <r>
    <n v="697"/>
    <x v="696"/>
    <n v="6.1111111111111109E-2"/>
    <n v="4615"/>
    <n v="402"/>
    <n v="20.087500000000002"/>
    <x v="3"/>
    <x v="0"/>
    <n v="1.877777777777778"/>
    <s v="Slow"/>
    <x v="0"/>
    <n v="1"/>
    <x v="0"/>
    <x v="0"/>
  </r>
  <r>
    <n v="698"/>
    <x v="697"/>
    <n v="6.7361111111111108E-2"/>
    <n v="3044"/>
    <n v="413"/>
    <n v="13.543750000000001"/>
    <x v="0"/>
    <x v="0"/>
    <n v="8.819444444444445E-2"/>
    <s v="Fast"/>
    <x v="0"/>
    <n v="0"/>
    <x v="1"/>
    <x v="1"/>
  </r>
  <r>
    <n v="699"/>
    <x v="698"/>
    <n v="4.9305555555555554E-2"/>
    <n v="669"/>
    <n v="434"/>
    <n v="28.547222222222221"/>
    <x v="3"/>
    <x v="0"/>
    <n v="2.2083333333333335"/>
    <s v="Slow"/>
    <x v="1"/>
    <n v="0"/>
    <x v="1"/>
    <x v="1"/>
  </r>
  <r>
    <n v="700"/>
    <x v="699"/>
    <n v="5.1388888888888894E-2"/>
    <n v="2829"/>
    <n v="457"/>
    <n v="0.58888888888888891"/>
    <x v="0"/>
    <x v="2"/>
    <n v="0.75416666666666676"/>
    <s v="Fast"/>
    <x v="1"/>
    <n v="1"/>
    <x v="0"/>
    <x v="0"/>
  </r>
  <r>
    <n v="701"/>
    <x v="700"/>
    <n v="4.3055555555555562E-2"/>
    <n v="2873"/>
    <n v="409"/>
    <n v="50.459027777777777"/>
    <x v="1"/>
    <x v="2"/>
    <n v="1.4166666666666667"/>
    <s v="Fast"/>
    <x v="0"/>
    <n v="0"/>
    <x v="1"/>
    <x v="1"/>
  </r>
  <r>
    <n v="702"/>
    <x v="701"/>
    <n v="6.5972222222222224E-2"/>
    <n v="330"/>
    <n v="392"/>
    <n v="74.504166666666663"/>
    <x v="2"/>
    <x v="3"/>
    <n v="0.38125000000000003"/>
    <s v="Fast"/>
    <x v="1"/>
    <n v="0"/>
    <x v="1"/>
    <x v="1"/>
  </r>
  <r>
    <n v="703"/>
    <x v="702"/>
    <n v="4.5833333333333337E-2"/>
    <n v="72"/>
    <n v="397"/>
    <n v="61.166666666666664"/>
    <x v="3"/>
    <x v="0"/>
    <n v="2.2111111111111112"/>
    <s v="Slow"/>
    <x v="0"/>
    <n v="0"/>
    <x v="1"/>
    <x v="1"/>
  </r>
  <r>
    <n v="704"/>
    <x v="703"/>
    <n v="5.6944444444444443E-2"/>
    <n v="3441"/>
    <n v="320"/>
    <n v="51.541666666666664"/>
    <x v="2"/>
    <x v="2"/>
    <n v="1.3381944444444445"/>
    <s v="Fast"/>
    <x v="0"/>
    <n v="1"/>
    <x v="0"/>
    <x v="0"/>
  </r>
  <r>
    <n v="705"/>
    <x v="704"/>
    <n v="5.5555555555555558E-3"/>
    <n v="4182"/>
    <n v="232"/>
    <n v="64.713888888888889"/>
    <x v="0"/>
    <x v="2"/>
    <n v="2.463888888888889"/>
    <s v="Slow"/>
    <x v="0"/>
    <n v="0"/>
    <x v="1"/>
    <x v="1"/>
  </r>
  <r>
    <n v="706"/>
    <x v="705"/>
    <n v="6.458333333333334E-2"/>
    <n v="2907"/>
    <n v="419"/>
    <n v="25.791666666666668"/>
    <x v="2"/>
    <x v="3"/>
    <n v="0.29444444444444445"/>
    <s v="Fast"/>
    <x v="0"/>
    <n v="0"/>
    <x v="1"/>
    <x v="1"/>
  </r>
  <r>
    <n v="707"/>
    <x v="706"/>
    <n v="5.2777777777777778E-2"/>
    <n v="1900"/>
    <n v="378"/>
    <n v="15.752777777777778"/>
    <x v="0"/>
    <x v="0"/>
    <n v="1.8770833333333332"/>
    <s v="Slow"/>
    <x v="0"/>
    <n v="0"/>
    <x v="1"/>
    <x v="1"/>
  </r>
  <r>
    <n v="708"/>
    <x v="707"/>
    <n v="4.5833333333333337E-2"/>
    <n v="1657"/>
    <n v="109"/>
    <n v="4.9618055555555554"/>
    <x v="0"/>
    <x v="1"/>
    <n v="0.16805555555555554"/>
    <s v="Fast"/>
    <x v="1"/>
    <n v="1"/>
    <x v="0"/>
    <x v="2"/>
  </r>
  <r>
    <n v="709"/>
    <x v="708"/>
    <n v="5.2083333333333336E-2"/>
    <n v="56"/>
    <n v="369"/>
    <n v="28.089583333333334"/>
    <x v="1"/>
    <x v="3"/>
    <n v="8.4722222222222213E-2"/>
    <s v="Fast"/>
    <x v="2"/>
    <n v="0"/>
    <x v="1"/>
    <x v="1"/>
  </r>
  <r>
    <n v="710"/>
    <x v="709"/>
    <n v="4.3055555555555562E-2"/>
    <n v="1900"/>
    <n v="418"/>
    <n v="39.171527777777776"/>
    <x v="2"/>
    <x v="2"/>
    <n v="2.0027777777777778"/>
    <s v="Slow"/>
    <x v="2"/>
    <n v="0"/>
    <x v="1"/>
    <x v="1"/>
  </r>
  <r>
    <n v="711"/>
    <x v="710"/>
    <n v="4.9999999999999996E-2"/>
    <n v="4406"/>
    <n v="79"/>
    <n v="41.12916666666667"/>
    <x v="1"/>
    <x v="2"/>
    <n v="1.7541666666666667"/>
    <s v="Slow"/>
    <x v="1"/>
    <n v="0"/>
    <x v="1"/>
    <x v="1"/>
  </r>
  <r>
    <n v="712"/>
    <x v="711"/>
    <n v="5.9027777777777783E-2"/>
    <n v="1304"/>
    <n v="273"/>
    <n v="4.0027777777777773"/>
    <x v="0"/>
    <x v="1"/>
    <n v="2.8374999999999999"/>
    <s v="Slow"/>
    <x v="1"/>
    <n v="1"/>
    <x v="0"/>
    <x v="2"/>
  </r>
  <r>
    <n v="713"/>
    <x v="712"/>
    <n v="4.3055555555555562E-2"/>
    <n v="1309"/>
    <n v="31"/>
    <n v="41.711805555555557"/>
    <x v="0"/>
    <x v="1"/>
    <n v="2.213888888888889"/>
    <s v="Slow"/>
    <x v="1"/>
    <n v="1"/>
    <x v="0"/>
    <x v="2"/>
  </r>
  <r>
    <n v="714"/>
    <x v="713"/>
    <n v="4.1666666666666664E-2"/>
    <n v="1412"/>
    <n v="208"/>
    <n v="28.379861111111111"/>
    <x v="3"/>
    <x v="0"/>
    <n v="0.9194444444444444"/>
    <s v="Fast"/>
    <x v="2"/>
    <n v="0"/>
    <x v="1"/>
    <x v="1"/>
  </r>
  <r>
    <n v="715"/>
    <x v="714"/>
    <n v="5.6250000000000001E-2"/>
    <n v="1842"/>
    <n v="425"/>
    <n v="3.1277777777777778"/>
    <x v="0"/>
    <x v="1"/>
    <n v="2.2958333333333334"/>
    <s v="Slow"/>
    <x v="0"/>
    <n v="0"/>
    <x v="1"/>
    <x v="1"/>
  </r>
  <r>
    <n v="716"/>
    <x v="715"/>
    <n v="4.9999999999999996E-2"/>
    <n v="871"/>
    <n v="53"/>
    <n v="14.797222222222222"/>
    <x v="3"/>
    <x v="2"/>
    <n v="2.2951388888888888"/>
    <s v="Slow"/>
    <x v="1"/>
    <n v="1"/>
    <x v="0"/>
    <x v="0"/>
  </r>
  <r>
    <n v="717"/>
    <x v="716"/>
    <n v="6.458333333333334E-2"/>
    <n v="2692"/>
    <n v="419"/>
    <n v="13.21111111111111"/>
    <x v="0"/>
    <x v="0"/>
    <n v="1.41875"/>
    <s v="Fast"/>
    <x v="2"/>
    <n v="0"/>
    <x v="1"/>
    <x v="1"/>
  </r>
  <r>
    <n v="718"/>
    <x v="717"/>
    <n v="4.5138888888888888E-2"/>
    <n v="4458"/>
    <n v="299"/>
    <n v="3.713888888888889"/>
    <x v="1"/>
    <x v="0"/>
    <n v="4.5833333333333337E-2"/>
    <s v="Fast"/>
    <x v="0"/>
    <n v="0"/>
    <x v="1"/>
    <x v="1"/>
  </r>
  <r>
    <n v="719"/>
    <x v="718"/>
    <n v="5.0694444444444438E-2"/>
    <n v="1516"/>
    <n v="68"/>
    <n v="14.50625"/>
    <x v="3"/>
    <x v="1"/>
    <n v="0.25347222222222221"/>
    <s v="Fast"/>
    <x v="1"/>
    <n v="1"/>
    <x v="0"/>
    <x v="2"/>
  </r>
  <r>
    <n v="720"/>
    <x v="719"/>
    <n v="6.7361111111111108E-2"/>
    <n v="315"/>
    <n v="151"/>
    <n v="57.96180555555555"/>
    <x v="1"/>
    <x v="1"/>
    <n v="2.6256944444444446"/>
    <s v="Slow"/>
    <x v="0"/>
    <n v="0"/>
    <x v="1"/>
    <x v="1"/>
  </r>
  <r>
    <n v="721"/>
    <x v="720"/>
    <n v="4.8611111111111112E-3"/>
    <n v="4689"/>
    <n v="346"/>
    <n v="68.628472222222214"/>
    <x v="0"/>
    <x v="3"/>
    <n v="0.5444444444444444"/>
    <s v="Fast"/>
    <x v="2"/>
    <n v="0"/>
    <x v="1"/>
    <x v="1"/>
  </r>
  <r>
    <n v="722"/>
    <x v="721"/>
    <n v="6.1805555555555558E-2"/>
    <n v="2127"/>
    <n v="340"/>
    <n v="80.084027777777777"/>
    <x v="3"/>
    <x v="0"/>
    <n v="2.2131944444444445"/>
    <s v="Slow"/>
    <x v="1"/>
    <n v="0"/>
    <x v="1"/>
    <x v="1"/>
  </r>
  <r>
    <n v="723"/>
    <x v="722"/>
    <n v="4.3750000000000004E-2"/>
    <n v="1414"/>
    <n v="288"/>
    <n v="71.044444444444437"/>
    <x v="3"/>
    <x v="1"/>
    <n v="0.33402777777777781"/>
    <s v="Fast"/>
    <x v="0"/>
    <n v="0"/>
    <x v="1"/>
    <x v="1"/>
  </r>
  <r>
    <n v="724"/>
    <x v="723"/>
    <n v="5.6250000000000001E-2"/>
    <n v="851"/>
    <n v="99"/>
    <n v="71.583333333333329"/>
    <x v="3"/>
    <x v="1"/>
    <n v="1.29375"/>
    <s v="Fast"/>
    <x v="0"/>
    <n v="0"/>
    <x v="1"/>
    <x v="1"/>
  </r>
  <r>
    <n v="725"/>
    <x v="724"/>
    <n v="5.9722222222222225E-2"/>
    <n v="4018"/>
    <n v="85"/>
    <n v="15.96111111111111"/>
    <x v="0"/>
    <x v="1"/>
    <n v="8.9583333333333334E-2"/>
    <s v="Fast"/>
    <x v="1"/>
    <n v="0"/>
    <x v="1"/>
    <x v="1"/>
  </r>
  <r>
    <n v="726"/>
    <x v="725"/>
    <n v="4.7222222222222221E-2"/>
    <n v="2422"/>
    <n v="9"/>
    <n v="71.337499999999991"/>
    <x v="0"/>
    <x v="2"/>
    <n v="1.5048611111111112"/>
    <s v="Slow"/>
    <x v="0"/>
    <n v="1"/>
    <x v="0"/>
    <x v="0"/>
  </r>
  <r>
    <n v="727"/>
    <x v="726"/>
    <n v="5.0694444444444438E-2"/>
    <n v="410"/>
    <n v="164"/>
    <n v="21.672222222222221"/>
    <x v="1"/>
    <x v="0"/>
    <n v="2.8354166666666667"/>
    <s v="Slow"/>
    <x v="1"/>
    <n v="1"/>
    <x v="0"/>
    <x v="0"/>
  </r>
  <r>
    <n v="728"/>
    <x v="727"/>
    <n v="5.6944444444444443E-2"/>
    <n v="2225"/>
    <n v="441"/>
    <n v="54.958333333333336"/>
    <x v="3"/>
    <x v="2"/>
    <n v="8.9583333333333334E-2"/>
    <s v="Fast"/>
    <x v="2"/>
    <n v="1"/>
    <x v="0"/>
    <x v="0"/>
  </r>
  <r>
    <n v="729"/>
    <x v="728"/>
    <n v="5.8333333333333327E-2"/>
    <n v="584"/>
    <n v="470"/>
    <n v="26.876388888888886"/>
    <x v="3"/>
    <x v="3"/>
    <n v="1.9625000000000001"/>
    <s v="Slow"/>
    <x v="1"/>
    <n v="0"/>
    <x v="1"/>
    <x v="1"/>
  </r>
  <r>
    <n v="730"/>
    <x v="729"/>
    <n v="4.5833333333333337E-2"/>
    <n v="279"/>
    <n v="32"/>
    <n v="66.464583333333337"/>
    <x v="0"/>
    <x v="2"/>
    <n v="1.1715277777777777"/>
    <s v="Fast"/>
    <x v="1"/>
    <n v="0"/>
    <x v="1"/>
    <x v="1"/>
  </r>
  <r>
    <n v="731"/>
    <x v="730"/>
    <n v="5.2777777777777778E-2"/>
    <n v="1568"/>
    <n v="371"/>
    <n v="68.044444444444437"/>
    <x v="2"/>
    <x v="1"/>
    <n v="2.5840277777777776"/>
    <s v="Slow"/>
    <x v="0"/>
    <n v="0"/>
    <x v="1"/>
    <x v="1"/>
  </r>
  <r>
    <n v="732"/>
    <x v="731"/>
    <n v="4.1666666666666664E-2"/>
    <n v="567"/>
    <n v="229"/>
    <n v="73.208333333333329"/>
    <x v="1"/>
    <x v="0"/>
    <n v="0.875"/>
    <s v="Fast"/>
    <x v="2"/>
    <n v="0"/>
    <x v="1"/>
    <x v="1"/>
  </r>
  <r>
    <n v="733"/>
    <x v="732"/>
    <n v="5.0694444444444438E-2"/>
    <n v="2204"/>
    <n v="278"/>
    <n v="58.919444444444444"/>
    <x v="2"/>
    <x v="3"/>
    <n v="2.6701388888888888"/>
    <s v="Slow"/>
    <x v="2"/>
    <n v="0"/>
    <x v="1"/>
    <x v="1"/>
  </r>
  <r>
    <n v="734"/>
    <x v="733"/>
    <n v="6.3194444444444442E-2"/>
    <n v="3282"/>
    <n v="358"/>
    <n v="66.13055555555556"/>
    <x v="3"/>
    <x v="3"/>
    <n v="2.2111111111111112"/>
    <s v="Slow"/>
    <x v="2"/>
    <n v="0"/>
    <x v="1"/>
    <x v="1"/>
  </r>
  <r>
    <n v="735"/>
    <x v="734"/>
    <n v="4.7222222222222221E-2"/>
    <n v="1431"/>
    <n v="262"/>
    <n v="76.959722222222226"/>
    <x v="1"/>
    <x v="3"/>
    <n v="1.6291666666666667"/>
    <s v="Slow"/>
    <x v="2"/>
    <n v="0"/>
    <x v="1"/>
    <x v="1"/>
  </r>
  <r>
    <n v="736"/>
    <x v="735"/>
    <n v="5.4166666666666669E-2"/>
    <n v="3155"/>
    <n v="125"/>
    <n v="41.293749999999996"/>
    <x v="3"/>
    <x v="2"/>
    <n v="1.16875"/>
    <s v="Fast"/>
    <x v="1"/>
    <n v="0"/>
    <x v="1"/>
    <x v="1"/>
  </r>
  <r>
    <n v="737"/>
    <x v="736"/>
    <n v="5.6250000000000001E-2"/>
    <n v="2752"/>
    <n v="3"/>
    <n v="61.543055555555554"/>
    <x v="2"/>
    <x v="3"/>
    <n v="1.6284722222222223"/>
    <s v="Slow"/>
    <x v="2"/>
    <n v="0"/>
    <x v="1"/>
    <x v="1"/>
  </r>
  <r>
    <n v="738"/>
    <x v="737"/>
    <n v="5.8333333333333327E-2"/>
    <n v="3442"/>
    <n v="354"/>
    <n v="37.833333333333336"/>
    <x v="0"/>
    <x v="0"/>
    <n v="0.29166666666666669"/>
    <s v="Fast"/>
    <x v="0"/>
    <n v="0"/>
    <x v="1"/>
    <x v="1"/>
  </r>
  <r>
    <n v="739"/>
    <x v="738"/>
    <n v="6.1805555555555558E-2"/>
    <n v="1495"/>
    <n v="11"/>
    <n v="49.964583333333337"/>
    <x v="1"/>
    <x v="0"/>
    <n v="1.1673611111111111"/>
    <s v="Fast"/>
    <x v="0"/>
    <n v="0"/>
    <x v="1"/>
    <x v="1"/>
  </r>
  <r>
    <n v="740"/>
    <x v="739"/>
    <n v="6.3888888888888898E-2"/>
    <n v="1966"/>
    <n v="457"/>
    <n v="34.546527777777776"/>
    <x v="3"/>
    <x v="1"/>
    <n v="0.92291666666666661"/>
    <s v="Fast"/>
    <x v="1"/>
    <n v="0"/>
    <x v="1"/>
    <x v="1"/>
  </r>
  <r>
    <n v="741"/>
    <x v="740"/>
    <n v="6.1111111111111109E-2"/>
    <n v="1016"/>
    <n v="127"/>
    <n v="44.088888888888896"/>
    <x v="0"/>
    <x v="3"/>
    <n v="2.5444444444444447"/>
    <s v="Slow"/>
    <x v="1"/>
    <n v="0"/>
    <x v="1"/>
    <x v="1"/>
  </r>
  <r>
    <n v="742"/>
    <x v="741"/>
    <n v="6.3888888888888898E-2"/>
    <n v="1838"/>
    <n v="157"/>
    <n v="59.252083333333331"/>
    <x v="2"/>
    <x v="0"/>
    <n v="1.2125000000000001"/>
    <s v="Fast"/>
    <x v="0"/>
    <n v="1"/>
    <x v="0"/>
    <x v="0"/>
  </r>
  <r>
    <n v="743"/>
    <x v="742"/>
    <n v="6.5972222222222224E-2"/>
    <n v="3287"/>
    <n v="218"/>
    <n v="63.585416666666667"/>
    <x v="0"/>
    <x v="1"/>
    <n v="1.9194444444444445"/>
    <s v="Slow"/>
    <x v="0"/>
    <n v="0"/>
    <x v="1"/>
    <x v="1"/>
  </r>
  <r>
    <n v="744"/>
    <x v="743"/>
    <n v="5.0694444444444438E-2"/>
    <n v="4894"/>
    <n v="187"/>
    <n v="57.291666666666664"/>
    <x v="0"/>
    <x v="2"/>
    <n v="0.87569444444444444"/>
    <s v="Fast"/>
    <x v="1"/>
    <n v="0"/>
    <x v="1"/>
    <x v="1"/>
  </r>
  <r>
    <n v="745"/>
    <x v="744"/>
    <n v="6.458333333333334E-2"/>
    <n v="1644"/>
    <n v="45"/>
    <n v="61.08819444444444"/>
    <x v="1"/>
    <x v="1"/>
    <n v="2.9201388888888888"/>
    <s v="Slow"/>
    <x v="1"/>
    <n v="0"/>
    <x v="1"/>
    <x v="1"/>
  </r>
  <r>
    <n v="746"/>
    <x v="745"/>
    <n v="5.6250000000000001E-2"/>
    <n v="979"/>
    <n v="12"/>
    <n v="81.922222222222231"/>
    <x v="3"/>
    <x v="2"/>
    <n v="1.6312499999999999"/>
    <s v="Slow"/>
    <x v="1"/>
    <n v="0"/>
    <x v="1"/>
    <x v="1"/>
  </r>
  <r>
    <n v="747"/>
    <x v="746"/>
    <n v="4.8611111111111112E-3"/>
    <n v="4216"/>
    <n v="84"/>
    <n v="57.961111111111109"/>
    <x v="1"/>
    <x v="2"/>
    <n v="2.6270833333333332"/>
    <s v="Slow"/>
    <x v="2"/>
    <n v="1"/>
    <x v="0"/>
    <x v="0"/>
  </r>
  <r>
    <n v="748"/>
    <x v="747"/>
    <n v="4.6527777777777779E-2"/>
    <n v="4961"/>
    <n v="137"/>
    <n v="71.213888888888889"/>
    <x v="3"/>
    <x v="3"/>
    <n v="2.1694444444444447"/>
    <s v="Slow"/>
    <x v="0"/>
    <n v="0"/>
    <x v="1"/>
    <x v="1"/>
  </r>
  <r>
    <n v="749"/>
    <x v="748"/>
    <n v="6.3194444444444442E-2"/>
    <n v="3305"/>
    <n v="444"/>
    <n v="28.459027777777777"/>
    <x v="1"/>
    <x v="1"/>
    <n v="8.7500000000000008E-2"/>
    <s v="Fast"/>
    <x v="2"/>
    <n v="1"/>
    <x v="0"/>
    <x v="2"/>
  </r>
  <r>
    <n v="750"/>
    <x v="749"/>
    <n v="5.9027777777777783E-2"/>
    <n v="478"/>
    <n v="416"/>
    <n v="61.209722222222219"/>
    <x v="3"/>
    <x v="0"/>
    <n v="1.7111111111111112"/>
    <s v="Slow"/>
    <x v="0"/>
    <n v="1"/>
    <x v="0"/>
    <x v="0"/>
  </r>
  <r>
    <n v="751"/>
    <x v="750"/>
    <n v="4.3750000000000004E-2"/>
    <n v="423"/>
    <n v="180"/>
    <n v="51.12638888888889"/>
    <x v="0"/>
    <x v="2"/>
    <n v="0.17222222222222225"/>
    <s v="Fast"/>
    <x v="1"/>
    <n v="0"/>
    <x v="1"/>
    <x v="1"/>
  </r>
  <r>
    <n v="752"/>
    <x v="751"/>
    <n v="5.7638888888888885E-2"/>
    <n v="4005"/>
    <n v="486"/>
    <n v="79.209722222222226"/>
    <x v="0"/>
    <x v="3"/>
    <n v="2.9618055555555554"/>
    <s v="Slow"/>
    <x v="2"/>
    <n v="0"/>
    <x v="1"/>
    <x v="1"/>
  </r>
  <r>
    <n v="753"/>
    <x v="752"/>
    <n v="4.3055555555555562E-2"/>
    <n v="3038"/>
    <n v="41"/>
    <n v="5.4180555555555552"/>
    <x v="2"/>
    <x v="3"/>
    <n v="0.25208333333333333"/>
    <s v="Fast"/>
    <x v="0"/>
    <n v="0"/>
    <x v="1"/>
    <x v="1"/>
  </r>
  <r>
    <n v="754"/>
    <x v="753"/>
    <n v="5.2777777777777778E-2"/>
    <n v="2552"/>
    <n v="214"/>
    <n v="66.416666666666671"/>
    <x v="2"/>
    <x v="1"/>
    <n v="2.5423611111111111"/>
    <s v="Slow"/>
    <x v="1"/>
    <n v="0"/>
    <x v="1"/>
    <x v="1"/>
  </r>
  <r>
    <n v="755"/>
    <x v="754"/>
    <n v="5.7638888888888885E-2"/>
    <n v="1884"/>
    <n v="175"/>
    <n v="39.87777777777778"/>
    <x v="3"/>
    <x v="2"/>
    <n v="2.3381944444444445"/>
    <s v="Slow"/>
    <x v="0"/>
    <n v="0"/>
    <x v="1"/>
    <x v="1"/>
  </r>
  <r>
    <n v="756"/>
    <x v="755"/>
    <n v="5.9722222222222225E-2"/>
    <n v="2108"/>
    <n v="318"/>
    <n v="72.587499999999991"/>
    <x v="1"/>
    <x v="1"/>
    <n v="0.17291666666666669"/>
    <s v="Fast"/>
    <x v="0"/>
    <n v="1"/>
    <x v="0"/>
    <x v="2"/>
  </r>
  <r>
    <n v="757"/>
    <x v="756"/>
    <n v="4.5833333333333337E-2"/>
    <n v="2425"/>
    <n v="115"/>
    <n v="76.793750000000003"/>
    <x v="1"/>
    <x v="0"/>
    <n v="0.4597222222222222"/>
    <s v="Fast"/>
    <x v="0"/>
    <n v="0"/>
    <x v="1"/>
    <x v="1"/>
  </r>
  <r>
    <n v="758"/>
    <x v="757"/>
    <n v="4.3055555555555562E-2"/>
    <n v="4433"/>
    <n v="470"/>
    <n v="73.00277777777778"/>
    <x v="0"/>
    <x v="2"/>
    <n v="2.8784722222222219"/>
    <s v="Slow"/>
    <x v="2"/>
    <n v="0"/>
    <x v="1"/>
    <x v="1"/>
  </r>
  <r>
    <n v="759"/>
    <x v="758"/>
    <n v="5.7638888888888885E-2"/>
    <n v="2289"/>
    <n v="158"/>
    <n v="5.625694444444445"/>
    <x v="1"/>
    <x v="1"/>
    <n v="1.8354166666666665"/>
    <s v="Slow"/>
    <x v="2"/>
    <n v="0"/>
    <x v="1"/>
    <x v="1"/>
  </r>
  <r>
    <n v="760"/>
    <x v="759"/>
    <n v="6.458333333333334E-2"/>
    <n v="2577"/>
    <n v="96"/>
    <n v="82.666666666666671"/>
    <x v="1"/>
    <x v="1"/>
    <n v="0.38055555555555554"/>
    <s v="Fast"/>
    <x v="0"/>
    <n v="0"/>
    <x v="1"/>
    <x v="1"/>
  </r>
  <r>
    <n v="761"/>
    <x v="760"/>
    <n v="6.3888888888888898E-2"/>
    <n v="622"/>
    <n v="411"/>
    <n v="57.12638888888889"/>
    <x v="0"/>
    <x v="0"/>
    <n v="0.46249999999999997"/>
    <s v="Fast"/>
    <x v="1"/>
    <n v="0"/>
    <x v="1"/>
    <x v="1"/>
  </r>
  <r>
    <n v="762"/>
    <x v="761"/>
    <n v="5.1388888888888894E-2"/>
    <n v="2413"/>
    <n v="410"/>
    <n v="27.627083333333331"/>
    <x v="1"/>
    <x v="3"/>
    <n v="0.12708333333333333"/>
    <s v="Fast"/>
    <x v="0"/>
    <n v="1"/>
    <x v="0"/>
    <x v="0"/>
  </r>
  <r>
    <n v="763"/>
    <x v="762"/>
    <n v="5.7638888888888885E-2"/>
    <n v="1495"/>
    <n v="338"/>
    <n v="63.918055555555554"/>
    <x v="3"/>
    <x v="2"/>
    <n v="2.4611111111111112"/>
    <s v="Slow"/>
    <x v="2"/>
    <n v="0"/>
    <x v="1"/>
    <x v="1"/>
  </r>
  <r>
    <n v="764"/>
    <x v="763"/>
    <n v="6.1805555555555558E-2"/>
    <n v="394"/>
    <n v="15"/>
    <n v="5.3354166666666671"/>
    <x v="1"/>
    <x v="2"/>
    <n v="1.9631944444444445"/>
    <s v="Slow"/>
    <x v="0"/>
    <n v="0"/>
    <x v="1"/>
    <x v="1"/>
  </r>
  <r>
    <n v="765"/>
    <x v="764"/>
    <n v="6.5972222222222224E-2"/>
    <n v="4648"/>
    <n v="223"/>
    <n v="9.7520833333333332"/>
    <x v="2"/>
    <x v="3"/>
    <n v="1.875"/>
    <s v="Slow"/>
    <x v="1"/>
    <n v="1"/>
    <x v="0"/>
    <x v="0"/>
  </r>
  <r>
    <n v="766"/>
    <x v="765"/>
    <n v="5.5555555555555558E-3"/>
    <n v="2632"/>
    <n v="26"/>
    <n v="63.041666666666664"/>
    <x v="2"/>
    <x v="1"/>
    <n v="0.21180555555555555"/>
    <s v="Fast"/>
    <x v="0"/>
    <n v="1"/>
    <x v="0"/>
    <x v="2"/>
  </r>
  <r>
    <n v="767"/>
    <x v="766"/>
    <n v="6.5972222222222224E-2"/>
    <n v="4683"/>
    <n v="210"/>
    <n v="21.584722222222222"/>
    <x v="0"/>
    <x v="2"/>
    <n v="0.29444444444444445"/>
    <s v="Fast"/>
    <x v="1"/>
    <n v="0"/>
    <x v="1"/>
    <x v="1"/>
  </r>
  <r>
    <n v="768"/>
    <x v="767"/>
    <n v="5.0694444444444438E-2"/>
    <n v="2760"/>
    <n v="224"/>
    <n v="60.041666666666664"/>
    <x v="3"/>
    <x v="2"/>
    <n v="0.92222222222222217"/>
    <s v="Fast"/>
    <x v="0"/>
    <n v="1"/>
    <x v="0"/>
    <x v="0"/>
  </r>
  <r>
    <n v="769"/>
    <x v="768"/>
    <n v="4.7916666666666663E-2"/>
    <n v="2092"/>
    <n v="269"/>
    <n v="54.213888888888896"/>
    <x v="2"/>
    <x v="3"/>
    <n v="1.7965277777777777"/>
    <s v="Slow"/>
    <x v="2"/>
    <n v="0"/>
    <x v="1"/>
    <x v="1"/>
  </r>
  <r>
    <n v="770"/>
    <x v="769"/>
    <n v="4.9999999999999996E-2"/>
    <n v="3474"/>
    <n v="7"/>
    <n v="76.416666666666671"/>
    <x v="1"/>
    <x v="1"/>
    <n v="1.7930555555555554"/>
    <s v="Slow"/>
    <x v="2"/>
    <n v="1"/>
    <x v="0"/>
    <x v="2"/>
  </r>
  <r>
    <n v="771"/>
    <x v="770"/>
    <n v="6.1805555555555558E-2"/>
    <n v="617"/>
    <n v="334"/>
    <n v="49.006250000000001"/>
    <x v="3"/>
    <x v="1"/>
    <n v="0.62638888888888888"/>
    <s v="Fast"/>
    <x v="2"/>
    <n v="1"/>
    <x v="0"/>
    <x v="2"/>
  </r>
  <r>
    <n v="772"/>
    <x v="771"/>
    <n v="6.5972222222222224E-2"/>
    <n v="2936"/>
    <n v="41"/>
    <n v="41.754861111111111"/>
    <x v="2"/>
    <x v="1"/>
    <n v="1.625"/>
    <s v="Slow"/>
    <x v="2"/>
    <n v="1"/>
    <x v="0"/>
    <x v="2"/>
  </r>
  <r>
    <n v="773"/>
    <x v="772"/>
    <n v="5.486111111111111E-2"/>
    <n v="2915"/>
    <n v="338"/>
    <n v="49.546527777777776"/>
    <x v="2"/>
    <x v="0"/>
    <n v="2.1312500000000001"/>
    <s v="Slow"/>
    <x v="2"/>
    <n v="1"/>
    <x v="0"/>
    <x v="0"/>
  </r>
  <r>
    <n v="774"/>
    <x v="773"/>
    <n v="6.1111111111111109E-2"/>
    <n v="1857"/>
    <n v="362"/>
    <n v="75.211805555555557"/>
    <x v="0"/>
    <x v="0"/>
    <n v="2.4194444444444447"/>
    <s v="Slow"/>
    <x v="0"/>
    <n v="1"/>
    <x v="0"/>
    <x v="0"/>
  </r>
  <r>
    <n v="775"/>
    <x v="774"/>
    <n v="4.5833333333333337E-2"/>
    <n v="432"/>
    <n v="230"/>
    <n v="79.084027777777777"/>
    <x v="1"/>
    <x v="0"/>
    <n v="1.377777777777778"/>
    <s v="Fast"/>
    <x v="1"/>
    <n v="0"/>
    <x v="1"/>
    <x v="1"/>
  </r>
  <r>
    <n v="776"/>
    <x v="775"/>
    <n v="5.5555555555555558E-3"/>
    <n v="250"/>
    <n v="176"/>
    <n v="19.669444444444444"/>
    <x v="2"/>
    <x v="3"/>
    <n v="1.5062499999999999"/>
    <s v="Slow"/>
    <x v="2"/>
    <n v="1"/>
    <x v="0"/>
    <x v="0"/>
  </r>
  <r>
    <n v="777"/>
    <x v="776"/>
    <n v="5.3472222222222227E-2"/>
    <n v="1009"/>
    <n v="495"/>
    <n v="70.294444444444437"/>
    <x v="0"/>
    <x v="2"/>
    <n v="2.0451388888888888"/>
    <s v="Slow"/>
    <x v="2"/>
    <n v="0"/>
    <x v="1"/>
    <x v="1"/>
  </r>
  <r>
    <n v="778"/>
    <x v="777"/>
    <n v="5.3472222222222227E-2"/>
    <n v="1093"/>
    <n v="314"/>
    <n v="49.754861111111104"/>
    <x v="0"/>
    <x v="2"/>
    <n v="2.7104166666666667"/>
    <s v="Slow"/>
    <x v="2"/>
    <n v="0"/>
    <x v="1"/>
    <x v="1"/>
  </r>
  <r>
    <n v="779"/>
    <x v="778"/>
    <n v="4.7222222222222221E-2"/>
    <n v="3821"/>
    <n v="78"/>
    <n v="64.170138888888886"/>
    <x v="2"/>
    <x v="1"/>
    <n v="1.9611111111111112"/>
    <s v="Slow"/>
    <x v="1"/>
    <n v="0"/>
    <x v="1"/>
    <x v="1"/>
  </r>
  <r>
    <n v="780"/>
    <x v="779"/>
    <n v="5.9027777777777783E-2"/>
    <n v="1387"/>
    <n v="382"/>
    <n v="37.918749999999996"/>
    <x v="2"/>
    <x v="0"/>
    <n v="1.4166666666666667"/>
    <s v="Fast"/>
    <x v="0"/>
    <n v="0"/>
    <x v="1"/>
    <x v="1"/>
  </r>
  <r>
    <n v="781"/>
    <x v="780"/>
    <n v="6.0416666666666667E-2"/>
    <n v="636"/>
    <n v="20"/>
    <n v="1.0048611111111112"/>
    <x v="2"/>
    <x v="0"/>
    <n v="2.75"/>
    <s v="Slow"/>
    <x v="2"/>
    <n v="1"/>
    <x v="0"/>
    <x v="0"/>
  </r>
  <r>
    <n v="782"/>
    <x v="781"/>
    <n v="5.9027777777777783E-2"/>
    <n v="2908"/>
    <n v="13"/>
    <n v="13.375694444444443"/>
    <x v="2"/>
    <x v="3"/>
    <n v="0.46249999999999997"/>
    <s v="Fast"/>
    <x v="0"/>
    <n v="0"/>
    <x v="1"/>
    <x v="1"/>
  </r>
  <r>
    <n v="783"/>
    <x v="782"/>
    <n v="6.2499999999999995E-3"/>
    <n v="4178"/>
    <n v="96"/>
    <n v="13.543055555555556"/>
    <x v="3"/>
    <x v="1"/>
    <n v="1.4611111111111112"/>
    <s v="Fast"/>
    <x v="1"/>
    <n v="1"/>
    <x v="0"/>
    <x v="2"/>
  </r>
  <r>
    <n v="784"/>
    <x v="783"/>
    <n v="5.4166666666666669E-2"/>
    <n v="4927"/>
    <n v="291"/>
    <n v="72.172222222222231"/>
    <x v="1"/>
    <x v="1"/>
    <n v="0.83888888888888891"/>
    <s v="Fast"/>
    <x v="0"/>
    <n v="0"/>
    <x v="1"/>
    <x v="1"/>
  </r>
  <r>
    <n v="785"/>
    <x v="784"/>
    <n v="6.5277777777777782E-2"/>
    <n v="1823"/>
    <n v="341"/>
    <n v="21.295833333333334"/>
    <x v="2"/>
    <x v="2"/>
    <n v="2.9597222222222221"/>
    <s v="Slow"/>
    <x v="2"/>
    <n v="0"/>
    <x v="1"/>
    <x v="1"/>
  </r>
  <r>
    <n v="786"/>
    <x v="785"/>
    <n v="5.7638888888888885E-2"/>
    <n v="4635"/>
    <n v="202"/>
    <n v="62.713888888888896"/>
    <x v="3"/>
    <x v="0"/>
    <n v="1.0048611111111112"/>
    <s v="Fast"/>
    <x v="2"/>
    <n v="0"/>
    <x v="1"/>
    <x v="1"/>
  </r>
  <r>
    <n v="787"/>
    <x v="786"/>
    <n v="6.5972222222222224E-2"/>
    <n v="1714"/>
    <n v="102"/>
    <n v="26.920138888888889"/>
    <x v="3"/>
    <x v="1"/>
    <n v="4.6527777777777779E-2"/>
    <s v="Fast"/>
    <x v="1"/>
    <n v="1"/>
    <x v="0"/>
    <x v="2"/>
  </r>
  <r>
    <n v="788"/>
    <x v="787"/>
    <n v="5.2777777777777778E-2"/>
    <n v="761"/>
    <n v="437"/>
    <n v="67.543055555555554"/>
    <x v="1"/>
    <x v="1"/>
    <n v="1.16875"/>
    <s v="Fast"/>
    <x v="0"/>
    <n v="1"/>
    <x v="0"/>
    <x v="2"/>
  </r>
  <r>
    <n v="789"/>
    <x v="788"/>
    <n v="6.1111111111111109E-2"/>
    <n v="1208"/>
    <n v="11"/>
    <n v="73.5"/>
    <x v="1"/>
    <x v="2"/>
    <n v="0.3347222222222222"/>
    <s v="Fast"/>
    <x v="2"/>
    <n v="1"/>
    <x v="0"/>
    <x v="0"/>
  </r>
  <r>
    <n v="790"/>
    <x v="789"/>
    <n v="4.7222222222222221E-2"/>
    <n v="1282"/>
    <n v="334"/>
    <n v="7.5479166666666666"/>
    <x v="3"/>
    <x v="0"/>
    <n v="1.29375"/>
    <s v="Fast"/>
    <x v="0"/>
    <n v="0"/>
    <x v="1"/>
    <x v="1"/>
  </r>
  <r>
    <n v="791"/>
    <x v="790"/>
    <n v="4.3750000000000004E-2"/>
    <n v="4996"/>
    <n v="385"/>
    <n v="10.959722222222224"/>
    <x v="3"/>
    <x v="2"/>
    <n v="0.50208333333333333"/>
    <s v="Fast"/>
    <x v="2"/>
    <n v="0"/>
    <x v="1"/>
    <x v="1"/>
  </r>
  <r>
    <n v="792"/>
    <x v="791"/>
    <n v="6.7361111111111108E-2"/>
    <n v="1366"/>
    <n v="90"/>
    <n v="78.087499999999991"/>
    <x v="0"/>
    <x v="2"/>
    <n v="0.54791666666666672"/>
    <s v="Fast"/>
    <x v="0"/>
    <n v="0"/>
    <x v="1"/>
    <x v="1"/>
  </r>
  <r>
    <n v="793"/>
    <x v="792"/>
    <n v="5.2083333333333336E-2"/>
    <n v="931"/>
    <n v="132"/>
    <n v="57.339583333333337"/>
    <x v="1"/>
    <x v="2"/>
    <n v="0.33958333333333335"/>
    <s v="Fast"/>
    <x v="2"/>
    <n v="0"/>
    <x v="1"/>
    <x v="1"/>
  </r>
  <r>
    <n v="794"/>
    <x v="793"/>
    <n v="4.3055555555555562E-2"/>
    <n v="4818"/>
    <n v="71"/>
    <n v="47.796527777777776"/>
    <x v="0"/>
    <x v="3"/>
    <n v="1.5034722222222223"/>
    <s v="Slow"/>
    <x v="2"/>
    <n v="1"/>
    <x v="0"/>
    <x v="0"/>
  </r>
  <r>
    <n v="795"/>
    <x v="794"/>
    <n v="5.9027777777777783E-2"/>
    <n v="2801"/>
    <n v="271"/>
    <n v="14.879861111111111"/>
    <x v="0"/>
    <x v="0"/>
    <n v="1.6666666666666667"/>
    <s v="Slow"/>
    <x v="0"/>
    <n v="0"/>
    <x v="1"/>
    <x v="1"/>
  </r>
  <r>
    <n v="796"/>
    <x v="795"/>
    <n v="6.7361111111111108E-2"/>
    <n v="2207"/>
    <n v="408"/>
    <n v="17.334722222222222"/>
    <x v="0"/>
    <x v="1"/>
    <n v="2.4631944444444445"/>
    <s v="Slow"/>
    <x v="0"/>
    <n v="0"/>
    <x v="1"/>
    <x v="1"/>
  </r>
  <r>
    <n v="797"/>
    <x v="796"/>
    <n v="6.3194444444444442E-2"/>
    <n v="2250"/>
    <n v="345"/>
    <n v="0.75069444444444444"/>
    <x v="3"/>
    <x v="2"/>
    <n v="1.8354166666666665"/>
    <s v="Slow"/>
    <x v="0"/>
    <n v="0"/>
    <x v="1"/>
    <x v="1"/>
  </r>
  <r>
    <n v="798"/>
    <x v="797"/>
    <n v="6.8749999999999992E-2"/>
    <n v="2164"/>
    <n v="32"/>
    <n v="81.918750000000003"/>
    <x v="1"/>
    <x v="0"/>
    <n v="2.6312500000000001"/>
    <s v="Slow"/>
    <x v="0"/>
    <n v="1"/>
    <x v="0"/>
    <x v="0"/>
  </r>
  <r>
    <n v="799"/>
    <x v="798"/>
    <n v="6.7361111111111108E-2"/>
    <n v="93"/>
    <n v="206"/>
    <n v="21.791666666666668"/>
    <x v="0"/>
    <x v="0"/>
    <n v="1.0458333333333334"/>
    <s v="Fast"/>
    <x v="0"/>
    <n v="0"/>
    <x v="1"/>
    <x v="1"/>
  </r>
  <r>
    <n v="800"/>
    <x v="799"/>
    <n v="5.4166666666666669E-2"/>
    <n v="662"/>
    <n v="17"/>
    <n v="66.381250000000009"/>
    <x v="2"/>
    <x v="2"/>
    <n v="1.0868055555555556"/>
    <s v="Fast"/>
    <x v="2"/>
    <n v="0"/>
    <x v="1"/>
    <x v="1"/>
  </r>
  <r>
    <n v="801"/>
    <x v="800"/>
    <n v="4.7916666666666663E-2"/>
    <n v="1514"/>
    <n v="332"/>
    <n v="4.0881944444444445"/>
    <x v="0"/>
    <x v="0"/>
    <n v="0.62708333333333333"/>
    <s v="Fast"/>
    <x v="0"/>
    <n v="0"/>
    <x v="1"/>
    <x v="1"/>
  </r>
  <r>
    <n v="802"/>
    <x v="801"/>
    <n v="4.3750000000000004E-2"/>
    <n v="4604"/>
    <n v="280"/>
    <n v="50.795138888888886"/>
    <x v="1"/>
    <x v="0"/>
    <n v="1.3354166666666665"/>
    <s v="Fast"/>
    <x v="2"/>
    <n v="0"/>
    <x v="1"/>
    <x v="1"/>
  </r>
  <r>
    <n v="803"/>
    <x v="802"/>
    <n v="4.9305555555555554E-2"/>
    <n v="4257"/>
    <n v="120"/>
    <n v="40.333333333333336"/>
    <x v="0"/>
    <x v="0"/>
    <n v="0.83819444444444446"/>
    <s v="Fast"/>
    <x v="0"/>
    <n v="0"/>
    <x v="1"/>
    <x v="1"/>
  </r>
  <r>
    <n v="804"/>
    <x v="803"/>
    <n v="5.9027777777777783E-2"/>
    <n v="4020"/>
    <n v="217"/>
    <n v="52.333333333333336"/>
    <x v="0"/>
    <x v="2"/>
    <n v="8.4722222222222213E-2"/>
    <s v="Fast"/>
    <x v="2"/>
    <n v="0"/>
    <x v="1"/>
    <x v="1"/>
  </r>
  <r>
    <n v="805"/>
    <x v="804"/>
    <n v="6.6666666666666666E-2"/>
    <n v="3450"/>
    <n v="189"/>
    <n v="73.671527777777769"/>
    <x v="1"/>
    <x v="2"/>
    <n v="0.87916666666666676"/>
    <s v="Fast"/>
    <x v="1"/>
    <n v="0"/>
    <x v="1"/>
    <x v="1"/>
  </r>
  <r>
    <n v="806"/>
    <x v="805"/>
    <n v="4.1666666666666666E-3"/>
    <n v="4194"/>
    <n v="324"/>
    <n v="51.210416666666667"/>
    <x v="2"/>
    <x v="1"/>
    <n v="0.33819444444444446"/>
    <s v="Fast"/>
    <x v="1"/>
    <n v="0"/>
    <x v="1"/>
    <x v="1"/>
  </r>
  <r>
    <n v="807"/>
    <x v="806"/>
    <n v="6.458333333333334E-2"/>
    <n v="2139"/>
    <n v="453"/>
    <n v="42.292361111111113"/>
    <x v="0"/>
    <x v="3"/>
    <n v="1.7965277777777777"/>
    <s v="Slow"/>
    <x v="0"/>
    <n v="0"/>
    <x v="1"/>
    <x v="1"/>
  </r>
  <r>
    <n v="808"/>
    <x v="807"/>
    <n v="6.3194444444444442E-2"/>
    <n v="869"/>
    <n v="171"/>
    <n v="44.045138888888886"/>
    <x v="2"/>
    <x v="3"/>
    <n v="1.5458333333333334"/>
    <s v="Slow"/>
    <x v="2"/>
    <n v="1"/>
    <x v="0"/>
    <x v="0"/>
  </r>
  <r>
    <n v="809"/>
    <x v="808"/>
    <n v="6.1111111111111109E-2"/>
    <n v="1717"/>
    <n v="499"/>
    <n v="27.711111111111112"/>
    <x v="0"/>
    <x v="0"/>
    <n v="0.12847222222222224"/>
    <s v="Fast"/>
    <x v="2"/>
    <n v="0"/>
    <x v="1"/>
    <x v="1"/>
  </r>
  <r>
    <n v="810"/>
    <x v="809"/>
    <n v="4.5138888888888888E-2"/>
    <n v="300"/>
    <n v="471"/>
    <n v="16.502083333333335"/>
    <x v="2"/>
    <x v="2"/>
    <n v="1.086111111111111"/>
    <s v="Fast"/>
    <x v="2"/>
    <n v="1"/>
    <x v="0"/>
    <x v="0"/>
  </r>
  <r>
    <n v="811"/>
    <x v="810"/>
    <n v="4.3055555555555562E-2"/>
    <n v="1397"/>
    <n v="194"/>
    <n v="44.794444444444444"/>
    <x v="1"/>
    <x v="0"/>
    <n v="0.87777777777777777"/>
    <s v="Fast"/>
    <x v="2"/>
    <n v="0"/>
    <x v="1"/>
    <x v="1"/>
  </r>
  <r>
    <n v="812"/>
    <x v="811"/>
    <n v="6.1805555555555558E-2"/>
    <n v="3564"/>
    <n v="190"/>
    <n v="46.377777777777773"/>
    <x v="2"/>
    <x v="0"/>
    <n v="2.5430555555555556"/>
    <s v="Slow"/>
    <x v="2"/>
    <n v="0"/>
    <x v="1"/>
    <x v="1"/>
  </r>
  <r>
    <n v="813"/>
    <x v="812"/>
    <n v="5.9722222222222225E-2"/>
    <n v="4008"/>
    <n v="60"/>
    <n v="71.042361111111106"/>
    <x v="0"/>
    <x v="1"/>
    <n v="0.87916666666666676"/>
    <s v="Fast"/>
    <x v="0"/>
    <n v="0"/>
    <x v="1"/>
    <x v="1"/>
  </r>
  <r>
    <n v="814"/>
    <x v="813"/>
    <n v="5.2083333333333336E-2"/>
    <n v="81"/>
    <n v="459"/>
    <n v="41.584722222222219"/>
    <x v="2"/>
    <x v="1"/>
    <n v="2.1284722222222223"/>
    <s v="Slow"/>
    <x v="0"/>
    <n v="0"/>
    <x v="1"/>
    <x v="1"/>
  </r>
  <r>
    <n v="815"/>
    <x v="814"/>
    <n v="5.1388888888888894E-2"/>
    <n v="4652"/>
    <n v="251"/>
    <n v="44.293749999999996"/>
    <x v="3"/>
    <x v="1"/>
    <n v="2.4631944444444445"/>
    <s v="Slow"/>
    <x v="2"/>
    <n v="0"/>
    <x v="1"/>
    <x v="1"/>
  </r>
  <r>
    <n v="816"/>
    <x v="815"/>
    <n v="4.2361111111111106E-2"/>
    <n v="597"/>
    <n v="357"/>
    <n v="33.875694444444441"/>
    <x v="2"/>
    <x v="0"/>
    <n v="1.0027777777777778"/>
    <s v="Fast"/>
    <x v="1"/>
    <n v="0"/>
    <x v="1"/>
    <x v="1"/>
  </r>
  <r>
    <n v="817"/>
    <x v="816"/>
    <n v="4.1666666666666664E-2"/>
    <n v="221"/>
    <n v="62"/>
    <n v="59.254166666666663"/>
    <x v="0"/>
    <x v="0"/>
    <n v="2.5840277777777776"/>
    <s v="Slow"/>
    <x v="1"/>
    <n v="0"/>
    <x v="1"/>
    <x v="1"/>
  </r>
  <r>
    <n v="818"/>
    <x v="817"/>
    <n v="6.458333333333334E-2"/>
    <n v="1584"/>
    <n v="456"/>
    <n v="54.254166666666663"/>
    <x v="2"/>
    <x v="2"/>
    <n v="2.5444444444444447"/>
    <s v="Slow"/>
    <x v="1"/>
    <n v="0"/>
    <x v="1"/>
    <x v="1"/>
  </r>
  <r>
    <n v="819"/>
    <x v="818"/>
    <n v="6.8749999999999992E-2"/>
    <n v="2138"/>
    <n v="107"/>
    <n v="49.084722222222219"/>
    <x v="0"/>
    <x v="2"/>
    <n v="0.16666666666666666"/>
    <s v="Fast"/>
    <x v="1"/>
    <n v="0"/>
    <x v="1"/>
    <x v="1"/>
  </r>
  <r>
    <n v="820"/>
    <x v="819"/>
    <n v="6.458333333333334E-2"/>
    <n v="4004"/>
    <n v="137"/>
    <n v="16.337500000000002"/>
    <x v="1"/>
    <x v="1"/>
    <n v="2.5847222222222221"/>
    <s v="Slow"/>
    <x v="1"/>
    <n v="0"/>
    <x v="1"/>
    <x v="1"/>
  </r>
  <r>
    <n v="821"/>
    <x v="820"/>
    <n v="5.4166666666666669E-2"/>
    <n v="1488"/>
    <n v="435"/>
    <n v="64.379166666666663"/>
    <x v="1"/>
    <x v="2"/>
    <n v="8.6805555555555566E-2"/>
    <s v="Fast"/>
    <x v="0"/>
    <n v="0"/>
    <x v="1"/>
    <x v="1"/>
  </r>
  <r>
    <n v="822"/>
    <x v="821"/>
    <n v="6.5277777777777782E-2"/>
    <n v="2369"/>
    <n v="84"/>
    <n v="48.875"/>
    <x v="2"/>
    <x v="3"/>
    <n v="2.9173611111111111"/>
    <s v="Slow"/>
    <x v="0"/>
    <n v="0"/>
    <x v="1"/>
    <x v="1"/>
  </r>
  <r>
    <n v="823"/>
    <x v="822"/>
    <n v="4.7222222222222221E-2"/>
    <n v="3268"/>
    <n v="74"/>
    <n v="69.791666666666671"/>
    <x v="0"/>
    <x v="0"/>
    <n v="0.9604166666666667"/>
    <s v="Fast"/>
    <x v="2"/>
    <n v="0"/>
    <x v="1"/>
    <x v="1"/>
  </r>
  <r>
    <n v="824"/>
    <x v="823"/>
    <n v="6.0416666666666667E-2"/>
    <n v="335"/>
    <n v="105"/>
    <n v="45.836111111111109"/>
    <x v="1"/>
    <x v="1"/>
    <n v="2.254861111111111"/>
    <s v="Slow"/>
    <x v="0"/>
    <n v="0"/>
    <x v="1"/>
    <x v="1"/>
  </r>
  <r>
    <n v="825"/>
    <x v="824"/>
    <n v="4.7916666666666663E-2"/>
    <n v="1322"/>
    <n v="387"/>
    <n v="43.502777777777773"/>
    <x v="2"/>
    <x v="1"/>
    <n v="1.4611111111111112"/>
    <s v="Fast"/>
    <x v="0"/>
    <n v="0"/>
    <x v="1"/>
    <x v="1"/>
  </r>
  <r>
    <n v="826"/>
    <x v="825"/>
    <n v="5.2777777777777778E-2"/>
    <n v="2468"/>
    <n v="132"/>
    <n v="1.7520833333333332"/>
    <x v="0"/>
    <x v="2"/>
    <n v="2.7923611111111111"/>
    <s v="Slow"/>
    <x v="1"/>
    <n v="0"/>
    <x v="1"/>
    <x v="1"/>
  </r>
  <r>
    <n v="827"/>
    <x v="826"/>
    <n v="6.5972222222222224E-2"/>
    <n v="834"/>
    <n v="38"/>
    <n v="55.045138888888886"/>
    <x v="1"/>
    <x v="3"/>
    <n v="0.29791666666666666"/>
    <s v="Fast"/>
    <x v="2"/>
    <n v="0"/>
    <x v="1"/>
    <x v="1"/>
  </r>
  <r>
    <n v="828"/>
    <x v="827"/>
    <n v="5.3472222222222227E-2"/>
    <n v="1759"/>
    <n v="241"/>
    <n v="73.084027777777777"/>
    <x v="0"/>
    <x v="3"/>
    <n v="2.3756944444444446"/>
    <s v="Slow"/>
    <x v="1"/>
    <n v="1"/>
    <x v="0"/>
    <x v="0"/>
  </r>
  <r>
    <n v="829"/>
    <x v="828"/>
    <n v="6.6666666666666666E-2"/>
    <n v="3070"/>
    <n v="138"/>
    <n v="81.75555555555556"/>
    <x v="2"/>
    <x v="3"/>
    <n v="1.2541666666666667"/>
    <s v="Fast"/>
    <x v="2"/>
    <n v="0"/>
    <x v="1"/>
    <x v="1"/>
  </r>
  <r>
    <n v="830"/>
    <x v="829"/>
    <n v="5.8333333333333327E-2"/>
    <n v="2272"/>
    <n v="102"/>
    <n v="58.377777777777773"/>
    <x v="0"/>
    <x v="2"/>
    <n v="0.25486111111111109"/>
    <s v="Fast"/>
    <x v="0"/>
    <n v="0"/>
    <x v="1"/>
    <x v="1"/>
  </r>
  <r>
    <n v="831"/>
    <x v="830"/>
    <n v="4.9999999999999996E-2"/>
    <n v="3238"/>
    <n v="165"/>
    <n v="23.916666666666668"/>
    <x v="1"/>
    <x v="0"/>
    <n v="1.0041666666666667"/>
    <s v="Fast"/>
    <x v="1"/>
    <n v="0"/>
    <x v="1"/>
    <x v="1"/>
  </r>
  <r>
    <n v="832"/>
    <x v="831"/>
    <n v="4.8611111111111112E-3"/>
    <n v="4584"/>
    <n v="247"/>
    <n v="58.211111111111109"/>
    <x v="0"/>
    <x v="1"/>
    <n v="0.12569444444444444"/>
    <s v="Fast"/>
    <x v="2"/>
    <n v="0"/>
    <x v="1"/>
    <x v="1"/>
  </r>
  <r>
    <n v="833"/>
    <x v="832"/>
    <n v="4.1666666666666666E-3"/>
    <n v="2009"/>
    <n v="328"/>
    <n v="71.542361111111106"/>
    <x v="0"/>
    <x v="2"/>
    <n v="2.1729166666666666"/>
    <s v="Slow"/>
    <x v="0"/>
    <n v="0"/>
    <x v="1"/>
    <x v="1"/>
  </r>
  <r>
    <n v="834"/>
    <x v="833"/>
    <n v="5.7638888888888885E-2"/>
    <n v="3300"/>
    <n v="256"/>
    <n v="27.334027777777777"/>
    <x v="2"/>
    <x v="0"/>
    <n v="1.0479166666666666"/>
    <s v="Fast"/>
    <x v="0"/>
    <n v="1"/>
    <x v="0"/>
    <x v="0"/>
  </r>
  <r>
    <n v="835"/>
    <x v="834"/>
    <n v="6.5277777777777782E-2"/>
    <n v="4663"/>
    <n v="291"/>
    <n v="48.250694444444441"/>
    <x v="3"/>
    <x v="2"/>
    <n v="1.6298611111111112"/>
    <s v="Slow"/>
    <x v="1"/>
    <n v="0"/>
    <x v="1"/>
    <x v="1"/>
  </r>
  <r>
    <n v="836"/>
    <x v="835"/>
    <n v="4.7916666666666663E-2"/>
    <n v="4245"/>
    <n v="366"/>
    <n v="38.209722222222219"/>
    <x v="3"/>
    <x v="3"/>
    <n v="1.2131944444444445"/>
    <s v="Fast"/>
    <x v="0"/>
    <n v="1"/>
    <x v="0"/>
    <x v="0"/>
  </r>
  <r>
    <n v="837"/>
    <x v="836"/>
    <n v="5.486111111111111E-2"/>
    <n v="1876"/>
    <n v="149"/>
    <n v="7.7111111111111112"/>
    <x v="0"/>
    <x v="2"/>
    <n v="0.46388888888888885"/>
    <s v="Fast"/>
    <x v="2"/>
    <n v="1"/>
    <x v="0"/>
    <x v="0"/>
  </r>
  <r>
    <n v="838"/>
    <x v="837"/>
    <n v="6.8749999999999992E-2"/>
    <n v="3569"/>
    <n v="115"/>
    <n v="38.086805555555557"/>
    <x v="3"/>
    <x v="3"/>
    <n v="1.4631944444444445"/>
    <s v="Fast"/>
    <x v="2"/>
    <n v="0"/>
    <x v="1"/>
    <x v="1"/>
  </r>
  <r>
    <n v="839"/>
    <x v="838"/>
    <n v="5.2777777777777778E-2"/>
    <n v="176"/>
    <n v="421"/>
    <n v="57.297222222222224"/>
    <x v="2"/>
    <x v="2"/>
    <n v="2.1666666666666665"/>
    <s v="Slow"/>
    <x v="0"/>
    <n v="0"/>
    <x v="1"/>
    <x v="1"/>
  </r>
  <r>
    <n v="840"/>
    <x v="839"/>
    <n v="6.805555555555555E-2"/>
    <n v="1450"/>
    <n v="21"/>
    <n v="69.754166666666663"/>
    <x v="3"/>
    <x v="1"/>
    <n v="1.0020833333333334"/>
    <s v="Fast"/>
    <x v="1"/>
    <n v="0"/>
    <x v="1"/>
    <x v="1"/>
  </r>
  <r>
    <n v="841"/>
    <x v="840"/>
    <n v="6.458333333333334E-2"/>
    <n v="2658"/>
    <n v="352"/>
    <n v="12.12638888888889"/>
    <x v="0"/>
    <x v="2"/>
    <n v="0.17291666666666669"/>
    <s v="Fast"/>
    <x v="0"/>
    <n v="0"/>
    <x v="1"/>
    <x v="1"/>
  </r>
  <r>
    <n v="842"/>
    <x v="841"/>
    <n v="5.5555555555555558E-3"/>
    <n v="4727"/>
    <n v="109"/>
    <n v="77.168055555555554"/>
    <x v="1"/>
    <x v="3"/>
    <n v="2.4624999999999999"/>
    <s v="Slow"/>
    <x v="2"/>
    <n v="0"/>
    <x v="1"/>
    <x v="1"/>
  </r>
  <r>
    <n v="843"/>
    <x v="842"/>
    <n v="5.9027777777777783E-2"/>
    <n v="4613"/>
    <n v="437"/>
    <n v="63.586111111111109"/>
    <x v="3"/>
    <x v="1"/>
    <n v="1.2527777777777778"/>
    <s v="Fast"/>
    <x v="0"/>
    <n v="1"/>
    <x v="0"/>
    <x v="2"/>
  </r>
  <r>
    <n v="844"/>
    <x v="843"/>
    <n v="4.3750000000000004E-2"/>
    <n v="4220"/>
    <n v="13"/>
    <n v="37.422222222222224"/>
    <x v="2"/>
    <x v="2"/>
    <n v="1.1284722222222221"/>
    <s v="Fast"/>
    <x v="1"/>
    <n v="0"/>
    <x v="1"/>
    <x v="1"/>
  </r>
  <r>
    <n v="845"/>
    <x v="844"/>
    <n v="5.6250000000000001E-2"/>
    <n v="1276"/>
    <n v="70"/>
    <n v="14.627083333333333"/>
    <x v="0"/>
    <x v="1"/>
    <n v="1.9173611111111111"/>
    <s v="Slow"/>
    <x v="1"/>
    <n v="0"/>
    <x v="1"/>
    <x v="1"/>
  </r>
  <r>
    <n v="846"/>
    <x v="845"/>
    <n v="6.2499999999999995E-3"/>
    <n v="2780"/>
    <n v="405"/>
    <n v="29.002083333333331"/>
    <x v="3"/>
    <x v="2"/>
    <n v="2.5874999999999999"/>
    <s v="Slow"/>
    <x v="1"/>
    <n v="1"/>
    <x v="0"/>
    <x v="0"/>
  </r>
  <r>
    <n v="847"/>
    <x v="846"/>
    <n v="4.7916666666666663E-2"/>
    <n v="3473"/>
    <n v="338"/>
    <n v="37.668749999999996"/>
    <x v="3"/>
    <x v="0"/>
    <n v="1.8395833333333333"/>
    <s v="Slow"/>
    <x v="0"/>
    <n v="1"/>
    <x v="0"/>
    <x v="0"/>
  </r>
  <r>
    <n v="848"/>
    <x v="847"/>
    <n v="4.3055555555555562E-2"/>
    <n v="1954"/>
    <n v="83"/>
    <n v="41.047222222222224"/>
    <x v="3"/>
    <x v="2"/>
    <n v="0.21458333333333335"/>
    <s v="Fast"/>
    <x v="2"/>
    <n v="1"/>
    <x v="0"/>
    <x v="0"/>
  </r>
  <r>
    <n v="849"/>
    <x v="848"/>
    <n v="4.2361111111111106E-2"/>
    <n v="2762"/>
    <n v="219"/>
    <n v="31.793055555555554"/>
    <x v="2"/>
    <x v="2"/>
    <n v="0.96111111111111114"/>
    <s v="Fast"/>
    <x v="0"/>
    <n v="0"/>
    <x v="1"/>
    <x v="1"/>
  </r>
  <r>
    <n v="850"/>
    <x v="849"/>
    <n v="4.5833333333333337E-2"/>
    <n v="4901"/>
    <n v="1"/>
    <n v="82.338888888888889"/>
    <x v="0"/>
    <x v="0"/>
    <n v="1.1666666666666667"/>
    <s v="Fast"/>
    <x v="0"/>
    <n v="1"/>
    <x v="0"/>
    <x v="0"/>
  </r>
  <r>
    <n v="851"/>
    <x v="850"/>
    <n v="4.8611111111111112E-3"/>
    <n v="3659"/>
    <n v="62"/>
    <n v="19.500694444444445"/>
    <x v="1"/>
    <x v="0"/>
    <n v="2.1256944444444446"/>
    <s v="Slow"/>
    <x v="0"/>
    <n v="0"/>
    <x v="1"/>
    <x v="1"/>
  </r>
  <r>
    <n v="852"/>
    <x v="851"/>
    <n v="6.3888888888888898E-2"/>
    <n v="487"/>
    <n v="425"/>
    <n v="15.668750000000001"/>
    <x v="3"/>
    <x v="2"/>
    <n v="1.1284722222222221"/>
    <s v="Fast"/>
    <x v="0"/>
    <n v="0"/>
    <x v="1"/>
    <x v="1"/>
  </r>
  <r>
    <n v="853"/>
    <x v="852"/>
    <n v="5.4166666666666669E-2"/>
    <n v="363"/>
    <n v="449"/>
    <n v="72.918055555555554"/>
    <x v="1"/>
    <x v="1"/>
    <n v="2.588888888888889"/>
    <s v="Slow"/>
    <x v="2"/>
    <n v="1"/>
    <x v="0"/>
    <x v="2"/>
  </r>
  <r>
    <n v="854"/>
    <x v="853"/>
    <n v="5.6250000000000001E-2"/>
    <n v="66"/>
    <n v="50"/>
    <n v="59.710416666666667"/>
    <x v="3"/>
    <x v="3"/>
    <n v="1.1277777777777778"/>
    <s v="Fast"/>
    <x v="0"/>
    <n v="0"/>
    <x v="1"/>
    <x v="1"/>
  </r>
  <r>
    <n v="855"/>
    <x v="854"/>
    <n v="5.0694444444444438E-2"/>
    <n v="1872"/>
    <n v="319"/>
    <n v="19.547222222222221"/>
    <x v="1"/>
    <x v="0"/>
    <n v="1.1729166666666666"/>
    <s v="Fast"/>
    <x v="0"/>
    <n v="0"/>
    <x v="1"/>
    <x v="1"/>
  </r>
  <r>
    <n v="856"/>
    <x v="855"/>
    <n v="4.9999999999999996E-2"/>
    <n v="1608"/>
    <n v="121"/>
    <n v="42.046527777777776"/>
    <x v="3"/>
    <x v="0"/>
    <n v="1.8347222222222221"/>
    <s v="Slow"/>
    <x v="1"/>
    <n v="1"/>
    <x v="0"/>
    <x v="0"/>
  </r>
  <r>
    <n v="857"/>
    <x v="856"/>
    <n v="5.6944444444444443E-2"/>
    <n v="4424"/>
    <n v="133"/>
    <n v="20.416666666666668"/>
    <x v="2"/>
    <x v="1"/>
    <n v="2.0444444444444447"/>
    <s v="Slow"/>
    <x v="2"/>
    <n v="1"/>
    <x v="0"/>
    <x v="2"/>
  </r>
  <r>
    <n v="858"/>
    <x v="857"/>
    <n v="6.2499999999999995E-3"/>
    <n v="2547"/>
    <n v="317"/>
    <n v="9.4583333333333339"/>
    <x v="0"/>
    <x v="3"/>
    <n v="2.5847222222222221"/>
    <s v="Slow"/>
    <x v="1"/>
    <n v="0"/>
    <x v="1"/>
    <x v="1"/>
  </r>
  <r>
    <n v="859"/>
    <x v="858"/>
    <n v="4.6527777777777779E-2"/>
    <n v="3512"/>
    <n v="492"/>
    <n v="23.336111111111112"/>
    <x v="3"/>
    <x v="3"/>
    <n v="0.29652777777777778"/>
    <s v="Fast"/>
    <x v="1"/>
    <n v="0"/>
    <x v="1"/>
    <x v="1"/>
  </r>
  <r>
    <n v="860"/>
    <x v="859"/>
    <n v="5.3472222222222227E-2"/>
    <n v="2147"/>
    <n v="253"/>
    <n v="55.543749999999996"/>
    <x v="1"/>
    <x v="0"/>
    <n v="0.54305555555555551"/>
    <s v="Fast"/>
    <x v="0"/>
    <n v="0"/>
    <x v="1"/>
    <x v="1"/>
  </r>
  <r>
    <n v="861"/>
    <x v="860"/>
    <n v="5.9722222222222225E-2"/>
    <n v="2525"/>
    <n v="399"/>
    <n v="47.669444444444444"/>
    <x v="0"/>
    <x v="2"/>
    <n v="1.7555555555555555"/>
    <s v="Slow"/>
    <x v="0"/>
    <n v="0"/>
    <x v="1"/>
    <x v="1"/>
  </r>
  <r>
    <n v="862"/>
    <x v="861"/>
    <n v="6.805555555555555E-2"/>
    <n v="1612"/>
    <n v="179"/>
    <n v="23.671527777777779"/>
    <x v="0"/>
    <x v="3"/>
    <n v="0.71250000000000002"/>
    <s v="Fast"/>
    <x v="1"/>
    <n v="0"/>
    <x v="1"/>
    <x v="1"/>
  </r>
  <r>
    <n v="863"/>
    <x v="862"/>
    <n v="4.9305555555555554E-2"/>
    <n v="4915"/>
    <n v="132"/>
    <n v="26.880555555555556"/>
    <x v="0"/>
    <x v="2"/>
    <n v="8.4027777777777771E-2"/>
    <s v="Fast"/>
    <x v="0"/>
    <n v="0"/>
    <x v="1"/>
    <x v="1"/>
  </r>
  <r>
    <n v="864"/>
    <x v="863"/>
    <n v="5.2777777777777778E-2"/>
    <n v="1371"/>
    <n v="391"/>
    <n v="65.000694444444449"/>
    <x v="1"/>
    <x v="0"/>
    <n v="1.1277777777777778"/>
    <s v="Fast"/>
    <x v="1"/>
    <n v="0"/>
    <x v="1"/>
    <x v="1"/>
  </r>
  <r>
    <n v="865"/>
    <x v="864"/>
    <n v="5.7638888888888885E-2"/>
    <n v="2196"/>
    <n v="333"/>
    <n v="39.87916666666667"/>
    <x v="2"/>
    <x v="1"/>
    <n v="1.375"/>
    <s v="Fast"/>
    <x v="2"/>
    <n v="1"/>
    <x v="0"/>
    <x v="2"/>
  </r>
  <r>
    <n v="866"/>
    <x v="865"/>
    <n v="4.5833333333333337E-2"/>
    <n v="4865"/>
    <n v="444"/>
    <n v="63.71319444444444"/>
    <x v="2"/>
    <x v="1"/>
    <n v="1.502777777777778"/>
    <s v="Slow"/>
    <x v="0"/>
    <n v="1"/>
    <x v="0"/>
    <x v="2"/>
  </r>
  <r>
    <n v="867"/>
    <x v="866"/>
    <n v="5.8333333333333327E-2"/>
    <n v="4370"/>
    <n v="405"/>
    <n v="36.088888888888889"/>
    <x v="0"/>
    <x v="2"/>
    <n v="1.2972222222222223"/>
    <s v="Fast"/>
    <x v="1"/>
    <n v="0"/>
    <x v="1"/>
    <x v="1"/>
  </r>
  <r>
    <n v="868"/>
    <x v="867"/>
    <n v="6.8749999999999992E-2"/>
    <n v="2138"/>
    <n v="406"/>
    <n v="66.752083333333331"/>
    <x v="2"/>
    <x v="1"/>
    <n v="0.92152777777777783"/>
    <s v="Fast"/>
    <x v="0"/>
    <n v="0"/>
    <x v="1"/>
    <x v="1"/>
  </r>
  <r>
    <n v="869"/>
    <x v="868"/>
    <n v="4.9305555555555554E-2"/>
    <n v="3901"/>
    <n v="160"/>
    <n v="11.00138888888889"/>
    <x v="1"/>
    <x v="2"/>
    <n v="1.1277777777777778"/>
    <s v="Fast"/>
    <x v="2"/>
    <n v="0"/>
    <x v="1"/>
    <x v="1"/>
  </r>
  <r>
    <n v="870"/>
    <x v="869"/>
    <n v="5.486111111111111E-2"/>
    <n v="1283"/>
    <n v="223"/>
    <n v="23.668055555555554"/>
    <x v="3"/>
    <x v="0"/>
    <n v="1.2118055555555556"/>
    <s v="Fast"/>
    <x v="0"/>
    <n v="0"/>
    <x v="1"/>
    <x v="1"/>
  </r>
  <r>
    <n v="871"/>
    <x v="870"/>
    <n v="4.5138888888888888E-2"/>
    <n v="2125"/>
    <n v="254"/>
    <n v="4.334027777777778"/>
    <x v="1"/>
    <x v="1"/>
    <n v="0.29652777777777778"/>
    <s v="Fast"/>
    <x v="0"/>
    <n v="1"/>
    <x v="0"/>
    <x v="2"/>
  </r>
  <r>
    <n v="872"/>
    <x v="871"/>
    <n v="5.6250000000000001E-2"/>
    <n v="2217"/>
    <n v="418"/>
    <n v="69.293750000000003"/>
    <x v="0"/>
    <x v="1"/>
    <n v="2.6715277777777775"/>
    <s v="Slow"/>
    <x v="1"/>
    <n v="0"/>
    <x v="1"/>
    <x v="1"/>
  </r>
  <r>
    <n v="873"/>
    <x v="872"/>
    <n v="6.8749999999999992E-2"/>
    <n v="4302"/>
    <n v="107"/>
    <n v="41.294444444444444"/>
    <x v="2"/>
    <x v="0"/>
    <n v="2.338888888888889"/>
    <s v="Slow"/>
    <x v="1"/>
    <n v="1"/>
    <x v="0"/>
    <x v="0"/>
  </r>
  <r>
    <n v="874"/>
    <x v="873"/>
    <n v="5.6944444444444443E-2"/>
    <n v="2261"/>
    <n v="361"/>
    <n v="57.836111111111109"/>
    <x v="1"/>
    <x v="1"/>
    <n v="1.2145833333333333"/>
    <s v="Fast"/>
    <x v="1"/>
    <n v="0"/>
    <x v="1"/>
    <x v="1"/>
  </r>
  <r>
    <n v="875"/>
    <x v="874"/>
    <n v="4.7916666666666663E-2"/>
    <n v="4270"/>
    <n v="224"/>
    <n v="78.214583333333337"/>
    <x v="2"/>
    <x v="2"/>
    <n v="0.62986111111111109"/>
    <s v="Fast"/>
    <x v="2"/>
    <n v="0"/>
    <x v="1"/>
    <x v="1"/>
  </r>
  <r>
    <n v="876"/>
    <x v="875"/>
    <n v="4.9999999999999996E-2"/>
    <n v="3601"/>
    <n v="130"/>
    <n v="21.131249999999998"/>
    <x v="2"/>
    <x v="2"/>
    <n v="1.8395833333333333"/>
    <s v="Slow"/>
    <x v="2"/>
    <n v="0"/>
    <x v="1"/>
    <x v="1"/>
  </r>
  <r>
    <n v="877"/>
    <x v="876"/>
    <n v="5.9027777777777783E-2"/>
    <n v="1952"/>
    <n v="428"/>
    <n v="28.001388888888886"/>
    <x v="0"/>
    <x v="0"/>
    <n v="0.21458333333333335"/>
    <s v="Fast"/>
    <x v="0"/>
    <n v="0"/>
    <x v="1"/>
    <x v="1"/>
  </r>
  <r>
    <n v="878"/>
    <x v="877"/>
    <n v="6.5277777777777782E-2"/>
    <n v="868"/>
    <n v="468"/>
    <n v="67.25"/>
    <x v="0"/>
    <x v="2"/>
    <n v="1.7131944444444445"/>
    <s v="Slow"/>
    <x v="2"/>
    <n v="0"/>
    <x v="1"/>
    <x v="1"/>
  </r>
  <r>
    <n v="879"/>
    <x v="878"/>
    <n v="5.4166666666666669E-2"/>
    <n v="661"/>
    <n v="140"/>
    <n v="40.547916666666666"/>
    <x v="3"/>
    <x v="2"/>
    <n v="0.41875000000000001"/>
    <s v="Fast"/>
    <x v="0"/>
    <n v="0"/>
    <x v="1"/>
    <x v="1"/>
  </r>
  <r>
    <n v="880"/>
    <x v="879"/>
    <n v="5.5555555555555558E-3"/>
    <n v="2676"/>
    <n v="94"/>
    <n v="61.504861111111104"/>
    <x v="2"/>
    <x v="0"/>
    <n v="0.79375000000000007"/>
    <s v="Fast"/>
    <x v="2"/>
    <n v="0"/>
    <x v="1"/>
    <x v="1"/>
  </r>
  <r>
    <n v="881"/>
    <x v="880"/>
    <n v="6.3888888888888898E-2"/>
    <n v="4373"/>
    <n v="479"/>
    <n v="23.254166666666666"/>
    <x v="0"/>
    <x v="3"/>
    <n v="0.42291666666666666"/>
    <s v="Fast"/>
    <x v="2"/>
    <n v="0"/>
    <x v="1"/>
    <x v="1"/>
  </r>
  <r>
    <n v="882"/>
    <x v="881"/>
    <n v="4.4444444444444446E-2"/>
    <n v="1598"/>
    <n v="451"/>
    <n v="3.875"/>
    <x v="1"/>
    <x v="1"/>
    <n v="0.21111111111111111"/>
    <s v="Fast"/>
    <x v="0"/>
    <n v="0"/>
    <x v="1"/>
    <x v="1"/>
  </r>
  <r>
    <n v="883"/>
    <x v="882"/>
    <n v="6.805555555555555E-2"/>
    <n v="2350"/>
    <n v="181"/>
    <n v="36.00416666666667"/>
    <x v="3"/>
    <x v="3"/>
    <n v="1.211111111111111"/>
    <s v="Fast"/>
    <x v="0"/>
    <n v="0"/>
    <x v="1"/>
    <x v="1"/>
  </r>
  <r>
    <n v="884"/>
    <x v="883"/>
    <n v="5.486111111111111E-2"/>
    <n v="2989"/>
    <n v="455"/>
    <n v="59.504861111111104"/>
    <x v="1"/>
    <x v="1"/>
    <n v="1.4173611111111111"/>
    <s v="Fast"/>
    <x v="1"/>
    <n v="1"/>
    <x v="0"/>
    <x v="2"/>
  </r>
  <r>
    <n v="885"/>
    <x v="884"/>
    <n v="5.0694444444444438E-2"/>
    <n v="2766"/>
    <n v="78"/>
    <n v="40.047916666666666"/>
    <x v="2"/>
    <x v="2"/>
    <n v="0.63055555555555554"/>
    <s v="Fast"/>
    <x v="0"/>
    <n v="0"/>
    <x v="1"/>
    <x v="1"/>
  </r>
  <r>
    <n v="886"/>
    <x v="885"/>
    <n v="6.3194444444444442E-2"/>
    <n v="1724"/>
    <n v="227"/>
    <n v="35.250694444444441"/>
    <x v="1"/>
    <x v="3"/>
    <n v="2.9618055555555554"/>
    <s v="Slow"/>
    <x v="1"/>
    <n v="0"/>
    <x v="1"/>
    <x v="1"/>
  </r>
  <r>
    <n v="887"/>
    <x v="886"/>
    <n v="4.8611111111111112E-3"/>
    <n v="1766"/>
    <n v="160"/>
    <n v="62.047222222222224"/>
    <x v="1"/>
    <x v="1"/>
    <n v="2.6729166666666671"/>
    <s v="Slow"/>
    <x v="1"/>
    <n v="0"/>
    <x v="1"/>
    <x v="1"/>
  </r>
  <r>
    <n v="888"/>
    <x v="887"/>
    <n v="4.5833333333333337E-2"/>
    <n v="1390"/>
    <n v="231"/>
    <n v="3.0034722222222219"/>
    <x v="2"/>
    <x v="0"/>
    <n v="2.0874999999999999"/>
    <s v="Slow"/>
    <x v="2"/>
    <n v="1"/>
    <x v="0"/>
    <x v="0"/>
  </r>
  <r>
    <n v="889"/>
    <x v="888"/>
    <n v="4.8611111111111112E-3"/>
    <n v="2440"/>
    <n v="348"/>
    <n v="81.541666666666671"/>
    <x v="3"/>
    <x v="1"/>
    <n v="2.3340277777777776"/>
    <s v="Slow"/>
    <x v="0"/>
    <n v="0"/>
    <x v="1"/>
    <x v="1"/>
  </r>
  <r>
    <n v="890"/>
    <x v="889"/>
    <n v="6.0416666666666667E-2"/>
    <n v="1462"/>
    <n v="119"/>
    <n v="65.25555555555556"/>
    <x v="2"/>
    <x v="1"/>
    <n v="0.37916666666666665"/>
    <s v="Fast"/>
    <x v="0"/>
    <n v="1"/>
    <x v="0"/>
    <x v="2"/>
  </r>
  <r>
    <n v="891"/>
    <x v="890"/>
    <n v="4.4444444444444446E-2"/>
    <n v="3722"/>
    <n v="204"/>
    <n v="11.547222222222222"/>
    <x v="3"/>
    <x v="3"/>
    <n v="2.2555555555555555"/>
    <s v="Slow"/>
    <x v="2"/>
    <n v="0"/>
    <x v="1"/>
    <x v="1"/>
  </r>
  <r>
    <n v="892"/>
    <x v="891"/>
    <n v="5.4166666666666669E-2"/>
    <n v="3679"/>
    <n v="392"/>
    <n v="32.62916666666667"/>
    <x v="1"/>
    <x v="0"/>
    <n v="2.5874999999999999"/>
    <s v="Slow"/>
    <x v="1"/>
    <n v="1"/>
    <x v="0"/>
    <x v="0"/>
  </r>
  <r>
    <n v="893"/>
    <x v="892"/>
    <n v="4.7916666666666663E-2"/>
    <n v="4674"/>
    <n v="283"/>
    <n v="66.875694444444449"/>
    <x v="3"/>
    <x v="2"/>
    <n v="2.6277777777777778"/>
    <s v="Slow"/>
    <x v="2"/>
    <n v="1"/>
    <x v="0"/>
    <x v="0"/>
  </r>
  <r>
    <n v="894"/>
    <x v="893"/>
    <n v="5.6944444444444443E-2"/>
    <n v="2652"/>
    <n v="247"/>
    <n v="55.670833333333327"/>
    <x v="1"/>
    <x v="1"/>
    <n v="1.8375000000000001"/>
    <s v="Slow"/>
    <x v="0"/>
    <n v="0"/>
    <x v="1"/>
    <x v="1"/>
  </r>
  <r>
    <n v="895"/>
    <x v="894"/>
    <n v="4.5833333333333337E-2"/>
    <n v="1805"/>
    <n v="197"/>
    <n v="15.875"/>
    <x v="0"/>
    <x v="1"/>
    <n v="0.87708333333333333"/>
    <s v="Fast"/>
    <x v="2"/>
    <n v="1"/>
    <x v="0"/>
    <x v="2"/>
  </r>
  <r>
    <n v="896"/>
    <x v="895"/>
    <n v="6.3194444444444442E-2"/>
    <n v="3177"/>
    <n v="21"/>
    <n v="56.625694444444441"/>
    <x v="2"/>
    <x v="2"/>
    <n v="0.62986111111111109"/>
    <s v="Fast"/>
    <x v="1"/>
    <n v="0"/>
    <x v="1"/>
    <x v="1"/>
  </r>
  <r>
    <n v="897"/>
    <x v="896"/>
    <n v="6.7361111111111108E-2"/>
    <n v="1360"/>
    <n v="377"/>
    <n v="26.214583333333334"/>
    <x v="0"/>
    <x v="2"/>
    <n v="0.4597222222222222"/>
    <s v="Fast"/>
    <x v="0"/>
    <n v="0"/>
    <x v="1"/>
    <x v="1"/>
  </r>
  <r>
    <n v="898"/>
    <x v="897"/>
    <n v="5.0694444444444438E-2"/>
    <n v="2778"/>
    <n v="190"/>
    <n v="20.296527777777779"/>
    <x v="0"/>
    <x v="3"/>
    <n v="2.7979166666666671"/>
    <s v="Slow"/>
    <x v="0"/>
    <n v="1"/>
    <x v="0"/>
    <x v="0"/>
  </r>
  <r>
    <n v="899"/>
    <x v="898"/>
    <n v="5.1388888888888894E-2"/>
    <n v="4158"/>
    <n v="285"/>
    <n v="17.254166666666666"/>
    <x v="3"/>
    <x v="3"/>
    <n v="2.5416666666666665"/>
    <s v="Slow"/>
    <x v="0"/>
    <n v="1"/>
    <x v="0"/>
    <x v="0"/>
  </r>
  <r>
    <n v="900"/>
    <x v="899"/>
    <n v="5.8333333333333327E-2"/>
    <n v="1601"/>
    <n v="388"/>
    <n v="43.667361111111113"/>
    <x v="1"/>
    <x v="1"/>
    <n v="1.6284722222222223"/>
    <s v="Slow"/>
    <x v="2"/>
    <n v="0"/>
    <x v="1"/>
    <x v="1"/>
  </r>
  <r>
    <n v="901"/>
    <x v="900"/>
    <n v="6.2499999999999995E-3"/>
    <n v="3006"/>
    <n v="326"/>
    <n v="34.668055555555554"/>
    <x v="1"/>
    <x v="2"/>
    <n v="2.8333333333333335"/>
    <s v="Slow"/>
    <x v="2"/>
    <n v="0"/>
    <x v="1"/>
    <x v="1"/>
  </r>
  <r>
    <n v="902"/>
    <x v="901"/>
    <n v="4.3055555555555562E-2"/>
    <n v="3715"/>
    <n v="266"/>
    <n v="34.422222222222224"/>
    <x v="1"/>
    <x v="3"/>
    <n v="8.9583333333333334E-2"/>
    <s v="Fast"/>
    <x v="2"/>
    <n v="0"/>
    <x v="1"/>
    <x v="1"/>
  </r>
  <r>
    <n v="903"/>
    <x v="902"/>
    <n v="6.0416666666666667E-2"/>
    <n v="848"/>
    <n v="260"/>
    <n v="69.504861111111111"/>
    <x v="2"/>
    <x v="3"/>
    <n v="0.95972222222222225"/>
    <s v="Fast"/>
    <x v="2"/>
    <n v="0"/>
    <x v="1"/>
    <x v="1"/>
  </r>
  <r>
    <n v="904"/>
    <x v="903"/>
    <n v="6.458333333333334E-2"/>
    <n v="4270"/>
    <n v="273"/>
    <n v="6.1263888888888891"/>
    <x v="1"/>
    <x v="2"/>
    <n v="1.5465277777777777"/>
    <s v="Slow"/>
    <x v="1"/>
    <n v="0"/>
    <x v="1"/>
    <x v="1"/>
  </r>
  <r>
    <n v="905"/>
    <x v="904"/>
    <n v="6.3888888888888898E-2"/>
    <n v="84"/>
    <n v="357"/>
    <n v="2.0062500000000001"/>
    <x v="1"/>
    <x v="1"/>
    <n v="1.9180555555555554"/>
    <s v="Slow"/>
    <x v="2"/>
    <n v="0"/>
    <x v="1"/>
    <x v="1"/>
  </r>
  <r>
    <n v="906"/>
    <x v="905"/>
    <n v="5.4166666666666669E-2"/>
    <n v="522"/>
    <n v="137"/>
    <n v="83.00555555555556"/>
    <x v="0"/>
    <x v="1"/>
    <n v="0.83958333333333324"/>
    <s v="Fast"/>
    <x v="1"/>
    <n v="0"/>
    <x v="1"/>
    <x v="1"/>
  </r>
  <r>
    <n v="907"/>
    <x v="906"/>
    <n v="6.458333333333334E-2"/>
    <n v="1717"/>
    <n v="197"/>
    <n v="56.917361111111113"/>
    <x v="0"/>
    <x v="1"/>
    <n v="0.25486111111111109"/>
    <s v="Fast"/>
    <x v="2"/>
    <n v="1"/>
    <x v="0"/>
    <x v="2"/>
  </r>
  <r>
    <n v="908"/>
    <x v="907"/>
    <n v="5.6944444444444443E-2"/>
    <n v="4483"/>
    <n v="178"/>
    <n v="40.752083333333331"/>
    <x v="0"/>
    <x v="2"/>
    <n v="2.0430555555555556"/>
    <s v="Slow"/>
    <x v="1"/>
    <n v="0"/>
    <x v="1"/>
    <x v="1"/>
  </r>
  <r>
    <n v="909"/>
    <x v="908"/>
    <n v="4.6527777777777779E-2"/>
    <n v="1098"/>
    <n v="262"/>
    <n v="9.5451388888888893"/>
    <x v="3"/>
    <x v="1"/>
    <n v="1.1312499999999999"/>
    <s v="Fast"/>
    <x v="1"/>
    <n v="0"/>
    <x v="1"/>
    <x v="1"/>
  </r>
  <r>
    <n v="910"/>
    <x v="909"/>
    <n v="4.9305555555555554E-2"/>
    <n v="3391"/>
    <n v="280"/>
    <n v="13.002777777777778"/>
    <x v="2"/>
    <x v="3"/>
    <n v="0.41805555555555557"/>
    <s v="Fast"/>
    <x v="1"/>
    <n v="0"/>
    <x v="1"/>
    <x v="1"/>
  </r>
  <r>
    <n v="911"/>
    <x v="910"/>
    <n v="5.8333333333333327E-2"/>
    <n v="2868"/>
    <n v="486"/>
    <n v="14.297916666666666"/>
    <x v="0"/>
    <x v="3"/>
    <n v="0.95972222222222225"/>
    <s v="Fast"/>
    <x v="1"/>
    <n v="0"/>
    <x v="1"/>
    <x v="1"/>
  </r>
  <r>
    <n v="912"/>
    <x v="911"/>
    <n v="5.6944444444444443E-2"/>
    <n v="1650"/>
    <n v="416"/>
    <n v="9.2090277777777789"/>
    <x v="0"/>
    <x v="3"/>
    <n v="1.2520833333333334"/>
    <s v="Fast"/>
    <x v="0"/>
    <n v="0"/>
    <x v="1"/>
    <x v="1"/>
  </r>
  <r>
    <n v="913"/>
    <x v="912"/>
    <n v="6.3888888888888898E-2"/>
    <n v="3764"/>
    <n v="448"/>
    <n v="21.709027777777777"/>
    <x v="2"/>
    <x v="0"/>
    <n v="2.2951388888888888"/>
    <s v="Slow"/>
    <x v="0"/>
    <n v="0"/>
    <x v="1"/>
    <x v="1"/>
  </r>
  <r>
    <n v="914"/>
    <x v="913"/>
    <n v="6.1805555555555558E-2"/>
    <n v="2076"/>
    <n v="471"/>
    <n v="20.379861111111111"/>
    <x v="3"/>
    <x v="3"/>
    <n v="2.5451388888888888"/>
    <s v="Slow"/>
    <x v="2"/>
    <n v="0"/>
    <x v="1"/>
    <x v="1"/>
  </r>
  <r>
    <n v="915"/>
    <x v="914"/>
    <n v="4.7916666666666663E-2"/>
    <n v="4018"/>
    <n v="131"/>
    <n v="82.00277777777778"/>
    <x v="2"/>
    <x v="3"/>
    <n v="0.58472222222222225"/>
    <s v="Fast"/>
    <x v="0"/>
    <n v="0"/>
    <x v="1"/>
    <x v="1"/>
  </r>
  <r>
    <n v="916"/>
    <x v="915"/>
    <n v="5.2777777777777778E-2"/>
    <n v="3037"/>
    <n v="404"/>
    <n v="37.130555555555553"/>
    <x v="2"/>
    <x v="3"/>
    <n v="2.125"/>
    <s v="Slow"/>
    <x v="0"/>
    <n v="1"/>
    <x v="0"/>
    <x v="0"/>
  </r>
  <r>
    <n v="917"/>
    <x v="916"/>
    <n v="6.3194444444444442E-2"/>
    <n v="4028"/>
    <n v="186"/>
    <n v="25.087500000000002"/>
    <x v="3"/>
    <x v="3"/>
    <n v="2.6312500000000001"/>
    <s v="Slow"/>
    <x v="1"/>
    <n v="0"/>
    <x v="1"/>
    <x v="1"/>
  </r>
  <r>
    <n v="918"/>
    <x v="917"/>
    <n v="5.4166666666666669E-2"/>
    <n v="3430"/>
    <n v="447"/>
    <n v="39.463194444444447"/>
    <x v="0"/>
    <x v="1"/>
    <n v="2.6701388888888888"/>
    <s v="Slow"/>
    <x v="1"/>
    <n v="1"/>
    <x v="0"/>
    <x v="2"/>
  </r>
  <r>
    <n v="919"/>
    <x v="918"/>
    <n v="4.7916666666666663E-2"/>
    <n v="2911"/>
    <n v="393"/>
    <n v="43.709027777777777"/>
    <x v="2"/>
    <x v="3"/>
    <n v="0.29236111111111113"/>
    <s v="Fast"/>
    <x v="2"/>
    <n v="0"/>
    <x v="1"/>
    <x v="1"/>
  </r>
  <r>
    <n v="920"/>
    <x v="919"/>
    <n v="6.7361111111111108E-2"/>
    <n v="4188"/>
    <n v="272"/>
    <n v="68.375694444444449"/>
    <x v="0"/>
    <x v="3"/>
    <n v="1.0868055555555556"/>
    <s v="Fast"/>
    <x v="0"/>
    <n v="0"/>
    <x v="1"/>
    <x v="1"/>
  </r>
  <r>
    <n v="921"/>
    <x v="920"/>
    <n v="5.4166666666666669E-2"/>
    <n v="1505"/>
    <n v="115"/>
    <n v="26.127083333333331"/>
    <x v="3"/>
    <x v="2"/>
    <n v="0.62916666666666665"/>
    <s v="Fast"/>
    <x v="2"/>
    <n v="1"/>
    <x v="0"/>
    <x v="0"/>
  </r>
  <r>
    <n v="922"/>
    <x v="921"/>
    <n v="4.9999999999999996E-2"/>
    <n v="2529"/>
    <n v="9"/>
    <n v="47.712499999999999"/>
    <x v="1"/>
    <x v="1"/>
    <n v="0.7090277777777777"/>
    <s v="Fast"/>
    <x v="0"/>
    <n v="0"/>
    <x v="1"/>
    <x v="1"/>
  </r>
  <r>
    <n v="923"/>
    <x v="922"/>
    <n v="5.5555555555555558E-3"/>
    <n v="4872"/>
    <n v="447"/>
    <n v="4.6312500000000005"/>
    <x v="0"/>
    <x v="2"/>
    <n v="0.75"/>
    <s v="Fast"/>
    <x v="0"/>
    <n v="0"/>
    <x v="1"/>
    <x v="1"/>
  </r>
  <r>
    <n v="924"/>
    <x v="923"/>
    <n v="4.9999999999999996E-2"/>
    <n v="741"/>
    <n v="71"/>
    <n v="67.50555555555556"/>
    <x v="1"/>
    <x v="2"/>
    <n v="0.67083333333333339"/>
    <s v="Fast"/>
    <x v="1"/>
    <n v="0"/>
    <x v="1"/>
    <x v="1"/>
  </r>
  <r>
    <n v="925"/>
    <x v="924"/>
    <n v="4.9305555555555554E-2"/>
    <n v="1658"/>
    <n v="233"/>
    <n v="35.088888888888889"/>
    <x v="3"/>
    <x v="2"/>
    <n v="2.9194444444444443"/>
    <s v="Slow"/>
    <x v="0"/>
    <n v="1"/>
    <x v="0"/>
    <x v="0"/>
  </r>
  <r>
    <n v="926"/>
    <x v="925"/>
    <n v="5.9722222222222225E-2"/>
    <n v="1878"/>
    <n v="397"/>
    <n v="65.796527777777769"/>
    <x v="0"/>
    <x v="0"/>
    <n v="1.0888888888888888"/>
    <s v="Fast"/>
    <x v="2"/>
    <n v="0"/>
    <x v="1"/>
    <x v="1"/>
  </r>
  <r>
    <n v="927"/>
    <x v="926"/>
    <n v="6.3888888888888898E-2"/>
    <n v="3992"/>
    <n v="2"/>
    <n v="12.797222222222222"/>
    <x v="3"/>
    <x v="2"/>
    <n v="1.8395833333333333"/>
    <s v="Slow"/>
    <x v="1"/>
    <n v="0"/>
    <x v="1"/>
    <x v="1"/>
  </r>
  <r>
    <n v="928"/>
    <x v="927"/>
    <n v="5.2777777777777778E-2"/>
    <n v="716"/>
    <n v="483"/>
    <n v="15.213888888888889"/>
    <x v="1"/>
    <x v="0"/>
    <n v="2.9180555555555556"/>
    <s v="Slow"/>
    <x v="1"/>
    <n v="1"/>
    <x v="0"/>
    <x v="0"/>
  </r>
  <r>
    <n v="929"/>
    <x v="928"/>
    <n v="4.5833333333333337E-2"/>
    <n v="1554"/>
    <n v="485"/>
    <n v="34.170138888888893"/>
    <x v="2"/>
    <x v="3"/>
    <n v="0.54375000000000007"/>
    <s v="Fast"/>
    <x v="1"/>
    <n v="0"/>
    <x v="1"/>
    <x v="1"/>
  </r>
  <r>
    <n v="930"/>
    <x v="929"/>
    <n v="5.486111111111111E-2"/>
    <n v="4658"/>
    <n v="262"/>
    <n v="28.875"/>
    <x v="2"/>
    <x v="0"/>
    <n v="0.50138888888888888"/>
    <s v="Fast"/>
    <x v="0"/>
    <n v="0"/>
    <x v="1"/>
    <x v="1"/>
  </r>
  <r>
    <n v="931"/>
    <x v="930"/>
    <n v="5.2777777777777778E-2"/>
    <n v="2742"/>
    <n v="494"/>
    <n v="27.295833333333334"/>
    <x v="2"/>
    <x v="3"/>
    <n v="0.58750000000000002"/>
    <s v="Fast"/>
    <x v="2"/>
    <n v="1"/>
    <x v="0"/>
    <x v="0"/>
  </r>
  <r>
    <n v="932"/>
    <x v="931"/>
    <n v="5.3472222222222227E-2"/>
    <n v="4110"/>
    <n v="381"/>
    <n v="30.422916666666666"/>
    <x v="3"/>
    <x v="3"/>
    <n v="2.9590277777777776"/>
    <s v="Slow"/>
    <x v="2"/>
    <n v="0"/>
    <x v="1"/>
    <x v="1"/>
  </r>
  <r>
    <n v="933"/>
    <x v="932"/>
    <n v="4.8611111111111112E-3"/>
    <n v="3430"/>
    <n v="298"/>
    <n v="70.754861111111111"/>
    <x v="1"/>
    <x v="3"/>
    <n v="2.1256944444444446"/>
    <s v="Slow"/>
    <x v="0"/>
    <n v="1"/>
    <x v="0"/>
    <x v="0"/>
  </r>
  <r>
    <n v="934"/>
    <x v="933"/>
    <n v="6.3194444444444442E-2"/>
    <n v="2873"/>
    <n v="253"/>
    <n v="31.62777777777778"/>
    <x v="0"/>
    <x v="0"/>
    <n v="1.0465277777777777"/>
    <s v="Fast"/>
    <x v="0"/>
    <n v="0"/>
    <x v="1"/>
    <x v="1"/>
  </r>
  <r>
    <n v="935"/>
    <x v="934"/>
    <n v="4.7222222222222221E-2"/>
    <n v="3907"/>
    <n v="31"/>
    <n v="47.627083333333331"/>
    <x v="1"/>
    <x v="0"/>
    <n v="1.8388888888888888"/>
    <s v="Slow"/>
    <x v="2"/>
    <n v="0"/>
    <x v="1"/>
    <x v="1"/>
  </r>
  <r>
    <n v="936"/>
    <x v="935"/>
    <n v="4.3055555555555562E-2"/>
    <n v="1085"/>
    <n v="470"/>
    <n v="61.585416666666667"/>
    <x v="1"/>
    <x v="0"/>
    <n v="2.1305555555555555"/>
    <s v="Slow"/>
    <x v="2"/>
    <n v="0"/>
    <x v="1"/>
    <x v="1"/>
  </r>
  <r>
    <n v="937"/>
    <x v="936"/>
    <n v="6.1111111111111109E-2"/>
    <n v="2012"/>
    <n v="282"/>
    <n v="52.87638888888889"/>
    <x v="2"/>
    <x v="0"/>
    <n v="0.79791666666666661"/>
    <s v="Fast"/>
    <x v="0"/>
    <n v="1"/>
    <x v="0"/>
    <x v="0"/>
  </r>
  <r>
    <n v="938"/>
    <x v="937"/>
    <n v="6.2499999999999995E-3"/>
    <n v="4687"/>
    <n v="382"/>
    <n v="66.168750000000003"/>
    <x v="0"/>
    <x v="1"/>
    <n v="1.1673611111111111"/>
    <s v="Fast"/>
    <x v="0"/>
    <n v="0"/>
    <x v="1"/>
    <x v="1"/>
  </r>
  <r>
    <n v="939"/>
    <x v="938"/>
    <n v="4.8611111111111112E-3"/>
    <n v="3665"/>
    <n v="445"/>
    <n v="19.960416666666667"/>
    <x v="0"/>
    <x v="0"/>
    <n v="0.33680555555555558"/>
    <s v="Fast"/>
    <x v="2"/>
    <n v="0"/>
    <x v="1"/>
    <x v="1"/>
  </r>
  <r>
    <n v="940"/>
    <x v="939"/>
    <n v="4.6527777777777779E-2"/>
    <n v="4860"/>
    <n v="407"/>
    <n v="37.586805555555557"/>
    <x v="1"/>
    <x v="3"/>
    <n v="0.37916666666666665"/>
    <s v="Fast"/>
    <x v="1"/>
    <n v="0"/>
    <x v="1"/>
    <x v="1"/>
  </r>
  <r>
    <n v="941"/>
    <x v="940"/>
    <n v="5.7638888888888885E-2"/>
    <n v="4585"/>
    <n v="21"/>
    <n v="68.96041666666666"/>
    <x v="3"/>
    <x v="3"/>
    <n v="0.5"/>
    <s v="Fast"/>
    <x v="1"/>
    <n v="0"/>
    <x v="1"/>
    <x v="1"/>
  </r>
  <r>
    <n v="942"/>
    <x v="941"/>
    <n v="6.7361111111111108E-2"/>
    <n v="2671"/>
    <n v="145"/>
    <n v="68.584722222222226"/>
    <x v="2"/>
    <x v="3"/>
    <n v="2.8361111111111108"/>
    <s v="Slow"/>
    <x v="2"/>
    <n v="0"/>
    <x v="1"/>
    <x v="1"/>
  </r>
  <r>
    <n v="943"/>
    <x v="942"/>
    <n v="4.8611111111111112E-3"/>
    <n v="2841"/>
    <n v="201"/>
    <n v="29.380555555555556"/>
    <x v="0"/>
    <x v="1"/>
    <n v="2.5013888888888887"/>
    <s v="Slow"/>
    <x v="1"/>
    <n v="0"/>
    <x v="1"/>
    <x v="1"/>
  </r>
  <r>
    <n v="944"/>
    <x v="943"/>
    <n v="5.6944444444444443E-2"/>
    <n v="1829"/>
    <n v="432"/>
    <n v="32.795833333333334"/>
    <x v="1"/>
    <x v="3"/>
    <n v="2.8395833333333336"/>
    <s v="Slow"/>
    <x v="2"/>
    <n v="0"/>
    <x v="1"/>
    <x v="1"/>
  </r>
  <r>
    <n v="945"/>
    <x v="944"/>
    <n v="4.9305555555555554E-2"/>
    <n v="3480"/>
    <n v="462"/>
    <n v="22.584027777777777"/>
    <x v="2"/>
    <x v="1"/>
    <n v="1.6284722222222223"/>
    <s v="Slow"/>
    <x v="1"/>
    <n v="0"/>
    <x v="1"/>
    <x v="1"/>
  </r>
  <r>
    <n v="946"/>
    <x v="945"/>
    <n v="6.2499999999999995E-3"/>
    <n v="3070"/>
    <n v="39"/>
    <n v="3.1291666666666664"/>
    <x v="3"/>
    <x v="2"/>
    <n v="0.66805555555555562"/>
    <s v="Fast"/>
    <x v="0"/>
    <n v="0"/>
    <x v="1"/>
    <x v="1"/>
  </r>
  <r>
    <n v="947"/>
    <x v="946"/>
    <n v="5.486111111111111E-2"/>
    <n v="4898"/>
    <n v="450"/>
    <n v="33.12777777777778"/>
    <x v="0"/>
    <x v="3"/>
    <n v="0.12569444444444444"/>
    <s v="Fast"/>
    <x v="0"/>
    <n v="0"/>
    <x v="1"/>
    <x v="1"/>
  </r>
  <r>
    <n v="948"/>
    <x v="947"/>
    <n v="5.2083333333333336E-2"/>
    <n v="4944"/>
    <n v="56"/>
    <n v="45.837499999999999"/>
    <x v="0"/>
    <x v="2"/>
    <n v="1.0020833333333334"/>
    <s v="Fast"/>
    <x v="2"/>
    <n v="1"/>
    <x v="0"/>
    <x v="0"/>
  </r>
  <r>
    <n v="949"/>
    <x v="948"/>
    <n v="5.9722222222222225E-2"/>
    <n v="3557"/>
    <n v="12"/>
    <n v="34.584027777777777"/>
    <x v="3"/>
    <x v="2"/>
    <n v="2.2145833333333331"/>
    <s v="Slow"/>
    <x v="0"/>
    <n v="0"/>
    <x v="1"/>
    <x v="1"/>
  </r>
  <r>
    <n v="950"/>
    <x v="949"/>
    <n v="5.6250000000000001E-2"/>
    <n v="3406"/>
    <n v="447"/>
    <n v="7.7930555555555552"/>
    <x v="0"/>
    <x v="0"/>
    <n v="1.5458333333333334"/>
    <s v="Slow"/>
    <x v="2"/>
    <n v="0"/>
    <x v="1"/>
    <x v="1"/>
  </r>
  <r>
    <n v="951"/>
    <x v="950"/>
    <n v="4.7222222222222221E-2"/>
    <n v="3115"/>
    <n v="186"/>
    <n v="6.5062500000000005"/>
    <x v="3"/>
    <x v="3"/>
    <n v="0.62916666666666665"/>
    <s v="Fast"/>
    <x v="1"/>
    <n v="0"/>
    <x v="1"/>
    <x v="1"/>
  </r>
  <r>
    <n v="952"/>
    <x v="951"/>
    <n v="5.3472222222222227E-2"/>
    <n v="2464"/>
    <n v="315"/>
    <n v="78.375694444444449"/>
    <x v="3"/>
    <x v="1"/>
    <n v="2.6708333333333329"/>
    <s v="Slow"/>
    <x v="2"/>
    <n v="0"/>
    <x v="1"/>
    <x v="1"/>
  </r>
  <r>
    <n v="953"/>
    <x v="952"/>
    <n v="6.805555555555555E-2"/>
    <n v="2250"/>
    <n v="490"/>
    <n v="69.172916666666666"/>
    <x v="0"/>
    <x v="2"/>
    <n v="1.6729166666666666"/>
    <s v="Slow"/>
    <x v="1"/>
    <n v="1"/>
    <x v="0"/>
    <x v="0"/>
  </r>
  <r>
    <n v="954"/>
    <x v="953"/>
    <n v="6.3888888888888898E-2"/>
    <n v="2000"/>
    <n v="172"/>
    <n v="55.002083333333331"/>
    <x v="3"/>
    <x v="1"/>
    <n v="2.713194444444444"/>
    <s v="Slow"/>
    <x v="2"/>
    <n v="0"/>
    <x v="1"/>
    <x v="1"/>
  </r>
  <r>
    <n v="955"/>
    <x v="954"/>
    <n v="5.5555555555555558E-3"/>
    <n v="3978"/>
    <n v="364"/>
    <n v="17.502083333333335"/>
    <x v="3"/>
    <x v="2"/>
    <n v="0.66666666666666663"/>
    <s v="Fast"/>
    <x v="1"/>
    <n v="0"/>
    <x v="1"/>
    <x v="1"/>
  </r>
  <r>
    <n v="956"/>
    <x v="955"/>
    <n v="5.9722222222222225E-2"/>
    <n v="2124"/>
    <n v="265"/>
    <n v="66.297222222222231"/>
    <x v="3"/>
    <x v="1"/>
    <n v="0.13055555555555556"/>
    <s v="Fast"/>
    <x v="2"/>
    <n v="0"/>
    <x v="1"/>
    <x v="1"/>
  </r>
  <r>
    <n v="957"/>
    <x v="956"/>
    <n v="4.5833333333333337E-2"/>
    <n v="672"/>
    <n v="246"/>
    <n v="26.084027777777777"/>
    <x v="2"/>
    <x v="0"/>
    <n v="2.0451388888888888"/>
    <s v="Slow"/>
    <x v="0"/>
    <n v="1"/>
    <x v="0"/>
    <x v="0"/>
  </r>
  <r>
    <n v="958"/>
    <x v="957"/>
    <n v="5.3472222222222227E-2"/>
    <n v="871"/>
    <n v="322"/>
    <n v="28.00277777777778"/>
    <x v="0"/>
    <x v="2"/>
    <n v="2.963888888888889"/>
    <s v="Slow"/>
    <x v="1"/>
    <n v="1"/>
    <x v="0"/>
    <x v="0"/>
  </r>
  <r>
    <n v="959"/>
    <x v="958"/>
    <n v="6.6666666666666666E-2"/>
    <n v="1058"/>
    <n v="309"/>
    <n v="51.584722222222219"/>
    <x v="0"/>
    <x v="1"/>
    <n v="1.0868055555555556"/>
    <s v="Fast"/>
    <x v="0"/>
    <n v="0"/>
    <x v="1"/>
    <x v="1"/>
  </r>
  <r>
    <n v="960"/>
    <x v="959"/>
    <n v="4.7222222222222221E-2"/>
    <n v="387"/>
    <n v="492"/>
    <n v="18.839583333333334"/>
    <x v="1"/>
    <x v="1"/>
    <n v="0.125"/>
    <s v="Fast"/>
    <x v="0"/>
    <n v="1"/>
    <x v="0"/>
    <x v="2"/>
  </r>
  <r>
    <n v="961"/>
    <x v="960"/>
    <n v="6.8749999999999992E-2"/>
    <n v="1796"/>
    <n v="370"/>
    <n v="9.8763888888888882"/>
    <x v="3"/>
    <x v="3"/>
    <n v="2.755555555555556"/>
    <s v="Slow"/>
    <x v="0"/>
    <n v="0"/>
    <x v="1"/>
    <x v="1"/>
  </r>
  <r>
    <n v="962"/>
    <x v="961"/>
    <n v="6.5277777777777782E-2"/>
    <n v="816"/>
    <n v="82"/>
    <n v="27.336111111111112"/>
    <x v="0"/>
    <x v="3"/>
    <n v="0.29305555555555557"/>
    <s v="Fast"/>
    <x v="0"/>
    <n v="0"/>
    <x v="1"/>
    <x v="1"/>
  </r>
  <r>
    <n v="963"/>
    <x v="962"/>
    <n v="6.0416666666666667E-2"/>
    <n v="2102"/>
    <n v="451"/>
    <n v="25.295833333333334"/>
    <x v="3"/>
    <x v="1"/>
    <n v="0.79652777777777783"/>
    <s v="Fast"/>
    <x v="2"/>
    <n v="0"/>
    <x v="1"/>
    <x v="1"/>
  </r>
  <r>
    <n v="964"/>
    <x v="963"/>
    <n v="5.2083333333333336E-2"/>
    <n v="2665"/>
    <n v="289"/>
    <n v="11.960416666666667"/>
    <x v="1"/>
    <x v="0"/>
    <n v="0.88124999999999998"/>
    <s v="Fast"/>
    <x v="1"/>
    <n v="0"/>
    <x v="1"/>
    <x v="1"/>
  </r>
  <r>
    <n v="965"/>
    <x v="964"/>
    <n v="4.4444444444444446E-2"/>
    <n v="1135"/>
    <n v="390"/>
    <n v="62.421527777777776"/>
    <x v="0"/>
    <x v="1"/>
    <n v="0.17083333333333331"/>
    <s v="Fast"/>
    <x v="2"/>
    <n v="0"/>
    <x v="1"/>
    <x v="1"/>
  </r>
  <r>
    <n v="966"/>
    <x v="965"/>
    <n v="4.9999999999999996E-2"/>
    <n v="2158"/>
    <n v="165"/>
    <n v="24.416666666666668"/>
    <x v="1"/>
    <x v="3"/>
    <n v="4.5833333333333337E-2"/>
    <s v="Fast"/>
    <x v="2"/>
    <n v="0"/>
    <x v="1"/>
    <x v="1"/>
  </r>
  <r>
    <n v="967"/>
    <x v="966"/>
    <n v="6.2499999999999995E-3"/>
    <n v="81"/>
    <n v="164"/>
    <n v="77.672222222222231"/>
    <x v="0"/>
    <x v="0"/>
    <n v="0.12986111111111112"/>
    <s v="Fast"/>
    <x v="1"/>
    <n v="1"/>
    <x v="0"/>
    <x v="0"/>
  </r>
  <r>
    <n v="968"/>
    <x v="967"/>
    <n v="5.3472222222222227E-2"/>
    <n v="3099"/>
    <n v="314"/>
    <n v="51.879166666666663"/>
    <x v="2"/>
    <x v="0"/>
    <n v="0.58472222222222225"/>
    <s v="Fast"/>
    <x v="0"/>
    <n v="0"/>
    <x v="1"/>
    <x v="1"/>
  </r>
  <r>
    <n v="969"/>
    <x v="968"/>
    <n v="6.3888888888888898E-2"/>
    <n v="3576"/>
    <n v="101"/>
    <n v="20.793055555555558"/>
    <x v="1"/>
    <x v="2"/>
    <n v="0.54375000000000007"/>
    <s v="Fast"/>
    <x v="2"/>
    <n v="0"/>
    <x v="1"/>
    <x v="1"/>
  </r>
  <r>
    <n v="970"/>
    <x v="969"/>
    <n v="4.7916666666666663E-2"/>
    <n v="248"/>
    <n v="164"/>
    <n v="22.504861111111111"/>
    <x v="3"/>
    <x v="2"/>
    <n v="1.7104166666666665"/>
    <s v="Slow"/>
    <x v="0"/>
    <n v="0"/>
    <x v="1"/>
    <x v="1"/>
  </r>
  <r>
    <n v="971"/>
    <x v="970"/>
    <n v="6.458333333333334E-2"/>
    <n v="4583"/>
    <n v="130"/>
    <n v="27.208333333333332"/>
    <x v="1"/>
    <x v="3"/>
    <n v="1.0868055555555556"/>
    <s v="Fast"/>
    <x v="1"/>
    <n v="1"/>
    <x v="0"/>
    <x v="0"/>
  </r>
  <r>
    <n v="972"/>
    <x v="971"/>
    <n v="6.5277777777777782E-2"/>
    <n v="1890"/>
    <n v="489"/>
    <n v="32.543749999999996"/>
    <x v="3"/>
    <x v="3"/>
    <n v="1.1305555555555555"/>
    <s v="Fast"/>
    <x v="0"/>
    <n v="1"/>
    <x v="0"/>
    <x v="0"/>
  </r>
  <r>
    <n v="973"/>
    <x v="972"/>
    <n v="6.1805555555555558E-2"/>
    <n v="2999"/>
    <n v="258"/>
    <n v="12.589583333333332"/>
    <x v="3"/>
    <x v="1"/>
    <n v="2.2965277777777779"/>
    <s v="Slow"/>
    <x v="2"/>
    <n v="1"/>
    <x v="0"/>
    <x v="2"/>
  </r>
  <r>
    <n v="974"/>
    <x v="973"/>
    <n v="4.7222222222222221E-2"/>
    <n v="1102"/>
    <n v="300"/>
    <n v="59.918055555555554"/>
    <x v="2"/>
    <x v="2"/>
    <n v="2.2965277777777779"/>
    <s v="Slow"/>
    <x v="0"/>
    <n v="1"/>
    <x v="0"/>
    <x v="0"/>
  </r>
  <r>
    <n v="975"/>
    <x v="974"/>
    <n v="4.7916666666666663E-2"/>
    <n v="4904"/>
    <n v="295"/>
    <n v="73.838888888888889"/>
    <x v="1"/>
    <x v="2"/>
    <n v="1.7972222222222223"/>
    <s v="Slow"/>
    <x v="1"/>
    <n v="0"/>
    <x v="1"/>
    <x v="1"/>
  </r>
  <r>
    <n v="976"/>
    <x v="975"/>
    <n v="4.3750000000000004E-2"/>
    <n v="2592"/>
    <n v="433"/>
    <n v="81.377083333333331"/>
    <x v="3"/>
    <x v="0"/>
    <n v="2.5062500000000001"/>
    <s v="Slow"/>
    <x v="2"/>
    <n v="0"/>
    <x v="1"/>
    <x v="1"/>
  </r>
  <r>
    <n v="977"/>
    <x v="976"/>
    <n v="4.3055555555555562E-2"/>
    <n v="4037"/>
    <n v="303"/>
    <n v="32.833333333333336"/>
    <x v="2"/>
    <x v="0"/>
    <n v="2.0881944444444445"/>
    <s v="Slow"/>
    <x v="0"/>
    <n v="1"/>
    <x v="0"/>
    <x v="0"/>
  </r>
  <r>
    <n v="978"/>
    <x v="977"/>
    <n v="6.2499999999999995E-3"/>
    <n v="1689"/>
    <n v="109"/>
    <n v="11.543750000000001"/>
    <x v="3"/>
    <x v="2"/>
    <n v="2.5861111111111112"/>
    <s v="Slow"/>
    <x v="2"/>
    <n v="0"/>
    <x v="1"/>
    <x v="1"/>
  </r>
  <r>
    <n v="979"/>
    <x v="978"/>
    <n v="5.5555555555555558E-3"/>
    <n v="4869"/>
    <n v="154"/>
    <n v="81.211111111111109"/>
    <x v="1"/>
    <x v="1"/>
    <n v="2.088888888888889"/>
    <s v="Slow"/>
    <x v="2"/>
    <n v="0"/>
    <x v="1"/>
    <x v="1"/>
  </r>
  <r>
    <n v="980"/>
    <x v="979"/>
    <n v="6.2499999999999995E-3"/>
    <n v="1635"/>
    <n v="431"/>
    <n v="38.62777777777778"/>
    <x v="3"/>
    <x v="0"/>
    <n v="2.5451388888888888"/>
    <s v="Slow"/>
    <x v="0"/>
    <n v="0"/>
    <x v="1"/>
    <x v="1"/>
  </r>
  <r>
    <n v="981"/>
    <x v="980"/>
    <n v="4.9305555555555554E-2"/>
    <n v="2439"/>
    <n v="152"/>
    <n v="1.7534722222222223"/>
    <x v="1"/>
    <x v="0"/>
    <n v="1.4180555555555554"/>
    <s v="Fast"/>
    <x v="1"/>
    <n v="0"/>
    <x v="1"/>
    <x v="1"/>
  </r>
  <r>
    <n v="982"/>
    <x v="981"/>
    <n v="5.1388888888888894E-2"/>
    <n v="3023"/>
    <n v="134"/>
    <n v="21.296527777777779"/>
    <x v="2"/>
    <x v="0"/>
    <n v="2.963888888888889"/>
    <s v="Slow"/>
    <x v="1"/>
    <n v="0"/>
    <x v="1"/>
    <x v="1"/>
  </r>
  <r>
    <n v="983"/>
    <x v="982"/>
    <n v="6.6666666666666666E-2"/>
    <n v="4084"/>
    <n v="37"/>
    <n v="10.795138888888888"/>
    <x v="2"/>
    <x v="1"/>
    <n v="2.1256944444444446"/>
    <s v="Slow"/>
    <x v="0"/>
    <n v="1"/>
    <x v="0"/>
    <x v="2"/>
  </r>
  <r>
    <n v="984"/>
    <x v="983"/>
    <n v="4.1666666666666664E-2"/>
    <n v="1390"/>
    <n v="42"/>
    <n v="33.506250000000001"/>
    <x v="2"/>
    <x v="0"/>
    <n v="2.6666666666666665"/>
    <s v="Slow"/>
    <x v="1"/>
    <n v="0"/>
    <x v="1"/>
    <x v="1"/>
  </r>
  <r>
    <n v="985"/>
    <x v="984"/>
    <n v="4.4444444444444446E-2"/>
    <n v="4583"/>
    <n v="213"/>
    <n v="37.086805555555557"/>
    <x v="2"/>
    <x v="0"/>
    <n v="1.4618055555555556"/>
    <s v="Fast"/>
    <x v="1"/>
    <n v="0"/>
    <x v="1"/>
    <x v="1"/>
  </r>
  <r>
    <n v="986"/>
    <x v="985"/>
    <n v="6.3194444444444442E-2"/>
    <n v="3190"/>
    <n v="175"/>
    <n v="72.712499999999991"/>
    <x v="0"/>
    <x v="2"/>
    <n v="0.16805555555555554"/>
    <s v="Fast"/>
    <x v="1"/>
    <n v="0"/>
    <x v="1"/>
    <x v="1"/>
  </r>
  <r>
    <n v="987"/>
    <x v="986"/>
    <n v="5.6944444444444443E-2"/>
    <n v="2069"/>
    <n v="316"/>
    <n v="3.9208333333333329"/>
    <x v="0"/>
    <x v="1"/>
    <n v="0.46249999999999997"/>
    <s v="Fast"/>
    <x v="0"/>
    <n v="0"/>
    <x v="1"/>
    <x v="1"/>
  </r>
  <r>
    <n v="988"/>
    <x v="987"/>
    <n v="4.1666666666666666E-3"/>
    <n v="4672"/>
    <n v="83"/>
    <n v="70.418750000000003"/>
    <x v="2"/>
    <x v="1"/>
    <n v="1.0041666666666667"/>
    <s v="Fast"/>
    <x v="1"/>
    <n v="0"/>
    <x v="1"/>
    <x v="1"/>
  </r>
  <r>
    <n v="989"/>
    <x v="988"/>
    <n v="5.9027777777777783E-2"/>
    <n v="1083"/>
    <n v="35"/>
    <n v="62.835416666666667"/>
    <x v="3"/>
    <x v="0"/>
    <n v="1.0013888888888889"/>
    <s v="Fast"/>
    <x v="0"/>
    <n v="1"/>
    <x v="0"/>
    <x v="0"/>
  </r>
  <r>
    <n v="990"/>
    <x v="989"/>
    <n v="4.9305555555555554E-2"/>
    <n v="1820"/>
    <n v="420"/>
    <n v="70.586111111111109"/>
    <x v="0"/>
    <x v="1"/>
    <n v="2.2111111111111112"/>
    <s v="Slow"/>
    <x v="2"/>
    <n v="1"/>
    <x v="0"/>
    <x v="2"/>
  </r>
  <r>
    <n v="991"/>
    <x v="990"/>
    <n v="5.1388888888888894E-2"/>
    <n v="1406"/>
    <n v="272"/>
    <n v="36.838194444444447"/>
    <x v="1"/>
    <x v="0"/>
    <n v="0.54236111111111118"/>
    <s v="Fast"/>
    <x v="1"/>
    <n v="1"/>
    <x v="0"/>
    <x v="0"/>
  </r>
  <r>
    <n v="992"/>
    <x v="991"/>
    <n v="6.8749999999999992E-2"/>
    <n v="874"/>
    <n v="219"/>
    <n v="77.334027777777777"/>
    <x v="3"/>
    <x v="2"/>
    <n v="1.1715277777777777"/>
    <s v="Fast"/>
    <x v="0"/>
    <n v="1"/>
    <x v="0"/>
    <x v="0"/>
  </r>
  <r>
    <n v="993"/>
    <x v="992"/>
    <n v="6.2499999999999995E-3"/>
    <n v="2898"/>
    <n v="253"/>
    <n v="51.797222222222224"/>
    <x v="2"/>
    <x v="0"/>
    <n v="1.5451388888888891"/>
    <s v="Slow"/>
    <x v="1"/>
    <n v="0"/>
    <x v="1"/>
    <x v="1"/>
  </r>
  <r>
    <n v="994"/>
    <x v="993"/>
    <n v="4.3055555555555562E-2"/>
    <n v="3526"/>
    <n v="415"/>
    <n v="48.672222222222224"/>
    <x v="0"/>
    <x v="1"/>
    <n v="0.21180555555555555"/>
    <s v="Fast"/>
    <x v="0"/>
    <n v="0"/>
    <x v="1"/>
    <x v="1"/>
  </r>
  <r>
    <n v="995"/>
    <x v="994"/>
    <n v="6.0416666666666667E-2"/>
    <n v="1316"/>
    <n v="214"/>
    <n v="73.670138888888886"/>
    <x v="1"/>
    <x v="1"/>
    <n v="1.625"/>
    <s v="Slow"/>
    <x v="1"/>
    <n v="1"/>
    <x v="0"/>
    <x v="2"/>
  </r>
  <r>
    <n v="996"/>
    <x v="995"/>
    <n v="4.2361111111111106E-2"/>
    <n v="4117"/>
    <n v="143"/>
    <n v="59.084722222222219"/>
    <x v="0"/>
    <x v="2"/>
    <n v="0.9194444444444444"/>
    <s v="Fast"/>
    <x v="2"/>
    <n v="1"/>
    <x v="0"/>
    <x v="0"/>
  </r>
  <r>
    <n v="997"/>
    <x v="996"/>
    <n v="6.5972222222222224E-2"/>
    <n v="4741"/>
    <n v="483"/>
    <n v="75.75555555555556"/>
    <x v="1"/>
    <x v="2"/>
    <n v="2.9229166666666671"/>
    <s v="Slow"/>
    <x v="0"/>
    <n v="1"/>
    <x v="0"/>
    <x v="0"/>
  </r>
  <r>
    <n v="998"/>
    <x v="997"/>
    <n v="5.8333333333333327E-2"/>
    <n v="647"/>
    <n v="2"/>
    <n v="15.170833333333334"/>
    <x v="1"/>
    <x v="2"/>
    <n v="0.16805555555555554"/>
    <s v="Fast"/>
    <x v="0"/>
    <n v="1"/>
    <x v="0"/>
    <x v="0"/>
  </r>
  <r>
    <n v="999"/>
    <x v="998"/>
    <n v="5.9027777777777783E-2"/>
    <n v="4957"/>
    <n v="68"/>
    <n v="34.544444444444444"/>
    <x v="3"/>
    <x v="2"/>
    <n v="1.6305555555555555"/>
    <s v="Slow"/>
    <x v="0"/>
    <n v="1"/>
    <x v="0"/>
    <x v="0"/>
  </r>
  <r>
    <n v="1000"/>
    <x v="999"/>
    <n v="4.2361111111111106E-2"/>
    <n v="3714"/>
    <n v="183"/>
    <n v="13.297916666666666"/>
    <x v="2"/>
    <x v="1"/>
    <n v="2.9590277777777776"/>
    <s v="Slow"/>
    <x v="2"/>
    <n v="0"/>
    <x v="1"/>
    <x v="1"/>
  </r>
  <r>
    <n v="1001"/>
    <x v="1000"/>
    <n v="4.3750000000000004E-2"/>
    <n v="1369"/>
    <n v="21"/>
    <n v="18.628472222222221"/>
    <x v="3"/>
    <x v="1"/>
    <n v="2.7923611111111111"/>
    <s v="Slow"/>
    <x v="1"/>
    <n v="1"/>
    <x v="0"/>
    <x v="2"/>
  </r>
  <r>
    <n v="1002"/>
    <x v="1001"/>
    <n v="5.6250000000000001E-2"/>
    <n v="2183"/>
    <n v="425"/>
    <n v="40.83958333333333"/>
    <x v="2"/>
    <x v="2"/>
    <n v="8.819444444444445E-2"/>
    <s v="Fast"/>
    <x v="0"/>
    <n v="0"/>
    <x v="1"/>
    <x v="1"/>
  </r>
  <r>
    <n v="1003"/>
    <x v="1002"/>
    <n v="5.2083333333333336E-2"/>
    <n v="834"/>
    <n v="449"/>
    <n v="29.960416666666664"/>
    <x v="0"/>
    <x v="0"/>
    <n v="1.0847222222222224"/>
    <s v="Fast"/>
    <x v="0"/>
    <n v="0"/>
    <x v="1"/>
    <x v="1"/>
  </r>
  <r>
    <n v="1004"/>
    <x v="1003"/>
    <n v="6.458333333333334E-2"/>
    <n v="1389"/>
    <n v="381"/>
    <n v="55.125"/>
    <x v="1"/>
    <x v="0"/>
    <n v="1.2104166666666667"/>
    <s v="Fast"/>
    <x v="1"/>
    <n v="0"/>
    <x v="1"/>
    <x v="1"/>
  </r>
  <r>
    <n v="1005"/>
    <x v="1004"/>
    <n v="4.9305555555555554E-2"/>
    <n v="3030"/>
    <n v="242"/>
    <n v="12.125"/>
    <x v="0"/>
    <x v="2"/>
    <n v="0.66736111111111107"/>
    <s v="Fast"/>
    <x v="2"/>
    <n v="1"/>
    <x v="0"/>
    <x v="0"/>
  </r>
  <r>
    <n v="1006"/>
    <x v="1005"/>
    <n v="5.2777777777777778E-2"/>
    <n v="2584"/>
    <n v="205"/>
    <n v="1.1694444444444445"/>
    <x v="1"/>
    <x v="2"/>
    <n v="1.2541666666666667"/>
    <s v="Fast"/>
    <x v="1"/>
    <n v="0"/>
    <x v="1"/>
    <x v="1"/>
  </r>
  <r>
    <n v="1007"/>
    <x v="1006"/>
    <n v="4.5138888888888888E-2"/>
    <n v="769"/>
    <n v="111"/>
    <n v="14.627083333333333"/>
    <x v="3"/>
    <x v="1"/>
    <n v="0.88055555555555554"/>
    <s v="Fast"/>
    <x v="2"/>
    <n v="0"/>
    <x v="1"/>
    <x v="1"/>
  </r>
  <r>
    <n v="1008"/>
    <x v="1007"/>
    <n v="5.5555555555555558E-3"/>
    <n v="4800"/>
    <n v="405"/>
    <n v="79.711111111111109"/>
    <x v="2"/>
    <x v="2"/>
    <n v="0.41736111111111113"/>
    <s v="Fast"/>
    <x v="2"/>
    <n v="1"/>
    <x v="0"/>
    <x v="0"/>
  </r>
  <r>
    <n v="1009"/>
    <x v="1008"/>
    <n v="6.805555555555555E-2"/>
    <n v="3362"/>
    <n v="269"/>
    <n v="79.917361111111106"/>
    <x v="2"/>
    <x v="1"/>
    <n v="2.6708333333333329"/>
    <s v="Slow"/>
    <x v="0"/>
    <n v="1"/>
    <x v="0"/>
    <x v="2"/>
  </r>
  <r>
    <n v="1010"/>
    <x v="1009"/>
    <n v="4.9305555555555554E-2"/>
    <n v="1031"/>
    <n v="296"/>
    <n v="3.713888888888889"/>
    <x v="0"/>
    <x v="2"/>
    <n v="1.6256944444444443"/>
    <s v="Slow"/>
    <x v="1"/>
    <n v="1"/>
    <x v="0"/>
    <x v="0"/>
  </r>
  <r>
    <n v="1011"/>
    <x v="1010"/>
    <n v="6.3888888888888898E-2"/>
    <n v="3430"/>
    <n v="338"/>
    <n v="11.3375"/>
    <x v="2"/>
    <x v="2"/>
    <n v="1.2520833333333334"/>
    <s v="Fast"/>
    <x v="2"/>
    <n v="0"/>
    <x v="1"/>
    <x v="1"/>
  </r>
  <r>
    <n v="1012"/>
    <x v="1011"/>
    <n v="4.6527777777777779E-2"/>
    <n v="4302"/>
    <n v="182"/>
    <n v="39.212499999999999"/>
    <x v="0"/>
    <x v="2"/>
    <n v="2.588888888888889"/>
    <s v="Slow"/>
    <x v="0"/>
    <n v="1"/>
    <x v="0"/>
    <x v="0"/>
  </r>
  <r>
    <n v="1013"/>
    <x v="1012"/>
    <n v="6.5972222222222224E-2"/>
    <n v="257"/>
    <n v="47"/>
    <n v="3.755555555555556"/>
    <x v="3"/>
    <x v="3"/>
    <n v="1.0833333333333333"/>
    <s v="Fast"/>
    <x v="0"/>
    <n v="1"/>
    <x v="0"/>
    <x v="0"/>
  </r>
  <r>
    <n v="1014"/>
    <x v="1013"/>
    <n v="5.6250000000000001E-2"/>
    <n v="498"/>
    <n v="425"/>
    <n v="33.958333333333336"/>
    <x v="2"/>
    <x v="3"/>
    <n v="2.4222222222222221"/>
    <s v="Slow"/>
    <x v="1"/>
    <n v="0"/>
    <x v="1"/>
    <x v="1"/>
  </r>
  <r>
    <n v="1015"/>
    <x v="1014"/>
    <n v="4.5138888888888888E-2"/>
    <n v="2592"/>
    <n v="282"/>
    <n v="64.504861111111111"/>
    <x v="2"/>
    <x v="1"/>
    <n v="1.5451388888888891"/>
    <s v="Slow"/>
    <x v="1"/>
    <n v="0"/>
    <x v="1"/>
    <x v="1"/>
  </r>
  <r>
    <n v="1016"/>
    <x v="1015"/>
    <n v="6.3194444444444442E-2"/>
    <n v="468"/>
    <n v="234"/>
    <n v="25.337500000000002"/>
    <x v="1"/>
    <x v="2"/>
    <n v="0.46388888888888885"/>
    <s v="Fast"/>
    <x v="1"/>
    <n v="0"/>
    <x v="1"/>
    <x v="1"/>
  </r>
  <r>
    <n v="1017"/>
    <x v="1016"/>
    <n v="6.6666666666666666E-2"/>
    <n v="3865"/>
    <n v="374"/>
    <n v="9.0465277777777775"/>
    <x v="2"/>
    <x v="0"/>
    <n v="2.0444444444444447"/>
    <s v="Slow"/>
    <x v="1"/>
    <n v="1"/>
    <x v="0"/>
    <x v="0"/>
  </r>
  <r>
    <n v="1018"/>
    <x v="1017"/>
    <n v="4.5833333333333337E-2"/>
    <n v="3451"/>
    <n v="136"/>
    <n v="79.627083333333331"/>
    <x v="2"/>
    <x v="0"/>
    <n v="1.2145833333333333"/>
    <s v="Fast"/>
    <x v="1"/>
    <n v="1"/>
    <x v="0"/>
    <x v="0"/>
  </r>
  <r>
    <n v="1019"/>
    <x v="1018"/>
    <n v="4.5138888888888888E-2"/>
    <n v="1581"/>
    <n v="440"/>
    <n v="64.250694444444449"/>
    <x v="0"/>
    <x v="3"/>
    <n v="0.91875000000000007"/>
    <s v="Fast"/>
    <x v="0"/>
    <n v="1"/>
    <x v="0"/>
    <x v="0"/>
  </r>
  <r>
    <n v="1020"/>
    <x v="1019"/>
    <n v="4.8611111111111112E-3"/>
    <n v="2069"/>
    <n v="327"/>
    <n v="81.167361111111106"/>
    <x v="3"/>
    <x v="0"/>
    <n v="1.9604166666666665"/>
    <s v="Slow"/>
    <x v="1"/>
    <n v="1"/>
    <x v="0"/>
    <x v="0"/>
  </r>
  <r>
    <n v="1021"/>
    <x v="1020"/>
    <n v="5.6250000000000001E-2"/>
    <n v="629"/>
    <n v="83"/>
    <n v="62.670138888888886"/>
    <x v="3"/>
    <x v="2"/>
    <n v="2.1694444444444447"/>
    <s v="Slow"/>
    <x v="2"/>
    <n v="1"/>
    <x v="0"/>
    <x v="0"/>
  </r>
  <r>
    <n v="1022"/>
    <x v="1021"/>
    <n v="6.805555555555555E-2"/>
    <n v="2532"/>
    <n v="397"/>
    <n v="37.629861111111111"/>
    <x v="3"/>
    <x v="3"/>
    <n v="8.6111111111111124E-2"/>
    <s v="Fast"/>
    <x v="2"/>
    <n v="0"/>
    <x v="1"/>
    <x v="1"/>
  </r>
  <r>
    <n v="1023"/>
    <x v="1022"/>
    <n v="6.5277777777777782E-2"/>
    <n v="3949"/>
    <n v="166"/>
    <n v="31.087500000000002"/>
    <x v="1"/>
    <x v="1"/>
    <n v="1.3784722222222223"/>
    <s v="Fast"/>
    <x v="2"/>
    <n v="0"/>
    <x v="1"/>
    <x v="1"/>
  </r>
  <r>
    <n v="1024"/>
    <x v="1023"/>
    <n v="5.0694444444444438E-2"/>
    <n v="677"/>
    <n v="128"/>
    <n v="12.669444444444444"/>
    <x v="1"/>
    <x v="2"/>
    <n v="2.6708333333333329"/>
    <s v="Slow"/>
    <x v="2"/>
    <n v="0"/>
    <x v="1"/>
    <x v="1"/>
  </r>
  <r>
    <n v="1025"/>
    <x v="1024"/>
    <n v="4.2361111111111106E-2"/>
    <n v="3125"/>
    <n v="44"/>
    <n v="23.543055555555554"/>
    <x v="3"/>
    <x v="2"/>
    <n v="2.963888888888889"/>
    <s v="Slow"/>
    <x v="2"/>
    <n v="0"/>
    <x v="1"/>
    <x v="1"/>
  </r>
  <r>
    <n v="1026"/>
    <x v="1025"/>
    <n v="5.8333333333333327E-2"/>
    <n v="2148"/>
    <n v="32"/>
    <n v="63.919444444444444"/>
    <x v="1"/>
    <x v="0"/>
    <n v="1.6722222222222223"/>
    <s v="Slow"/>
    <x v="2"/>
    <n v="0"/>
    <x v="1"/>
    <x v="1"/>
  </r>
  <r>
    <n v="1027"/>
    <x v="1026"/>
    <n v="5.7638888888888885E-2"/>
    <n v="3861"/>
    <n v="472"/>
    <n v="33.836805555555557"/>
    <x v="3"/>
    <x v="3"/>
    <n v="1.7534722222222223"/>
    <s v="Slow"/>
    <x v="2"/>
    <n v="0"/>
    <x v="1"/>
    <x v="1"/>
  </r>
  <r>
    <n v="1028"/>
    <x v="1027"/>
    <n v="4.8611111111111112E-3"/>
    <n v="1777"/>
    <n v="352"/>
    <n v="46.084027777777777"/>
    <x v="2"/>
    <x v="1"/>
    <n v="0.58819444444444446"/>
    <s v="Fast"/>
    <x v="1"/>
    <n v="1"/>
    <x v="0"/>
    <x v="2"/>
  </r>
  <r>
    <n v="1029"/>
    <x v="1028"/>
    <n v="5.8333333333333327E-2"/>
    <n v="729"/>
    <n v="374"/>
    <n v="20.504166666666666"/>
    <x v="0"/>
    <x v="3"/>
    <n v="1.3812499999999999"/>
    <s v="Fast"/>
    <x v="1"/>
    <n v="0"/>
    <x v="1"/>
    <x v="1"/>
  </r>
  <r>
    <n v="1030"/>
    <x v="1029"/>
    <n v="6.8749999999999992E-2"/>
    <n v="1592"/>
    <n v="155"/>
    <n v="21.668749999999999"/>
    <x v="2"/>
    <x v="0"/>
    <n v="2.463888888888889"/>
    <s v="Slow"/>
    <x v="1"/>
    <n v="0"/>
    <x v="1"/>
    <x v="1"/>
  </r>
  <r>
    <n v="1031"/>
    <x v="1030"/>
    <n v="4.5833333333333337E-2"/>
    <n v="1945"/>
    <n v="484"/>
    <n v="73.544444444444437"/>
    <x v="3"/>
    <x v="1"/>
    <n v="0.29375000000000001"/>
    <s v="Fast"/>
    <x v="2"/>
    <n v="1"/>
    <x v="0"/>
    <x v="2"/>
  </r>
  <r>
    <n v="1032"/>
    <x v="1031"/>
    <n v="5.0694444444444438E-2"/>
    <n v="3042"/>
    <n v="283"/>
    <n v="57.042361111111113"/>
    <x v="1"/>
    <x v="1"/>
    <n v="1.1701388888888888"/>
    <s v="Fast"/>
    <x v="1"/>
    <n v="0"/>
    <x v="1"/>
    <x v="1"/>
  </r>
  <r>
    <n v="1033"/>
    <x v="1032"/>
    <n v="6.5277777777777782E-2"/>
    <n v="1316"/>
    <n v="109"/>
    <n v="51.213888888888896"/>
    <x v="3"/>
    <x v="3"/>
    <n v="2.7090277777777776"/>
    <s v="Slow"/>
    <x v="0"/>
    <n v="0"/>
    <x v="1"/>
    <x v="1"/>
  </r>
  <r>
    <n v="1034"/>
    <x v="1033"/>
    <n v="4.5833333333333337E-2"/>
    <n v="1668"/>
    <n v="165"/>
    <n v="35.291666666666664"/>
    <x v="3"/>
    <x v="1"/>
    <n v="2.4618055555555558"/>
    <s v="Slow"/>
    <x v="1"/>
    <n v="1"/>
    <x v="0"/>
    <x v="2"/>
  </r>
  <r>
    <n v="1035"/>
    <x v="1034"/>
    <n v="4.5138888888888888E-2"/>
    <n v="3583"/>
    <n v="146"/>
    <n v="21.710416666666664"/>
    <x v="1"/>
    <x v="1"/>
    <n v="0.71250000000000002"/>
    <s v="Fast"/>
    <x v="0"/>
    <n v="0"/>
    <x v="1"/>
    <x v="1"/>
  </r>
  <r>
    <n v="1036"/>
    <x v="1035"/>
    <n v="4.6527777777777779E-2"/>
    <n v="4351"/>
    <n v="34"/>
    <n v="21.838888888888889"/>
    <x v="0"/>
    <x v="1"/>
    <n v="2.6680555555555556"/>
    <s v="Slow"/>
    <x v="1"/>
    <n v="1"/>
    <x v="0"/>
    <x v="2"/>
  </r>
  <r>
    <n v="1037"/>
    <x v="1036"/>
    <n v="6.3194444444444442E-2"/>
    <n v="1444"/>
    <n v="484"/>
    <n v="27.879166666666666"/>
    <x v="2"/>
    <x v="3"/>
    <n v="2.4229166666666666"/>
    <s v="Slow"/>
    <x v="2"/>
    <n v="1"/>
    <x v="0"/>
    <x v="0"/>
  </r>
  <r>
    <n v="1038"/>
    <x v="1037"/>
    <n v="4.5138888888888888E-2"/>
    <n v="1682"/>
    <n v="188"/>
    <n v="63.002777777777773"/>
    <x v="1"/>
    <x v="2"/>
    <n v="2.0006944444444446"/>
    <s v="Slow"/>
    <x v="0"/>
    <n v="0"/>
    <x v="1"/>
    <x v="1"/>
  </r>
  <r>
    <n v="1039"/>
    <x v="1038"/>
    <n v="4.4444444444444446E-2"/>
    <n v="2559"/>
    <n v="14"/>
    <n v="78.375"/>
    <x v="0"/>
    <x v="3"/>
    <n v="0.87986111111111109"/>
    <s v="Fast"/>
    <x v="0"/>
    <n v="0"/>
    <x v="1"/>
    <x v="1"/>
  </r>
  <r>
    <n v="1040"/>
    <x v="1039"/>
    <n v="5.9027777777777783E-2"/>
    <n v="898"/>
    <n v="99"/>
    <n v="19.172916666666666"/>
    <x v="0"/>
    <x v="1"/>
    <n v="2.838194444444444"/>
    <s v="Slow"/>
    <x v="0"/>
    <n v="0"/>
    <x v="1"/>
    <x v="1"/>
  </r>
  <r>
    <n v="1041"/>
    <x v="1040"/>
    <n v="6.3194444444444442E-2"/>
    <n v="2179"/>
    <n v="455"/>
    <n v="68.964583333333337"/>
    <x v="2"/>
    <x v="1"/>
    <n v="2.0062500000000001"/>
    <s v="Slow"/>
    <x v="0"/>
    <n v="0"/>
    <x v="1"/>
    <x v="1"/>
  </r>
  <r>
    <n v="1042"/>
    <x v="1041"/>
    <n v="6.2499999999999995E-3"/>
    <n v="327"/>
    <n v="98"/>
    <n v="50.963888888888896"/>
    <x v="2"/>
    <x v="0"/>
    <n v="2.4187499999999997"/>
    <s v="Slow"/>
    <x v="0"/>
    <n v="1"/>
    <x v="0"/>
    <x v="0"/>
  </r>
  <r>
    <n v="1043"/>
    <x v="1042"/>
    <n v="5.3472222222222227E-2"/>
    <n v="4149"/>
    <n v="275"/>
    <n v="2.5895833333333331"/>
    <x v="3"/>
    <x v="3"/>
    <n v="1.1263888888888889"/>
    <s v="Fast"/>
    <x v="1"/>
    <n v="0"/>
    <x v="1"/>
    <x v="1"/>
  </r>
  <r>
    <n v="1044"/>
    <x v="1043"/>
    <n v="6.7361111111111108E-2"/>
    <n v="1771"/>
    <n v="379"/>
    <n v="75.834722222222226"/>
    <x v="3"/>
    <x v="2"/>
    <n v="2.5062500000000001"/>
    <s v="Slow"/>
    <x v="2"/>
    <n v="0"/>
    <x v="1"/>
    <x v="1"/>
  </r>
  <r>
    <n v="1045"/>
    <x v="1044"/>
    <n v="4.5833333333333337E-2"/>
    <n v="4777"/>
    <n v="85"/>
    <n v="70.46041666666666"/>
    <x v="2"/>
    <x v="3"/>
    <n v="1.3354166666666665"/>
    <s v="Fast"/>
    <x v="1"/>
    <n v="1"/>
    <x v="0"/>
    <x v="0"/>
  </r>
  <r>
    <n v="1046"/>
    <x v="1045"/>
    <n v="5.4166666666666669E-2"/>
    <n v="3494"/>
    <n v="357"/>
    <n v="26.879166666666666"/>
    <x v="2"/>
    <x v="2"/>
    <n v="0.21458333333333335"/>
    <s v="Fast"/>
    <x v="1"/>
    <n v="0"/>
    <x v="1"/>
    <x v="1"/>
  </r>
  <r>
    <n v="1047"/>
    <x v="1046"/>
    <n v="5.2083333333333336E-2"/>
    <n v="3886"/>
    <n v="302"/>
    <n v="50.379861111111104"/>
    <x v="2"/>
    <x v="3"/>
    <n v="4.4444444444444446E-2"/>
    <s v="Fast"/>
    <x v="0"/>
    <n v="0"/>
    <x v="1"/>
    <x v="1"/>
  </r>
  <r>
    <n v="1048"/>
    <x v="1047"/>
    <n v="5.6944444444444443E-2"/>
    <n v="85"/>
    <n v="485"/>
    <n v="7.084027777777778"/>
    <x v="2"/>
    <x v="1"/>
    <n v="2.1729166666666666"/>
    <s v="Slow"/>
    <x v="1"/>
    <n v="1"/>
    <x v="0"/>
    <x v="2"/>
  </r>
  <r>
    <n v="1049"/>
    <x v="1048"/>
    <n v="4.7222222222222221E-2"/>
    <n v="1336"/>
    <n v="285"/>
    <n v="65.421527777777769"/>
    <x v="2"/>
    <x v="1"/>
    <n v="2.6291666666666669"/>
    <s v="Slow"/>
    <x v="0"/>
    <n v="1"/>
    <x v="0"/>
    <x v="2"/>
  </r>
  <r>
    <n v="1050"/>
    <x v="1049"/>
    <n v="4.5833333333333337E-2"/>
    <n v="3892"/>
    <n v="468"/>
    <n v="41.420138888888893"/>
    <x v="1"/>
    <x v="2"/>
    <n v="1.4180555555555554"/>
    <s v="Fast"/>
    <x v="0"/>
    <n v="0"/>
    <x v="1"/>
    <x v="1"/>
  </r>
  <r>
    <n v="1051"/>
    <x v="1050"/>
    <n v="6.8749999999999992E-2"/>
    <n v="4492"/>
    <n v="449"/>
    <n v="14.252777777777778"/>
    <x v="3"/>
    <x v="1"/>
    <n v="2.2513888888888887"/>
    <s v="Slow"/>
    <x v="1"/>
    <n v="0"/>
    <x v="1"/>
    <x v="1"/>
  </r>
  <r>
    <n v="1052"/>
    <x v="1051"/>
    <n v="4.9999999999999996E-2"/>
    <n v="1776"/>
    <n v="396"/>
    <n v="4.7541666666666664"/>
    <x v="1"/>
    <x v="3"/>
    <n v="1.3805555555555555"/>
    <s v="Fast"/>
    <x v="2"/>
    <n v="0"/>
    <x v="1"/>
    <x v="1"/>
  </r>
  <r>
    <n v="1053"/>
    <x v="1052"/>
    <n v="5.5555555555555558E-3"/>
    <n v="4339"/>
    <n v="380"/>
    <n v="17.837500000000002"/>
    <x v="2"/>
    <x v="3"/>
    <n v="0.38055555555555554"/>
    <s v="Fast"/>
    <x v="1"/>
    <n v="0"/>
    <x v="1"/>
    <x v="1"/>
  </r>
  <r>
    <n v="1054"/>
    <x v="1053"/>
    <n v="6.7361111111111108E-2"/>
    <n v="3478"/>
    <n v="120"/>
    <n v="65.166666666666671"/>
    <x v="2"/>
    <x v="2"/>
    <n v="0.16666666666666666"/>
    <s v="Fast"/>
    <x v="0"/>
    <n v="0"/>
    <x v="1"/>
    <x v="1"/>
  </r>
  <r>
    <n v="1055"/>
    <x v="1054"/>
    <n v="4.9999999999999996E-2"/>
    <n v="2821"/>
    <n v="360"/>
    <n v="65.294444444444437"/>
    <x v="1"/>
    <x v="3"/>
    <n v="2.9229166666666671"/>
    <s v="Slow"/>
    <x v="0"/>
    <n v="0"/>
    <x v="1"/>
    <x v="1"/>
  </r>
  <r>
    <n v="1056"/>
    <x v="1055"/>
    <n v="5.2083333333333336E-2"/>
    <n v="1056"/>
    <n v="408"/>
    <n v="19.588194444444444"/>
    <x v="1"/>
    <x v="3"/>
    <n v="8.6111111111111124E-2"/>
    <s v="Fast"/>
    <x v="1"/>
    <n v="0"/>
    <x v="1"/>
    <x v="1"/>
  </r>
  <r>
    <n v="1057"/>
    <x v="1056"/>
    <n v="5.7638888888888885E-2"/>
    <n v="4386"/>
    <n v="39"/>
    <n v="63.212499999999999"/>
    <x v="0"/>
    <x v="0"/>
    <n v="2.0458333333333334"/>
    <s v="Slow"/>
    <x v="1"/>
    <n v="0"/>
    <x v="1"/>
    <x v="1"/>
  </r>
  <r>
    <n v="1058"/>
    <x v="1057"/>
    <n v="4.3750000000000004E-2"/>
    <n v="1345"/>
    <n v="335"/>
    <n v="78.047916666666666"/>
    <x v="0"/>
    <x v="3"/>
    <n v="2.6256944444444446"/>
    <s v="Slow"/>
    <x v="1"/>
    <n v="0"/>
    <x v="1"/>
    <x v="1"/>
  </r>
  <r>
    <n v="1059"/>
    <x v="1058"/>
    <n v="4.2361111111111106E-2"/>
    <n v="1198"/>
    <n v="43"/>
    <n v="69.876388888888883"/>
    <x v="0"/>
    <x v="2"/>
    <n v="2.4201388888888888"/>
    <s v="Slow"/>
    <x v="1"/>
    <n v="0"/>
    <x v="1"/>
    <x v="1"/>
  </r>
  <r>
    <n v="1060"/>
    <x v="1059"/>
    <n v="5.9027777777777783E-2"/>
    <n v="3669"/>
    <n v="274"/>
    <n v="34.418749999999996"/>
    <x v="1"/>
    <x v="3"/>
    <n v="2.0416666666666665"/>
    <s v="Slow"/>
    <x v="0"/>
    <n v="1"/>
    <x v="0"/>
    <x v="0"/>
  </r>
  <r>
    <n v="1061"/>
    <x v="1060"/>
    <n v="5.2083333333333336E-2"/>
    <n v="1897"/>
    <n v="231"/>
    <n v="28.587500000000002"/>
    <x v="2"/>
    <x v="2"/>
    <n v="1.4604166666666665"/>
    <s v="Fast"/>
    <x v="0"/>
    <n v="1"/>
    <x v="0"/>
    <x v="0"/>
  </r>
  <r>
    <n v="1062"/>
    <x v="1061"/>
    <n v="4.3750000000000004E-2"/>
    <n v="1303"/>
    <n v="366"/>
    <n v="32.875"/>
    <x v="1"/>
    <x v="3"/>
    <n v="2.629861111111111"/>
    <s v="Slow"/>
    <x v="2"/>
    <n v="0"/>
    <x v="1"/>
    <x v="1"/>
  </r>
  <r>
    <n v="1063"/>
    <x v="1062"/>
    <n v="4.9305555555555554E-2"/>
    <n v="2169"/>
    <n v="52"/>
    <n v="77.33541666666666"/>
    <x v="1"/>
    <x v="2"/>
    <n v="2.1673611111111111"/>
    <s v="Slow"/>
    <x v="2"/>
    <n v="1"/>
    <x v="0"/>
    <x v="0"/>
  </r>
  <r>
    <n v="1064"/>
    <x v="1063"/>
    <n v="6.1111111111111109E-2"/>
    <n v="4391"/>
    <n v="183"/>
    <n v="69.045138888888886"/>
    <x v="1"/>
    <x v="2"/>
    <n v="2.4187499999999997"/>
    <s v="Slow"/>
    <x v="2"/>
    <n v="1"/>
    <x v="0"/>
    <x v="0"/>
  </r>
  <r>
    <n v="1065"/>
    <x v="1064"/>
    <n v="6.2499999999999995E-3"/>
    <n v="2631"/>
    <n v="310"/>
    <n v="30.170833333333334"/>
    <x v="2"/>
    <x v="1"/>
    <n v="1.1284722222222221"/>
    <s v="Fast"/>
    <x v="2"/>
    <n v="0"/>
    <x v="1"/>
    <x v="1"/>
  </r>
  <r>
    <n v="1066"/>
    <x v="1065"/>
    <n v="5.5555555555555558E-3"/>
    <n v="1294"/>
    <n v="357"/>
    <n v="43.587499999999999"/>
    <x v="1"/>
    <x v="3"/>
    <n v="1.6298611111111112"/>
    <s v="Slow"/>
    <x v="0"/>
    <n v="1"/>
    <x v="0"/>
    <x v="0"/>
  </r>
  <r>
    <n v="1067"/>
    <x v="1066"/>
    <n v="4.7916666666666663E-2"/>
    <n v="3276"/>
    <n v="317"/>
    <n v="82.506250000000009"/>
    <x v="3"/>
    <x v="2"/>
    <n v="0.37847222222222227"/>
    <s v="Fast"/>
    <x v="0"/>
    <n v="0"/>
    <x v="1"/>
    <x v="1"/>
  </r>
  <r>
    <n v="1068"/>
    <x v="1067"/>
    <n v="6.5277777777777782E-2"/>
    <n v="3199"/>
    <n v="174"/>
    <n v="53.042361111111113"/>
    <x v="2"/>
    <x v="2"/>
    <n v="1.4590277777777778"/>
    <s v="Fast"/>
    <x v="0"/>
    <n v="1"/>
    <x v="0"/>
    <x v="0"/>
  </r>
  <r>
    <n v="1069"/>
    <x v="1068"/>
    <n v="4.7222222222222221E-2"/>
    <n v="3705"/>
    <n v="165"/>
    <n v="58.211111111111109"/>
    <x v="1"/>
    <x v="1"/>
    <n v="2.5423611111111111"/>
    <s v="Slow"/>
    <x v="1"/>
    <n v="1"/>
    <x v="0"/>
    <x v="2"/>
  </r>
  <r>
    <n v="1070"/>
    <x v="1069"/>
    <n v="6.2499999999999995E-3"/>
    <n v="1296"/>
    <n v="313"/>
    <n v="19.044444444444444"/>
    <x v="3"/>
    <x v="3"/>
    <n v="1.6722222222222223"/>
    <s v="Slow"/>
    <x v="0"/>
    <n v="1"/>
    <x v="0"/>
    <x v="0"/>
  </r>
  <r>
    <n v="1071"/>
    <x v="1070"/>
    <n v="4.5833333333333337E-2"/>
    <n v="161"/>
    <n v="243"/>
    <n v="81.797916666666666"/>
    <x v="1"/>
    <x v="2"/>
    <n v="1.086111111111111"/>
    <s v="Fast"/>
    <x v="1"/>
    <n v="0"/>
    <x v="1"/>
    <x v="1"/>
  </r>
  <r>
    <n v="1072"/>
    <x v="1071"/>
    <n v="6.7361111111111108E-2"/>
    <n v="4563"/>
    <n v="18"/>
    <n v="24.584722222222222"/>
    <x v="3"/>
    <x v="3"/>
    <n v="0.88055555555555554"/>
    <s v="Fast"/>
    <x v="1"/>
    <n v="1"/>
    <x v="0"/>
    <x v="0"/>
  </r>
  <r>
    <n v="1073"/>
    <x v="1072"/>
    <n v="6.3194444444444442E-2"/>
    <n v="3861"/>
    <n v="76"/>
    <n v="11.21111111111111"/>
    <x v="0"/>
    <x v="1"/>
    <n v="0.21458333333333335"/>
    <s v="Fast"/>
    <x v="2"/>
    <n v="0"/>
    <x v="1"/>
    <x v="1"/>
  </r>
  <r>
    <n v="1074"/>
    <x v="1073"/>
    <n v="5.5555555555555558E-3"/>
    <n v="4183"/>
    <n v="440"/>
    <n v="28.254861111111111"/>
    <x v="2"/>
    <x v="0"/>
    <n v="1.2562499999999999"/>
    <s v="Fast"/>
    <x v="0"/>
    <n v="1"/>
    <x v="0"/>
    <x v="0"/>
  </r>
  <r>
    <n v="1075"/>
    <x v="1074"/>
    <n v="5.3472222222222227E-2"/>
    <n v="884"/>
    <n v="231"/>
    <n v="7.6708333333333334"/>
    <x v="1"/>
    <x v="0"/>
    <n v="2.2097222222222221"/>
    <s v="Slow"/>
    <x v="0"/>
    <n v="0"/>
    <x v="1"/>
    <x v="1"/>
  </r>
  <r>
    <n v="1076"/>
    <x v="1075"/>
    <n v="5.7638888888888885E-2"/>
    <n v="3562"/>
    <n v="130"/>
    <n v="41.875"/>
    <x v="1"/>
    <x v="2"/>
    <n v="0.20833333333333334"/>
    <s v="Fast"/>
    <x v="2"/>
    <n v="1"/>
    <x v="0"/>
    <x v="0"/>
  </r>
  <r>
    <n v="1077"/>
    <x v="1076"/>
    <n v="5.9722222222222225E-2"/>
    <n v="1636"/>
    <n v="341"/>
    <n v="35.5"/>
    <x v="0"/>
    <x v="2"/>
    <n v="1.4166666666666667"/>
    <s v="Fast"/>
    <x v="2"/>
    <n v="0"/>
    <x v="1"/>
    <x v="1"/>
  </r>
  <r>
    <n v="1078"/>
    <x v="1077"/>
    <n v="5.6944444444444443E-2"/>
    <n v="2485"/>
    <n v="323"/>
    <n v="77.338888888888889"/>
    <x v="0"/>
    <x v="3"/>
    <n v="0.33402777777777781"/>
    <s v="Fast"/>
    <x v="1"/>
    <n v="1"/>
    <x v="0"/>
    <x v="0"/>
  </r>
  <r>
    <n v="1079"/>
    <x v="1078"/>
    <n v="6.1111111111111109E-2"/>
    <n v="4122"/>
    <n v="319"/>
    <n v="16.293055555555558"/>
    <x v="3"/>
    <x v="0"/>
    <n v="0.33611111111111108"/>
    <s v="Fast"/>
    <x v="2"/>
    <n v="0"/>
    <x v="1"/>
    <x v="1"/>
  </r>
  <r>
    <n v="1080"/>
    <x v="1079"/>
    <n v="4.4444444444444446E-2"/>
    <n v="170"/>
    <n v="363"/>
    <n v="23.125694444444445"/>
    <x v="0"/>
    <x v="3"/>
    <n v="2.129861111111111"/>
    <s v="Slow"/>
    <x v="1"/>
    <n v="1"/>
    <x v="0"/>
    <x v="0"/>
  </r>
  <r>
    <n v="1081"/>
    <x v="1080"/>
    <n v="5.3472222222222227E-2"/>
    <n v="3545"/>
    <n v="304"/>
    <n v="78.672222222222231"/>
    <x v="3"/>
    <x v="2"/>
    <n v="2.9201388888888888"/>
    <s v="Slow"/>
    <x v="1"/>
    <n v="0"/>
    <x v="1"/>
    <x v="1"/>
  </r>
  <r>
    <n v="1082"/>
    <x v="1081"/>
    <n v="6.2499999999999995E-3"/>
    <n v="2890"/>
    <n v="314"/>
    <n v="48.504861111111104"/>
    <x v="1"/>
    <x v="1"/>
    <n v="0.54166666666666663"/>
    <s v="Fast"/>
    <x v="1"/>
    <n v="0"/>
    <x v="1"/>
    <x v="1"/>
  </r>
  <r>
    <n v="1083"/>
    <x v="1082"/>
    <n v="5.4166666666666669E-2"/>
    <n v="1297"/>
    <n v="23"/>
    <n v="9.9645833333333336"/>
    <x v="1"/>
    <x v="1"/>
    <n v="2.004861111111111"/>
    <s v="Slow"/>
    <x v="0"/>
    <n v="0"/>
    <x v="1"/>
    <x v="1"/>
  </r>
  <r>
    <n v="1084"/>
    <x v="1083"/>
    <n v="6.8749999999999992E-2"/>
    <n v="3749"/>
    <n v="459"/>
    <n v="58.58819444444444"/>
    <x v="1"/>
    <x v="0"/>
    <n v="2.0444444444444447"/>
    <s v="Slow"/>
    <x v="2"/>
    <n v="1"/>
    <x v="0"/>
    <x v="0"/>
  </r>
  <r>
    <n v="1085"/>
    <x v="1084"/>
    <n v="5.6250000000000001E-2"/>
    <n v="963"/>
    <n v="395"/>
    <n v="72.961805555555557"/>
    <x v="2"/>
    <x v="3"/>
    <n v="0.54236111111111118"/>
    <s v="Fast"/>
    <x v="1"/>
    <n v="0"/>
    <x v="1"/>
    <x v="1"/>
  </r>
  <r>
    <n v="1086"/>
    <x v="1085"/>
    <n v="4.9999999999999996E-2"/>
    <n v="4741"/>
    <n v="40"/>
    <n v="29.961805555555557"/>
    <x v="3"/>
    <x v="2"/>
    <n v="1.3798611111111112"/>
    <s v="Fast"/>
    <x v="2"/>
    <n v="0"/>
    <x v="1"/>
    <x v="1"/>
  </r>
  <r>
    <n v="1087"/>
    <x v="1086"/>
    <n v="6.6666666666666666E-2"/>
    <n v="719"/>
    <n v="209"/>
    <n v="49.086111111111109"/>
    <x v="1"/>
    <x v="1"/>
    <n v="0.25347222222222221"/>
    <s v="Fast"/>
    <x v="1"/>
    <n v="1"/>
    <x v="0"/>
    <x v="2"/>
  </r>
  <r>
    <n v="1088"/>
    <x v="1087"/>
    <n v="5.3472222222222227E-2"/>
    <n v="2602"/>
    <n v="264"/>
    <n v="76.541666666666671"/>
    <x v="2"/>
    <x v="2"/>
    <n v="2.7124999999999999"/>
    <s v="Slow"/>
    <x v="2"/>
    <n v="0"/>
    <x v="1"/>
    <x v="1"/>
  </r>
  <r>
    <n v="1089"/>
    <x v="1088"/>
    <n v="5.6944444444444443E-2"/>
    <n v="1344"/>
    <n v="302"/>
    <n v="42.879166666666663"/>
    <x v="2"/>
    <x v="0"/>
    <n v="2.2972222222222221"/>
    <s v="Slow"/>
    <x v="2"/>
    <n v="0"/>
    <x v="1"/>
    <x v="1"/>
  </r>
  <r>
    <n v="1090"/>
    <x v="1089"/>
    <n v="5.9722222222222225E-2"/>
    <n v="1193"/>
    <n v="183"/>
    <n v="62.667361111111113"/>
    <x v="3"/>
    <x v="1"/>
    <n v="2.5437499999999997"/>
    <s v="Slow"/>
    <x v="2"/>
    <n v="0"/>
    <x v="1"/>
    <x v="1"/>
  </r>
  <r>
    <n v="1091"/>
    <x v="1090"/>
    <n v="6.5277777777777782E-2"/>
    <n v="4284"/>
    <n v="451"/>
    <n v="54.920138888888886"/>
    <x v="1"/>
    <x v="3"/>
    <n v="1.3354166666666665"/>
    <s v="Fast"/>
    <x v="2"/>
    <n v="0"/>
    <x v="1"/>
    <x v="1"/>
  </r>
  <r>
    <n v="1092"/>
    <x v="1091"/>
    <n v="4.7222222222222221E-2"/>
    <n v="4493"/>
    <n v="434"/>
    <n v="66.461805555555557"/>
    <x v="2"/>
    <x v="0"/>
    <n v="0.91666666666666663"/>
    <s v="Fast"/>
    <x v="2"/>
    <n v="0"/>
    <x v="1"/>
    <x v="1"/>
  </r>
  <r>
    <n v="1093"/>
    <x v="1092"/>
    <n v="6.5972222222222224E-2"/>
    <n v="4801"/>
    <n v="177"/>
    <n v="22.584722222222222"/>
    <x v="2"/>
    <x v="2"/>
    <n v="1.0479166666666666"/>
    <s v="Fast"/>
    <x v="0"/>
    <n v="0"/>
    <x v="1"/>
    <x v="1"/>
  </r>
  <r>
    <n v="1094"/>
    <x v="1093"/>
    <n v="5.7638888888888885E-2"/>
    <n v="1870"/>
    <n v="283"/>
    <n v="30.875"/>
    <x v="3"/>
    <x v="3"/>
    <n v="0.83888888888888891"/>
    <s v="Fast"/>
    <x v="2"/>
    <n v="0"/>
    <x v="1"/>
    <x v="1"/>
  </r>
  <r>
    <n v="1095"/>
    <x v="1094"/>
    <n v="5.2083333333333336E-2"/>
    <n v="2847"/>
    <n v="9"/>
    <n v="73.047222222222231"/>
    <x v="1"/>
    <x v="3"/>
    <n v="0.46249999999999997"/>
    <s v="Fast"/>
    <x v="0"/>
    <n v="0"/>
    <x v="1"/>
    <x v="1"/>
  </r>
  <r>
    <n v="1096"/>
    <x v="1095"/>
    <n v="5.0694444444444438E-2"/>
    <n v="1984"/>
    <n v="368"/>
    <n v="32.879861111111111"/>
    <x v="0"/>
    <x v="3"/>
    <n v="0.17083333333333331"/>
    <s v="Fast"/>
    <x v="2"/>
    <n v="1"/>
    <x v="0"/>
    <x v="0"/>
  </r>
  <r>
    <n v="1097"/>
    <x v="1096"/>
    <n v="6.8749999999999992E-2"/>
    <n v="3380"/>
    <n v="303"/>
    <n v="18.837500000000002"/>
    <x v="0"/>
    <x v="1"/>
    <n v="1.1715277777777777"/>
    <s v="Fast"/>
    <x v="0"/>
    <n v="0"/>
    <x v="1"/>
    <x v="1"/>
  </r>
  <r>
    <n v="1098"/>
    <x v="1097"/>
    <n v="6.805555555555555E-2"/>
    <n v="4188"/>
    <n v="388"/>
    <n v="33.333333333333336"/>
    <x v="2"/>
    <x v="3"/>
    <n v="1.6694444444444445"/>
    <s v="Slow"/>
    <x v="2"/>
    <n v="0"/>
    <x v="1"/>
    <x v="1"/>
  </r>
  <r>
    <n v="1099"/>
    <x v="1098"/>
    <n v="5.6944444444444443E-2"/>
    <n v="329"/>
    <n v="251"/>
    <n v="71.294444444444437"/>
    <x v="3"/>
    <x v="0"/>
    <n v="1.3805555555555555"/>
    <s v="Fast"/>
    <x v="0"/>
    <n v="0"/>
    <x v="1"/>
    <x v="1"/>
  </r>
  <r>
    <n v="1100"/>
    <x v="1099"/>
    <n v="5.1388888888888894E-2"/>
    <n v="4254"/>
    <n v="433"/>
    <n v="82.003472222222214"/>
    <x v="3"/>
    <x v="3"/>
    <n v="1.2118055555555556"/>
    <s v="Fast"/>
    <x v="1"/>
    <n v="0"/>
    <x v="1"/>
    <x v="1"/>
  </r>
  <r>
    <n v="1101"/>
    <x v="1100"/>
    <n v="6.8749999999999992E-2"/>
    <n v="2434"/>
    <n v="99"/>
    <n v="61.500694444444441"/>
    <x v="1"/>
    <x v="0"/>
    <n v="0.1277777777777778"/>
    <s v="Fast"/>
    <x v="0"/>
    <n v="0"/>
    <x v="1"/>
    <x v="1"/>
  </r>
  <r>
    <n v="1102"/>
    <x v="1101"/>
    <n v="4.2361111111111106E-2"/>
    <n v="2518"/>
    <n v="40"/>
    <n v="30.670833333333334"/>
    <x v="0"/>
    <x v="3"/>
    <n v="1.1284722222222221"/>
    <s v="Fast"/>
    <x v="2"/>
    <n v="0"/>
    <x v="1"/>
    <x v="1"/>
  </r>
  <r>
    <n v="1103"/>
    <x v="1102"/>
    <n v="4.3055555555555562E-2"/>
    <n v="686"/>
    <n v="346"/>
    <n v="58.668749999999996"/>
    <x v="2"/>
    <x v="3"/>
    <n v="0.3756944444444445"/>
    <s v="Fast"/>
    <x v="0"/>
    <n v="1"/>
    <x v="0"/>
    <x v="0"/>
  </r>
  <r>
    <n v="1104"/>
    <x v="1103"/>
    <n v="5.486111111111111E-2"/>
    <n v="4274"/>
    <n v="434"/>
    <n v="65.297222222222231"/>
    <x v="2"/>
    <x v="0"/>
    <n v="2.0847222222222221"/>
    <s v="Slow"/>
    <x v="0"/>
    <n v="1"/>
    <x v="0"/>
    <x v="0"/>
  </r>
  <r>
    <n v="1105"/>
    <x v="1104"/>
    <n v="5.7638888888888885E-2"/>
    <n v="654"/>
    <n v="360"/>
    <n v="27.834027777777777"/>
    <x v="1"/>
    <x v="3"/>
    <n v="0.92291666666666661"/>
    <s v="Fast"/>
    <x v="0"/>
    <n v="0"/>
    <x v="1"/>
    <x v="1"/>
  </r>
  <r>
    <n v="1106"/>
    <x v="1105"/>
    <n v="4.1666666666666666E-3"/>
    <n v="3868"/>
    <n v="493"/>
    <n v="45.922222222222224"/>
    <x v="0"/>
    <x v="0"/>
    <n v="1.5062499999999999"/>
    <s v="Slow"/>
    <x v="1"/>
    <n v="0"/>
    <x v="1"/>
    <x v="1"/>
  </r>
  <r>
    <n v="1107"/>
    <x v="1106"/>
    <n v="4.6527777777777779E-2"/>
    <n v="3677"/>
    <n v="2"/>
    <n v="26.000694444444445"/>
    <x v="3"/>
    <x v="1"/>
    <n v="1.0833333333333333"/>
    <s v="Fast"/>
    <x v="0"/>
    <n v="0"/>
    <x v="1"/>
    <x v="1"/>
  </r>
  <r>
    <n v="1108"/>
    <x v="1107"/>
    <n v="4.3750000000000004E-2"/>
    <n v="4039"/>
    <n v="197"/>
    <n v="66.628472222222214"/>
    <x v="2"/>
    <x v="0"/>
    <n v="1.5833333333333333"/>
    <s v="Slow"/>
    <x v="0"/>
    <n v="0"/>
    <x v="1"/>
    <x v="1"/>
  </r>
  <r>
    <n v="1109"/>
    <x v="1108"/>
    <n v="4.8611111111111112E-3"/>
    <n v="371"/>
    <n v="380"/>
    <n v="0.41944444444444445"/>
    <x v="2"/>
    <x v="3"/>
    <n v="0.58819444444444446"/>
    <s v="Fast"/>
    <x v="2"/>
    <n v="0"/>
    <x v="1"/>
    <x v="1"/>
  </r>
  <r>
    <n v="1110"/>
    <x v="1109"/>
    <n v="4.6527777777777779E-2"/>
    <n v="869"/>
    <n v="452"/>
    <n v="3.0840277777777776"/>
    <x v="1"/>
    <x v="3"/>
    <n v="0.25555555555555559"/>
    <s v="Fast"/>
    <x v="2"/>
    <n v="0"/>
    <x v="1"/>
    <x v="1"/>
  </r>
  <r>
    <n v="1111"/>
    <x v="1110"/>
    <n v="4.5138888888888888E-2"/>
    <n v="1636"/>
    <n v="491"/>
    <n v="75.879166666666663"/>
    <x v="2"/>
    <x v="0"/>
    <n v="0.75208333333333333"/>
    <s v="Fast"/>
    <x v="2"/>
    <n v="0"/>
    <x v="1"/>
    <x v="1"/>
  </r>
  <r>
    <n v="1112"/>
    <x v="1111"/>
    <n v="4.5138888888888888E-2"/>
    <n v="4881"/>
    <n v="47"/>
    <n v="28.546527777777779"/>
    <x v="2"/>
    <x v="1"/>
    <n v="0.75347222222222221"/>
    <s v="Fast"/>
    <x v="0"/>
    <n v="0"/>
    <x v="1"/>
    <x v="1"/>
  </r>
  <r>
    <n v="1113"/>
    <x v="1112"/>
    <n v="5.2083333333333336E-2"/>
    <n v="1231"/>
    <n v="200"/>
    <n v="42.170833333333334"/>
    <x v="1"/>
    <x v="0"/>
    <n v="0.75"/>
    <s v="Fast"/>
    <x v="0"/>
    <n v="1"/>
    <x v="0"/>
    <x v="0"/>
  </r>
  <r>
    <n v="1114"/>
    <x v="1113"/>
    <n v="4.5138888888888888E-2"/>
    <n v="3155"/>
    <n v="449"/>
    <n v="15.047222222222222"/>
    <x v="3"/>
    <x v="3"/>
    <n v="1.04375"/>
    <s v="Fast"/>
    <x v="0"/>
    <n v="0"/>
    <x v="1"/>
    <x v="1"/>
  </r>
  <r>
    <n v="1115"/>
    <x v="1114"/>
    <n v="6.3194444444444442E-2"/>
    <n v="4576"/>
    <n v="405"/>
    <n v="18.417361111111109"/>
    <x v="2"/>
    <x v="3"/>
    <n v="2.75"/>
    <s v="Slow"/>
    <x v="0"/>
    <n v="0"/>
    <x v="1"/>
    <x v="1"/>
  </r>
  <r>
    <n v="1116"/>
    <x v="1115"/>
    <n v="5.2777777777777778E-2"/>
    <n v="3248"/>
    <n v="202"/>
    <n v="19.584722222222222"/>
    <x v="2"/>
    <x v="3"/>
    <n v="1.3354166666666665"/>
    <s v="Fast"/>
    <x v="2"/>
    <n v="1"/>
    <x v="0"/>
    <x v="0"/>
  </r>
  <r>
    <n v="1117"/>
    <x v="1116"/>
    <n v="4.5138888888888888E-2"/>
    <n v="3471"/>
    <n v="96"/>
    <n v="62.166666666666664"/>
    <x v="0"/>
    <x v="3"/>
    <n v="0.20972222222222223"/>
    <s v="Fast"/>
    <x v="1"/>
    <n v="0"/>
    <x v="1"/>
    <x v="1"/>
  </r>
  <r>
    <n v="1118"/>
    <x v="1117"/>
    <n v="5.9722222222222225E-2"/>
    <n v="3638"/>
    <n v="138"/>
    <n v="77.670138888888886"/>
    <x v="3"/>
    <x v="2"/>
    <n v="2.254861111111111"/>
    <s v="Slow"/>
    <x v="1"/>
    <n v="0"/>
    <x v="1"/>
    <x v="1"/>
  </r>
  <r>
    <n v="1119"/>
    <x v="1118"/>
    <n v="6.3888888888888898E-2"/>
    <n v="3635"/>
    <n v="39"/>
    <n v="78.086805555555557"/>
    <x v="2"/>
    <x v="0"/>
    <n v="2.9194444444444443"/>
    <s v="Slow"/>
    <x v="1"/>
    <n v="0"/>
    <x v="1"/>
    <x v="1"/>
  </r>
  <r>
    <n v="1120"/>
    <x v="1119"/>
    <n v="5.1388888888888894E-2"/>
    <n v="1203"/>
    <n v="136"/>
    <n v="77.836805555555557"/>
    <x v="3"/>
    <x v="1"/>
    <n v="0.75624999999999998"/>
    <s v="Fast"/>
    <x v="2"/>
    <n v="1"/>
    <x v="0"/>
    <x v="2"/>
  </r>
  <r>
    <n v="1121"/>
    <x v="1120"/>
    <n v="4.1666666666666666E-3"/>
    <n v="2971"/>
    <n v="255"/>
    <n v="31.380555555555556"/>
    <x v="3"/>
    <x v="3"/>
    <n v="4.6527777777777779E-2"/>
    <s v="Fast"/>
    <x v="0"/>
    <n v="1"/>
    <x v="0"/>
    <x v="0"/>
  </r>
  <r>
    <n v="1122"/>
    <x v="1121"/>
    <n v="5.9722222222222225E-2"/>
    <n v="3537"/>
    <n v="471"/>
    <n v="43.543055555555554"/>
    <x v="3"/>
    <x v="0"/>
    <n v="1.5416666666666667"/>
    <s v="Slow"/>
    <x v="2"/>
    <n v="1"/>
    <x v="0"/>
    <x v="0"/>
  </r>
  <r>
    <n v="1123"/>
    <x v="1122"/>
    <n v="6.2499999999999995E-3"/>
    <n v="2656"/>
    <n v="298"/>
    <n v="37.668055555555554"/>
    <x v="0"/>
    <x v="0"/>
    <n v="2.5034722222222223"/>
    <s v="Slow"/>
    <x v="1"/>
    <n v="0"/>
    <x v="1"/>
    <x v="1"/>
  </r>
  <r>
    <n v="1124"/>
    <x v="1123"/>
    <n v="6.6666666666666666E-2"/>
    <n v="3936"/>
    <n v="367"/>
    <n v="46.38055555555556"/>
    <x v="0"/>
    <x v="0"/>
    <n v="2.8333333333333335"/>
    <s v="Slow"/>
    <x v="1"/>
    <n v="0"/>
    <x v="1"/>
    <x v="1"/>
  </r>
  <r>
    <n v="1125"/>
    <x v="1124"/>
    <n v="6.1805555555555558E-2"/>
    <n v="3306"/>
    <n v="187"/>
    <n v="16.378472222222221"/>
    <x v="0"/>
    <x v="0"/>
    <n v="1.9583333333333333"/>
    <s v="Slow"/>
    <x v="1"/>
    <n v="0"/>
    <x v="1"/>
    <x v="1"/>
  </r>
  <r>
    <n v="1126"/>
    <x v="1125"/>
    <n v="5.8333333333333327E-2"/>
    <n v="3421"/>
    <n v="458"/>
    <n v="30.752083333333331"/>
    <x v="1"/>
    <x v="1"/>
    <n v="0.4604166666666667"/>
    <s v="Fast"/>
    <x v="0"/>
    <n v="0"/>
    <x v="1"/>
    <x v="1"/>
  </r>
  <r>
    <n v="1127"/>
    <x v="1126"/>
    <n v="5.1388888888888894E-2"/>
    <n v="690"/>
    <n v="170"/>
    <n v="3.4597222222222221"/>
    <x v="1"/>
    <x v="3"/>
    <n v="1.6305555555555555"/>
    <s v="Slow"/>
    <x v="2"/>
    <n v="0"/>
    <x v="1"/>
    <x v="1"/>
  </r>
  <r>
    <n v="1128"/>
    <x v="1127"/>
    <n v="4.8611111111111112E-3"/>
    <n v="494"/>
    <n v="362"/>
    <n v="22.879861111111111"/>
    <x v="1"/>
    <x v="1"/>
    <n v="0.125"/>
    <s v="Fast"/>
    <x v="1"/>
    <n v="1"/>
    <x v="0"/>
    <x v="2"/>
  </r>
  <r>
    <n v="1129"/>
    <x v="1128"/>
    <n v="4.3750000000000004E-2"/>
    <n v="4309"/>
    <n v="18"/>
    <n v="57.919444444444444"/>
    <x v="3"/>
    <x v="3"/>
    <n v="0.21111111111111111"/>
    <s v="Fast"/>
    <x v="0"/>
    <n v="0"/>
    <x v="1"/>
    <x v="1"/>
  </r>
  <r>
    <n v="1130"/>
    <x v="1129"/>
    <n v="6.458333333333334E-2"/>
    <n v="4372"/>
    <n v="216"/>
    <n v="49.129166666666663"/>
    <x v="1"/>
    <x v="1"/>
    <n v="0.79722222222222217"/>
    <s v="Fast"/>
    <x v="1"/>
    <n v="0"/>
    <x v="1"/>
    <x v="1"/>
  </r>
  <r>
    <n v="1131"/>
    <x v="1130"/>
    <n v="5.6944444444444443E-2"/>
    <n v="2275"/>
    <n v="371"/>
    <n v="5.3395833333333336"/>
    <x v="3"/>
    <x v="3"/>
    <n v="1.5895833333333333"/>
    <s v="Slow"/>
    <x v="0"/>
    <n v="0"/>
    <x v="1"/>
    <x v="1"/>
  </r>
  <r>
    <n v="1132"/>
    <x v="1131"/>
    <n v="4.9999999999999996E-2"/>
    <n v="864"/>
    <n v="437"/>
    <n v="69.709722222222226"/>
    <x v="3"/>
    <x v="2"/>
    <n v="0.21111111111111111"/>
    <s v="Fast"/>
    <x v="2"/>
    <n v="0"/>
    <x v="1"/>
    <x v="1"/>
  </r>
  <r>
    <n v="1133"/>
    <x v="1132"/>
    <n v="4.5138888888888888E-2"/>
    <n v="3606"/>
    <n v="147"/>
    <n v="22.297916666666666"/>
    <x v="0"/>
    <x v="0"/>
    <n v="2.9618055555555554"/>
    <s v="Slow"/>
    <x v="2"/>
    <n v="1"/>
    <x v="0"/>
    <x v="0"/>
  </r>
  <r>
    <n v="1134"/>
    <x v="1133"/>
    <n v="4.9999999999999996E-2"/>
    <n v="1118"/>
    <n v="367"/>
    <n v="9.3770833333333332"/>
    <x v="3"/>
    <x v="3"/>
    <n v="1.7555555555555555"/>
    <s v="Slow"/>
    <x v="0"/>
    <n v="0"/>
    <x v="1"/>
    <x v="1"/>
  </r>
  <r>
    <n v="1135"/>
    <x v="1134"/>
    <n v="6.2499999999999995E-3"/>
    <n v="2459"/>
    <n v="173"/>
    <n v="25.710416666666664"/>
    <x v="2"/>
    <x v="1"/>
    <n v="0.58402777777777781"/>
    <s v="Fast"/>
    <x v="0"/>
    <n v="0"/>
    <x v="1"/>
    <x v="1"/>
  </r>
  <r>
    <n v="1136"/>
    <x v="1135"/>
    <n v="4.7916666666666663E-2"/>
    <n v="1657"/>
    <n v="231"/>
    <n v="60.918749999999996"/>
    <x v="0"/>
    <x v="3"/>
    <n v="0.21249999999999999"/>
    <s v="Fast"/>
    <x v="1"/>
    <n v="0"/>
    <x v="1"/>
    <x v="1"/>
  </r>
  <r>
    <n v="1137"/>
    <x v="1136"/>
    <n v="4.3055555555555562E-2"/>
    <n v="3141"/>
    <n v="434"/>
    <n v="78.006250000000009"/>
    <x v="3"/>
    <x v="1"/>
    <n v="1.0458333333333334"/>
    <s v="Fast"/>
    <x v="2"/>
    <n v="0"/>
    <x v="1"/>
    <x v="1"/>
  </r>
  <r>
    <n v="1138"/>
    <x v="1137"/>
    <n v="5.2083333333333336E-2"/>
    <n v="3720"/>
    <n v="295"/>
    <n v="57.545138888888886"/>
    <x v="2"/>
    <x v="0"/>
    <n v="2.2944444444444447"/>
    <s v="Slow"/>
    <x v="1"/>
    <n v="0"/>
    <x v="1"/>
    <x v="1"/>
  </r>
  <r>
    <n v="1139"/>
    <x v="1138"/>
    <n v="5.0694444444444438E-2"/>
    <n v="4595"/>
    <n v="35"/>
    <n v="18.464583333333334"/>
    <x v="0"/>
    <x v="0"/>
    <n v="2.0423611111111111"/>
    <s v="Slow"/>
    <x v="2"/>
    <n v="1"/>
    <x v="0"/>
    <x v="0"/>
  </r>
  <r>
    <n v="1140"/>
    <x v="1139"/>
    <n v="6.1111111111111109E-2"/>
    <n v="3910"/>
    <n v="290"/>
    <n v="42.419444444444444"/>
    <x v="2"/>
    <x v="1"/>
    <n v="0.20972222222222223"/>
    <s v="Fast"/>
    <x v="0"/>
    <n v="0"/>
    <x v="1"/>
    <x v="1"/>
  </r>
  <r>
    <n v="1141"/>
    <x v="1140"/>
    <n v="5.6944444444444443E-2"/>
    <n v="3980"/>
    <n v="345"/>
    <n v="45.833333333333336"/>
    <x v="3"/>
    <x v="2"/>
    <n v="0.54583333333333328"/>
    <s v="Fast"/>
    <x v="2"/>
    <n v="1"/>
    <x v="0"/>
    <x v="0"/>
  </r>
  <r>
    <n v="1142"/>
    <x v="1141"/>
    <n v="5.486111111111111E-2"/>
    <n v="4409"/>
    <n v="359"/>
    <n v="53.379166666666663"/>
    <x v="0"/>
    <x v="3"/>
    <n v="2.9215277777777775"/>
    <s v="Slow"/>
    <x v="2"/>
    <n v="0"/>
    <x v="1"/>
    <x v="1"/>
  </r>
  <r>
    <n v="1143"/>
    <x v="1142"/>
    <n v="6.8749999999999992E-2"/>
    <n v="2021"/>
    <n v="481"/>
    <n v="6.1305555555555555"/>
    <x v="2"/>
    <x v="2"/>
    <n v="2.2944444444444447"/>
    <s v="Slow"/>
    <x v="0"/>
    <n v="0"/>
    <x v="1"/>
    <x v="1"/>
  </r>
  <r>
    <n v="1144"/>
    <x v="1143"/>
    <n v="6.5277777777777782E-2"/>
    <n v="1676"/>
    <n v="355"/>
    <n v="48.291666666666664"/>
    <x v="0"/>
    <x v="2"/>
    <n v="1.16875"/>
    <s v="Fast"/>
    <x v="1"/>
    <n v="1"/>
    <x v="0"/>
    <x v="0"/>
  </r>
  <r>
    <n v="1145"/>
    <x v="1144"/>
    <n v="4.5138888888888888E-2"/>
    <n v="3682"/>
    <n v="470"/>
    <n v="9.5861111111111104"/>
    <x v="0"/>
    <x v="1"/>
    <n v="2.0062500000000001"/>
    <s v="Slow"/>
    <x v="0"/>
    <n v="0"/>
    <x v="1"/>
    <x v="1"/>
  </r>
  <r>
    <n v="1146"/>
    <x v="1145"/>
    <n v="4.8611111111111112E-3"/>
    <n v="210"/>
    <n v="491"/>
    <n v="23.211111111111112"/>
    <x v="3"/>
    <x v="2"/>
    <n v="1.625"/>
    <s v="Slow"/>
    <x v="0"/>
    <n v="1"/>
    <x v="0"/>
    <x v="0"/>
  </r>
  <r>
    <n v="1147"/>
    <x v="1146"/>
    <n v="5.3472222222222227E-2"/>
    <n v="3098"/>
    <n v="385"/>
    <n v="7.875"/>
    <x v="1"/>
    <x v="3"/>
    <n v="0.25347222222222221"/>
    <s v="Fast"/>
    <x v="1"/>
    <n v="0"/>
    <x v="1"/>
    <x v="1"/>
  </r>
  <r>
    <n v="1148"/>
    <x v="1147"/>
    <n v="4.3750000000000004E-2"/>
    <n v="2921"/>
    <n v="407"/>
    <n v="3.3374999999999999"/>
    <x v="0"/>
    <x v="0"/>
    <n v="1.8347222222222221"/>
    <s v="Slow"/>
    <x v="2"/>
    <n v="1"/>
    <x v="0"/>
    <x v="0"/>
  </r>
  <r>
    <n v="1149"/>
    <x v="1148"/>
    <n v="6.2499999999999995E-3"/>
    <n v="901"/>
    <n v="52"/>
    <n v="39.420833333333334"/>
    <x v="1"/>
    <x v="3"/>
    <n v="1.4194444444444445"/>
    <s v="Fast"/>
    <x v="2"/>
    <n v="0"/>
    <x v="1"/>
    <x v="1"/>
  </r>
  <r>
    <n v="1150"/>
    <x v="1149"/>
    <n v="6.3194444444444442E-2"/>
    <n v="1886"/>
    <n v="121"/>
    <n v="23.209722222222222"/>
    <x v="0"/>
    <x v="0"/>
    <n v="1.8756944444444443"/>
    <s v="Slow"/>
    <x v="0"/>
    <n v="0"/>
    <x v="1"/>
    <x v="1"/>
  </r>
  <r>
    <n v="1151"/>
    <x v="1150"/>
    <n v="4.9999999999999996E-2"/>
    <n v="1562"/>
    <n v="195"/>
    <n v="37.00277777777778"/>
    <x v="2"/>
    <x v="0"/>
    <n v="2.7972222222222225"/>
    <s v="Slow"/>
    <x v="0"/>
    <n v="0"/>
    <x v="1"/>
    <x v="1"/>
  </r>
  <r>
    <n v="1152"/>
    <x v="1151"/>
    <n v="6.6666666666666666E-2"/>
    <n v="2512"/>
    <n v="158"/>
    <n v="48.711111111111109"/>
    <x v="3"/>
    <x v="0"/>
    <n v="0.12847222222222224"/>
    <s v="Fast"/>
    <x v="0"/>
    <n v="0"/>
    <x v="1"/>
    <x v="1"/>
  </r>
  <r>
    <n v="1153"/>
    <x v="1152"/>
    <n v="5.6944444444444443E-2"/>
    <n v="2392"/>
    <n v="261"/>
    <n v="13.043750000000001"/>
    <x v="1"/>
    <x v="2"/>
    <n v="0.625"/>
    <s v="Fast"/>
    <x v="0"/>
    <n v="0"/>
    <x v="1"/>
    <x v="1"/>
  </r>
  <r>
    <n v="1154"/>
    <x v="1153"/>
    <n v="4.7916666666666663E-2"/>
    <n v="2563"/>
    <n v="14"/>
    <n v="17.964583333333334"/>
    <x v="3"/>
    <x v="1"/>
    <n v="0.5854166666666667"/>
    <s v="Fast"/>
    <x v="1"/>
    <n v="0"/>
    <x v="1"/>
    <x v="1"/>
  </r>
  <r>
    <n v="1155"/>
    <x v="1154"/>
    <n v="5.9027777777777783E-2"/>
    <n v="352"/>
    <n v="253"/>
    <n v="62.335416666666667"/>
    <x v="0"/>
    <x v="0"/>
    <n v="2.8368055555555554"/>
    <s v="Slow"/>
    <x v="1"/>
    <n v="1"/>
    <x v="0"/>
    <x v="0"/>
  </r>
  <r>
    <n v="1156"/>
    <x v="1155"/>
    <n v="6.0416666666666667E-2"/>
    <n v="1375"/>
    <n v="78"/>
    <n v="42.75"/>
    <x v="1"/>
    <x v="0"/>
    <n v="2.6270833333333332"/>
    <s v="Slow"/>
    <x v="2"/>
    <n v="0"/>
    <x v="1"/>
    <x v="1"/>
  </r>
  <r>
    <n v="1157"/>
    <x v="1156"/>
    <n v="6.1805555555555558E-2"/>
    <n v="870"/>
    <n v="249"/>
    <n v="12.627083333333333"/>
    <x v="1"/>
    <x v="1"/>
    <n v="1.8395833333333333"/>
    <s v="Slow"/>
    <x v="1"/>
    <n v="0"/>
    <x v="1"/>
    <x v="1"/>
  </r>
  <r>
    <n v="1158"/>
    <x v="1157"/>
    <n v="6.8749999999999992E-2"/>
    <n v="1288"/>
    <n v="83"/>
    <n v="71.797916666666666"/>
    <x v="3"/>
    <x v="3"/>
    <n v="1.9201388888888891"/>
    <s v="Slow"/>
    <x v="1"/>
    <n v="0"/>
    <x v="1"/>
    <x v="1"/>
  </r>
  <r>
    <n v="1159"/>
    <x v="1158"/>
    <n v="6.7361111111111108E-2"/>
    <n v="1502"/>
    <n v="447"/>
    <n v="63.46180555555555"/>
    <x v="0"/>
    <x v="2"/>
    <n v="0.91666666666666663"/>
    <s v="Fast"/>
    <x v="2"/>
    <n v="0"/>
    <x v="1"/>
    <x v="1"/>
  </r>
  <r>
    <n v="1160"/>
    <x v="1159"/>
    <n v="5.3472222222222227E-2"/>
    <n v="1236"/>
    <n v="184"/>
    <n v="75.004166666666663"/>
    <x v="2"/>
    <x v="3"/>
    <n v="2.125"/>
    <s v="Slow"/>
    <x v="0"/>
    <n v="0"/>
    <x v="1"/>
    <x v="1"/>
  </r>
  <r>
    <n v="1161"/>
    <x v="1160"/>
    <n v="5.3472222222222227E-2"/>
    <n v="3188"/>
    <n v="195"/>
    <n v="55.922916666666673"/>
    <x v="1"/>
    <x v="0"/>
    <n v="2.3374999999999999"/>
    <s v="Slow"/>
    <x v="0"/>
    <n v="0"/>
    <x v="1"/>
    <x v="1"/>
  </r>
  <r>
    <n v="1162"/>
    <x v="1161"/>
    <n v="4.2361111111111106E-2"/>
    <n v="2799"/>
    <n v="495"/>
    <n v="14.128472222222221"/>
    <x v="3"/>
    <x v="2"/>
    <n v="1.2923611111111111"/>
    <s v="Fast"/>
    <x v="2"/>
    <n v="0"/>
    <x v="1"/>
    <x v="1"/>
  </r>
  <r>
    <n v="1163"/>
    <x v="1162"/>
    <n v="5.3472222222222227E-2"/>
    <n v="4940"/>
    <n v="5"/>
    <n v="0.25347222222222221"/>
    <x v="1"/>
    <x v="3"/>
    <n v="0.21111111111111111"/>
    <s v="Fast"/>
    <x v="0"/>
    <n v="0"/>
    <x v="1"/>
    <x v="1"/>
  </r>
  <r>
    <n v="1164"/>
    <x v="1163"/>
    <n v="4.6527777777777779E-2"/>
    <n v="4575"/>
    <n v="70"/>
    <n v="48.461111111111109"/>
    <x v="2"/>
    <x v="3"/>
    <n v="1.4583333333333333"/>
    <s v="Fast"/>
    <x v="1"/>
    <n v="0"/>
    <x v="1"/>
    <x v="1"/>
  </r>
  <r>
    <n v="1165"/>
    <x v="1164"/>
    <n v="4.5138888888888888E-2"/>
    <n v="947"/>
    <n v="77"/>
    <n v="34.668055555555554"/>
    <x v="3"/>
    <x v="2"/>
    <n v="2.6701388888888888"/>
    <s v="Slow"/>
    <x v="2"/>
    <n v="1"/>
    <x v="0"/>
    <x v="0"/>
  </r>
  <r>
    <n v="1166"/>
    <x v="1165"/>
    <n v="6.458333333333334E-2"/>
    <n v="4837"/>
    <n v="165"/>
    <n v="57.791666666666664"/>
    <x v="2"/>
    <x v="1"/>
    <n v="2.5"/>
    <s v="Slow"/>
    <x v="1"/>
    <n v="0"/>
    <x v="1"/>
    <x v="1"/>
  </r>
  <r>
    <n v="1167"/>
    <x v="1166"/>
    <n v="4.2361111111111106E-2"/>
    <n v="1739"/>
    <n v="340"/>
    <n v="3.2513888888888887"/>
    <x v="0"/>
    <x v="2"/>
    <n v="2.2097222222222221"/>
    <s v="Slow"/>
    <x v="2"/>
    <n v="1"/>
    <x v="0"/>
    <x v="0"/>
  </r>
  <r>
    <n v="1168"/>
    <x v="1167"/>
    <n v="4.5138888888888888E-2"/>
    <n v="2270"/>
    <n v="244"/>
    <n v="13.961805555555555"/>
    <x v="3"/>
    <x v="0"/>
    <n v="0.45902777777777781"/>
    <s v="Fast"/>
    <x v="2"/>
    <n v="0"/>
    <x v="1"/>
    <x v="1"/>
  </r>
  <r>
    <n v="1169"/>
    <x v="1168"/>
    <n v="6.0416666666666667E-2"/>
    <n v="4672"/>
    <n v="154"/>
    <n v="3.2083333333333335"/>
    <x v="1"/>
    <x v="1"/>
    <n v="2.0861111111111112"/>
    <s v="Slow"/>
    <x v="2"/>
    <n v="1"/>
    <x v="0"/>
    <x v="2"/>
  </r>
  <r>
    <n v="1170"/>
    <x v="1169"/>
    <n v="5.7638888888888885E-2"/>
    <n v="3266"/>
    <n v="269"/>
    <n v="2.6708333333333329"/>
    <x v="1"/>
    <x v="0"/>
    <n v="0.92291666666666661"/>
    <s v="Fast"/>
    <x v="1"/>
    <n v="0"/>
    <x v="1"/>
    <x v="1"/>
  </r>
  <r>
    <n v="1171"/>
    <x v="1170"/>
    <n v="5.3472222222222227E-2"/>
    <n v="4862"/>
    <n v="288"/>
    <n v="60.791666666666664"/>
    <x v="1"/>
    <x v="0"/>
    <n v="1.5034722222222223"/>
    <s v="Slow"/>
    <x v="1"/>
    <n v="0"/>
    <x v="1"/>
    <x v="1"/>
  </r>
  <r>
    <n v="1172"/>
    <x v="1171"/>
    <n v="6.3888888888888898E-2"/>
    <n v="1815"/>
    <n v="115"/>
    <n v="34.381250000000001"/>
    <x v="3"/>
    <x v="0"/>
    <n v="0.25416666666666665"/>
    <s v="Fast"/>
    <x v="1"/>
    <n v="1"/>
    <x v="0"/>
    <x v="0"/>
  </r>
  <r>
    <n v="1173"/>
    <x v="1172"/>
    <n v="4.8611111111111112E-3"/>
    <n v="3154"/>
    <n v="242"/>
    <n v="71.422222222222231"/>
    <x v="1"/>
    <x v="0"/>
    <n v="0.46458333333333335"/>
    <s v="Fast"/>
    <x v="2"/>
    <n v="0"/>
    <x v="1"/>
    <x v="1"/>
  </r>
  <r>
    <n v="1174"/>
    <x v="1173"/>
    <n v="4.7222222222222221E-2"/>
    <n v="1406"/>
    <n v="286"/>
    <n v="28.128472222222225"/>
    <x v="2"/>
    <x v="1"/>
    <n v="8.6805555555555566E-2"/>
    <s v="Fast"/>
    <x v="0"/>
    <n v="0"/>
    <x v="1"/>
    <x v="1"/>
  </r>
  <r>
    <n v="1175"/>
    <x v="1174"/>
    <n v="5.6250000000000001E-2"/>
    <n v="2773"/>
    <n v="408"/>
    <n v="59.875694444444441"/>
    <x v="0"/>
    <x v="1"/>
    <n v="0.75208333333333333"/>
    <s v="Fast"/>
    <x v="2"/>
    <n v="1"/>
    <x v="0"/>
    <x v="2"/>
  </r>
  <r>
    <n v="1176"/>
    <x v="1175"/>
    <n v="4.4444444444444446E-2"/>
    <n v="1741"/>
    <n v="120"/>
    <n v="60.667361111111113"/>
    <x v="3"/>
    <x v="0"/>
    <n v="1.2944444444444445"/>
    <s v="Fast"/>
    <x v="1"/>
    <n v="1"/>
    <x v="0"/>
    <x v="0"/>
  </r>
  <r>
    <n v="1177"/>
    <x v="1176"/>
    <n v="6.1111111111111109E-2"/>
    <n v="2097"/>
    <n v="54"/>
    <n v="42.62916666666667"/>
    <x v="1"/>
    <x v="0"/>
    <n v="0.17222222222222225"/>
    <s v="Fast"/>
    <x v="2"/>
    <n v="1"/>
    <x v="0"/>
    <x v="0"/>
  </r>
  <r>
    <n v="1178"/>
    <x v="1177"/>
    <n v="6.7361111111111108E-2"/>
    <n v="1992"/>
    <n v="310"/>
    <n v="76.667361111111106"/>
    <x v="1"/>
    <x v="1"/>
    <n v="2.6305555555555555"/>
    <s v="Slow"/>
    <x v="2"/>
    <n v="1"/>
    <x v="0"/>
    <x v="2"/>
  </r>
  <r>
    <n v="1179"/>
    <x v="1178"/>
    <n v="6.3888888888888898E-2"/>
    <n v="1153"/>
    <n v="204"/>
    <n v="10.835416666666667"/>
    <x v="2"/>
    <x v="2"/>
    <n v="0.5444444444444444"/>
    <s v="Fast"/>
    <x v="1"/>
    <n v="1"/>
    <x v="0"/>
    <x v="0"/>
  </r>
  <r>
    <n v="1180"/>
    <x v="1179"/>
    <n v="6.5972222222222224E-2"/>
    <n v="2286"/>
    <n v="155"/>
    <n v="41.211805555555557"/>
    <x v="0"/>
    <x v="2"/>
    <n v="1.9604166666666665"/>
    <s v="Slow"/>
    <x v="1"/>
    <n v="0"/>
    <x v="1"/>
    <x v="1"/>
  </r>
  <r>
    <n v="1181"/>
    <x v="1180"/>
    <n v="4.3750000000000004E-2"/>
    <n v="615"/>
    <n v="245"/>
    <n v="69.294444444444437"/>
    <x v="0"/>
    <x v="0"/>
    <n v="1.1694444444444445"/>
    <s v="Fast"/>
    <x v="1"/>
    <n v="0"/>
    <x v="1"/>
    <x v="1"/>
  </r>
  <r>
    <n v="1182"/>
    <x v="1181"/>
    <n v="5.3472222222222227E-2"/>
    <n v="4339"/>
    <n v="217"/>
    <n v="33.50277777777778"/>
    <x v="1"/>
    <x v="0"/>
    <n v="1.8756944444444443"/>
    <s v="Slow"/>
    <x v="2"/>
    <n v="1"/>
    <x v="0"/>
    <x v="0"/>
  </r>
  <r>
    <n v="1183"/>
    <x v="1182"/>
    <n v="6.6666666666666666E-2"/>
    <n v="4515"/>
    <n v="414"/>
    <n v="60.588888888888896"/>
    <x v="1"/>
    <x v="2"/>
    <n v="8.8888888888888892E-2"/>
    <s v="Fast"/>
    <x v="1"/>
    <n v="0"/>
    <x v="1"/>
    <x v="1"/>
  </r>
  <r>
    <n v="1184"/>
    <x v="1183"/>
    <n v="6.5277777777777782E-2"/>
    <n v="2993"/>
    <n v="18"/>
    <n v="34.836805555555557"/>
    <x v="2"/>
    <x v="3"/>
    <n v="0.33402777777777781"/>
    <s v="Fast"/>
    <x v="1"/>
    <n v="0"/>
    <x v="1"/>
    <x v="1"/>
  </r>
  <r>
    <n v="1185"/>
    <x v="1184"/>
    <n v="5.8333333333333327E-2"/>
    <n v="4658"/>
    <n v="94"/>
    <n v="2.7937499999999997"/>
    <x v="2"/>
    <x v="2"/>
    <n v="2.2131944444444445"/>
    <s v="Slow"/>
    <x v="0"/>
    <n v="0"/>
    <x v="1"/>
    <x v="1"/>
  </r>
  <r>
    <n v="1186"/>
    <x v="1185"/>
    <n v="5.9722222222222225E-2"/>
    <n v="447"/>
    <n v="217"/>
    <n v="21.127777777777776"/>
    <x v="1"/>
    <x v="2"/>
    <n v="0.3756944444444445"/>
    <s v="Fast"/>
    <x v="0"/>
    <n v="0"/>
    <x v="1"/>
    <x v="1"/>
  </r>
  <r>
    <n v="1187"/>
    <x v="1186"/>
    <n v="4.9305555555555554E-2"/>
    <n v="3515"/>
    <n v="97"/>
    <n v="38.422916666666666"/>
    <x v="1"/>
    <x v="1"/>
    <n v="1.3368055555555556"/>
    <s v="Fast"/>
    <x v="1"/>
    <n v="0"/>
    <x v="1"/>
    <x v="1"/>
  </r>
  <r>
    <n v="1188"/>
    <x v="1187"/>
    <n v="4.9305555555555554E-2"/>
    <n v="3203"/>
    <n v="478"/>
    <n v="62.208333333333336"/>
    <x v="2"/>
    <x v="3"/>
    <n v="1.3381944444444445"/>
    <s v="Fast"/>
    <x v="2"/>
    <n v="0"/>
    <x v="1"/>
    <x v="1"/>
  </r>
  <r>
    <n v="1189"/>
    <x v="1188"/>
    <n v="4.3750000000000004E-2"/>
    <n v="524"/>
    <n v="78"/>
    <n v="2.4215277777777779"/>
    <x v="0"/>
    <x v="1"/>
    <n v="2.4173611111111111"/>
    <s v="Slow"/>
    <x v="1"/>
    <n v="0"/>
    <x v="1"/>
    <x v="1"/>
  </r>
  <r>
    <n v="1190"/>
    <x v="1189"/>
    <n v="6.6666666666666666E-2"/>
    <n v="2037"/>
    <n v="440"/>
    <n v="13.461805555555555"/>
    <x v="3"/>
    <x v="2"/>
    <n v="0.37847222222222227"/>
    <s v="Fast"/>
    <x v="2"/>
    <n v="0"/>
    <x v="1"/>
    <x v="1"/>
  </r>
  <r>
    <n v="1191"/>
    <x v="1190"/>
    <n v="4.9999999999999996E-2"/>
    <n v="4179"/>
    <n v="217"/>
    <n v="25.335416666666664"/>
    <x v="0"/>
    <x v="0"/>
    <n v="1.3381944444444445"/>
    <s v="Fast"/>
    <x v="2"/>
    <n v="0"/>
    <x v="1"/>
    <x v="1"/>
  </r>
  <r>
    <n v="1192"/>
    <x v="1191"/>
    <n v="4.1666666666666664E-2"/>
    <n v="2841"/>
    <n v="87"/>
    <n v="51.877083333333331"/>
    <x v="1"/>
    <x v="3"/>
    <n v="0.25138888888888888"/>
    <s v="Fast"/>
    <x v="2"/>
    <n v="0"/>
    <x v="1"/>
    <x v="1"/>
  </r>
  <r>
    <n v="1193"/>
    <x v="1192"/>
    <n v="4.1666666666666666E-3"/>
    <n v="2672"/>
    <n v="389"/>
    <n v="37.208333333333336"/>
    <x v="0"/>
    <x v="0"/>
    <n v="0.54236111111111118"/>
    <s v="Fast"/>
    <x v="0"/>
    <n v="0"/>
    <x v="1"/>
    <x v="1"/>
  </r>
  <r>
    <n v="1194"/>
    <x v="1193"/>
    <n v="6.3888888888888898E-2"/>
    <n v="2480"/>
    <n v="228"/>
    <n v="17.291666666666668"/>
    <x v="3"/>
    <x v="1"/>
    <n v="1.8798611111111112"/>
    <s v="Slow"/>
    <x v="2"/>
    <n v="1"/>
    <x v="0"/>
    <x v="2"/>
  </r>
  <r>
    <n v="1195"/>
    <x v="1194"/>
    <n v="5.6250000000000001E-2"/>
    <n v="822"/>
    <n v="383"/>
    <n v="51.752083333333331"/>
    <x v="3"/>
    <x v="3"/>
    <n v="2.1729166666666666"/>
    <s v="Slow"/>
    <x v="1"/>
    <n v="0"/>
    <x v="1"/>
    <x v="1"/>
  </r>
  <r>
    <n v="1196"/>
    <x v="1195"/>
    <n v="4.3055555555555562E-2"/>
    <n v="3461"/>
    <n v="458"/>
    <n v="61.044444444444444"/>
    <x v="3"/>
    <x v="2"/>
    <n v="2.5430555555555556"/>
    <s v="Slow"/>
    <x v="1"/>
    <n v="0"/>
    <x v="1"/>
    <x v="1"/>
  </r>
  <r>
    <n v="1197"/>
    <x v="1196"/>
    <n v="6.0416666666666667E-2"/>
    <n v="1183"/>
    <n v="280"/>
    <n v="12.750694444444443"/>
    <x v="2"/>
    <x v="2"/>
    <n v="0.71319444444444446"/>
    <s v="Fast"/>
    <x v="2"/>
    <n v="0"/>
    <x v="1"/>
    <x v="1"/>
  </r>
  <r>
    <n v="1198"/>
    <x v="1197"/>
    <n v="6.1111111111111109E-2"/>
    <n v="3201"/>
    <n v="384"/>
    <n v="7.2541666666666664"/>
    <x v="1"/>
    <x v="3"/>
    <n v="0.12569444444444444"/>
    <s v="Fast"/>
    <x v="0"/>
    <n v="1"/>
    <x v="0"/>
    <x v="0"/>
  </r>
  <r>
    <n v="1199"/>
    <x v="1198"/>
    <n v="6.1111111111111109E-2"/>
    <n v="3712"/>
    <n v="447"/>
    <n v="79.793055555555554"/>
    <x v="2"/>
    <x v="2"/>
    <n v="1.5479166666666666"/>
    <s v="Slow"/>
    <x v="0"/>
    <n v="0"/>
    <x v="1"/>
    <x v="1"/>
  </r>
  <r>
    <n v="1200"/>
    <x v="1199"/>
    <n v="6.1111111111111109E-2"/>
    <n v="1694"/>
    <n v="204"/>
    <n v="66.588888888888889"/>
    <x v="1"/>
    <x v="3"/>
    <n v="2.4583333333333335"/>
    <s v="Slow"/>
    <x v="1"/>
    <n v="0"/>
    <x v="1"/>
    <x v="1"/>
  </r>
  <r>
    <n v="1201"/>
    <x v="1200"/>
    <n v="6.0416666666666667E-2"/>
    <n v="2376"/>
    <n v="348"/>
    <n v="46.171527777777776"/>
    <x v="2"/>
    <x v="1"/>
    <n v="1.4229166666666666"/>
    <s v="Fast"/>
    <x v="2"/>
    <n v="0"/>
    <x v="1"/>
    <x v="1"/>
  </r>
  <r>
    <n v="1202"/>
    <x v="1201"/>
    <n v="6.3194444444444442E-2"/>
    <n v="143"/>
    <n v="493"/>
    <n v="46.041666666666664"/>
    <x v="2"/>
    <x v="3"/>
    <n v="8.4027777777777771E-2"/>
    <s v="Fast"/>
    <x v="1"/>
    <n v="0"/>
    <x v="1"/>
    <x v="1"/>
  </r>
  <r>
    <n v="1203"/>
    <x v="1202"/>
    <n v="5.2083333333333336E-2"/>
    <n v="4314"/>
    <n v="61"/>
    <n v="69.836805555555557"/>
    <x v="3"/>
    <x v="1"/>
    <n v="2.2111111111111112"/>
    <s v="Slow"/>
    <x v="1"/>
    <n v="0"/>
    <x v="1"/>
    <x v="1"/>
  </r>
  <r>
    <n v="1204"/>
    <x v="1203"/>
    <n v="6.805555555555555E-2"/>
    <n v="1497"/>
    <n v="395"/>
    <n v="48.631250000000001"/>
    <x v="3"/>
    <x v="0"/>
    <n v="2.5006944444444446"/>
    <s v="Slow"/>
    <x v="1"/>
    <n v="1"/>
    <x v="0"/>
    <x v="0"/>
  </r>
  <r>
    <n v="1205"/>
    <x v="1204"/>
    <n v="5.486111111111111E-2"/>
    <n v="1377"/>
    <n v="348"/>
    <n v="80.376388888888883"/>
    <x v="3"/>
    <x v="0"/>
    <n v="1.7520833333333332"/>
    <s v="Slow"/>
    <x v="1"/>
    <n v="0"/>
    <x v="1"/>
    <x v="1"/>
  </r>
  <r>
    <n v="1206"/>
    <x v="1205"/>
    <n v="4.9305555555555554E-2"/>
    <n v="2066"/>
    <n v="462"/>
    <n v="62.545833333333327"/>
    <x v="1"/>
    <x v="1"/>
    <n v="0.54236111111111118"/>
    <s v="Fast"/>
    <x v="2"/>
    <n v="1"/>
    <x v="0"/>
    <x v="2"/>
  </r>
  <r>
    <n v="1207"/>
    <x v="1206"/>
    <n v="4.1666666666666664E-2"/>
    <n v="245"/>
    <n v="458"/>
    <n v="74.50555555555556"/>
    <x v="1"/>
    <x v="2"/>
    <n v="2.2520833333333332"/>
    <s v="Slow"/>
    <x v="2"/>
    <n v="1"/>
    <x v="0"/>
    <x v="0"/>
  </r>
  <r>
    <n v="1208"/>
    <x v="1207"/>
    <n v="4.9305555555555554E-2"/>
    <n v="3587"/>
    <n v="452"/>
    <n v="39.625694444444441"/>
    <x v="0"/>
    <x v="2"/>
    <n v="0.45833333333333331"/>
    <s v="Fast"/>
    <x v="1"/>
    <n v="0"/>
    <x v="1"/>
    <x v="1"/>
  </r>
  <r>
    <n v="1209"/>
    <x v="1208"/>
    <n v="5.4166666666666669E-2"/>
    <n v="1517"/>
    <n v="473"/>
    <n v="30.754166666666666"/>
    <x v="1"/>
    <x v="0"/>
    <n v="1.2916666666666667"/>
    <s v="Fast"/>
    <x v="0"/>
    <n v="0"/>
    <x v="1"/>
    <x v="1"/>
  </r>
  <r>
    <n v="1210"/>
    <x v="1209"/>
    <n v="6.1111111111111109E-2"/>
    <n v="4859"/>
    <n v="446"/>
    <n v="44.627083333333331"/>
    <x v="1"/>
    <x v="1"/>
    <n v="0.50624999999999998"/>
    <s v="Fast"/>
    <x v="1"/>
    <n v="0"/>
    <x v="1"/>
    <x v="1"/>
  </r>
  <r>
    <n v="1211"/>
    <x v="1210"/>
    <n v="6.3888888888888898E-2"/>
    <n v="1814"/>
    <n v="359"/>
    <n v="72.421527777777769"/>
    <x v="2"/>
    <x v="1"/>
    <n v="1.3812499999999999"/>
    <s v="Fast"/>
    <x v="1"/>
    <n v="0"/>
    <x v="1"/>
    <x v="1"/>
  </r>
  <r>
    <n v="1212"/>
    <x v="1211"/>
    <n v="5.0694444444444438E-2"/>
    <n v="879"/>
    <n v="341"/>
    <n v="80.670138888888886"/>
    <x v="3"/>
    <x v="0"/>
    <n v="1.4173611111111111"/>
    <s v="Fast"/>
    <x v="0"/>
    <n v="1"/>
    <x v="0"/>
    <x v="0"/>
  </r>
  <r>
    <n v="1213"/>
    <x v="1212"/>
    <n v="4.2361111111111106E-2"/>
    <n v="2129"/>
    <n v="121"/>
    <n v="60.542361111111113"/>
    <x v="2"/>
    <x v="2"/>
    <n v="0.37847222222222227"/>
    <s v="Fast"/>
    <x v="2"/>
    <n v="0"/>
    <x v="1"/>
    <x v="1"/>
  </r>
  <r>
    <n v="1214"/>
    <x v="1213"/>
    <n v="5.7638888888888885E-2"/>
    <n v="4031"/>
    <n v="356"/>
    <n v="14.464583333333332"/>
    <x v="3"/>
    <x v="3"/>
    <n v="1.0479166666666666"/>
    <s v="Fast"/>
    <x v="0"/>
    <n v="1"/>
    <x v="0"/>
    <x v="0"/>
  </r>
  <r>
    <n v="1215"/>
    <x v="1214"/>
    <n v="5.8333333333333327E-2"/>
    <n v="3240"/>
    <n v="137"/>
    <n v="72.797916666666666"/>
    <x v="0"/>
    <x v="2"/>
    <n v="2.0437499999999997"/>
    <s v="Slow"/>
    <x v="1"/>
    <n v="0"/>
    <x v="1"/>
    <x v="1"/>
  </r>
  <r>
    <n v="1216"/>
    <x v="1215"/>
    <n v="6.1805555555555558E-2"/>
    <n v="335"/>
    <n v="103"/>
    <n v="71.256250000000009"/>
    <x v="0"/>
    <x v="3"/>
    <n v="1.5041666666666667"/>
    <s v="Slow"/>
    <x v="2"/>
    <n v="0"/>
    <x v="1"/>
    <x v="1"/>
  </r>
  <r>
    <n v="1217"/>
    <x v="1216"/>
    <n v="4.8611111111111112E-3"/>
    <n v="3020"/>
    <n v="108"/>
    <n v="60.209722222222219"/>
    <x v="3"/>
    <x v="3"/>
    <n v="2.9201388888888888"/>
    <s v="Slow"/>
    <x v="0"/>
    <n v="1"/>
    <x v="0"/>
    <x v="0"/>
  </r>
  <r>
    <n v="1218"/>
    <x v="1217"/>
    <n v="6.458333333333334E-2"/>
    <n v="578"/>
    <n v="349"/>
    <n v="45.297916666666673"/>
    <x v="0"/>
    <x v="0"/>
    <n v="0.45833333333333331"/>
    <s v="Fast"/>
    <x v="1"/>
    <n v="0"/>
    <x v="1"/>
    <x v="1"/>
  </r>
  <r>
    <n v="1219"/>
    <x v="1218"/>
    <n v="6.3194444444444442E-2"/>
    <n v="3808"/>
    <n v="145"/>
    <n v="45.502777777777773"/>
    <x v="3"/>
    <x v="2"/>
    <n v="2.5868055555555558"/>
    <s v="Slow"/>
    <x v="1"/>
    <n v="0"/>
    <x v="1"/>
    <x v="1"/>
  </r>
  <r>
    <n v="1220"/>
    <x v="1219"/>
    <n v="6.5277777777777782E-2"/>
    <n v="2108"/>
    <n v="25"/>
    <n v="63.459027777777777"/>
    <x v="2"/>
    <x v="1"/>
    <n v="2.3374999999999999"/>
    <s v="Slow"/>
    <x v="1"/>
    <n v="0"/>
    <x v="1"/>
    <x v="1"/>
  </r>
  <r>
    <n v="1221"/>
    <x v="1220"/>
    <n v="6.2499999999999995E-3"/>
    <n v="358"/>
    <n v="10"/>
    <n v="45.839583333333337"/>
    <x v="1"/>
    <x v="0"/>
    <n v="2.754861111111111"/>
    <s v="Slow"/>
    <x v="1"/>
    <n v="0"/>
    <x v="1"/>
    <x v="1"/>
  </r>
  <r>
    <n v="1222"/>
    <x v="1221"/>
    <n v="6.0416666666666667E-2"/>
    <n v="4733"/>
    <n v="160"/>
    <n v="30.333333333333332"/>
    <x v="3"/>
    <x v="1"/>
    <n v="2.3340277777777776"/>
    <s v="Slow"/>
    <x v="1"/>
    <n v="0"/>
    <x v="1"/>
    <x v="1"/>
  </r>
  <r>
    <n v="1223"/>
    <x v="1222"/>
    <n v="5.6944444444444443E-2"/>
    <n v="1779"/>
    <n v="487"/>
    <n v="74.504166666666663"/>
    <x v="1"/>
    <x v="2"/>
    <n v="2.125"/>
    <s v="Slow"/>
    <x v="0"/>
    <n v="0"/>
    <x v="1"/>
    <x v="1"/>
  </r>
  <r>
    <n v="1224"/>
    <x v="1223"/>
    <n v="6.5277777777777782E-2"/>
    <n v="2232"/>
    <n v="290"/>
    <n v="2.1722222222222221"/>
    <x v="1"/>
    <x v="1"/>
    <n v="2.4611111111111112"/>
    <s v="Slow"/>
    <x v="2"/>
    <n v="0"/>
    <x v="1"/>
    <x v="1"/>
  </r>
  <r>
    <n v="1225"/>
    <x v="1224"/>
    <n v="4.7916666666666663E-2"/>
    <n v="1069"/>
    <n v="202"/>
    <n v="43.63055555555556"/>
    <x v="3"/>
    <x v="3"/>
    <n v="2.5062500000000001"/>
    <s v="Slow"/>
    <x v="1"/>
    <n v="0"/>
    <x v="1"/>
    <x v="1"/>
  </r>
  <r>
    <n v="1226"/>
    <x v="1225"/>
    <n v="6.0416666666666667E-2"/>
    <n v="4405"/>
    <n v="26"/>
    <n v="40.755555555555553"/>
    <x v="3"/>
    <x v="2"/>
    <n v="0.87986111111111109"/>
    <s v="Fast"/>
    <x v="1"/>
    <n v="0"/>
    <x v="1"/>
    <x v="1"/>
  </r>
  <r>
    <n v="1227"/>
    <x v="1226"/>
    <n v="6.3888888888888898E-2"/>
    <n v="888"/>
    <n v="255"/>
    <n v="27.795833333333334"/>
    <x v="1"/>
    <x v="0"/>
    <n v="1.7083333333333333"/>
    <s v="Slow"/>
    <x v="1"/>
    <n v="0"/>
    <x v="1"/>
    <x v="1"/>
  </r>
  <r>
    <n v="1228"/>
    <x v="1227"/>
    <n v="6.3194444444444442E-2"/>
    <n v="2250"/>
    <n v="446"/>
    <n v="16.672222222222221"/>
    <x v="2"/>
    <x v="0"/>
    <n v="1.6729166666666666"/>
    <s v="Slow"/>
    <x v="1"/>
    <n v="0"/>
    <x v="1"/>
    <x v="1"/>
  </r>
  <r>
    <n v="1229"/>
    <x v="1228"/>
    <n v="4.5138888888888888E-2"/>
    <n v="91"/>
    <n v="267"/>
    <n v="29.464583333333334"/>
    <x v="0"/>
    <x v="0"/>
    <n v="0.87638888888888899"/>
    <s v="Fast"/>
    <x v="1"/>
    <n v="0"/>
    <x v="1"/>
    <x v="1"/>
  </r>
  <r>
    <n v="1230"/>
    <x v="1229"/>
    <n v="5.0694444444444438E-2"/>
    <n v="3234"/>
    <n v="252"/>
    <n v="54.214583333333337"/>
    <x v="0"/>
    <x v="0"/>
    <n v="0.33402777777777781"/>
    <s v="Fast"/>
    <x v="1"/>
    <n v="1"/>
    <x v="0"/>
    <x v="0"/>
  </r>
  <r>
    <n v="1231"/>
    <x v="1230"/>
    <n v="6.7361111111111108E-2"/>
    <n v="3640"/>
    <n v="321"/>
    <n v="24.963194444444444"/>
    <x v="0"/>
    <x v="1"/>
    <n v="2.8763888888888887"/>
    <s v="Slow"/>
    <x v="0"/>
    <n v="0"/>
    <x v="1"/>
    <x v="1"/>
  </r>
  <r>
    <n v="1232"/>
    <x v="1231"/>
    <n v="6.3194444444444442E-2"/>
    <n v="2030"/>
    <n v="183"/>
    <n v="40.631250000000001"/>
    <x v="2"/>
    <x v="2"/>
    <n v="0.58611111111111114"/>
    <s v="Fast"/>
    <x v="1"/>
    <n v="0"/>
    <x v="1"/>
    <x v="1"/>
  </r>
  <r>
    <n v="1233"/>
    <x v="1232"/>
    <n v="4.5833333333333337E-2"/>
    <n v="4163"/>
    <n v="69"/>
    <n v="45.37638888888889"/>
    <x v="2"/>
    <x v="2"/>
    <n v="2.7104166666666667"/>
    <s v="Slow"/>
    <x v="1"/>
    <n v="0"/>
    <x v="1"/>
    <x v="1"/>
  </r>
  <r>
    <n v="1234"/>
    <x v="1233"/>
    <n v="5.486111111111111E-2"/>
    <n v="2315"/>
    <n v="496"/>
    <n v="30.043749999999999"/>
    <x v="3"/>
    <x v="0"/>
    <n v="4.4444444444444446E-2"/>
    <s v="Fast"/>
    <x v="2"/>
    <n v="1"/>
    <x v="0"/>
    <x v="0"/>
  </r>
  <r>
    <n v="1235"/>
    <x v="1234"/>
    <n v="6.3888888888888898E-2"/>
    <n v="2148"/>
    <n v="450"/>
    <n v="36.461111111111116"/>
    <x v="0"/>
    <x v="1"/>
    <n v="0.87708333333333333"/>
    <s v="Fast"/>
    <x v="2"/>
    <n v="0"/>
    <x v="1"/>
    <x v="1"/>
  </r>
  <r>
    <n v="1236"/>
    <x v="1235"/>
    <n v="6.5277777777777782E-2"/>
    <n v="1416"/>
    <n v="129"/>
    <n v="51.33819444444444"/>
    <x v="0"/>
    <x v="3"/>
    <n v="1.1284722222222221"/>
    <s v="Fast"/>
    <x v="2"/>
    <n v="0"/>
    <x v="1"/>
    <x v="1"/>
  </r>
  <r>
    <n v="1237"/>
    <x v="1236"/>
    <n v="5.6250000000000001E-2"/>
    <n v="1843"/>
    <n v="438"/>
    <n v="17.666666666666668"/>
    <x v="2"/>
    <x v="0"/>
    <n v="1.7145833333333333"/>
    <s v="Slow"/>
    <x v="1"/>
    <n v="1"/>
    <x v="0"/>
    <x v="0"/>
  </r>
  <r>
    <n v="1238"/>
    <x v="1237"/>
    <n v="4.4444444444444446E-2"/>
    <n v="4490"/>
    <n v="208"/>
    <n v="40.666666666666664"/>
    <x v="1"/>
    <x v="1"/>
    <n v="1.2520833333333334"/>
    <s v="Fast"/>
    <x v="0"/>
    <n v="0"/>
    <x v="1"/>
    <x v="1"/>
  </r>
  <r>
    <n v="1239"/>
    <x v="1238"/>
    <n v="4.7916666666666663E-2"/>
    <n v="2326"/>
    <n v="468"/>
    <n v="44.459027777777777"/>
    <x v="0"/>
    <x v="2"/>
    <n v="0.38055555555555554"/>
    <s v="Fast"/>
    <x v="2"/>
    <n v="1"/>
    <x v="0"/>
    <x v="0"/>
  </r>
  <r>
    <n v="1240"/>
    <x v="1239"/>
    <n v="4.2361111111111106E-2"/>
    <n v="283"/>
    <n v="384"/>
    <n v="68.96041666666666"/>
    <x v="2"/>
    <x v="0"/>
    <n v="1.5416666666666667"/>
    <s v="Slow"/>
    <x v="1"/>
    <n v="0"/>
    <x v="1"/>
    <x v="1"/>
  </r>
  <r>
    <n v="1241"/>
    <x v="1240"/>
    <n v="4.6527777777777779E-2"/>
    <n v="4162"/>
    <n v="217"/>
    <n v="23.251388888888886"/>
    <x v="2"/>
    <x v="2"/>
    <n v="2.3347222222222221"/>
    <s v="Slow"/>
    <x v="0"/>
    <n v="0"/>
    <x v="1"/>
    <x v="1"/>
  </r>
  <r>
    <n v="1242"/>
    <x v="1241"/>
    <n v="4.3055555555555562E-2"/>
    <n v="4346"/>
    <n v="491"/>
    <n v="67.003472222222214"/>
    <x v="0"/>
    <x v="0"/>
    <n v="1.2104166666666667"/>
    <s v="Fast"/>
    <x v="0"/>
    <n v="0"/>
    <x v="1"/>
    <x v="1"/>
  </r>
  <r>
    <n v="1243"/>
    <x v="1242"/>
    <n v="6.1111111111111109E-2"/>
    <n v="2420"/>
    <n v="461"/>
    <n v="57.418749999999996"/>
    <x v="3"/>
    <x v="3"/>
    <n v="0.4597222222222222"/>
    <s v="Fast"/>
    <x v="2"/>
    <n v="1"/>
    <x v="0"/>
    <x v="0"/>
  </r>
  <r>
    <n v="1244"/>
    <x v="1243"/>
    <n v="6.1111111111111109E-2"/>
    <n v="4166"/>
    <n v="30"/>
    <n v="69.875694444444449"/>
    <x v="2"/>
    <x v="3"/>
    <n v="1.9201388888888891"/>
    <s v="Slow"/>
    <x v="2"/>
    <n v="0"/>
    <x v="1"/>
    <x v="1"/>
  </r>
  <r>
    <n v="1245"/>
    <x v="1244"/>
    <n v="5.4166666666666669E-2"/>
    <n v="3274"/>
    <n v="425"/>
    <n v="58.464583333333337"/>
    <x v="2"/>
    <x v="2"/>
    <n v="1.5875000000000001"/>
    <s v="Slow"/>
    <x v="0"/>
    <n v="0"/>
    <x v="1"/>
    <x v="1"/>
  </r>
  <r>
    <n v="1246"/>
    <x v="1245"/>
    <n v="6.5972222222222224E-2"/>
    <n v="988"/>
    <n v="58"/>
    <n v="18.792361111111109"/>
    <x v="2"/>
    <x v="0"/>
    <n v="1.0020833333333334"/>
    <s v="Fast"/>
    <x v="1"/>
    <n v="1"/>
    <x v="0"/>
    <x v="0"/>
  </r>
  <r>
    <n v="1247"/>
    <x v="1246"/>
    <n v="4.5833333333333337E-2"/>
    <n v="4680"/>
    <n v="241"/>
    <n v="45.252083333333331"/>
    <x v="2"/>
    <x v="1"/>
    <n v="2.8770833333333332"/>
    <s v="Slow"/>
    <x v="0"/>
    <n v="1"/>
    <x v="0"/>
    <x v="2"/>
  </r>
  <r>
    <n v="1248"/>
    <x v="1247"/>
    <n v="4.7222222222222221E-2"/>
    <n v="3493"/>
    <n v="251"/>
    <n v="67.713888888888889"/>
    <x v="0"/>
    <x v="2"/>
    <n v="0.5"/>
    <s v="Fast"/>
    <x v="1"/>
    <n v="0"/>
    <x v="1"/>
    <x v="1"/>
  </r>
  <r>
    <n v="1249"/>
    <x v="1248"/>
    <n v="5.8333333333333327E-2"/>
    <n v="2113"/>
    <n v="35"/>
    <n v="38.545833333333334"/>
    <x v="3"/>
    <x v="2"/>
    <n v="2.4166666666666665"/>
    <s v="Slow"/>
    <x v="0"/>
    <n v="1"/>
    <x v="0"/>
    <x v="0"/>
  </r>
  <r>
    <n v="1250"/>
    <x v="1249"/>
    <n v="5.6250000000000001E-2"/>
    <n v="2742"/>
    <n v="239"/>
    <n v="57.83819444444444"/>
    <x v="3"/>
    <x v="0"/>
    <n v="1.7930555555555554"/>
    <s v="Slow"/>
    <x v="1"/>
    <n v="0"/>
    <x v="1"/>
    <x v="1"/>
  </r>
  <r>
    <n v="1251"/>
    <x v="1250"/>
    <n v="4.5138888888888888E-2"/>
    <n v="1153"/>
    <n v="428"/>
    <n v="49.042361111111113"/>
    <x v="1"/>
    <x v="0"/>
    <n v="1.8368055555555556"/>
    <s v="Slow"/>
    <x v="0"/>
    <n v="0"/>
    <x v="1"/>
    <x v="1"/>
  </r>
  <r>
    <n v="1252"/>
    <x v="1251"/>
    <n v="6.6666666666666666E-2"/>
    <n v="340"/>
    <n v="159"/>
    <n v="32.458333333333336"/>
    <x v="2"/>
    <x v="3"/>
    <n v="0.92013888888888884"/>
    <s v="Fast"/>
    <x v="2"/>
    <n v="0"/>
    <x v="1"/>
    <x v="1"/>
  </r>
  <r>
    <n v="1253"/>
    <x v="1252"/>
    <n v="5.9027777777777783E-2"/>
    <n v="584"/>
    <n v="1"/>
    <n v="31.629166666666666"/>
    <x v="2"/>
    <x v="1"/>
    <n v="1.3798611111111112"/>
    <s v="Fast"/>
    <x v="2"/>
    <n v="1"/>
    <x v="0"/>
    <x v="2"/>
  </r>
  <r>
    <n v="1254"/>
    <x v="1253"/>
    <n v="5.8333333333333327E-2"/>
    <n v="107"/>
    <n v="101"/>
    <n v="23.961805555555557"/>
    <x v="1"/>
    <x v="3"/>
    <n v="1.0416666666666667"/>
    <s v="Fast"/>
    <x v="2"/>
    <n v="0"/>
    <x v="1"/>
    <x v="1"/>
  </r>
  <r>
    <n v="1255"/>
    <x v="1254"/>
    <n v="5.2083333333333336E-2"/>
    <n v="4008"/>
    <n v="365"/>
    <n v="1.3791666666666667"/>
    <x v="0"/>
    <x v="1"/>
    <n v="0.21180555555555555"/>
    <s v="Fast"/>
    <x v="2"/>
    <n v="0"/>
    <x v="1"/>
    <x v="1"/>
  </r>
  <r>
    <n v="1256"/>
    <x v="1255"/>
    <n v="5.8333333333333327E-2"/>
    <n v="4575"/>
    <n v="281"/>
    <n v="28.960416666666664"/>
    <x v="0"/>
    <x v="0"/>
    <n v="2.4583333333333335"/>
    <s v="Slow"/>
    <x v="1"/>
    <n v="1"/>
    <x v="0"/>
    <x v="0"/>
  </r>
  <r>
    <n v="1257"/>
    <x v="1256"/>
    <n v="4.3750000000000004E-2"/>
    <n v="3565"/>
    <n v="119"/>
    <n v="67.833333333333329"/>
    <x v="3"/>
    <x v="1"/>
    <n v="2.7104166666666667"/>
    <s v="Slow"/>
    <x v="0"/>
    <n v="0"/>
    <x v="1"/>
    <x v="1"/>
  </r>
  <r>
    <n v="1258"/>
    <x v="1257"/>
    <n v="4.9999999999999996E-2"/>
    <n v="1426"/>
    <n v="487"/>
    <n v="68.666666666666671"/>
    <x v="1"/>
    <x v="2"/>
    <n v="1.4583333333333333"/>
    <s v="Fast"/>
    <x v="2"/>
    <n v="0"/>
    <x v="1"/>
    <x v="1"/>
  </r>
  <r>
    <n v="1259"/>
    <x v="1258"/>
    <n v="5.9027777777777783E-2"/>
    <n v="2996"/>
    <n v="451"/>
    <n v="29.088888888888889"/>
    <x v="1"/>
    <x v="2"/>
    <n v="0.71180555555555547"/>
    <s v="Fast"/>
    <x v="0"/>
    <n v="0"/>
    <x v="1"/>
    <x v="1"/>
  </r>
  <r>
    <n v="1260"/>
    <x v="1259"/>
    <n v="5.8333333333333327E-2"/>
    <n v="4663"/>
    <n v="149"/>
    <n v="44"/>
    <x v="1"/>
    <x v="0"/>
    <n v="1.1673611111111111"/>
    <s v="Fast"/>
    <x v="2"/>
    <n v="0"/>
    <x v="1"/>
    <x v="1"/>
  </r>
  <r>
    <n v="1261"/>
    <x v="1260"/>
    <n v="5.6250000000000001E-2"/>
    <n v="3466"/>
    <n v="25"/>
    <n v="54.960416666666667"/>
    <x v="0"/>
    <x v="3"/>
    <n v="0.9590277777777777"/>
    <s v="Fast"/>
    <x v="2"/>
    <n v="0"/>
    <x v="1"/>
    <x v="1"/>
  </r>
  <r>
    <n v="1262"/>
    <x v="1261"/>
    <n v="4.3055555555555562E-2"/>
    <n v="2846"/>
    <n v="292"/>
    <n v="28.339583333333334"/>
    <x v="2"/>
    <x v="1"/>
    <n v="2.1291666666666669"/>
    <s v="Slow"/>
    <x v="2"/>
    <n v="0"/>
    <x v="1"/>
    <x v="1"/>
  </r>
  <r>
    <n v="1263"/>
    <x v="1262"/>
    <n v="5.0694444444444438E-2"/>
    <n v="2236"/>
    <n v="241"/>
    <n v="37.087499999999999"/>
    <x v="2"/>
    <x v="3"/>
    <n v="2.5874999999999999"/>
    <s v="Slow"/>
    <x v="2"/>
    <n v="0"/>
    <x v="1"/>
    <x v="1"/>
  </r>
  <r>
    <n v="1264"/>
    <x v="1263"/>
    <n v="6.8749999999999992E-2"/>
    <n v="3897"/>
    <n v="217"/>
    <n v="49.043749999999996"/>
    <x v="3"/>
    <x v="1"/>
    <n v="1.6680555555555554"/>
    <s v="Slow"/>
    <x v="0"/>
    <n v="0"/>
    <x v="1"/>
    <x v="1"/>
  </r>
  <r>
    <n v="1265"/>
    <x v="1264"/>
    <n v="6.805555555555555E-2"/>
    <n v="4418"/>
    <n v="145"/>
    <n v="24.088194444444444"/>
    <x v="1"/>
    <x v="2"/>
    <n v="2.9590277777777776"/>
    <s v="Slow"/>
    <x v="1"/>
    <n v="0"/>
    <x v="1"/>
    <x v="1"/>
  </r>
  <r>
    <n v="1266"/>
    <x v="1265"/>
    <n v="6.458333333333334E-2"/>
    <n v="255"/>
    <n v="111"/>
    <n v="34.335416666666667"/>
    <x v="3"/>
    <x v="0"/>
    <n v="1.0458333333333334"/>
    <s v="Fast"/>
    <x v="1"/>
    <n v="0"/>
    <x v="1"/>
    <x v="1"/>
  </r>
  <r>
    <n v="1267"/>
    <x v="1266"/>
    <n v="4.3750000000000004E-2"/>
    <n v="2540"/>
    <n v="310"/>
    <n v="7.7979166666666666"/>
    <x v="2"/>
    <x v="1"/>
    <n v="0.79583333333333339"/>
    <s v="Fast"/>
    <x v="1"/>
    <n v="0"/>
    <x v="1"/>
    <x v="1"/>
  </r>
  <r>
    <n v="1268"/>
    <x v="1267"/>
    <n v="4.3750000000000004E-2"/>
    <n v="3415"/>
    <n v="450"/>
    <n v="73.045138888888886"/>
    <x v="0"/>
    <x v="0"/>
    <n v="2.254861111111111"/>
    <s v="Slow"/>
    <x v="2"/>
    <n v="0"/>
    <x v="1"/>
    <x v="1"/>
  </r>
  <r>
    <n v="1269"/>
    <x v="1268"/>
    <n v="4.7916666666666663E-2"/>
    <n v="2846"/>
    <n v="95"/>
    <n v="58.131250000000001"/>
    <x v="3"/>
    <x v="3"/>
    <n v="1.0013888888888889"/>
    <s v="Fast"/>
    <x v="0"/>
    <n v="0"/>
    <x v="1"/>
    <x v="1"/>
  </r>
  <r>
    <n v="1270"/>
    <x v="1269"/>
    <n v="6.458333333333334E-2"/>
    <n v="1648"/>
    <n v="2"/>
    <n v="37.166666666666664"/>
    <x v="1"/>
    <x v="2"/>
    <n v="1.0458333333333334"/>
    <s v="Fast"/>
    <x v="2"/>
    <n v="0"/>
    <x v="1"/>
    <x v="1"/>
  </r>
  <r>
    <n v="1271"/>
    <x v="1270"/>
    <n v="4.7222222222222221E-2"/>
    <n v="980"/>
    <n v="342"/>
    <n v="15.880555555555555"/>
    <x v="0"/>
    <x v="0"/>
    <n v="0.16944444444444443"/>
    <s v="Fast"/>
    <x v="1"/>
    <n v="1"/>
    <x v="0"/>
    <x v="0"/>
  </r>
  <r>
    <n v="1272"/>
    <x v="1271"/>
    <n v="4.7916666666666663E-2"/>
    <n v="3169"/>
    <n v="30"/>
    <n v="44.709027777777777"/>
    <x v="0"/>
    <x v="1"/>
    <n v="1.6701388888888891"/>
    <s v="Slow"/>
    <x v="2"/>
    <n v="1"/>
    <x v="0"/>
    <x v="2"/>
  </r>
  <r>
    <n v="1273"/>
    <x v="1272"/>
    <n v="4.8611111111111112E-3"/>
    <n v="4613"/>
    <n v="352"/>
    <n v="51.920833333333327"/>
    <x v="2"/>
    <x v="1"/>
    <n v="2.4194444444444447"/>
    <s v="Slow"/>
    <x v="1"/>
    <n v="0"/>
    <x v="1"/>
    <x v="1"/>
  </r>
  <r>
    <n v="1274"/>
    <x v="1273"/>
    <n v="6.1805555555555558E-2"/>
    <n v="3787"/>
    <n v="428"/>
    <n v="53.962499999999999"/>
    <x v="3"/>
    <x v="0"/>
    <n v="1.3368055555555556"/>
    <s v="Fast"/>
    <x v="0"/>
    <n v="0"/>
    <x v="1"/>
    <x v="1"/>
  </r>
  <r>
    <n v="1275"/>
    <x v="1274"/>
    <n v="5.6250000000000001E-2"/>
    <n v="3151"/>
    <n v="444"/>
    <n v="37.25277777777778"/>
    <x v="2"/>
    <x v="0"/>
    <n v="1.6722222222222223"/>
    <s v="Slow"/>
    <x v="2"/>
    <n v="0"/>
    <x v="1"/>
    <x v="1"/>
  </r>
  <r>
    <n v="1276"/>
    <x v="1275"/>
    <n v="6.5277777777777782E-2"/>
    <n v="1724"/>
    <n v="130"/>
    <n v="19.086805555555554"/>
    <x v="0"/>
    <x v="2"/>
    <n v="2.1666666666666665"/>
    <s v="Slow"/>
    <x v="0"/>
    <n v="0"/>
    <x v="1"/>
    <x v="1"/>
  </r>
  <r>
    <n v="1277"/>
    <x v="1276"/>
    <n v="4.3750000000000004E-2"/>
    <n v="4344"/>
    <n v="141"/>
    <n v="10.168055555555556"/>
    <x v="3"/>
    <x v="0"/>
    <n v="1.9173611111111111"/>
    <s v="Slow"/>
    <x v="2"/>
    <n v="1"/>
    <x v="0"/>
    <x v="0"/>
  </r>
  <r>
    <n v="1278"/>
    <x v="1277"/>
    <n v="4.3055555555555562E-2"/>
    <n v="4639"/>
    <n v="313"/>
    <n v="67.708333333333329"/>
    <x v="2"/>
    <x v="0"/>
    <n v="0.58472222222222225"/>
    <s v="Fast"/>
    <x v="0"/>
    <n v="0"/>
    <x v="1"/>
    <x v="1"/>
  </r>
  <r>
    <n v="1279"/>
    <x v="1278"/>
    <n v="6.5277777777777782E-2"/>
    <n v="302"/>
    <n v="368"/>
    <n v="17.046527777777779"/>
    <x v="2"/>
    <x v="0"/>
    <n v="4.6527777777777779E-2"/>
    <s v="Fast"/>
    <x v="2"/>
    <n v="0"/>
    <x v="1"/>
    <x v="1"/>
  </r>
  <r>
    <n v="1280"/>
    <x v="1279"/>
    <n v="4.4444444444444446E-2"/>
    <n v="4276"/>
    <n v="295"/>
    <n v="56.211111111111109"/>
    <x v="0"/>
    <x v="3"/>
    <n v="0.79583333333333339"/>
    <s v="Fast"/>
    <x v="2"/>
    <n v="0"/>
    <x v="1"/>
    <x v="1"/>
  </r>
  <r>
    <n v="1281"/>
    <x v="1280"/>
    <n v="6.1805555555555558E-2"/>
    <n v="2309"/>
    <n v="246"/>
    <n v="40.170138888888893"/>
    <x v="3"/>
    <x v="2"/>
    <n v="1.8812499999999999"/>
    <s v="Slow"/>
    <x v="1"/>
    <n v="1"/>
    <x v="0"/>
    <x v="0"/>
  </r>
  <r>
    <n v="1282"/>
    <x v="1281"/>
    <n v="5.8333333333333327E-2"/>
    <n v="911"/>
    <n v="348"/>
    <n v="75.797222222222231"/>
    <x v="0"/>
    <x v="2"/>
    <n v="2.0465277777777779"/>
    <s v="Slow"/>
    <x v="2"/>
    <n v="0"/>
    <x v="1"/>
    <x v="1"/>
  </r>
  <r>
    <n v="1283"/>
    <x v="1282"/>
    <n v="4.7222222222222221E-2"/>
    <n v="3681"/>
    <n v="90"/>
    <n v="32.377083333333331"/>
    <x v="2"/>
    <x v="0"/>
    <n v="2.5847222222222221"/>
    <s v="Slow"/>
    <x v="0"/>
    <n v="0"/>
    <x v="1"/>
    <x v="1"/>
  </r>
  <r>
    <n v="1284"/>
    <x v="1283"/>
    <n v="4.8611111111111112E-3"/>
    <n v="1141"/>
    <n v="66"/>
    <n v="61.875"/>
    <x v="3"/>
    <x v="0"/>
    <n v="2.2923611111111111"/>
    <s v="Slow"/>
    <x v="2"/>
    <n v="0"/>
    <x v="1"/>
    <x v="1"/>
  </r>
  <r>
    <n v="1285"/>
    <x v="1284"/>
    <n v="6.2499999999999995E-3"/>
    <n v="2003"/>
    <n v="306"/>
    <n v="60.13055555555556"/>
    <x v="3"/>
    <x v="3"/>
    <n v="0.66805555555555562"/>
    <s v="Fast"/>
    <x v="0"/>
    <n v="1"/>
    <x v="0"/>
    <x v="0"/>
  </r>
  <r>
    <n v="1286"/>
    <x v="1285"/>
    <n v="4.2361111111111106E-2"/>
    <n v="2522"/>
    <n v="276"/>
    <n v="71.672222222222231"/>
    <x v="2"/>
    <x v="0"/>
    <n v="1.7513888888888889"/>
    <s v="Slow"/>
    <x v="0"/>
    <n v="0"/>
    <x v="1"/>
    <x v="1"/>
  </r>
  <r>
    <n v="1287"/>
    <x v="1286"/>
    <n v="6.805555555555555E-2"/>
    <n v="3696"/>
    <n v="12"/>
    <n v="69.043750000000003"/>
    <x v="1"/>
    <x v="1"/>
    <n v="2.1694444444444447"/>
    <s v="Slow"/>
    <x v="0"/>
    <n v="0"/>
    <x v="1"/>
    <x v="1"/>
  </r>
  <r>
    <n v="1288"/>
    <x v="1287"/>
    <n v="4.3055555555555562E-2"/>
    <n v="3540"/>
    <n v="388"/>
    <n v="8.3375000000000004"/>
    <x v="3"/>
    <x v="0"/>
    <n v="2.3368055555555558"/>
    <s v="Slow"/>
    <x v="0"/>
    <n v="0"/>
    <x v="1"/>
    <x v="1"/>
  </r>
  <r>
    <n v="1289"/>
    <x v="1288"/>
    <n v="4.5833333333333337E-2"/>
    <n v="4732"/>
    <n v="389"/>
    <n v="83.168750000000003"/>
    <x v="0"/>
    <x v="0"/>
    <n v="1.1298611111111112"/>
    <s v="Fast"/>
    <x v="2"/>
    <n v="0"/>
    <x v="1"/>
    <x v="1"/>
  </r>
  <r>
    <n v="1290"/>
    <x v="1289"/>
    <n v="5.9722222222222225E-2"/>
    <n v="278"/>
    <n v="116"/>
    <n v="23.501388888888886"/>
    <x v="3"/>
    <x v="2"/>
    <n v="0.1673611111111111"/>
    <s v="Fast"/>
    <x v="2"/>
    <n v="0"/>
    <x v="1"/>
    <x v="1"/>
  </r>
  <r>
    <n v="1291"/>
    <x v="1290"/>
    <n v="4.5138888888888888E-2"/>
    <n v="168"/>
    <n v="239"/>
    <n v="72.543750000000003"/>
    <x v="2"/>
    <x v="3"/>
    <n v="1.8805555555555555"/>
    <s v="Slow"/>
    <x v="1"/>
    <n v="0"/>
    <x v="1"/>
    <x v="1"/>
  </r>
  <r>
    <n v="1292"/>
    <x v="1291"/>
    <n v="4.1666666666666664E-2"/>
    <n v="3475"/>
    <n v="247"/>
    <n v="6.5027777777777773"/>
    <x v="0"/>
    <x v="2"/>
    <n v="2.4180555555555556"/>
    <s v="Slow"/>
    <x v="1"/>
    <n v="1"/>
    <x v="0"/>
    <x v="0"/>
  </r>
  <r>
    <n v="1293"/>
    <x v="1292"/>
    <n v="5.3472222222222227E-2"/>
    <n v="4298"/>
    <n v="378"/>
    <n v="80.708333333333329"/>
    <x v="1"/>
    <x v="3"/>
    <n v="2.1263888888888887"/>
    <s v="Slow"/>
    <x v="2"/>
    <n v="1"/>
    <x v="0"/>
    <x v="0"/>
  </r>
  <r>
    <n v="1294"/>
    <x v="1293"/>
    <n v="4.3750000000000004E-2"/>
    <n v="3076"/>
    <n v="25"/>
    <n v="37.00277777777778"/>
    <x v="0"/>
    <x v="0"/>
    <n v="2.2083333333333335"/>
    <s v="Slow"/>
    <x v="1"/>
    <n v="0"/>
    <x v="1"/>
    <x v="1"/>
  </r>
  <r>
    <n v="1295"/>
    <x v="1294"/>
    <n v="4.6527777777777779E-2"/>
    <n v="3826"/>
    <n v="162"/>
    <n v="19.375694444444445"/>
    <x v="3"/>
    <x v="0"/>
    <n v="2.5416666666666665"/>
    <s v="Slow"/>
    <x v="2"/>
    <n v="1"/>
    <x v="0"/>
    <x v="0"/>
  </r>
  <r>
    <n v="1296"/>
    <x v="1295"/>
    <n v="5.6944444444444443E-2"/>
    <n v="1429"/>
    <n v="401"/>
    <n v="12.293750000000001"/>
    <x v="2"/>
    <x v="3"/>
    <n v="2.4604166666666667"/>
    <s v="Slow"/>
    <x v="2"/>
    <n v="0"/>
    <x v="1"/>
    <x v="1"/>
  </r>
  <r>
    <n v="1297"/>
    <x v="1296"/>
    <n v="6.5972222222222224E-2"/>
    <n v="2537"/>
    <n v="22"/>
    <n v="70.834027777777777"/>
    <x v="3"/>
    <x v="2"/>
    <n v="1.4180555555555554"/>
    <s v="Fast"/>
    <x v="0"/>
    <n v="0"/>
    <x v="1"/>
    <x v="1"/>
  </r>
  <r>
    <n v="1298"/>
    <x v="1297"/>
    <n v="4.8611111111111112E-3"/>
    <n v="1553"/>
    <n v="366"/>
    <n v="1.1694444444444445"/>
    <x v="0"/>
    <x v="1"/>
    <n v="1.1298611111111112"/>
    <s v="Fast"/>
    <x v="1"/>
    <n v="0"/>
    <x v="1"/>
    <x v="1"/>
  </r>
  <r>
    <n v="1299"/>
    <x v="1298"/>
    <n v="5.2777777777777778E-2"/>
    <n v="2535"/>
    <n v="461"/>
    <n v="33.791666666666664"/>
    <x v="2"/>
    <x v="1"/>
    <n v="1.3340277777777778"/>
    <s v="Fast"/>
    <x v="1"/>
    <n v="0"/>
    <x v="1"/>
    <x v="1"/>
  </r>
  <r>
    <n v="1300"/>
    <x v="1299"/>
    <n v="5.7638888888888885E-2"/>
    <n v="749"/>
    <n v="72"/>
    <n v="64.875694444444449"/>
    <x v="3"/>
    <x v="1"/>
    <n v="1.3375000000000001"/>
    <s v="Fast"/>
    <x v="2"/>
    <n v="0"/>
    <x v="1"/>
    <x v="1"/>
  </r>
  <r>
    <n v="1301"/>
    <x v="1300"/>
    <n v="5.9722222222222225E-2"/>
    <n v="873"/>
    <n v="298"/>
    <n v="81.003472222222214"/>
    <x v="3"/>
    <x v="2"/>
    <n v="2.2104166666666667"/>
    <s v="Slow"/>
    <x v="1"/>
    <n v="0"/>
    <x v="1"/>
    <x v="1"/>
  </r>
  <r>
    <n v="1302"/>
    <x v="1301"/>
    <n v="6.1805555555555558E-2"/>
    <n v="3115"/>
    <n v="355"/>
    <n v="67.375"/>
    <x v="0"/>
    <x v="0"/>
    <n v="2.3374999999999999"/>
    <s v="Slow"/>
    <x v="1"/>
    <n v="0"/>
    <x v="1"/>
    <x v="1"/>
  </r>
  <r>
    <n v="1303"/>
    <x v="1302"/>
    <n v="5.0694444444444438E-2"/>
    <n v="3692"/>
    <n v="245"/>
    <n v="7.5888888888888886"/>
    <x v="2"/>
    <x v="0"/>
    <n v="2.0861111111111112"/>
    <s v="Slow"/>
    <x v="0"/>
    <n v="0"/>
    <x v="1"/>
    <x v="1"/>
  </r>
  <r>
    <n v="1304"/>
    <x v="1303"/>
    <n v="5.2083333333333336E-2"/>
    <n v="3771"/>
    <n v="100"/>
    <n v="31.211111111111112"/>
    <x v="3"/>
    <x v="2"/>
    <n v="2.1694444444444447"/>
    <s v="Slow"/>
    <x v="0"/>
    <n v="0"/>
    <x v="1"/>
    <x v="1"/>
  </r>
  <r>
    <n v="1305"/>
    <x v="1304"/>
    <n v="6.5972222222222224E-2"/>
    <n v="3741"/>
    <n v="420"/>
    <n v="29.089583333333334"/>
    <x v="0"/>
    <x v="1"/>
    <n v="0.46249999999999997"/>
    <s v="Fast"/>
    <x v="0"/>
    <n v="1"/>
    <x v="0"/>
    <x v="2"/>
  </r>
  <r>
    <n v="1306"/>
    <x v="1305"/>
    <n v="6.6666666666666666E-2"/>
    <n v="4708"/>
    <n v="113"/>
    <n v="30.375"/>
    <x v="3"/>
    <x v="2"/>
    <n v="0.33611111111111108"/>
    <s v="Fast"/>
    <x v="1"/>
    <n v="0"/>
    <x v="1"/>
    <x v="1"/>
  </r>
  <r>
    <n v="1307"/>
    <x v="1306"/>
    <n v="5.3472222222222227E-2"/>
    <n v="2684"/>
    <n v="231"/>
    <n v="72.002083333333331"/>
    <x v="0"/>
    <x v="3"/>
    <n v="1.4604166666666665"/>
    <s v="Fast"/>
    <x v="1"/>
    <n v="0"/>
    <x v="1"/>
    <x v="1"/>
  </r>
  <r>
    <n v="1308"/>
    <x v="1307"/>
    <n v="4.1666666666666664E-2"/>
    <n v="3739"/>
    <n v="272"/>
    <n v="12.042361111111111"/>
    <x v="2"/>
    <x v="3"/>
    <n v="0.58333333333333337"/>
    <s v="Fast"/>
    <x v="2"/>
    <n v="0"/>
    <x v="1"/>
    <x v="1"/>
  </r>
  <r>
    <n v="1309"/>
    <x v="1308"/>
    <n v="4.6527777777777779E-2"/>
    <n v="3863"/>
    <n v="192"/>
    <n v="71.795138888888886"/>
    <x v="3"/>
    <x v="0"/>
    <n v="1.7118055555555556"/>
    <s v="Slow"/>
    <x v="1"/>
    <n v="0"/>
    <x v="1"/>
    <x v="1"/>
  </r>
  <r>
    <n v="1310"/>
    <x v="1309"/>
    <n v="6.458333333333334E-2"/>
    <n v="2568"/>
    <n v="50"/>
    <n v="22.464583333333334"/>
    <x v="2"/>
    <x v="1"/>
    <n v="2.7958333333333329"/>
    <s v="Slow"/>
    <x v="2"/>
    <n v="0"/>
    <x v="1"/>
    <x v="1"/>
  </r>
  <r>
    <n v="1311"/>
    <x v="1310"/>
    <n v="6.6666666666666666E-2"/>
    <n v="418"/>
    <n v="216"/>
    <n v="18.088194444444444"/>
    <x v="2"/>
    <x v="1"/>
    <n v="0.38055555555555554"/>
    <s v="Fast"/>
    <x v="1"/>
    <n v="0"/>
    <x v="1"/>
    <x v="1"/>
  </r>
  <r>
    <n v="1312"/>
    <x v="1311"/>
    <n v="5.7638888888888885E-2"/>
    <n v="1127"/>
    <n v="440"/>
    <n v="36.588194444444447"/>
    <x v="1"/>
    <x v="1"/>
    <n v="0.33749999999999997"/>
    <s v="Fast"/>
    <x v="1"/>
    <n v="0"/>
    <x v="1"/>
    <x v="1"/>
  </r>
  <r>
    <n v="1313"/>
    <x v="1312"/>
    <n v="6.1111111111111109E-2"/>
    <n v="3846"/>
    <n v="174"/>
    <n v="74.08541666666666"/>
    <x v="0"/>
    <x v="1"/>
    <n v="1.5055555555555555"/>
    <s v="Slow"/>
    <x v="0"/>
    <n v="0"/>
    <x v="1"/>
    <x v="1"/>
  </r>
  <r>
    <n v="1314"/>
    <x v="1313"/>
    <n v="4.3055555555555562E-2"/>
    <n v="3679"/>
    <n v="434"/>
    <n v="83.089583333333337"/>
    <x v="1"/>
    <x v="3"/>
    <n v="1.5854166666666665"/>
    <s v="Slow"/>
    <x v="2"/>
    <n v="0"/>
    <x v="1"/>
    <x v="1"/>
  </r>
  <r>
    <n v="1315"/>
    <x v="1314"/>
    <n v="6.5277777777777782E-2"/>
    <n v="3180"/>
    <n v="28"/>
    <n v="41.959722222222219"/>
    <x v="3"/>
    <x v="2"/>
    <n v="0.62638888888888888"/>
    <s v="Fast"/>
    <x v="0"/>
    <n v="0"/>
    <x v="1"/>
    <x v="1"/>
  </r>
  <r>
    <n v="1316"/>
    <x v="1315"/>
    <n v="6.0416666666666667E-2"/>
    <n v="1540"/>
    <n v="463"/>
    <n v="32.500694444444441"/>
    <x v="1"/>
    <x v="0"/>
    <n v="0.62847222222222221"/>
    <s v="Fast"/>
    <x v="2"/>
    <n v="0"/>
    <x v="1"/>
    <x v="1"/>
  </r>
  <r>
    <n v="1317"/>
    <x v="1316"/>
    <n v="5.7638888888888885E-2"/>
    <n v="1938"/>
    <n v="443"/>
    <n v="64.208333333333329"/>
    <x v="0"/>
    <x v="0"/>
    <n v="2.9201388888888888"/>
    <s v="Slow"/>
    <x v="1"/>
    <n v="1"/>
    <x v="0"/>
    <x v="0"/>
  </r>
  <r>
    <n v="1318"/>
    <x v="1317"/>
    <n v="5.7638888888888885E-2"/>
    <n v="975"/>
    <n v="11"/>
    <n v="43.169444444444444"/>
    <x v="3"/>
    <x v="0"/>
    <n v="0.21458333333333335"/>
    <s v="Fast"/>
    <x v="2"/>
    <n v="0"/>
    <x v="1"/>
    <x v="1"/>
  </r>
  <r>
    <n v="1319"/>
    <x v="1318"/>
    <n v="4.5833333333333337E-2"/>
    <n v="2520"/>
    <n v="333"/>
    <n v="55.293749999999996"/>
    <x v="2"/>
    <x v="2"/>
    <n v="0.17013888888888887"/>
    <s v="Fast"/>
    <x v="2"/>
    <n v="0"/>
    <x v="1"/>
    <x v="1"/>
  </r>
  <r>
    <n v="1320"/>
    <x v="1319"/>
    <n v="6.5277777777777782E-2"/>
    <n v="4257"/>
    <n v="295"/>
    <n v="15.546527777777778"/>
    <x v="0"/>
    <x v="1"/>
    <n v="2.5847222222222221"/>
    <s v="Slow"/>
    <x v="2"/>
    <n v="0"/>
    <x v="1"/>
    <x v="1"/>
  </r>
  <r>
    <n v="1321"/>
    <x v="1320"/>
    <n v="5.6250000000000001E-2"/>
    <n v="3901"/>
    <n v="468"/>
    <n v="54.37638888888889"/>
    <x v="3"/>
    <x v="0"/>
    <n v="2.5847222222222221"/>
    <s v="Slow"/>
    <x v="2"/>
    <n v="1"/>
    <x v="0"/>
    <x v="0"/>
  </r>
  <r>
    <n v="1322"/>
    <x v="1321"/>
    <n v="5.8333333333333327E-2"/>
    <n v="4603"/>
    <n v="147"/>
    <n v="22.505555555555556"/>
    <x v="3"/>
    <x v="3"/>
    <n v="2.7534722222222219"/>
    <s v="Slow"/>
    <x v="1"/>
    <n v="1"/>
    <x v="0"/>
    <x v="0"/>
  </r>
  <r>
    <n v="1323"/>
    <x v="1322"/>
    <n v="4.6527777777777779E-2"/>
    <n v="979"/>
    <n v="484"/>
    <n v="22.004861111111111"/>
    <x v="2"/>
    <x v="0"/>
    <n v="1.5062499999999999"/>
    <s v="Slow"/>
    <x v="1"/>
    <n v="1"/>
    <x v="0"/>
    <x v="0"/>
  </r>
  <r>
    <n v="1324"/>
    <x v="1323"/>
    <n v="5.9027777777777783E-2"/>
    <n v="4311"/>
    <n v="175"/>
    <n v="77.459722222222226"/>
    <x v="3"/>
    <x v="2"/>
    <n v="2.9583333333333335"/>
    <s v="Slow"/>
    <x v="2"/>
    <n v="0"/>
    <x v="1"/>
    <x v="1"/>
  </r>
  <r>
    <n v="1325"/>
    <x v="1324"/>
    <n v="4.8611111111111112E-3"/>
    <n v="4243"/>
    <n v="71"/>
    <n v="41.500694444444441"/>
    <x v="3"/>
    <x v="2"/>
    <n v="2.963194444444444"/>
    <s v="Slow"/>
    <x v="1"/>
    <n v="0"/>
    <x v="1"/>
    <x v="1"/>
  </r>
  <r>
    <n v="1326"/>
    <x v="1325"/>
    <n v="6.2499999999999995E-3"/>
    <n v="3160"/>
    <n v="133"/>
    <n v="17.333333333333332"/>
    <x v="0"/>
    <x v="1"/>
    <n v="1.54375"/>
    <s v="Slow"/>
    <x v="2"/>
    <n v="0"/>
    <x v="1"/>
    <x v="1"/>
  </r>
  <r>
    <n v="1327"/>
    <x v="1326"/>
    <n v="4.2361111111111106E-2"/>
    <n v="2991"/>
    <n v="204"/>
    <n v="73.253472222222214"/>
    <x v="1"/>
    <x v="3"/>
    <n v="1.8784722222222223"/>
    <s v="Slow"/>
    <x v="0"/>
    <n v="1"/>
    <x v="0"/>
    <x v="0"/>
  </r>
  <r>
    <n v="1328"/>
    <x v="1327"/>
    <n v="4.5138888888888888E-2"/>
    <n v="1244"/>
    <n v="22"/>
    <n v="41.085416666666667"/>
    <x v="3"/>
    <x v="0"/>
    <n v="1.7555555555555555"/>
    <s v="Slow"/>
    <x v="2"/>
    <n v="1"/>
    <x v="0"/>
    <x v="0"/>
  </r>
  <r>
    <n v="1329"/>
    <x v="1328"/>
    <n v="4.7222222222222221E-2"/>
    <n v="4688"/>
    <n v="225"/>
    <n v="1.3388888888888888"/>
    <x v="3"/>
    <x v="3"/>
    <n v="1.29375"/>
    <s v="Fast"/>
    <x v="0"/>
    <n v="0"/>
    <x v="1"/>
    <x v="1"/>
  </r>
  <r>
    <n v="1330"/>
    <x v="1329"/>
    <n v="5.2777777777777778E-2"/>
    <n v="1944"/>
    <n v="327"/>
    <n v="35.334027777777777"/>
    <x v="3"/>
    <x v="0"/>
    <n v="1.79375"/>
    <s v="Slow"/>
    <x v="0"/>
    <n v="0"/>
    <x v="1"/>
    <x v="1"/>
  </r>
  <r>
    <n v="1331"/>
    <x v="1330"/>
    <n v="6.5972222222222224E-2"/>
    <n v="3752"/>
    <n v="296"/>
    <n v="68.046527777777769"/>
    <x v="1"/>
    <x v="2"/>
    <n v="2.629861111111111"/>
    <s v="Slow"/>
    <x v="2"/>
    <n v="1"/>
    <x v="0"/>
    <x v="0"/>
  </r>
  <r>
    <n v="1332"/>
    <x v="1331"/>
    <n v="4.1666666666666666E-3"/>
    <n v="2202"/>
    <n v="140"/>
    <n v="13.795833333333334"/>
    <x v="0"/>
    <x v="1"/>
    <n v="0.67152777777777783"/>
    <s v="Fast"/>
    <x v="1"/>
    <n v="0"/>
    <x v="1"/>
    <x v="1"/>
  </r>
  <r>
    <n v="1333"/>
    <x v="1332"/>
    <n v="5.6944444444444443E-2"/>
    <n v="1414"/>
    <n v="170"/>
    <n v="33.709722222222219"/>
    <x v="3"/>
    <x v="2"/>
    <n v="1.2548611111111112"/>
    <s v="Fast"/>
    <x v="2"/>
    <n v="1"/>
    <x v="0"/>
    <x v="0"/>
  </r>
  <r>
    <n v="1334"/>
    <x v="1333"/>
    <n v="4.2361111111111106E-2"/>
    <n v="4601"/>
    <n v="323"/>
    <n v="58.21319444444444"/>
    <x v="3"/>
    <x v="1"/>
    <n v="2.6680555555555556"/>
    <s v="Slow"/>
    <x v="1"/>
    <n v="1"/>
    <x v="0"/>
    <x v="2"/>
  </r>
  <r>
    <n v="1335"/>
    <x v="1334"/>
    <n v="5.2083333333333336E-2"/>
    <n v="3126"/>
    <n v="217"/>
    <n v="41.005555555555553"/>
    <x v="1"/>
    <x v="3"/>
    <n v="0.91805555555555562"/>
    <s v="Fast"/>
    <x v="2"/>
    <n v="0"/>
    <x v="1"/>
    <x v="1"/>
  </r>
  <r>
    <n v="1336"/>
    <x v="1335"/>
    <n v="4.9999999999999996E-2"/>
    <n v="683"/>
    <n v="193"/>
    <n v="61.795833333333327"/>
    <x v="0"/>
    <x v="3"/>
    <n v="0.71180555555555547"/>
    <s v="Fast"/>
    <x v="2"/>
    <n v="0"/>
    <x v="1"/>
    <x v="1"/>
  </r>
  <r>
    <n v="1337"/>
    <x v="1336"/>
    <n v="4.6527777777777779E-2"/>
    <n v="2728"/>
    <n v="162"/>
    <n v="18.296527777777779"/>
    <x v="1"/>
    <x v="0"/>
    <n v="0.58680555555555558"/>
    <s v="Fast"/>
    <x v="2"/>
    <n v="0"/>
    <x v="1"/>
    <x v="1"/>
  </r>
  <r>
    <n v="1338"/>
    <x v="1337"/>
    <n v="5.486111111111111E-2"/>
    <n v="3874"/>
    <n v="207"/>
    <n v="70.920833333333334"/>
    <x v="2"/>
    <x v="3"/>
    <n v="2.3784722222222223"/>
    <s v="Slow"/>
    <x v="0"/>
    <n v="1"/>
    <x v="0"/>
    <x v="0"/>
  </r>
  <r>
    <n v="1339"/>
    <x v="1338"/>
    <n v="5.1388888888888894E-2"/>
    <n v="1838"/>
    <n v="162"/>
    <n v="30.792361111111109"/>
    <x v="2"/>
    <x v="3"/>
    <n v="0.4604166666666667"/>
    <s v="Fast"/>
    <x v="0"/>
    <n v="0"/>
    <x v="1"/>
    <x v="1"/>
  </r>
  <r>
    <n v="1340"/>
    <x v="1339"/>
    <n v="4.8611111111111112E-3"/>
    <n v="4206"/>
    <n v="265"/>
    <n v="26.542361111111109"/>
    <x v="1"/>
    <x v="0"/>
    <n v="8.4722222222222213E-2"/>
    <s v="Fast"/>
    <x v="0"/>
    <n v="1"/>
    <x v="0"/>
    <x v="0"/>
  </r>
  <r>
    <n v="1341"/>
    <x v="1340"/>
    <n v="5.8333333333333327E-2"/>
    <n v="3488"/>
    <n v="66"/>
    <n v="33.586805555555557"/>
    <x v="3"/>
    <x v="1"/>
    <n v="0.3756944444444445"/>
    <s v="Fast"/>
    <x v="1"/>
    <n v="1"/>
    <x v="0"/>
    <x v="2"/>
  </r>
  <r>
    <n v="1342"/>
    <x v="1341"/>
    <n v="4.8611111111111112E-3"/>
    <n v="3899"/>
    <n v="353"/>
    <n v="35.588888888888889"/>
    <x v="3"/>
    <x v="0"/>
    <n v="0.21458333333333335"/>
    <s v="Fast"/>
    <x v="0"/>
    <n v="0"/>
    <x v="1"/>
    <x v="1"/>
  </r>
  <r>
    <n v="1343"/>
    <x v="1342"/>
    <n v="6.8749999999999992E-2"/>
    <n v="4452"/>
    <n v="355"/>
    <n v="76.461805555555557"/>
    <x v="0"/>
    <x v="3"/>
    <n v="0.70833333333333337"/>
    <s v="Fast"/>
    <x v="2"/>
    <n v="0"/>
    <x v="1"/>
    <x v="1"/>
  </r>
  <r>
    <n v="1344"/>
    <x v="1343"/>
    <n v="4.8611111111111112E-3"/>
    <n v="451"/>
    <n v="104"/>
    <n v="81.922916666666666"/>
    <x v="0"/>
    <x v="2"/>
    <n v="2.4597222222222221"/>
    <s v="Slow"/>
    <x v="1"/>
    <n v="1"/>
    <x v="0"/>
    <x v="0"/>
  </r>
  <r>
    <n v="1345"/>
    <x v="1344"/>
    <n v="4.1666666666666664E-2"/>
    <n v="252"/>
    <n v="31"/>
    <n v="24.794444444444448"/>
    <x v="1"/>
    <x v="1"/>
    <n v="0.83750000000000002"/>
    <s v="Fast"/>
    <x v="1"/>
    <n v="0"/>
    <x v="1"/>
    <x v="1"/>
  </r>
  <r>
    <n v="1346"/>
    <x v="1345"/>
    <n v="4.5833333333333337E-2"/>
    <n v="4035"/>
    <n v="190"/>
    <n v="18.086111111111112"/>
    <x v="1"/>
    <x v="1"/>
    <n v="2.0416666666666665"/>
    <s v="Slow"/>
    <x v="2"/>
    <n v="1"/>
    <x v="0"/>
    <x v="2"/>
  </r>
  <r>
    <n v="1347"/>
    <x v="1346"/>
    <n v="6.805555555555555E-2"/>
    <n v="332"/>
    <n v="446"/>
    <n v="16.293055555555558"/>
    <x v="2"/>
    <x v="0"/>
    <n v="2.6673611111111111"/>
    <s v="Slow"/>
    <x v="1"/>
    <n v="0"/>
    <x v="1"/>
    <x v="1"/>
  </r>
  <r>
    <n v="1348"/>
    <x v="1347"/>
    <n v="4.3750000000000004E-2"/>
    <n v="3898"/>
    <n v="279"/>
    <n v="52.96180555555555"/>
    <x v="0"/>
    <x v="0"/>
    <n v="2.3784722222222223"/>
    <s v="Slow"/>
    <x v="2"/>
    <n v="0"/>
    <x v="1"/>
    <x v="1"/>
  </r>
  <r>
    <n v="1349"/>
    <x v="1348"/>
    <n v="4.1666666666666666E-3"/>
    <n v="4725"/>
    <n v="268"/>
    <n v="79.750694444444449"/>
    <x v="2"/>
    <x v="3"/>
    <n v="2.2506944444444446"/>
    <s v="Slow"/>
    <x v="2"/>
    <n v="0"/>
    <x v="1"/>
    <x v="1"/>
  </r>
  <r>
    <n v="1350"/>
    <x v="1349"/>
    <n v="4.4444444444444446E-2"/>
    <n v="1099"/>
    <n v="233"/>
    <n v="2.0833333333333335"/>
    <x v="3"/>
    <x v="3"/>
    <n v="2.8777777777777778"/>
    <s v="Slow"/>
    <x v="0"/>
    <n v="1"/>
    <x v="0"/>
    <x v="0"/>
  </r>
  <r>
    <n v="1351"/>
    <x v="1350"/>
    <n v="6.1111111111111109E-2"/>
    <n v="4413"/>
    <n v="54"/>
    <n v="21.213194444444444"/>
    <x v="3"/>
    <x v="0"/>
    <n v="2.2124999999999999"/>
    <s v="Slow"/>
    <x v="1"/>
    <n v="1"/>
    <x v="0"/>
    <x v="0"/>
  </r>
  <r>
    <n v="1352"/>
    <x v="1351"/>
    <n v="4.7916666666666663E-2"/>
    <n v="155"/>
    <n v="485"/>
    <n v="73.837499999999991"/>
    <x v="3"/>
    <x v="2"/>
    <n v="0.25208333333333333"/>
    <s v="Fast"/>
    <x v="2"/>
    <n v="0"/>
    <x v="1"/>
    <x v="1"/>
  </r>
  <r>
    <n v="1353"/>
    <x v="1352"/>
    <n v="4.9305555555555554E-2"/>
    <n v="1976"/>
    <n v="320"/>
    <n v="60.004861111111104"/>
    <x v="3"/>
    <x v="0"/>
    <n v="1.0027777777777778"/>
    <s v="Fast"/>
    <x v="1"/>
    <n v="1"/>
    <x v="0"/>
    <x v="0"/>
  </r>
  <r>
    <n v="1354"/>
    <x v="1353"/>
    <n v="6.0416666666666667E-2"/>
    <n v="3399"/>
    <n v="436"/>
    <n v="19.755555555555556"/>
    <x v="3"/>
    <x v="0"/>
    <n v="2.9173611111111111"/>
    <s v="Slow"/>
    <x v="1"/>
    <n v="1"/>
    <x v="0"/>
    <x v="0"/>
  </r>
  <r>
    <n v="1355"/>
    <x v="1354"/>
    <n v="4.2361111111111106E-2"/>
    <n v="4776"/>
    <n v="205"/>
    <n v="63.667361111111113"/>
    <x v="0"/>
    <x v="0"/>
    <n v="1.1277777777777778"/>
    <s v="Fast"/>
    <x v="2"/>
    <n v="0"/>
    <x v="1"/>
    <x v="1"/>
  </r>
  <r>
    <n v="1356"/>
    <x v="1355"/>
    <n v="5.6944444444444443E-2"/>
    <n v="3008"/>
    <n v="274"/>
    <n v="16.128472222222221"/>
    <x v="2"/>
    <x v="2"/>
    <n v="2.9645833333333336"/>
    <s v="Slow"/>
    <x v="0"/>
    <n v="0"/>
    <x v="1"/>
    <x v="1"/>
  </r>
  <r>
    <n v="1357"/>
    <x v="1356"/>
    <n v="5.2777777777777778E-2"/>
    <n v="1650"/>
    <n v="185"/>
    <n v="76.25"/>
    <x v="1"/>
    <x v="0"/>
    <n v="2.125"/>
    <s v="Slow"/>
    <x v="0"/>
    <n v="0"/>
    <x v="1"/>
    <x v="1"/>
  </r>
  <r>
    <n v="1358"/>
    <x v="1357"/>
    <n v="4.5833333333333337E-2"/>
    <n v="1147"/>
    <n v="248"/>
    <n v="1.8340277777777778"/>
    <x v="2"/>
    <x v="3"/>
    <n v="0.4201388888888889"/>
    <s v="Fast"/>
    <x v="1"/>
    <n v="0"/>
    <x v="1"/>
    <x v="1"/>
  </r>
  <r>
    <n v="1359"/>
    <x v="1358"/>
    <n v="6.6666666666666666E-2"/>
    <n v="1266"/>
    <n v="391"/>
    <n v="43.754861111111104"/>
    <x v="2"/>
    <x v="2"/>
    <n v="2.3805555555555555"/>
    <s v="Slow"/>
    <x v="1"/>
    <n v="0"/>
    <x v="1"/>
    <x v="1"/>
  </r>
  <r>
    <n v="1360"/>
    <x v="1359"/>
    <n v="5.1388888888888894E-2"/>
    <n v="3740"/>
    <n v="444"/>
    <n v="80.709027777777777"/>
    <x v="1"/>
    <x v="1"/>
    <n v="0.63124999999999998"/>
    <s v="Fast"/>
    <x v="0"/>
    <n v="1"/>
    <x v="0"/>
    <x v="2"/>
  </r>
  <r>
    <n v="1361"/>
    <x v="1360"/>
    <n v="4.9999999999999996E-2"/>
    <n v="3354"/>
    <n v="41"/>
    <n v="73.295833333333334"/>
    <x v="0"/>
    <x v="3"/>
    <n v="1.0034722222222221"/>
    <s v="Fast"/>
    <x v="0"/>
    <n v="0"/>
    <x v="1"/>
    <x v="1"/>
  </r>
  <r>
    <n v="1362"/>
    <x v="1361"/>
    <n v="6.1111111111111109E-2"/>
    <n v="425"/>
    <n v="5"/>
    <n v="74.421527777777769"/>
    <x v="0"/>
    <x v="0"/>
    <n v="1.1673611111111111"/>
    <s v="Fast"/>
    <x v="2"/>
    <n v="0"/>
    <x v="1"/>
    <x v="1"/>
  </r>
  <r>
    <n v="1363"/>
    <x v="1362"/>
    <n v="6.5277777777777782E-2"/>
    <n v="1886"/>
    <n v="115"/>
    <n v="11.129861111111111"/>
    <x v="3"/>
    <x v="0"/>
    <n v="2.2124999999999999"/>
    <s v="Slow"/>
    <x v="0"/>
    <n v="0"/>
    <x v="1"/>
    <x v="1"/>
  </r>
  <r>
    <n v="1364"/>
    <x v="1363"/>
    <n v="4.7916666666666663E-2"/>
    <n v="2062"/>
    <n v="94"/>
    <n v="74.96041666666666"/>
    <x v="1"/>
    <x v="3"/>
    <n v="0.2951388888888889"/>
    <s v="Fast"/>
    <x v="2"/>
    <n v="1"/>
    <x v="0"/>
    <x v="0"/>
  </r>
  <r>
    <n v="1365"/>
    <x v="1364"/>
    <n v="4.5138888888888888E-2"/>
    <n v="3889"/>
    <n v="409"/>
    <n v="33.25416666666667"/>
    <x v="3"/>
    <x v="3"/>
    <n v="1.9618055555555556"/>
    <s v="Slow"/>
    <x v="1"/>
    <n v="0"/>
    <x v="1"/>
    <x v="1"/>
  </r>
  <r>
    <n v="1366"/>
    <x v="1365"/>
    <n v="6.805555555555555E-2"/>
    <n v="293"/>
    <n v="124"/>
    <n v="38.166666666666664"/>
    <x v="0"/>
    <x v="0"/>
    <n v="2.5451388888888888"/>
    <s v="Slow"/>
    <x v="0"/>
    <n v="0"/>
    <x v="1"/>
    <x v="1"/>
  </r>
  <r>
    <n v="1367"/>
    <x v="1366"/>
    <n v="5.3472222222222227E-2"/>
    <n v="4989"/>
    <n v="48"/>
    <n v="55.002083333333331"/>
    <x v="0"/>
    <x v="0"/>
    <n v="0.83611111111111114"/>
    <s v="Fast"/>
    <x v="1"/>
    <n v="0"/>
    <x v="1"/>
    <x v="1"/>
  </r>
  <r>
    <n v="1368"/>
    <x v="1367"/>
    <n v="5.6250000000000001E-2"/>
    <n v="1175"/>
    <n v="287"/>
    <n v="69.547222222222231"/>
    <x v="1"/>
    <x v="2"/>
    <n v="2.504861111111111"/>
    <s v="Slow"/>
    <x v="1"/>
    <n v="0"/>
    <x v="1"/>
    <x v="1"/>
  </r>
  <r>
    <n v="1369"/>
    <x v="1368"/>
    <n v="5.4166666666666669E-2"/>
    <n v="1166"/>
    <n v="10"/>
    <n v="70.000694444444449"/>
    <x v="0"/>
    <x v="3"/>
    <n v="2.338888888888889"/>
    <s v="Slow"/>
    <x v="2"/>
    <n v="0"/>
    <x v="1"/>
    <x v="1"/>
  </r>
  <r>
    <n v="1370"/>
    <x v="1369"/>
    <n v="6.458333333333334E-2"/>
    <n v="94"/>
    <n v="484"/>
    <n v="62.339583333333337"/>
    <x v="3"/>
    <x v="3"/>
    <n v="0.83611111111111114"/>
    <s v="Fast"/>
    <x v="1"/>
    <n v="0"/>
    <x v="1"/>
    <x v="1"/>
  </r>
  <r>
    <n v="1371"/>
    <x v="1370"/>
    <n v="5.3472222222222227E-2"/>
    <n v="3377"/>
    <n v="123"/>
    <n v="82.167361111111106"/>
    <x v="2"/>
    <x v="2"/>
    <n v="0.75"/>
    <s v="Fast"/>
    <x v="0"/>
    <n v="0"/>
    <x v="1"/>
    <x v="1"/>
  </r>
  <r>
    <n v="1372"/>
    <x v="1371"/>
    <n v="6.2499999999999995E-3"/>
    <n v="2542"/>
    <n v="331"/>
    <n v="9.1277777777777782"/>
    <x v="1"/>
    <x v="0"/>
    <n v="0.41944444444444445"/>
    <s v="Fast"/>
    <x v="2"/>
    <n v="0"/>
    <x v="1"/>
    <x v="1"/>
  </r>
  <r>
    <n v="1373"/>
    <x v="1372"/>
    <n v="5.6250000000000001E-2"/>
    <n v="3675"/>
    <n v="293"/>
    <n v="11.918750000000001"/>
    <x v="3"/>
    <x v="0"/>
    <n v="1.0840277777777778"/>
    <s v="Fast"/>
    <x v="1"/>
    <n v="0"/>
    <x v="1"/>
    <x v="1"/>
  </r>
  <r>
    <n v="1374"/>
    <x v="1373"/>
    <n v="4.3750000000000004E-2"/>
    <n v="2815"/>
    <n v="14"/>
    <n v="78.672916666666666"/>
    <x v="1"/>
    <x v="0"/>
    <n v="1.4611111111111112"/>
    <s v="Fast"/>
    <x v="1"/>
    <n v="1"/>
    <x v="0"/>
    <x v="0"/>
  </r>
  <r>
    <n v="1375"/>
    <x v="1374"/>
    <n v="5.5555555555555558E-3"/>
    <n v="3611"/>
    <n v="288"/>
    <n v="46.131250000000001"/>
    <x v="2"/>
    <x v="0"/>
    <n v="2.2944444444444447"/>
    <s v="Slow"/>
    <x v="2"/>
    <n v="0"/>
    <x v="1"/>
    <x v="1"/>
  </r>
  <r>
    <n v="1376"/>
    <x v="1375"/>
    <n v="6.5277777777777782E-2"/>
    <n v="3276"/>
    <n v="111"/>
    <n v="1.2125000000000001"/>
    <x v="1"/>
    <x v="1"/>
    <n v="2.3770833333333332"/>
    <s v="Slow"/>
    <x v="2"/>
    <n v="1"/>
    <x v="0"/>
    <x v="2"/>
  </r>
  <r>
    <n v="1377"/>
    <x v="1376"/>
    <n v="5.6250000000000001E-2"/>
    <n v="1199"/>
    <n v="147"/>
    <n v="51.587499999999999"/>
    <x v="2"/>
    <x v="3"/>
    <n v="0.17152777777777775"/>
    <s v="Fast"/>
    <x v="2"/>
    <n v="0"/>
    <x v="1"/>
    <x v="1"/>
  </r>
  <r>
    <n v="1378"/>
    <x v="1377"/>
    <n v="5.2777777777777778E-2"/>
    <n v="3982"/>
    <n v="217"/>
    <n v="38.711805555555557"/>
    <x v="1"/>
    <x v="3"/>
    <n v="2.3374999999999999"/>
    <s v="Slow"/>
    <x v="1"/>
    <n v="0"/>
    <x v="1"/>
    <x v="1"/>
  </r>
  <r>
    <n v="1379"/>
    <x v="1378"/>
    <n v="4.2361111111111106E-2"/>
    <n v="600"/>
    <n v="485"/>
    <n v="79.713888888888889"/>
    <x v="0"/>
    <x v="1"/>
    <n v="1.9229166666666666"/>
    <s v="Slow"/>
    <x v="2"/>
    <n v="0"/>
    <x v="1"/>
    <x v="1"/>
  </r>
  <r>
    <n v="1380"/>
    <x v="1379"/>
    <n v="6.1111111111111109E-2"/>
    <n v="228"/>
    <n v="210"/>
    <n v="69.126388888888883"/>
    <x v="1"/>
    <x v="2"/>
    <n v="1.7506944444444443"/>
    <s v="Slow"/>
    <x v="0"/>
    <n v="0"/>
    <x v="1"/>
    <x v="1"/>
  </r>
  <r>
    <n v="1381"/>
    <x v="1380"/>
    <n v="5.2777777777777778E-2"/>
    <n v="1399"/>
    <n v="461"/>
    <n v="45.334722222222219"/>
    <x v="2"/>
    <x v="2"/>
    <n v="2.9222222222222225"/>
    <s v="Slow"/>
    <x v="0"/>
    <n v="1"/>
    <x v="0"/>
    <x v="0"/>
  </r>
  <r>
    <n v="1382"/>
    <x v="1381"/>
    <n v="5.0694444444444438E-2"/>
    <n v="4213"/>
    <n v="73"/>
    <n v="70.797916666666666"/>
    <x v="2"/>
    <x v="2"/>
    <n v="1.2965277777777777"/>
    <s v="Fast"/>
    <x v="0"/>
    <n v="1"/>
    <x v="0"/>
    <x v="0"/>
  </r>
  <r>
    <n v="1383"/>
    <x v="1382"/>
    <n v="5.2083333333333336E-2"/>
    <n v="4501"/>
    <n v="61"/>
    <n v="39.585416666666667"/>
    <x v="2"/>
    <x v="1"/>
    <n v="0.12638888888888888"/>
    <s v="Fast"/>
    <x v="2"/>
    <n v="0"/>
    <x v="1"/>
    <x v="1"/>
  </r>
  <r>
    <n v="1384"/>
    <x v="1383"/>
    <n v="5.3472222222222227E-2"/>
    <n v="4974"/>
    <n v="171"/>
    <n v="82.462499999999991"/>
    <x v="1"/>
    <x v="0"/>
    <n v="1.0479166666666666"/>
    <s v="Fast"/>
    <x v="2"/>
    <n v="0"/>
    <x v="1"/>
    <x v="1"/>
  </r>
  <r>
    <n v="1385"/>
    <x v="1384"/>
    <n v="5.0694444444444438E-2"/>
    <n v="1389"/>
    <n v="484"/>
    <n v="71.46041666666666"/>
    <x v="1"/>
    <x v="2"/>
    <n v="2.4173611111111111"/>
    <s v="Slow"/>
    <x v="0"/>
    <n v="0"/>
    <x v="1"/>
    <x v="1"/>
  </r>
  <r>
    <n v="1386"/>
    <x v="1385"/>
    <n v="4.9999999999999996E-2"/>
    <n v="3339"/>
    <n v="110"/>
    <n v="75.334027777777777"/>
    <x v="2"/>
    <x v="3"/>
    <n v="1.8347222222222221"/>
    <s v="Slow"/>
    <x v="1"/>
    <n v="0"/>
    <x v="1"/>
    <x v="1"/>
  </r>
  <r>
    <n v="1387"/>
    <x v="1386"/>
    <n v="5.4166666666666669E-2"/>
    <n v="2520"/>
    <n v="10"/>
    <n v="3.8791666666666664"/>
    <x v="2"/>
    <x v="1"/>
    <n v="0.87916666666666676"/>
    <s v="Fast"/>
    <x v="0"/>
    <n v="1"/>
    <x v="0"/>
    <x v="2"/>
  </r>
  <r>
    <n v="1388"/>
    <x v="1387"/>
    <n v="4.3055555555555562E-2"/>
    <n v="2606"/>
    <n v="115"/>
    <n v="56.502083333333331"/>
    <x v="2"/>
    <x v="3"/>
    <n v="0.67291666666666661"/>
    <s v="Fast"/>
    <x v="0"/>
    <n v="0"/>
    <x v="1"/>
    <x v="1"/>
  </r>
  <r>
    <n v="1389"/>
    <x v="1388"/>
    <n v="4.7916666666666663E-2"/>
    <n v="686"/>
    <n v="255"/>
    <n v="68.543055555555554"/>
    <x v="2"/>
    <x v="2"/>
    <n v="0.29305555555555557"/>
    <s v="Fast"/>
    <x v="0"/>
    <n v="1"/>
    <x v="0"/>
    <x v="0"/>
  </r>
  <r>
    <n v="1390"/>
    <x v="1389"/>
    <n v="5.4166666666666669E-2"/>
    <n v="1121"/>
    <n v="194"/>
    <n v="32.502083333333331"/>
    <x v="0"/>
    <x v="2"/>
    <n v="2.9208333333333329"/>
    <s v="Slow"/>
    <x v="2"/>
    <n v="0"/>
    <x v="1"/>
    <x v="1"/>
  </r>
  <r>
    <n v="1391"/>
    <x v="1390"/>
    <n v="6.5972222222222224E-2"/>
    <n v="1080"/>
    <n v="476"/>
    <n v="35.375694444444441"/>
    <x v="1"/>
    <x v="1"/>
    <n v="2.9624999999999999"/>
    <s v="Slow"/>
    <x v="0"/>
    <n v="0"/>
    <x v="1"/>
    <x v="1"/>
  </r>
  <r>
    <n v="1392"/>
    <x v="1391"/>
    <n v="5.3472222222222227E-2"/>
    <n v="4607"/>
    <n v="3"/>
    <n v="70.087499999999991"/>
    <x v="2"/>
    <x v="2"/>
    <n v="0.87986111111111109"/>
    <s v="Fast"/>
    <x v="1"/>
    <n v="0"/>
    <x v="1"/>
    <x v="1"/>
  </r>
  <r>
    <n v="1393"/>
    <x v="1392"/>
    <n v="5.6944444444444443E-2"/>
    <n v="275"/>
    <n v="449"/>
    <n v="28.004166666666666"/>
    <x v="1"/>
    <x v="1"/>
    <n v="0.33749999999999997"/>
    <s v="Fast"/>
    <x v="2"/>
    <n v="0"/>
    <x v="1"/>
    <x v="1"/>
  </r>
  <r>
    <n v="1394"/>
    <x v="1393"/>
    <n v="6.6666666666666666E-2"/>
    <n v="2312"/>
    <n v="209"/>
    <n v="14.003472222222221"/>
    <x v="3"/>
    <x v="3"/>
    <n v="2.4611111111111112"/>
    <s v="Slow"/>
    <x v="2"/>
    <n v="0"/>
    <x v="1"/>
    <x v="1"/>
  </r>
  <r>
    <n v="1395"/>
    <x v="1394"/>
    <n v="6.3888888888888898E-2"/>
    <n v="2984"/>
    <n v="350"/>
    <n v="70.08541666666666"/>
    <x v="1"/>
    <x v="1"/>
    <n v="0.87708333333333333"/>
    <s v="Fast"/>
    <x v="1"/>
    <n v="1"/>
    <x v="0"/>
    <x v="2"/>
  </r>
  <r>
    <n v="1396"/>
    <x v="1395"/>
    <n v="6.1111111111111109E-2"/>
    <n v="4149"/>
    <n v="486"/>
    <n v="23.545833333333334"/>
    <x v="3"/>
    <x v="2"/>
    <n v="1.8805555555555555"/>
    <s v="Slow"/>
    <x v="2"/>
    <n v="0"/>
    <x v="1"/>
    <x v="1"/>
  </r>
  <r>
    <n v="1397"/>
    <x v="1396"/>
    <n v="5.9027777777777783E-2"/>
    <n v="1653"/>
    <n v="182"/>
    <n v="60.166666666666664"/>
    <x v="1"/>
    <x v="3"/>
    <n v="0.16666666666666666"/>
    <s v="Fast"/>
    <x v="0"/>
    <n v="0"/>
    <x v="1"/>
    <x v="1"/>
  </r>
  <r>
    <n v="1398"/>
    <x v="1397"/>
    <n v="5.8333333333333327E-2"/>
    <n v="4330"/>
    <n v="98"/>
    <n v="3.0034722222222219"/>
    <x v="2"/>
    <x v="3"/>
    <n v="1.0416666666666667"/>
    <s v="Fast"/>
    <x v="1"/>
    <n v="1"/>
    <x v="0"/>
    <x v="0"/>
  </r>
  <r>
    <n v="1399"/>
    <x v="1398"/>
    <n v="4.7222222222222221E-2"/>
    <n v="1828"/>
    <n v="249"/>
    <n v="51.170833333333327"/>
    <x v="2"/>
    <x v="3"/>
    <n v="0.29444444444444445"/>
    <s v="Fast"/>
    <x v="1"/>
    <n v="1"/>
    <x v="0"/>
    <x v="0"/>
  </r>
  <r>
    <n v="1400"/>
    <x v="1399"/>
    <n v="4.5138888888888888E-2"/>
    <n v="4750"/>
    <n v="292"/>
    <n v="82.125"/>
    <x v="2"/>
    <x v="1"/>
    <n v="4.7916666666666663E-2"/>
    <s v="Fast"/>
    <x v="1"/>
    <n v="0"/>
    <x v="1"/>
    <x v="1"/>
  </r>
  <r>
    <n v="1401"/>
    <x v="1400"/>
    <n v="4.3055555555555562E-2"/>
    <n v="1586"/>
    <n v="409"/>
    <n v="81.796527777777769"/>
    <x v="3"/>
    <x v="1"/>
    <n v="2.2979166666666666"/>
    <s v="Slow"/>
    <x v="2"/>
    <n v="0"/>
    <x v="1"/>
    <x v="1"/>
  </r>
  <r>
    <n v="1402"/>
    <x v="1401"/>
    <n v="4.4444444444444446E-2"/>
    <n v="1470"/>
    <n v="267"/>
    <n v="33.416666666666664"/>
    <x v="3"/>
    <x v="2"/>
    <n v="0.41875000000000001"/>
    <s v="Fast"/>
    <x v="2"/>
    <n v="0"/>
    <x v="1"/>
    <x v="1"/>
  </r>
  <r>
    <n v="1403"/>
    <x v="1402"/>
    <n v="5.9027777777777783E-2"/>
    <n v="3259"/>
    <n v="123"/>
    <n v="39.336805555555557"/>
    <x v="3"/>
    <x v="3"/>
    <n v="4.4444444444444446E-2"/>
    <s v="Fast"/>
    <x v="0"/>
    <n v="0"/>
    <x v="1"/>
    <x v="1"/>
  </r>
  <r>
    <n v="1404"/>
    <x v="1403"/>
    <n v="5.8333333333333327E-2"/>
    <n v="1995"/>
    <n v="204"/>
    <n v="28.379166666666666"/>
    <x v="1"/>
    <x v="2"/>
    <n v="2.5895833333333331"/>
    <s v="Slow"/>
    <x v="1"/>
    <n v="0"/>
    <x v="1"/>
    <x v="1"/>
  </r>
  <r>
    <n v="1405"/>
    <x v="1404"/>
    <n v="4.2361111111111106E-2"/>
    <n v="2024"/>
    <n v="339"/>
    <n v="47.170833333333327"/>
    <x v="3"/>
    <x v="0"/>
    <n v="4.5833333333333337E-2"/>
    <s v="Fast"/>
    <x v="0"/>
    <n v="0"/>
    <x v="1"/>
    <x v="1"/>
  </r>
  <r>
    <n v="1406"/>
    <x v="1405"/>
    <n v="6.5277777777777782E-2"/>
    <n v="2148"/>
    <n v="376"/>
    <n v="50.253472222222221"/>
    <x v="0"/>
    <x v="2"/>
    <n v="0.92152777777777783"/>
    <s v="Fast"/>
    <x v="0"/>
    <n v="0"/>
    <x v="1"/>
    <x v="1"/>
  </r>
  <r>
    <n v="1407"/>
    <x v="1406"/>
    <n v="5.4166666666666669E-2"/>
    <n v="982"/>
    <n v="387"/>
    <n v="53.881250000000001"/>
    <x v="1"/>
    <x v="1"/>
    <n v="1.211111111111111"/>
    <s v="Fast"/>
    <x v="0"/>
    <n v="0"/>
    <x v="1"/>
    <x v="1"/>
  </r>
  <r>
    <n v="1408"/>
    <x v="1407"/>
    <n v="5.6944444444444443E-2"/>
    <n v="2028"/>
    <n v="307"/>
    <n v="81.506250000000009"/>
    <x v="2"/>
    <x v="1"/>
    <n v="2.7944444444444443"/>
    <s v="Slow"/>
    <x v="1"/>
    <n v="0"/>
    <x v="1"/>
    <x v="1"/>
  </r>
  <r>
    <n v="1409"/>
    <x v="1408"/>
    <n v="4.3750000000000004E-2"/>
    <n v="3606"/>
    <n v="383"/>
    <n v="76.295138888888886"/>
    <x v="1"/>
    <x v="3"/>
    <n v="2.9166666666666665"/>
    <s v="Slow"/>
    <x v="0"/>
    <n v="1"/>
    <x v="0"/>
    <x v="0"/>
  </r>
  <r>
    <n v="1410"/>
    <x v="1409"/>
    <n v="6.5277777777777782E-2"/>
    <n v="2288"/>
    <n v="11"/>
    <n v="74.586805555555557"/>
    <x v="2"/>
    <x v="0"/>
    <n v="2.8361111111111108"/>
    <s v="Slow"/>
    <x v="0"/>
    <n v="0"/>
    <x v="1"/>
    <x v="1"/>
  </r>
  <r>
    <n v="1411"/>
    <x v="1410"/>
    <n v="4.3750000000000004E-2"/>
    <n v="959"/>
    <n v="215"/>
    <n v="20.089583333333334"/>
    <x v="1"/>
    <x v="3"/>
    <n v="2.4173611111111111"/>
    <s v="Slow"/>
    <x v="1"/>
    <n v="1"/>
    <x v="0"/>
    <x v="0"/>
  </r>
  <r>
    <n v="1412"/>
    <x v="1411"/>
    <n v="4.7222222222222221E-2"/>
    <n v="4014"/>
    <n v="298"/>
    <n v="46.713888888888896"/>
    <x v="1"/>
    <x v="0"/>
    <n v="2.1701388888888888"/>
    <s v="Slow"/>
    <x v="2"/>
    <n v="0"/>
    <x v="1"/>
    <x v="1"/>
  </r>
  <r>
    <n v="1413"/>
    <x v="1412"/>
    <n v="5.486111111111111E-2"/>
    <n v="4254"/>
    <n v="18"/>
    <n v="18.586805555555554"/>
    <x v="0"/>
    <x v="2"/>
    <n v="2.9618055555555554"/>
    <s v="Slow"/>
    <x v="1"/>
    <n v="0"/>
    <x v="1"/>
    <x v="1"/>
  </r>
  <r>
    <n v="1414"/>
    <x v="1413"/>
    <n v="5.5555555555555558E-3"/>
    <n v="1738"/>
    <n v="482"/>
    <n v="47.919444444444444"/>
    <x v="0"/>
    <x v="2"/>
    <n v="1.1298611111111112"/>
    <s v="Fast"/>
    <x v="2"/>
    <n v="0"/>
    <x v="1"/>
    <x v="1"/>
  </r>
  <r>
    <n v="1415"/>
    <x v="1414"/>
    <n v="5.6250000000000001E-2"/>
    <n v="3727"/>
    <n v="70"/>
    <n v="10.672916666666666"/>
    <x v="1"/>
    <x v="2"/>
    <n v="0.29236111111111113"/>
    <s v="Fast"/>
    <x v="1"/>
    <n v="0"/>
    <x v="1"/>
    <x v="1"/>
  </r>
  <r>
    <n v="1416"/>
    <x v="1415"/>
    <n v="6.7361111111111108E-2"/>
    <n v="3494"/>
    <n v="301"/>
    <n v="45.087499999999999"/>
    <x v="3"/>
    <x v="0"/>
    <n v="1.1701388888888888"/>
    <s v="Fast"/>
    <x v="1"/>
    <n v="0"/>
    <x v="1"/>
    <x v="1"/>
  </r>
  <r>
    <n v="1417"/>
    <x v="1416"/>
    <n v="4.2361111111111106E-2"/>
    <n v="4319"/>
    <n v="393"/>
    <n v="62.422916666666673"/>
    <x v="2"/>
    <x v="0"/>
    <n v="4.5833333333333337E-2"/>
    <s v="Fast"/>
    <x v="0"/>
    <n v="0"/>
    <x v="1"/>
    <x v="1"/>
  </r>
  <r>
    <n v="1418"/>
    <x v="1417"/>
    <n v="6.0416666666666667E-2"/>
    <n v="4195"/>
    <n v="60"/>
    <n v="63.713888888888896"/>
    <x v="2"/>
    <x v="1"/>
    <n v="1.0444444444444445"/>
    <s v="Fast"/>
    <x v="2"/>
    <n v="0"/>
    <x v="1"/>
    <x v="1"/>
  </r>
  <r>
    <n v="1419"/>
    <x v="1418"/>
    <n v="5.3472222222222227E-2"/>
    <n v="4465"/>
    <n v="73"/>
    <n v="6.791666666666667"/>
    <x v="3"/>
    <x v="0"/>
    <n v="1.2513888888888889"/>
    <s v="Fast"/>
    <x v="2"/>
    <n v="1"/>
    <x v="0"/>
    <x v="0"/>
  </r>
  <r>
    <n v="1420"/>
    <x v="1419"/>
    <n v="6.3888888888888898E-2"/>
    <n v="570"/>
    <n v="260"/>
    <n v="41.167361111111113"/>
    <x v="3"/>
    <x v="3"/>
    <n v="0.92152777777777783"/>
    <s v="Fast"/>
    <x v="1"/>
    <n v="0"/>
    <x v="1"/>
    <x v="1"/>
  </r>
  <r>
    <n v="1421"/>
    <x v="1420"/>
    <n v="6.0416666666666667E-2"/>
    <n v="4949"/>
    <n v="136"/>
    <n v="28.003472222222225"/>
    <x v="3"/>
    <x v="2"/>
    <n v="1.7958333333333334"/>
    <s v="Slow"/>
    <x v="2"/>
    <n v="0"/>
    <x v="1"/>
    <x v="1"/>
  </r>
  <r>
    <n v="1422"/>
    <x v="1421"/>
    <n v="6.458333333333334E-2"/>
    <n v="4978"/>
    <n v="135"/>
    <n v="5.792361111111112"/>
    <x v="2"/>
    <x v="0"/>
    <n v="1.5006944444444443"/>
    <s v="Slow"/>
    <x v="2"/>
    <n v="1"/>
    <x v="0"/>
    <x v="0"/>
  </r>
  <r>
    <n v="1423"/>
    <x v="1422"/>
    <n v="6.5972222222222224E-2"/>
    <n v="1714"/>
    <n v="171"/>
    <n v="34.50138888888889"/>
    <x v="2"/>
    <x v="2"/>
    <n v="1.91875"/>
    <s v="Slow"/>
    <x v="1"/>
    <n v="0"/>
    <x v="1"/>
    <x v="1"/>
  </r>
  <r>
    <n v="1424"/>
    <x v="1423"/>
    <n v="6.3194444444444442E-2"/>
    <n v="916"/>
    <n v="481"/>
    <n v="77.834722222222226"/>
    <x v="3"/>
    <x v="3"/>
    <n v="1.16875"/>
    <s v="Fast"/>
    <x v="0"/>
    <n v="0"/>
    <x v="1"/>
    <x v="1"/>
  </r>
  <r>
    <n v="1425"/>
    <x v="1424"/>
    <n v="4.5138888888888888E-2"/>
    <n v="4226"/>
    <n v="218"/>
    <n v="6.1687500000000002"/>
    <x v="1"/>
    <x v="0"/>
    <n v="2.5013888888888887"/>
    <s v="Slow"/>
    <x v="0"/>
    <n v="0"/>
    <x v="1"/>
    <x v="1"/>
  </r>
  <r>
    <n v="1426"/>
    <x v="1425"/>
    <n v="5.6250000000000001E-2"/>
    <n v="4085"/>
    <n v="296"/>
    <n v="18.62638888888889"/>
    <x v="3"/>
    <x v="3"/>
    <n v="1.2541666666666667"/>
    <s v="Fast"/>
    <x v="0"/>
    <n v="0"/>
    <x v="1"/>
    <x v="1"/>
  </r>
  <r>
    <n v="1427"/>
    <x v="1426"/>
    <n v="6.3194444444444442E-2"/>
    <n v="3987"/>
    <n v="196"/>
    <n v="50.753472222222221"/>
    <x v="1"/>
    <x v="0"/>
    <n v="0.12847222222222224"/>
    <s v="Fast"/>
    <x v="0"/>
    <n v="1"/>
    <x v="0"/>
    <x v="0"/>
  </r>
  <r>
    <n v="1428"/>
    <x v="1427"/>
    <n v="6.3194444444444442E-2"/>
    <n v="4883"/>
    <n v="440"/>
    <n v="43.13055555555556"/>
    <x v="3"/>
    <x v="0"/>
    <n v="0.63055555555555554"/>
    <s v="Fast"/>
    <x v="1"/>
    <n v="0"/>
    <x v="1"/>
    <x v="1"/>
  </r>
  <r>
    <n v="1429"/>
    <x v="1428"/>
    <n v="6.7361111111111108E-2"/>
    <n v="4445"/>
    <n v="107"/>
    <n v="25.211111111111112"/>
    <x v="1"/>
    <x v="0"/>
    <n v="1.5868055555555556"/>
    <s v="Slow"/>
    <x v="0"/>
    <n v="1"/>
    <x v="0"/>
    <x v="0"/>
  </r>
  <r>
    <n v="1430"/>
    <x v="1429"/>
    <n v="5.3472222222222227E-2"/>
    <n v="1785"/>
    <n v="217"/>
    <n v="48.629861111111104"/>
    <x v="0"/>
    <x v="2"/>
    <n v="2.0055555555555555"/>
    <s v="Slow"/>
    <x v="1"/>
    <n v="1"/>
    <x v="0"/>
    <x v="0"/>
  </r>
  <r>
    <n v="1431"/>
    <x v="1430"/>
    <n v="4.1666666666666666E-3"/>
    <n v="1835"/>
    <n v="3"/>
    <n v="63.794444444444444"/>
    <x v="0"/>
    <x v="3"/>
    <n v="1.8812499999999999"/>
    <s v="Slow"/>
    <x v="0"/>
    <n v="1"/>
    <x v="0"/>
    <x v="0"/>
  </r>
  <r>
    <n v="1432"/>
    <x v="1431"/>
    <n v="6.1805555555555558E-2"/>
    <n v="187"/>
    <n v="226"/>
    <n v="44.670138888888886"/>
    <x v="0"/>
    <x v="3"/>
    <n v="1.3388888888888888"/>
    <s v="Fast"/>
    <x v="0"/>
    <n v="1"/>
    <x v="0"/>
    <x v="0"/>
  </r>
  <r>
    <n v="1433"/>
    <x v="1432"/>
    <n v="4.9305555555555554E-2"/>
    <n v="707"/>
    <n v="463"/>
    <n v="41.00277777777778"/>
    <x v="2"/>
    <x v="2"/>
    <n v="2.6284722222222223"/>
    <s v="Slow"/>
    <x v="1"/>
    <n v="1"/>
    <x v="0"/>
    <x v="0"/>
  </r>
  <r>
    <n v="1434"/>
    <x v="1433"/>
    <n v="5.9722222222222225E-2"/>
    <n v="4734"/>
    <n v="270"/>
    <n v="39.878472222222221"/>
    <x v="0"/>
    <x v="2"/>
    <n v="0.75347222222222221"/>
    <s v="Fast"/>
    <x v="1"/>
    <n v="1"/>
    <x v="0"/>
    <x v="0"/>
  </r>
  <r>
    <n v="1435"/>
    <x v="1434"/>
    <n v="4.3055555555555562E-2"/>
    <n v="2416"/>
    <n v="99"/>
    <n v="9.5840277777777789"/>
    <x v="1"/>
    <x v="2"/>
    <n v="1.2506944444444443"/>
    <s v="Fast"/>
    <x v="2"/>
    <n v="0"/>
    <x v="1"/>
    <x v="1"/>
  </r>
  <r>
    <n v="1436"/>
    <x v="1435"/>
    <n v="5.1388888888888894E-2"/>
    <n v="4228"/>
    <n v="440"/>
    <n v="18.252777777777776"/>
    <x v="3"/>
    <x v="2"/>
    <n v="0.71250000000000002"/>
    <s v="Fast"/>
    <x v="2"/>
    <n v="1"/>
    <x v="0"/>
    <x v="0"/>
  </r>
  <r>
    <n v="1437"/>
    <x v="1436"/>
    <n v="5.9027777777777783E-2"/>
    <n v="3262"/>
    <n v="244"/>
    <n v="57.047222222222224"/>
    <x v="0"/>
    <x v="0"/>
    <n v="2.2965277777777779"/>
    <s v="Slow"/>
    <x v="0"/>
    <n v="0"/>
    <x v="1"/>
    <x v="1"/>
  </r>
  <r>
    <n v="1438"/>
    <x v="1437"/>
    <n v="4.5138888888888888E-2"/>
    <n v="1802"/>
    <n v="488"/>
    <n v="13.667361111111111"/>
    <x v="2"/>
    <x v="2"/>
    <n v="1.9631944444444445"/>
    <s v="Slow"/>
    <x v="0"/>
    <n v="0"/>
    <x v="1"/>
    <x v="1"/>
  </r>
  <r>
    <n v="1439"/>
    <x v="1438"/>
    <n v="5.0694444444444438E-2"/>
    <n v="1589"/>
    <n v="252"/>
    <n v="15.167361111111111"/>
    <x v="3"/>
    <x v="0"/>
    <n v="1.2923611111111111"/>
    <s v="Fast"/>
    <x v="2"/>
    <n v="1"/>
    <x v="0"/>
    <x v="0"/>
  </r>
  <r>
    <n v="1440"/>
    <x v="1439"/>
    <n v="4.5833333333333337E-2"/>
    <n v="2261"/>
    <n v="236"/>
    <n v="30.381249999999998"/>
    <x v="1"/>
    <x v="2"/>
    <n v="0.8340277777777777"/>
    <s v="Fast"/>
    <x v="1"/>
    <n v="1"/>
    <x v="0"/>
    <x v="0"/>
  </r>
  <r>
    <n v="1441"/>
    <x v="1440"/>
    <n v="6.6666666666666666E-2"/>
    <n v="3108"/>
    <n v="257"/>
    <n v="70.045138888888886"/>
    <x v="2"/>
    <x v="1"/>
    <n v="2.1256944444444446"/>
    <s v="Slow"/>
    <x v="2"/>
    <n v="0"/>
    <x v="1"/>
    <x v="1"/>
  </r>
  <r>
    <n v="1442"/>
    <x v="1441"/>
    <n v="6.3194444444444442E-2"/>
    <n v="3440"/>
    <n v="72"/>
    <n v="62.962499999999999"/>
    <x v="3"/>
    <x v="2"/>
    <n v="2.8374999999999999"/>
    <s v="Slow"/>
    <x v="1"/>
    <n v="0"/>
    <x v="1"/>
    <x v="1"/>
  </r>
  <r>
    <n v="1443"/>
    <x v="1442"/>
    <n v="5.9722222222222225E-2"/>
    <n v="2972"/>
    <n v="221"/>
    <n v="35.838888888888889"/>
    <x v="0"/>
    <x v="0"/>
    <n v="2.6270833333333332"/>
    <s v="Slow"/>
    <x v="2"/>
    <n v="0"/>
    <x v="1"/>
    <x v="1"/>
  </r>
  <r>
    <n v="1444"/>
    <x v="1443"/>
    <n v="5.6250000000000001E-2"/>
    <n v="4262"/>
    <n v="35"/>
    <n v="72.170833333333334"/>
    <x v="0"/>
    <x v="2"/>
    <n v="0.87569444444444444"/>
    <s v="Fast"/>
    <x v="1"/>
    <n v="1"/>
    <x v="0"/>
    <x v="0"/>
  </r>
  <r>
    <n v="1445"/>
    <x v="1444"/>
    <n v="6.8749999999999992E-2"/>
    <n v="3922"/>
    <n v="471"/>
    <n v="70.713888888888889"/>
    <x v="0"/>
    <x v="3"/>
    <n v="0.41875000000000001"/>
    <s v="Fast"/>
    <x v="0"/>
    <n v="0"/>
    <x v="1"/>
    <x v="1"/>
  </r>
  <r>
    <n v="1446"/>
    <x v="1445"/>
    <n v="4.8611111111111112E-3"/>
    <n v="3326"/>
    <n v="136"/>
    <n v="67.50277777777778"/>
    <x v="3"/>
    <x v="1"/>
    <n v="8.3333333333333329E-2"/>
    <s v="Fast"/>
    <x v="1"/>
    <n v="0"/>
    <x v="1"/>
    <x v="1"/>
  </r>
  <r>
    <n v="1447"/>
    <x v="1446"/>
    <n v="6.1111111111111109E-2"/>
    <n v="1450"/>
    <n v="409"/>
    <n v="49.839583333333337"/>
    <x v="0"/>
    <x v="1"/>
    <n v="1.0416666666666667"/>
    <s v="Fast"/>
    <x v="1"/>
    <n v="0"/>
    <x v="1"/>
    <x v="1"/>
  </r>
  <r>
    <n v="1448"/>
    <x v="1447"/>
    <n v="4.3750000000000004E-2"/>
    <n v="2107"/>
    <n v="433"/>
    <n v="16.253472222222221"/>
    <x v="2"/>
    <x v="2"/>
    <n v="2.7111111111111108"/>
    <s v="Slow"/>
    <x v="1"/>
    <n v="0"/>
    <x v="1"/>
    <x v="1"/>
  </r>
  <r>
    <n v="1449"/>
    <x v="1448"/>
    <n v="5.9027777777777783E-2"/>
    <n v="3136"/>
    <n v="243"/>
    <n v="52.254166666666663"/>
    <x v="1"/>
    <x v="0"/>
    <n v="2.7520833333333332"/>
    <s v="Slow"/>
    <x v="2"/>
    <n v="0"/>
    <x v="1"/>
    <x v="1"/>
  </r>
  <r>
    <n v="1450"/>
    <x v="1449"/>
    <n v="4.7222222222222221E-2"/>
    <n v="4888"/>
    <n v="460"/>
    <n v="4.9638888888888895"/>
    <x v="0"/>
    <x v="3"/>
    <n v="2.629861111111111"/>
    <s v="Slow"/>
    <x v="1"/>
    <n v="1"/>
    <x v="0"/>
    <x v="0"/>
  </r>
  <r>
    <n v="1451"/>
    <x v="1450"/>
    <n v="4.1666666666666666E-3"/>
    <n v="975"/>
    <n v="213"/>
    <n v="61.464583333333337"/>
    <x v="0"/>
    <x v="1"/>
    <n v="0.50208333333333333"/>
    <s v="Fast"/>
    <x v="1"/>
    <n v="0"/>
    <x v="1"/>
    <x v="1"/>
  </r>
  <r>
    <n v="1452"/>
    <x v="1451"/>
    <n v="6.6666666666666666E-2"/>
    <n v="75"/>
    <n v="373"/>
    <n v="17.088888888888889"/>
    <x v="0"/>
    <x v="3"/>
    <n v="0.96180555555555547"/>
    <s v="Fast"/>
    <x v="1"/>
    <n v="1"/>
    <x v="0"/>
    <x v="0"/>
  </r>
  <r>
    <n v="1453"/>
    <x v="1452"/>
    <n v="4.9305555555555554E-2"/>
    <n v="4807"/>
    <n v="417"/>
    <n v="30.459027777777777"/>
    <x v="3"/>
    <x v="2"/>
    <n v="0.33680555555555558"/>
    <s v="Fast"/>
    <x v="2"/>
    <n v="0"/>
    <x v="1"/>
    <x v="1"/>
  </r>
  <r>
    <n v="1454"/>
    <x v="1453"/>
    <n v="4.1666666666666664E-2"/>
    <n v="823"/>
    <n v="390"/>
    <n v="76.708333333333329"/>
    <x v="1"/>
    <x v="2"/>
    <n v="2.754861111111111"/>
    <s v="Slow"/>
    <x v="1"/>
    <n v="0"/>
    <x v="1"/>
    <x v="1"/>
  </r>
  <r>
    <n v="1455"/>
    <x v="1454"/>
    <n v="6.0416666666666667E-2"/>
    <n v="410"/>
    <n v="196"/>
    <n v="34.25277777777778"/>
    <x v="1"/>
    <x v="0"/>
    <n v="2.0868055555555558"/>
    <s v="Slow"/>
    <x v="1"/>
    <n v="0"/>
    <x v="1"/>
    <x v="1"/>
  </r>
  <r>
    <n v="1456"/>
    <x v="1455"/>
    <n v="6.0416666666666667E-2"/>
    <n v="3809"/>
    <n v="445"/>
    <n v="45.96319444444444"/>
    <x v="2"/>
    <x v="2"/>
    <n v="1.7125000000000001"/>
    <s v="Slow"/>
    <x v="0"/>
    <n v="0"/>
    <x v="1"/>
    <x v="1"/>
  </r>
  <r>
    <n v="1457"/>
    <x v="1456"/>
    <n v="6.0416666666666667E-2"/>
    <n v="4094"/>
    <n v="467"/>
    <n v="5.541666666666667"/>
    <x v="1"/>
    <x v="3"/>
    <n v="2.004861111111111"/>
    <s v="Slow"/>
    <x v="2"/>
    <n v="0"/>
    <x v="1"/>
    <x v="1"/>
  </r>
  <r>
    <n v="1458"/>
    <x v="1457"/>
    <n v="4.1666666666666664E-2"/>
    <n v="2953"/>
    <n v="450"/>
    <n v="18.795138888888889"/>
    <x v="1"/>
    <x v="0"/>
    <n v="0.33749999999999997"/>
    <s v="Fast"/>
    <x v="1"/>
    <n v="0"/>
    <x v="1"/>
    <x v="1"/>
  </r>
  <r>
    <n v="1459"/>
    <x v="1458"/>
    <n v="4.7916666666666663E-2"/>
    <n v="2404"/>
    <n v="366"/>
    <n v="80.213888888888889"/>
    <x v="1"/>
    <x v="2"/>
    <n v="0.25486111111111109"/>
    <s v="Fast"/>
    <x v="0"/>
    <n v="0"/>
    <x v="1"/>
    <x v="1"/>
  </r>
  <r>
    <n v="1460"/>
    <x v="1459"/>
    <n v="4.1666666666666664E-2"/>
    <n v="4578"/>
    <n v="292"/>
    <n v="65.589583333333337"/>
    <x v="1"/>
    <x v="1"/>
    <n v="2.0430555555555556"/>
    <s v="Slow"/>
    <x v="1"/>
    <n v="1"/>
    <x v="0"/>
    <x v="2"/>
  </r>
  <r>
    <n v="1461"/>
    <x v="1460"/>
    <n v="5.0694444444444438E-2"/>
    <n v="4271"/>
    <n v="275"/>
    <n v="69.334027777777777"/>
    <x v="0"/>
    <x v="2"/>
    <n v="0.41944444444444445"/>
    <s v="Fast"/>
    <x v="0"/>
    <n v="0"/>
    <x v="1"/>
    <x v="1"/>
  </r>
  <r>
    <n v="1462"/>
    <x v="1461"/>
    <n v="4.4444444444444446E-2"/>
    <n v="3675"/>
    <n v="167"/>
    <n v="6.4645833333333336"/>
    <x v="0"/>
    <x v="1"/>
    <n v="0.8340277777777777"/>
    <s v="Fast"/>
    <x v="0"/>
    <n v="0"/>
    <x v="1"/>
    <x v="1"/>
  </r>
  <r>
    <n v="1463"/>
    <x v="1462"/>
    <n v="6.7361111111111108E-2"/>
    <n v="4044"/>
    <n v="270"/>
    <n v="77.418055555555554"/>
    <x v="0"/>
    <x v="1"/>
    <n v="1.3361111111111112"/>
    <s v="Fast"/>
    <x v="0"/>
    <n v="0"/>
    <x v="1"/>
    <x v="1"/>
  </r>
  <r>
    <n v="1464"/>
    <x v="1463"/>
    <n v="4.4444444444444446E-2"/>
    <n v="3086"/>
    <n v="288"/>
    <n v="82.837499999999991"/>
    <x v="1"/>
    <x v="3"/>
    <n v="2.0444444444444447"/>
    <s v="Slow"/>
    <x v="0"/>
    <n v="1"/>
    <x v="0"/>
    <x v="0"/>
  </r>
  <r>
    <n v="1465"/>
    <x v="1464"/>
    <n v="5.486111111111111E-2"/>
    <n v="822"/>
    <n v="411"/>
    <n v="34.543055555555554"/>
    <x v="2"/>
    <x v="3"/>
    <n v="2.0861111111111112"/>
    <s v="Slow"/>
    <x v="2"/>
    <n v="0"/>
    <x v="1"/>
    <x v="1"/>
  </r>
  <r>
    <n v="1466"/>
    <x v="1465"/>
    <n v="6.458333333333334E-2"/>
    <n v="4401"/>
    <n v="329"/>
    <n v="21.419444444444448"/>
    <x v="3"/>
    <x v="0"/>
    <n v="0.75"/>
    <s v="Fast"/>
    <x v="2"/>
    <n v="0"/>
    <x v="1"/>
    <x v="1"/>
  </r>
  <r>
    <n v="1467"/>
    <x v="1466"/>
    <n v="4.9305555555555554E-2"/>
    <n v="2798"/>
    <n v="72"/>
    <n v="16.419444444444444"/>
    <x v="0"/>
    <x v="2"/>
    <n v="2.5868055555555558"/>
    <s v="Slow"/>
    <x v="1"/>
    <n v="1"/>
    <x v="0"/>
    <x v="0"/>
  </r>
  <r>
    <n v="1468"/>
    <x v="1467"/>
    <n v="6.1805555555555558E-2"/>
    <n v="4855"/>
    <n v="211"/>
    <n v="45.417361111111113"/>
    <x v="3"/>
    <x v="3"/>
    <n v="1.3763888888888889"/>
    <s v="Fast"/>
    <x v="0"/>
    <n v="1"/>
    <x v="0"/>
    <x v="0"/>
  </r>
  <r>
    <n v="1469"/>
    <x v="1468"/>
    <n v="5.9722222222222225E-2"/>
    <n v="1894"/>
    <n v="271"/>
    <n v="53.837499999999999"/>
    <x v="3"/>
    <x v="3"/>
    <n v="1.2138888888888888"/>
    <s v="Fast"/>
    <x v="0"/>
    <n v="1"/>
    <x v="0"/>
    <x v="0"/>
  </r>
  <r>
    <n v="1470"/>
    <x v="1469"/>
    <n v="6.1111111111111109E-2"/>
    <n v="3514"/>
    <n v="118"/>
    <n v="65.625694444444449"/>
    <x v="0"/>
    <x v="1"/>
    <n v="0.71458333333333324"/>
    <s v="Fast"/>
    <x v="1"/>
    <n v="0"/>
    <x v="1"/>
    <x v="1"/>
  </r>
  <r>
    <n v="1471"/>
    <x v="1470"/>
    <n v="4.5833333333333337E-2"/>
    <n v="3665"/>
    <n v="76"/>
    <n v="35.084722222222219"/>
    <x v="1"/>
    <x v="3"/>
    <n v="1.0034722222222221"/>
    <s v="Fast"/>
    <x v="0"/>
    <n v="1"/>
    <x v="0"/>
    <x v="0"/>
  </r>
  <r>
    <n v="1472"/>
    <x v="1471"/>
    <n v="6.1111111111111109E-2"/>
    <n v="1262"/>
    <n v="151"/>
    <n v="77.88055555555556"/>
    <x v="2"/>
    <x v="2"/>
    <n v="1.5847222222222221"/>
    <s v="Slow"/>
    <x v="2"/>
    <n v="0"/>
    <x v="1"/>
    <x v="1"/>
  </r>
  <r>
    <n v="1473"/>
    <x v="1472"/>
    <n v="6.5277777777777782E-2"/>
    <n v="868"/>
    <n v="382"/>
    <n v="27.047222222222221"/>
    <x v="0"/>
    <x v="1"/>
    <n v="0.66666666666666663"/>
    <s v="Fast"/>
    <x v="0"/>
    <n v="0"/>
    <x v="1"/>
    <x v="1"/>
  </r>
  <r>
    <n v="1474"/>
    <x v="1473"/>
    <n v="4.5833333333333337E-2"/>
    <n v="699"/>
    <n v="148"/>
    <n v="29.001388888888886"/>
    <x v="0"/>
    <x v="3"/>
    <n v="1.8756944444444443"/>
    <s v="Slow"/>
    <x v="1"/>
    <n v="1"/>
    <x v="0"/>
    <x v="0"/>
  </r>
  <r>
    <n v="1475"/>
    <x v="1474"/>
    <n v="6.805555555555555E-2"/>
    <n v="310"/>
    <n v="172"/>
    <n v="61.170833333333327"/>
    <x v="2"/>
    <x v="2"/>
    <n v="1.2965277777777777"/>
    <s v="Fast"/>
    <x v="2"/>
    <n v="0"/>
    <x v="1"/>
    <x v="1"/>
  </r>
  <r>
    <n v="1476"/>
    <x v="1475"/>
    <n v="6.805555555555555E-2"/>
    <n v="1865"/>
    <n v="396"/>
    <n v="15.127777777777778"/>
    <x v="1"/>
    <x v="3"/>
    <n v="2.0062500000000001"/>
    <s v="Slow"/>
    <x v="2"/>
    <n v="0"/>
    <x v="1"/>
    <x v="1"/>
  </r>
  <r>
    <n v="1477"/>
    <x v="1476"/>
    <n v="5.0694444444444438E-2"/>
    <n v="3619"/>
    <n v="328"/>
    <n v="38.502083333333331"/>
    <x v="1"/>
    <x v="3"/>
    <n v="2.9194444444444443"/>
    <s v="Slow"/>
    <x v="0"/>
    <n v="0"/>
    <x v="1"/>
    <x v="1"/>
  </r>
  <r>
    <n v="1478"/>
    <x v="1477"/>
    <n v="6.805555555555555E-2"/>
    <n v="1360"/>
    <n v="73"/>
    <n v="33.12916666666667"/>
    <x v="2"/>
    <x v="3"/>
    <n v="2.5465277777777779"/>
    <s v="Slow"/>
    <x v="0"/>
    <n v="0"/>
    <x v="1"/>
    <x v="1"/>
  </r>
  <r>
    <n v="1479"/>
    <x v="1478"/>
    <n v="6.805555555555555E-2"/>
    <n v="785"/>
    <n v="390"/>
    <n v="44.088888888888896"/>
    <x v="1"/>
    <x v="1"/>
    <n v="1.8784722222222223"/>
    <s v="Slow"/>
    <x v="0"/>
    <n v="0"/>
    <x v="1"/>
    <x v="1"/>
  </r>
  <r>
    <n v="1480"/>
    <x v="1479"/>
    <n v="4.5138888888888888E-2"/>
    <n v="542"/>
    <n v="30"/>
    <n v="54.712499999999999"/>
    <x v="3"/>
    <x v="1"/>
    <n v="2.9222222222222225"/>
    <s v="Slow"/>
    <x v="2"/>
    <n v="0"/>
    <x v="1"/>
    <x v="1"/>
  </r>
  <r>
    <n v="1481"/>
    <x v="1480"/>
    <n v="6.2499999999999995E-3"/>
    <n v="4131"/>
    <n v="471"/>
    <n v="18.964583333333334"/>
    <x v="2"/>
    <x v="0"/>
    <n v="0.33749999999999997"/>
    <s v="Fast"/>
    <x v="2"/>
    <n v="0"/>
    <x v="1"/>
    <x v="1"/>
  </r>
  <r>
    <n v="1482"/>
    <x v="1481"/>
    <n v="6.805555555555555E-2"/>
    <n v="2777"/>
    <n v="382"/>
    <n v="38.837499999999999"/>
    <x v="1"/>
    <x v="0"/>
    <n v="0.29236111111111113"/>
    <s v="Fast"/>
    <x v="1"/>
    <n v="1"/>
    <x v="0"/>
    <x v="0"/>
  </r>
  <r>
    <n v="1483"/>
    <x v="1482"/>
    <n v="6.458333333333334E-2"/>
    <n v="4466"/>
    <n v="296"/>
    <n v="30.962500000000002"/>
    <x v="0"/>
    <x v="3"/>
    <n v="2.0423611111111111"/>
    <s v="Slow"/>
    <x v="2"/>
    <n v="0"/>
    <x v="1"/>
    <x v="1"/>
  </r>
  <r>
    <n v="1484"/>
    <x v="1483"/>
    <n v="4.5138888888888888E-2"/>
    <n v="875"/>
    <n v="321"/>
    <n v="45.629166666666663"/>
    <x v="2"/>
    <x v="0"/>
    <n v="1.7916666666666667"/>
    <s v="Slow"/>
    <x v="0"/>
    <n v="0"/>
    <x v="1"/>
    <x v="1"/>
  </r>
  <r>
    <n v="1485"/>
    <x v="1484"/>
    <n v="5.2777777777777778E-2"/>
    <n v="4537"/>
    <n v="280"/>
    <n v="20.293055555555558"/>
    <x v="2"/>
    <x v="0"/>
    <n v="0.79166666666666663"/>
    <s v="Fast"/>
    <x v="0"/>
    <n v="1"/>
    <x v="0"/>
    <x v="0"/>
  </r>
  <r>
    <n v="1486"/>
    <x v="1485"/>
    <n v="5.7638888888888885E-2"/>
    <n v="4684"/>
    <n v="227"/>
    <n v="76.752083333333331"/>
    <x v="1"/>
    <x v="2"/>
    <n v="2.7562500000000001"/>
    <s v="Slow"/>
    <x v="1"/>
    <n v="0"/>
    <x v="1"/>
    <x v="1"/>
  </r>
  <r>
    <n v="1487"/>
    <x v="1486"/>
    <n v="5.2083333333333336E-2"/>
    <n v="1539"/>
    <n v="240"/>
    <n v="65.919444444444437"/>
    <x v="1"/>
    <x v="3"/>
    <n v="0.71250000000000002"/>
    <s v="Fast"/>
    <x v="2"/>
    <n v="0"/>
    <x v="1"/>
    <x v="1"/>
  </r>
  <r>
    <n v="1488"/>
    <x v="1487"/>
    <n v="5.2083333333333336E-2"/>
    <n v="123"/>
    <n v="358"/>
    <n v="64.334722222222226"/>
    <x v="1"/>
    <x v="1"/>
    <n v="2.088888888888889"/>
    <s v="Slow"/>
    <x v="2"/>
    <n v="0"/>
    <x v="1"/>
    <x v="1"/>
  </r>
  <r>
    <n v="1489"/>
    <x v="1488"/>
    <n v="4.4444444444444446E-2"/>
    <n v="2268"/>
    <n v="198"/>
    <n v="60.587499999999999"/>
    <x v="2"/>
    <x v="2"/>
    <n v="1.7979166666666666"/>
    <s v="Slow"/>
    <x v="1"/>
    <n v="0"/>
    <x v="1"/>
    <x v="1"/>
  </r>
  <r>
    <n v="1490"/>
    <x v="1489"/>
    <n v="4.1666666666666666E-3"/>
    <n v="3454"/>
    <n v="98"/>
    <n v="27.170833333333334"/>
    <x v="0"/>
    <x v="1"/>
    <n v="0.25486111111111109"/>
    <s v="Fast"/>
    <x v="0"/>
    <n v="0"/>
    <x v="1"/>
    <x v="1"/>
  </r>
  <r>
    <n v="1491"/>
    <x v="1490"/>
    <n v="4.9999999999999996E-2"/>
    <n v="2882"/>
    <n v="11"/>
    <n v="8.4201388888888893"/>
    <x v="2"/>
    <x v="1"/>
    <n v="2.2513888888888887"/>
    <s v="Slow"/>
    <x v="2"/>
    <n v="1"/>
    <x v="0"/>
    <x v="2"/>
  </r>
  <r>
    <n v="1492"/>
    <x v="1491"/>
    <n v="5.3472222222222227E-2"/>
    <n v="2100"/>
    <n v="32"/>
    <n v="14.043750000000001"/>
    <x v="3"/>
    <x v="2"/>
    <n v="2.1673611111111111"/>
    <s v="Slow"/>
    <x v="2"/>
    <n v="0"/>
    <x v="1"/>
    <x v="1"/>
  </r>
  <r>
    <n v="1493"/>
    <x v="1492"/>
    <n v="5.7638888888888885E-2"/>
    <n v="416"/>
    <n v="368"/>
    <n v="12.125"/>
    <x v="2"/>
    <x v="3"/>
    <n v="0.67152777777777783"/>
    <s v="Fast"/>
    <x v="1"/>
    <n v="1"/>
    <x v="0"/>
    <x v="0"/>
  </r>
  <r>
    <n v="1494"/>
    <x v="1493"/>
    <n v="6.805555555555555E-2"/>
    <n v="1392"/>
    <n v="223"/>
    <n v="19.836805555555554"/>
    <x v="1"/>
    <x v="0"/>
    <n v="0.62638888888888888"/>
    <s v="Fast"/>
    <x v="2"/>
    <n v="0"/>
    <x v="1"/>
    <x v="1"/>
  </r>
  <r>
    <n v="1495"/>
    <x v="1494"/>
    <n v="4.4444444444444446E-2"/>
    <n v="842"/>
    <n v="303"/>
    <n v="68.752083333333331"/>
    <x v="3"/>
    <x v="3"/>
    <n v="1.4638888888888888"/>
    <s v="Fast"/>
    <x v="0"/>
    <n v="0"/>
    <x v="1"/>
    <x v="1"/>
  </r>
  <r>
    <n v="1496"/>
    <x v="1495"/>
    <n v="5.1388888888888894E-2"/>
    <n v="75"/>
    <n v="112"/>
    <n v="78.751388888888883"/>
    <x v="3"/>
    <x v="2"/>
    <n v="0.96111111111111114"/>
    <s v="Fast"/>
    <x v="1"/>
    <n v="0"/>
    <x v="1"/>
    <x v="1"/>
  </r>
  <r>
    <n v="1497"/>
    <x v="1496"/>
    <n v="6.5972222222222224E-2"/>
    <n v="4991"/>
    <n v="159"/>
    <n v="81.75555555555556"/>
    <x v="2"/>
    <x v="1"/>
    <n v="1.9222222222222223"/>
    <s v="Slow"/>
    <x v="2"/>
    <n v="1"/>
    <x v="0"/>
    <x v="2"/>
  </r>
  <r>
    <n v="1498"/>
    <x v="1497"/>
    <n v="6.458333333333334E-2"/>
    <n v="4659"/>
    <n v="414"/>
    <n v="0.58958333333333335"/>
    <x v="1"/>
    <x v="1"/>
    <n v="8.7500000000000008E-2"/>
    <s v="Fast"/>
    <x v="0"/>
    <n v="0"/>
    <x v="1"/>
    <x v="1"/>
  </r>
  <r>
    <n v="1499"/>
    <x v="1498"/>
    <n v="4.4444444444444446E-2"/>
    <n v="3869"/>
    <n v="347"/>
    <n v="81.129861111111111"/>
    <x v="1"/>
    <x v="2"/>
    <n v="0.25486111111111109"/>
    <s v="Fast"/>
    <x v="0"/>
    <n v="0"/>
    <x v="1"/>
    <x v="1"/>
  </r>
  <r>
    <n v="1500"/>
    <x v="1499"/>
    <n v="6.0416666666666667E-2"/>
    <n v="3716"/>
    <n v="413"/>
    <n v="49.458333333333336"/>
    <x v="3"/>
    <x v="0"/>
    <n v="0.29166666666666669"/>
    <s v="Fast"/>
    <x v="1"/>
    <n v="0"/>
    <x v="1"/>
    <x v="1"/>
  </r>
  <r>
    <n v="1501"/>
    <x v="1500"/>
    <n v="4.4444444444444446E-2"/>
    <n v="1669"/>
    <n v="418"/>
    <n v="3.0451388888888888"/>
    <x v="0"/>
    <x v="0"/>
    <n v="0.83680555555555547"/>
    <s v="Fast"/>
    <x v="1"/>
    <n v="0"/>
    <x v="1"/>
    <x v="1"/>
  </r>
  <r>
    <n v="1502"/>
    <x v="1501"/>
    <n v="6.805555555555555E-2"/>
    <n v="1108"/>
    <n v="218"/>
    <n v="75.709027777777777"/>
    <x v="1"/>
    <x v="3"/>
    <n v="1.7138888888888888"/>
    <s v="Slow"/>
    <x v="2"/>
    <n v="1"/>
    <x v="0"/>
    <x v="0"/>
  </r>
  <r>
    <n v="1503"/>
    <x v="1502"/>
    <n v="4.8611111111111112E-3"/>
    <n v="3687"/>
    <n v="357"/>
    <n v="76.166666666666671"/>
    <x v="1"/>
    <x v="1"/>
    <n v="2.9229166666666671"/>
    <s v="Slow"/>
    <x v="1"/>
    <n v="0"/>
    <x v="1"/>
    <x v="1"/>
  </r>
  <r>
    <n v="1504"/>
    <x v="1503"/>
    <n v="5.8333333333333327E-2"/>
    <n v="2862"/>
    <n v="365"/>
    <n v="69.211805555555557"/>
    <x v="2"/>
    <x v="1"/>
    <n v="0.4201388888888889"/>
    <s v="Fast"/>
    <x v="2"/>
    <n v="0"/>
    <x v="1"/>
    <x v="1"/>
  </r>
  <r>
    <n v="1505"/>
    <x v="1504"/>
    <n v="5.486111111111111E-2"/>
    <n v="3231"/>
    <n v="105"/>
    <n v="6.0479166666666666"/>
    <x v="0"/>
    <x v="0"/>
    <n v="2.2944444444444447"/>
    <s v="Slow"/>
    <x v="2"/>
    <n v="0"/>
    <x v="1"/>
    <x v="1"/>
  </r>
  <r>
    <n v="1506"/>
    <x v="1505"/>
    <n v="5.5555555555555558E-3"/>
    <n v="2272"/>
    <n v="316"/>
    <n v="77.083333333333329"/>
    <x v="2"/>
    <x v="2"/>
    <n v="0.38055555555555554"/>
    <s v="Fast"/>
    <x v="2"/>
    <n v="0"/>
    <x v="1"/>
    <x v="1"/>
  </r>
  <r>
    <n v="1507"/>
    <x v="1506"/>
    <n v="4.7916666666666663E-2"/>
    <n v="2932"/>
    <n v="42"/>
    <n v="56.546527777777776"/>
    <x v="1"/>
    <x v="0"/>
    <n v="2.3763888888888887"/>
    <s v="Slow"/>
    <x v="1"/>
    <n v="0"/>
    <x v="1"/>
    <x v="1"/>
  </r>
  <r>
    <n v="1508"/>
    <x v="1507"/>
    <n v="5.1388888888888894E-2"/>
    <n v="1602"/>
    <n v="451"/>
    <n v="70.750694444444449"/>
    <x v="0"/>
    <x v="3"/>
    <n v="0.50624999999999998"/>
    <s v="Fast"/>
    <x v="1"/>
    <n v="1"/>
    <x v="0"/>
    <x v="0"/>
  </r>
  <r>
    <n v="1509"/>
    <x v="1508"/>
    <n v="4.9305555555555554E-2"/>
    <n v="1851"/>
    <n v="364"/>
    <n v="52.588888888888896"/>
    <x v="2"/>
    <x v="3"/>
    <n v="0.33819444444444446"/>
    <s v="Fast"/>
    <x v="1"/>
    <n v="1"/>
    <x v="0"/>
    <x v="0"/>
  </r>
  <r>
    <n v="1510"/>
    <x v="1509"/>
    <n v="5.9027777777777783E-2"/>
    <n v="339"/>
    <n v="91"/>
    <n v="7.5465277777777784"/>
    <x v="0"/>
    <x v="3"/>
    <n v="0.25069444444444444"/>
    <s v="Fast"/>
    <x v="2"/>
    <n v="1"/>
    <x v="0"/>
    <x v="0"/>
  </r>
  <r>
    <n v="1511"/>
    <x v="1510"/>
    <n v="5.3472222222222227E-2"/>
    <n v="3022"/>
    <n v="7"/>
    <n v="53.088888888888896"/>
    <x v="0"/>
    <x v="2"/>
    <n v="1.7513888888888889"/>
    <s v="Slow"/>
    <x v="2"/>
    <n v="0"/>
    <x v="1"/>
    <x v="1"/>
  </r>
  <r>
    <n v="1512"/>
    <x v="1511"/>
    <n v="5.8333333333333327E-2"/>
    <n v="4462"/>
    <n v="478"/>
    <n v="35.500694444444441"/>
    <x v="3"/>
    <x v="0"/>
    <n v="1.1715277777777777"/>
    <s v="Fast"/>
    <x v="2"/>
    <n v="0"/>
    <x v="1"/>
    <x v="1"/>
  </r>
  <r>
    <n v="1513"/>
    <x v="1512"/>
    <n v="5.6250000000000001E-2"/>
    <n v="1598"/>
    <n v="158"/>
    <n v="38.003472222222221"/>
    <x v="2"/>
    <x v="3"/>
    <n v="0.71388888888888891"/>
    <s v="Fast"/>
    <x v="2"/>
    <n v="0"/>
    <x v="1"/>
    <x v="1"/>
  </r>
  <r>
    <n v="1514"/>
    <x v="1513"/>
    <n v="6.0416666666666667E-2"/>
    <n v="127"/>
    <n v="115"/>
    <n v="27.881249999999998"/>
    <x v="0"/>
    <x v="1"/>
    <n v="2.375"/>
    <s v="Slow"/>
    <x v="0"/>
    <n v="0"/>
    <x v="1"/>
    <x v="1"/>
  </r>
  <r>
    <n v="1515"/>
    <x v="1514"/>
    <n v="6.8749999999999992E-2"/>
    <n v="2944"/>
    <n v="8"/>
    <n v="57.584722222222219"/>
    <x v="2"/>
    <x v="1"/>
    <n v="1.2506944444444443"/>
    <s v="Fast"/>
    <x v="1"/>
    <n v="0"/>
    <x v="1"/>
    <x v="1"/>
  </r>
  <r>
    <n v="1516"/>
    <x v="1515"/>
    <n v="5.6250000000000001E-2"/>
    <n v="2472"/>
    <n v="101"/>
    <n v="46.381250000000001"/>
    <x v="2"/>
    <x v="1"/>
    <n v="1.0840277777777778"/>
    <s v="Fast"/>
    <x v="2"/>
    <n v="1"/>
    <x v="0"/>
    <x v="2"/>
  </r>
  <r>
    <n v="1517"/>
    <x v="1516"/>
    <n v="5.6944444444444443E-2"/>
    <n v="2544"/>
    <n v="293"/>
    <n v="28.756249999999998"/>
    <x v="3"/>
    <x v="3"/>
    <n v="1.7534722222222223"/>
    <s v="Slow"/>
    <x v="0"/>
    <n v="0"/>
    <x v="1"/>
    <x v="1"/>
  </r>
  <r>
    <n v="1518"/>
    <x v="1517"/>
    <n v="5.9027777777777783E-2"/>
    <n v="633"/>
    <n v="204"/>
    <n v="1.7944444444444445"/>
    <x v="2"/>
    <x v="1"/>
    <n v="2.588888888888889"/>
    <s v="Slow"/>
    <x v="1"/>
    <n v="1"/>
    <x v="0"/>
    <x v="2"/>
  </r>
  <r>
    <n v="1519"/>
    <x v="1518"/>
    <n v="5.6944444444444443E-2"/>
    <n v="1032"/>
    <n v="236"/>
    <n v="52.084722222222219"/>
    <x v="2"/>
    <x v="0"/>
    <n v="0.63124999999999998"/>
    <s v="Fast"/>
    <x v="2"/>
    <n v="1"/>
    <x v="0"/>
    <x v="0"/>
  </r>
  <r>
    <n v="1520"/>
    <x v="1519"/>
    <n v="5.2777777777777778E-2"/>
    <n v="1936"/>
    <n v="138"/>
    <n v="21.544444444444448"/>
    <x v="2"/>
    <x v="3"/>
    <n v="2.0861111111111112"/>
    <s v="Slow"/>
    <x v="1"/>
    <n v="0"/>
    <x v="1"/>
    <x v="1"/>
  </r>
  <r>
    <n v="1521"/>
    <x v="1520"/>
    <n v="4.8611111111111112E-3"/>
    <n v="1432"/>
    <n v="22"/>
    <n v="79.587499999999991"/>
    <x v="3"/>
    <x v="3"/>
    <n v="1.5055555555555555"/>
    <s v="Slow"/>
    <x v="2"/>
    <n v="0"/>
    <x v="1"/>
    <x v="1"/>
  </r>
  <r>
    <n v="1522"/>
    <x v="1521"/>
    <n v="5.6250000000000001E-2"/>
    <n v="248"/>
    <n v="250"/>
    <n v="43.919444444444444"/>
    <x v="0"/>
    <x v="1"/>
    <n v="1.3805555555555555"/>
    <s v="Fast"/>
    <x v="1"/>
    <n v="0"/>
    <x v="1"/>
    <x v="1"/>
  </r>
  <r>
    <n v="1523"/>
    <x v="1522"/>
    <n v="4.8611111111111112E-3"/>
    <n v="1142"/>
    <n v="140"/>
    <n v="18.297916666666666"/>
    <x v="1"/>
    <x v="2"/>
    <n v="2.6284722222222223"/>
    <s v="Slow"/>
    <x v="1"/>
    <n v="1"/>
    <x v="0"/>
    <x v="0"/>
  </r>
  <r>
    <n v="1524"/>
    <x v="1523"/>
    <n v="5.9722222222222225E-2"/>
    <n v="4511"/>
    <n v="29"/>
    <n v="65.879861111111111"/>
    <x v="1"/>
    <x v="1"/>
    <n v="1.5861111111111112"/>
    <s v="Slow"/>
    <x v="0"/>
    <n v="1"/>
    <x v="0"/>
    <x v="2"/>
  </r>
  <r>
    <n v="1525"/>
    <x v="1524"/>
    <n v="6.5972222222222224E-2"/>
    <n v="1353"/>
    <n v="301"/>
    <n v="54.338888888888896"/>
    <x v="2"/>
    <x v="3"/>
    <n v="0.75555555555555554"/>
    <s v="Fast"/>
    <x v="1"/>
    <n v="1"/>
    <x v="0"/>
    <x v="0"/>
  </r>
  <r>
    <n v="1526"/>
    <x v="1525"/>
    <n v="6.3888888888888898E-2"/>
    <n v="796"/>
    <n v="136"/>
    <n v="23.088194444444444"/>
    <x v="1"/>
    <x v="2"/>
    <n v="0.12916666666666668"/>
    <s v="Fast"/>
    <x v="0"/>
    <n v="1"/>
    <x v="0"/>
    <x v="0"/>
  </r>
  <r>
    <n v="1527"/>
    <x v="1526"/>
    <n v="6.3194444444444442E-2"/>
    <n v="1358"/>
    <n v="80"/>
    <n v="67.338888888888889"/>
    <x v="0"/>
    <x v="0"/>
    <n v="2.0465277777777779"/>
    <s v="Slow"/>
    <x v="2"/>
    <n v="0"/>
    <x v="1"/>
    <x v="1"/>
  </r>
  <r>
    <n v="1528"/>
    <x v="1527"/>
    <n v="4.7916666666666663E-2"/>
    <n v="1559"/>
    <n v="66"/>
    <n v="55.37638888888889"/>
    <x v="1"/>
    <x v="2"/>
    <n v="0.8354166666666667"/>
    <s v="Fast"/>
    <x v="0"/>
    <n v="0"/>
    <x v="1"/>
    <x v="1"/>
  </r>
  <r>
    <n v="1529"/>
    <x v="1528"/>
    <n v="4.2361111111111106E-2"/>
    <n v="4482"/>
    <n v="376"/>
    <n v="64.166666666666671"/>
    <x v="2"/>
    <x v="1"/>
    <n v="1.7145833333333333"/>
    <s v="Slow"/>
    <x v="0"/>
    <n v="0"/>
    <x v="1"/>
    <x v="1"/>
  </r>
  <r>
    <n v="1530"/>
    <x v="1529"/>
    <n v="4.7222222222222221E-2"/>
    <n v="2194"/>
    <n v="438"/>
    <n v="63.006250000000001"/>
    <x v="0"/>
    <x v="0"/>
    <n v="1.0895833333333333"/>
    <s v="Fast"/>
    <x v="2"/>
    <n v="1"/>
    <x v="0"/>
    <x v="0"/>
  </r>
  <r>
    <n v="1531"/>
    <x v="1530"/>
    <n v="5.7638888888888885E-2"/>
    <n v="288"/>
    <n v="236"/>
    <n v="38"/>
    <x v="2"/>
    <x v="1"/>
    <n v="0.79583333333333339"/>
    <s v="Fast"/>
    <x v="2"/>
    <n v="0"/>
    <x v="1"/>
    <x v="1"/>
  </r>
  <r>
    <n v="1532"/>
    <x v="1531"/>
    <n v="4.5138888888888888E-2"/>
    <n v="266"/>
    <n v="473"/>
    <n v="37.625"/>
    <x v="1"/>
    <x v="0"/>
    <n v="0.38125000000000003"/>
    <s v="Fast"/>
    <x v="2"/>
    <n v="0"/>
    <x v="1"/>
    <x v="1"/>
  </r>
  <r>
    <n v="1533"/>
    <x v="1532"/>
    <n v="4.4444444444444446E-2"/>
    <n v="4713"/>
    <n v="347"/>
    <n v="70.754166666666663"/>
    <x v="3"/>
    <x v="1"/>
    <n v="1.1729166666666666"/>
    <s v="Fast"/>
    <x v="1"/>
    <n v="1"/>
    <x v="0"/>
    <x v="2"/>
  </r>
  <r>
    <n v="1534"/>
    <x v="1533"/>
    <n v="4.1666666666666664E-2"/>
    <n v="4804"/>
    <n v="307"/>
    <n v="8.5041666666666664"/>
    <x v="3"/>
    <x v="1"/>
    <n v="1.9215277777777777"/>
    <s v="Slow"/>
    <x v="2"/>
    <n v="1"/>
    <x v="0"/>
    <x v="2"/>
  </r>
  <r>
    <n v="1535"/>
    <x v="1534"/>
    <n v="5.1388888888888894E-2"/>
    <n v="3988"/>
    <n v="219"/>
    <n v="63.378472222222221"/>
    <x v="3"/>
    <x v="0"/>
    <n v="2.9590277777777776"/>
    <s v="Slow"/>
    <x v="0"/>
    <n v="0"/>
    <x v="1"/>
    <x v="1"/>
  </r>
  <r>
    <n v="1536"/>
    <x v="1535"/>
    <n v="4.3750000000000004E-2"/>
    <n v="2223"/>
    <n v="171"/>
    <n v="49.879861111111104"/>
    <x v="3"/>
    <x v="2"/>
    <n v="1.5"/>
    <s v="Fast"/>
    <x v="1"/>
    <n v="0"/>
    <x v="1"/>
    <x v="1"/>
  </r>
  <r>
    <n v="1537"/>
    <x v="1536"/>
    <n v="5.5555555555555558E-3"/>
    <n v="582"/>
    <n v="418"/>
    <n v="65.959027777777777"/>
    <x v="3"/>
    <x v="2"/>
    <n v="2.6722222222222225"/>
    <s v="Slow"/>
    <x v="0"/>
    <n v="0"/>
    <x v="1"/>
    <x v="1"/>
  </r>
  <r>
    <n v="1538"/>
    <x v="1537"/>
    <n v="6.1111111111111109E-2"/>
    <n v="2186"/>
    <n v="425"/>
    <n v="56.047222222222224"/>
    <x v="2"/>
    <x v="0"/>
    <n v="1.1256944444444443"/>
    <s v="Fast"/>
    <x v="2"/>
    <n v="1"/>
    <x v="0"/>
    <x v="0"/>
  </r>
  <r>
    <n v="1539"/>
    <x v="1538"/>
    <n v="5.4166666666666669E-2"/>
    <n v="2665"/>
    <n v="214"/>
    <n v="35.667361111111113"/>
    <x v="2"/>
    <x v="1"/>
    <n v="2.2118055555555558"/>
    <s v="Slow"/>
    <x v="1"/>
    <n v="0"/>
    <x v="1"/>
    <x v="1"/>
  </r>
  <r>
    <n v="1540"/>
    <x v="1539"/>
    <n v="4.5138888888888888E-2"/>
    <n v="2306"/>
    <n v="60"/>
    <n v="33.83958333333333"/>
    <x v="1"/>
    <x v="2"/>
    <n v="0.96458333333333324"/>
    <s v="Fast"/>
    <x v="0"/>
    <n v="0"/>
    <x v="1"/>
    <x v="1"/>
  </r>
  <r>
    <n v="1541"/>
    <x v="1540"/>
    <n v="5.6250000000000001E-2"/>
    <n v="264"/>
    <n v="299"/>
    <n v="80.668055555555554"/>
    <x v="3"/>
    <x v="1"/>
    <n v="1.1708333333333334"/>
    <s v="Fast"/>
    <x v="1"/>
    <n v="1"/>
    <x v="0"/>
    <x v="2"/>
  </r>
  <r>
    <n v="1542"/>
    <x v="1541"/>
    <n v="4.3750000000000004E-2"/>
    <n v="824"/>
    <n v="64"/>
    <n v="28.463194444444444"/>
    <x v="3"/>
    <x v="1"/>
    <n v="1.8812499999999999"/>
    <s v="Slow"/>
    <x v="1"/>
    <n v="0"/>
    <x v="1"/>
    <x v="1"/>
  </r>
  <r>
    <n v="1543"/>
    <x v="1542"/>
    <n v="6.1805555555555558E-2"/>
    <n v="2700"/>
    <n v="156"/>
    <n v="0.46319444444444446"/>
    <x v="0"/>
    <x v="1"/>
    <n v="1.8784722222222223"/>
    <s v="Slow"/>
    <x v="1"/>
    <n v="0"/>
    <x v="1"/>
    <x v="1"/>
  </r>
  <r>
    <n v="1544"/>
    <x v="1543"/>
    <n v="6.805555555555555E-2"/>
    <n v="3174"/>
    <n v="257"/>
    <n v="19.083333333333332"/>
    <x v="0"/>
    <x v="3"/>
    <n v="2.4229166666666666"/>
    <s v="Slow"/>
    <x v="1"/>
    <n v="1"/>
    <x v="0"/>
    <x v="0"/>
  </r>
  <r>
    <n v="1545"/>
    <x v="1544"/>
    <n v="4.3055555555555562E-2"/>
    <n v="365"/>
    <n v="83"/>
    <n v="26.380555555555556"/>
    <x v="3"/>
    <x v="1"/>
    <n v="1.377777777777778"/>
    <s v="Fast"/>
    <x v="2"/>
    <n v="1"/>
    <x v="0"/>
    <x v="2"/>
  </r>
  <r>
    <n v="1546"/>
    <x v="1545"/>
    <n v="5.7638888888888885E-2"/>
    <n v="805"/>
    <n v="335"/>
    <n v="33.047222222222224"/>
    <x v="0"/>
    <x v="2"/>
    <n v="0.4604166666666667"/>
    <s v="Fast"/>
    <x v="2"/>
    <n v="0"/>
    <x v="1"/>
    <x v="1"/>
  </r>
  <r>
    <n v="1547"/>
    <x v="1546"/>
    <n v="6.458333333333334E-2"/>
    <n v="3076"/>
    <n v="452"/>
    <n v="78.672916666666666"/>
    <x v="3"/>
    <x v="2"/>
    <n v="1.6708333333333334"/>
    <s v="Slow"/>
    <x v="0"/>
    <n v="0"/>
    <x v="1"/>
    <x v="1"/>
  </r>
  <r>
    <n v="1548"/>
    <x v="1547"/>
    <n v="5.9722222222222225E-2"/>
    <n v="3187"/>
    <n v="271"/>
    <n v="29.963194444444444"/>
    <x v="3"/>
    <x v="2"/>
    <n v="1.0020833333333334"/>
    <s v="Fast"/>
    <x v="2"/>
    <n v="1"/>
    <x v="0"/>
    <x v="0"/>
  </r>
  <r>
    <n v="1549"/>
    <x v="1548"/>
    <n v="4.5833333333333337E-2"/>
    <n v="3258"/>
    <n v="76"/>
    <n v="45.421527777777776"/>
    <x v="1"/>
    <x v="0"/>
    <n v="1.4625000000000001"/>
    <s v="Fast"/>
    <x v="0"/>
    <n v="0"/>
    <x v="1"/>
    <x v="1"/>
  </r>
  <r>
    <n v="1550"/>
    <x v="1549"/>
    <n v="4.3750000000000004E-2"/>
    <n v="319"/>
    <n v="189"/>
    <n v="4.7555555555555555"/>
    <x v="1"/>
    <x v="2"/>
    <n v="1.4173611111111111"/>
    <s v="Fast"/>
    <x v="0"/>
    <n v="0"/>
    <x v="1"/>
    <x v="1"/>
  </r>
  <r>
    <n v="1551"/>
    <x v="1550"/>
    <n v="5.4166666666666669E-2"/>
    <n v="3693"/>
    <n v="82"/>
    <n v="40.542361111111113"/>
    <x v="0"/>
    <x v="3"/>
    <n v="2.125"/>
    <s v="Slow"/>
    <x v="2"/>
    <n v="1"/>
    <x v="0"/>
    <x v="0"/>
  </r>
  <r>
    <n v="1552"/>
    <x v="1551"/>
    <n v="4.3055555555555562E-2"/>
    <n v="1155"/>
    <n v="109"/>
    <n v="54.129861111111104"/>
    <x v="1"/>
    <x v="1"/>
    <n v="0.16805555555555554"/>
    <s v="Fast"/>
    <x v="1"/>
    <n v="0"/>
    <x v="1"/>
    <x v="1"/>
  </r>
  <r>
    <n v="1553"/>
    <x v="1552"/>
    <n v="6.458333333333334E-2"/>
    <n v="3024"/>
    <n v="369"/>
    <n v="64.043055555555554"/>
    <x v="1"/>
    <x v="2"/>
    <n v="1.2131944444444445"/>
    <s v="Fast"/>
    <x v="1"/>
    <n v="0"/>
    <x v="1"/>
    <x v="1"/>
  </r>
  <r>
    <n v="1554"/>
    <x v="1553"/>
    <n v="5.6250000000000001E-2"/>
    <n v="3290"/>
    <n v="107"/>
    <n v="43.794444444444444"/>
    <x v="2"/>
    <x v="3"/>
    <n v="1.0444444444444445"/>
    <s v="Fast"/>
    <x v="0"/>
    <n v="1"/>
    <x v="0"/>
    <x v="0"/>
  </r>
  <r>
    <n v="1555"/>
    <x v="1554"/>
    <n v="5.0694444444444438E-2"/>
    <n v="2814"/>
    <n v="469"/>
    <n v="12.37638888888889"/>
    <x v="0"/>
    <x v="1"/>
    <n v="2.129861111111111"/>
    <s v="Slow"/>
    <x v="1"/>
    <n v="0"/>
    <x v="1"/>
    <x v="1"/>
  </r>
  <r>
    <n v="1556"/>
    <x v="1555"/>
    <n v="6.3194444444444442E-2"/>
    <n v="958"/>
    <n v="11"/>
    <n v="31.251388888888886"/>
    <x v="0"/>
    <x v="0"/>
    <n v="2.8361111111111108"/>
    <s v="Slow"/>
    <x v="1"/>
    <n v="0"/>
    <x v="1"/>
    <x v="1"/>
  </r>
  <r>
    <n v="1557"/>
    <x v="1556"/>
    <n v="4.7916666666666663E-2"/>
    <n v="3035"/>
    <n v="260"/>
    <n v="81.586805555555557"/>
    <x v="1"/>
    <x v="3"/>
    <n v="1.8368055555555556"/>
    <s v="Slow"/>
    <x v="0"/>
    <n v="0"/>
    <x v="1"/>
    <x v="1"/>
  </r>
  <r>
    <n v="1558"/>
    <x v="1557"/>
    <n v="5.6250000000000001E-2"/>
    <n v="2555"/>
    <n v="298"/>
    <n v="41.125694444444441"/>
    <x v="2"/>
    <x v="2"/>
    <n v="1.4201388888888891"/>
    <s v="Fast"/>
    <x v="0"/>
    <n v="0"/>
    <x v="1"/>
    <x v="1"/>
  </r>
  <r>
    <n v="1559"/>
    <x v="1558"/>
    <n v="5.5555555555555558E-3"/>
    <n v="3638"/>
    <n v="243"/>
    <n v="83.21319444444444"/>
    <x v="0"/>
    <x v="2"/>
    <n v="2.3381944444444445"/>
    <s v="Slow"/>
    <x v="0"/>
    <n v="0"/>
    <x v="1"/>
    <x v="1"/>
  </r>
  <r>
    <n v="1560"/>
    <x v="1559"/>
    <n v="4.4444444444444446E-2"/>
    <n v="373"/>
    <n v="110"/>
    <n v="11.464583333333332"/>
    <x v="2"/>
    <x v="1"/>
    <n v="2.963888888888889"/>
    <s v="Slow"/>
    <x v="2"/>
    <n v="1"/>
    <x v="0"/>
    <x v="2"/>
  </r>
  <r>
    <n v="1561"/>
    <x v="1560"/>
    <n v="6.3888888888888898E-2"/>
    <n v="2212"/>
    <n v="119"/>
    <n v="49.797222222222224"/>
    <x v="2"/>
    <x v="0"/>
    <n v="2.9187499999999997"/>
    <s v="Slow"/>
    <x v="0"/>
    <n v="0"/>
    <x v="1"/>
    <x v="1"/>
  </r>
  <r>
    <n v="1562"/>
    <x v="1561"/>
    <n v="6.1111111111111109E-2"/>
    <n v="975"/>
    <n v="273"/>
    <n v="75.922222222222231"/>
    <x v="3"/>
    <x v="3"/>
    <n v="0.41944444444444445"/>
    <s v="Fast"/>
    <x v="0"/>
    <n v="0"/>
    <x v="1"/>
    <x v="1"/>
  </r>
  <r>
    <n v="1563"/>
    <x v="1562"/>
    <n v="4.7222222222222221E-2"/>
    <n v="1884"/>
    <n v="8"/>
    <n v="21.464583333333334"/>
    <x v="2"/>
    <x v="3"/>
    <n v="4.3750000000000004E-2"/>
    <s v="Fast"/>
    <x v="0"/>
    <n v="0"/>
    <x v="1"/>
    <x v="1"/>
  </r>
  <r>
    <n v="1564"/>
    <x v="1563"/>
    <n v="5.3472222222222227E-2"/>
    <n v="2800"/>
    <n v="100"/>
    <n v="78.797916666666666"/>
    <x v="2"/>
    <x v="0"/>
    <n v="1.7104166666666665"/>
    <s v="Slow"/>
    <x v="0"/>
    <n v="0"/>
    <x v="1"/>
    <x v="1"/>
  </r>
  <r>
    <n v="1565"/>
    <x v="1564"/>
    <n v="4.9999999999999996E-2"/>
    <n v="1635"/>
    <n v="63"/>
    <n v="36.337499999999999"/>
    <x v="2"/>
    <x v="2"/>
    <n v="1.3361111111111112"/>
    <s v="Fast"/>
    <x v="2"/>
    <n v="0"/>
    <x v="1"/>
    <x v="1"/>
  </r>
  <r>
    <n v="1566"/>
    <x v="1565"/>
    <n v="6.7361111111111108E-2"/>
    <n v="2262"/>
    <n v="122"/>
    <n v="68.422222222222231"/>
    <x v="2"/>
    <x v="2"/>
    <n v="1.5048611111111112"/>
    <s v="Slow"/>
    <x v="1"/>
    <n v="0"/>
    <x v="1"/>
    <x v="1"/>
  </r>
  <r>
    <n v="1567"/>
    <x v="1566"/>
    <n v="6.0416666666666667E-2"/>
    <n v="772"/>
    <n v="21"/>
    <n v="22.422916666666666"/>
    <x v="3"/>
    <x v="1"/>
    <n v="2.2506944444444446"/>
    <s v="Slow"/>
    <x v="1"/>
    <n v="0"/>
    <x v="1"/>
    <x v="1"/>
  </r>
  <r>
    <n v="1568"/>
    <x v="1567"/>
    <n v="6.805555555555555E-2"/>
    <n v="3580"/>
    <n v="416"/>
    <n v="75.834027777777777"/>
    <x v="2"/>
    <x v="3"/>
    <n v="0.2951388888888889"/>
    <s v="Fast"/>
    <x v="1"/>
    <n v="0"/>
    <x v="1"/>
    <x v="1"/>
  </r>
  <r>
    <n v="1569"/>
    <x v="1568"/>
    <n v="6.3194444444444442E-2"/>
    <n v="2647"/>
    <n v="5"/>
    <n v="64.670833333333334"/>
    <x v="1"/>
    <x v="0"/>
    <n v="0.42083333333333334"/>
    <s v="Fast"/>
    <x v="1"/>
    <n v="1"/>
    <x v="0"/>
    <x v="0"/>
  </r>
  <r>
    <n v="1570"/>
    <x v="1569"/>
    <n v="6.3888888888888898E-2"/>
    <n v="4245"/>
    <n v="105"/>
    <n v="14.338194444444445"/>
    <x v="1"/>
    <x v="3"/>
    <n v="2.1270833333333332"/>
    <s v="Slow"/>
    <x v="1"/>
    <n v="0"/>
    <x v="1"/>
    <x v="1"/>
  </r>
  <r>
    <n v="1571"/>
    <x v="1570"/>
    <n v="4.9999999999999996E-2"/>
    <n v="4507"/>
    <n v="215"/>
    <n v="38.96458333333333"/>
    <x v="1"/>
    <x v="0"/>
    <n v="2.9222222222222225"/>
    <s v="Slow"/>
    <x v="2"/>
    <n v="1"/>
    <x v="0"/>
    <x v="0"/>
  </r>
  <r>
    <n v="1572"/>
    <x v="1571"/>
    <n v="6.5277777777777782E-2"/>
    <n v="1749"/>
    <n v="330"/>
    <n v="46.922222222222224"/>
    <x v="3"/>
    <x v="0"/>
    <n v="2.0020833333333332"/>
    <s v="Slow"/>
    <x v="0"/>
    <n v="0"/>
    <x v="1"/>
    <x v="1"/>
  </r>
  <r>
    <n v="1573"/>
    <x v="1572"/>
    <n v="5.0694444444444438E-2"/>
    <n v="3727"/>
    <n v="190"/>
    <n v="19.043749999999999"/>
    <x v="2"/>
    <x v="3"/>
    <n v="0.17291666666666669"/>
    <s v="Fast"/>
    <x v="1"/>
    <n v="0"/>
    <x v="1"/>
    <x v="1"/>
  </r>
  <r>
    <n v="1574"/>
    <x v="1573"/>
    <n v="6.458333333333334E-2"/>
    <n v="4023"/>
    <n v="277"/>
    <n v="44.045138888888886"/>
    <x v="3"/>
    <x v="1"/>
    <n v="0.54652777777777783"/>
    <s v="Fast"/>
    <x v="0"/>
    <n v="0"/>
    <x v="1"/>
    <x v="1"/>
  </r>
  <r>
    <n v="1575"/>
    <x v="1574"/>
    <n v="6.1111111111111109E-2"/>
    <n v="2546"/>
    <n v="463"/>
    <n v="8.3347222222222221"/>
    <x v="3"/>
    <x v="1"/>
    <n v="2.9215277777777775"/>
    <s v="Slow"/>
    <x v="0"/>
    <n v="0"/>
    <x v="1"/>
    <x v="1"/>
  </r>
  <r>
    <n v="1576"/>
    <x v="1575"/>
    <n v="5.5555555555555558E-3"/>
    <n v="795"/>
    <n v="78"/>
    <n v="66.463888888888889"/>
    <x v="0"/>
    <x v="3"/>
    <n v="2.9229166666666671"/>
    <s v="Slow"/>
    <x v="0"/>
    <n v="0"/>
    <x v="1"/>
    <x v="1"/>
  </r>
  <r>
    <n v="1577"/>
    <x v="1576"/>
    <n v="4.6527777777777779E-2"/>
    <n v="917"/>
    <n v="173"/>
    <n v="27.336111111111112"/>
    <x v="1"/>
    <x v="1"/>
    <n v="0.1277777777777778"/>
    <s v="Fast"/>
    <x v="1"/>
    <n v="0"/>
    <x v="1"/>
    <x v="1"/>
  </r>
  <r>
    <n v="1578"/>
    <x v="1577"/>
    <n v="5.8333333333333327E-2"/>
    <n v="4219"/>
    <n v="324"/>
    <n v="4.5437500000000002"/>
    <x v="3"/>
    <x v="1"/>
    <n v="8.9583333333333334E-2"/>
    <s v="Fast"/>
    <x v="1"/>
    <n v="1"/>
    <x v="0"/>
    <x v="2"/>
  </r>
  <r>
    <n v="1579"/>
    <x v="1578"/>
    <n v="5.9027777777777783E-2"/>
    <n v="2008"/>
    <n v="196"/>
    <n v="54.794444444444444"/>
    <x v="2"/>
    <x v="2"/>
    <n v="1.0868055555555556"/>
    <s v="Fast"/>
    <x v="2"/>
    <n v="0"/>
    <x v="1"/>
    <x v="1"/>
  </r>
  <r>
    <n v="1580"/>
    <x v="1579"/>
    <n v="6.0416666666666667E-2"/>
    <n v="2393"/>
    <n v="433"/>
    <n v="9.8381944444444454"/>
    <x v="2"/>
    <x v="3"/>
    <n v="1.8770833333333332"/>
    <s v="Slow"/>
    <x v="0"/>
    <n v="0"/>
    <x v="1"/>
    <x v="1"/>
  </r>
  <r>
    <n v="1581"/>
    <x v="1580"/>
    <n v="4.3750000000000004E-2"/>
    <n v="1212"/>
    <n v="461"/>
    <n v="76.629861111111111"/>
    <x v="3"/>
    <x v="0"/>
    <n v="2.5465277777777779"/>
    <s v="Slow"/>
    <x v="1"/>
    <n v="0"/>
    <x v="1"/>
    <x v="1"/>
  </r>
  <r>
    <n v="1582"/>
    <x v="1581"/>
    <n v="4.8611111111111112E-3"/>
    <n v="2744"/>
    <n v="466"/>
    <n v="70.002083333333331"/>
    <x v="1"/>
    <x v="0"/>
    <n v="0.95833333333333337"/>
    <s v="Fast"/>
    <x v="0"/>
    <n v="0"/>
    <x v="1"/>
    <x v="1"/>
  </r>
  <r>
    <n v="1583"/>
    <x v="1582"/>
    <n v="5.6944444444444443E-2"/>
    <n v="2434"/>
    <n v="325"/>
    <n v="32.37916666666667"/>
    <x v="1"/>
    <x v="3"/>
    <n v="2.8763888888888887"/>
    <s v="Slow"/>
    <x v="2"/>
    <n v="0"/>
    <x v="1"/>
    <x v="1"/>
  </r>
  <r>
    <n v="1584"/>
    <x v="1583"/>
    <n v="6.5277777777777782E-2"/>
    <n v="217"/>
    <n v="324"/>
    <n v="67.542361111111106"/>
    <x v="0"/>
    <x v="1"/>
    <n v="2.0013888888888887"/>
    <s v="Slow"/>
    <x v="2"/>
    <n v="1"/>
    <x v="0"/>
    <x v="2"/>
  </r>
  <r>
    <n v="1585"/>
    <x v="1584"/>
    <n v="4.7916666666666663E-2"/>
    <n v="4423"/>
    <n v="145"/>
    <n v="76.881250000000009"/>
    <x v="3"/>
    <x v="3"/>
    <n v="0.50277777777777777"/>
    <s v="Fast"/>
    <x v="1"/>
    <n v="0"/>
    <x v="1"/>
    <x v="1"/>
  </r>
  <r>
    <n v="1586"/>
    <x v="1585"/>
    <n v="6.6666666666666666E-2"/>
    <n v="2654"/>
    <n v="370"/>
    <n v="79.753472222222214"/>
    <x v="0"/>
    <x v="0"/>
    <n v="1.4625000000000001"/>
    <s v="Fast"/>
    <x v="0"/>
    <n v="0"/>
    <x v="1"/>
    <x v="1"/>
  </r>
  <r>
    <n v="1587"/>
    <x v="1586"/>
    <n v="6.8749999999999992E-2"/>
    <n v="1430"/>
    <n v="109"/>
    <n v="27.088194444444444"/>
    <x v="3"/>
    <x v="2"/>
    <n v="1.5013888888888889"/>
    <s v="Slow"/>
    <x v="1"/>
    <n v="1"/>
    <x v="0"/>
    <x v="0"/>
  </r>
  <r>
    <n v="1588"/>
    <x v="1587"/>
    <n v="4.4444444444444446E-2"/>
    <n v="4111"/>
    <n v="136"/>
    <n v="14.211805555555555"/>
    <x v="3"/>
    <x v="2"/>
    <n v="0.54166666666666663"/>
    <s v="Fast"/>
    <x v="2"/>
    <n v="1"/>
    <x v="0"/>
    <x v="0"/>
  </r>
  <r>
    <n v="1589"/>
    <x v="1588"/>
    <n v="6.1805555555555558E-2"/>
    <n v="2239"/>
    <n v="408"/>
    <n v="0.79791666666666661"/>
    <x v="1"/>
    <x v="2"/>
    <n v="0.54375000000000007"/>
    <s v="Fast"/>
    <x v="0"/>
    <n v="1"/>
    <x v="0"/>
    <x v="0"/>
  </r>
  <r>
    <n v="1590"/>
    <x v="1589"/>
    <n v="5.2777777777777778E-2"/>
    <n v="540"/>
    <n v="376"/>
    <n v="32.172222222222224"/>
    <x v="1"/>
    <x v="3"/>
    <n v="2.7520833333333332"/>
    <s v="Slow"/>
    <x v="1"/>
    <n v="0"/>
    <x v="1"/>
    <x v="1"/>
  </r>
  <r>
    <n v="1591"/>
    <x v="1590"/>
    <n v="4.5833333333333337E-2"/>
    <n v="378"/>
    <n v="271"/>
    <n v="10.920138888888888"/>
    <x v="2"/>
    <x v="3"/>
    <n v="0.21458333333333335"/>
    <s v="Fast"/>
    <x v="2"/>
    <n v="0"/>
    <x v="1"/>
    <x v="1"/>
  </r>
  <r>
    <n v="1592"/>
    <x v="1591"/>
    <n v="4.7916666666666663E-2"/>
    <n v="2542"/>
    <n v="308"/>
    <n v="48.667361111111113"/>
    <x v="2"/>
    <x v="3"/>
    <n v="1.1256944444444443"/>
    <s v="Fast"/>
    <x v="0"/>
    <n v="0"/>
    <x v="1"/>
    <x v="1"/>
  </r>
  <r>
    <n v="1593"/>
    <x v="1592"/>
    <n v="5.1388888888888894E-2"/>
    <n v="411"/>
    <n v="413"/>
    <n v="72.836111111111109"/>
    <x v="2"/>
    <x v="0"/>
    <n v="0.92222222222222217"/>
    <s v="Fast"/>
    <x v="0"/>
    <n v="1"/>
    <x v="0"/>
    <x v="0"/>
  </r>
  <r>
    <n v="1594"/>
    <x v="1593"/>
    <n v="4.2361111111111106E-2"/>
    <n v="4517"/>
    <n v="275"/>
    <n v="26.714583333333334"/>
    <x v="1"/>
    <x v="3"/>
    <n v="2.1687499999999997"/>
    <s v="Slow"/>
    <x v="0"/>
    <n v="0"/>
    <x v="1"/>
    <x v="1"/>
  </r>
  <r>
    <n v="1595"/>
    <x v="1594"/>
    <n v="6.1111111111111109E-2"/>
    <n v="182"/>
    <n v="431"/>
    <n v="60.213888888888896"/>
    <x v="0"/>
    <x v="0"/>
    <n v="0.50208333333333333"/>
    <s v="Fast"/>
    <x v="0"/>
    <n v="0"/>
    <x v="1"/>
    <x v="1"/>
  </r>
  <r>
    <n v="1596"/>
    <x v="1595"/>
    <n v="5.4166666666666669E-2"/>
    <n v="3870"/>
    <n v="237"/>
    <n v="43.87638888888889"/>
    <x v="0"/>
    <x v="1"/>
    <n v="0.17152777777777775"/>
    <s v="Fast"/>
    <x v="0"/>
    <n v="0"/>
    <x v="1"/>
    <x v="1"/>
  </r>
  <r>
    <n v="1597"/>
    <x v="1596"/>
    <n v="5.1388888888888894E-2"/>
    <n v="1496"/>
    <n v="101"/>
    <n v="18.795138888888889"/>
    <x v="0"/>
    <x v="2"/>
    <n v="1.0479166666666666"/>
    <s v="Fast"/>
    <x v="2"/>
    <n v="0"/>
    <x v="1"/>
    <x v="1"/>
  </r>
  <r>
    <n v="1598"/>
    <x v="1597"/>
    <n v="6.5972222222222224E-2"/>
    <n v="1197"/>
    <n v="439"/>
    <n v="1.0875000000000001"/>
    <x v="1"/>
    <x v="0"/>
    <n v="1.1270833333333334"/>
    <s v="Fast"/>
    <x v="2"/>
    <n v="0"/>
    <x v="1"/>
    <x v="1"/>
  </r>
  <r>
    <n v="1599"/>
    <x v="1598"/>
    <n v="6.8749999999999992E-2"/>
    <n v="2685"/>
    <n v="205"/>
    <n v="67.422222222222231"/>
    <x v="1"/>
    <x v="2"/>
    <n v="1.4215277777777777"/>
    <s v="Fast"/>
    <x v="2"/>
    <n v="0"/>
    <x v="1"/>
    <x v="1"/>
  </r>
  <r>
    <n v="1600"/>
    <x v="1599"/>
    <n v="5.4166666666666669E-2"/>
    <n v="3047"/>
    <n v="449"/>
    <n v="52.047222222222224"/>
    <x v="0"/>
    <x v="0"/>
    <n v="2.0006944444444446"/>
    <s v="Slow"/>
    <x v="1"/>
    <n v="0"/>
    <x v="1"/>
    <x v="1"/>
  </r>
  <r>
    <n v="1601"/>
    <x v="1600"/>
    <n v="4.9999999999999996E-2"/>
    <n v="259"/>
    <n v="120"/>
    <n v="70.504861111111111"/>
    <x v="0"/>
    <x v="2"/>
    <n v="2.2118055555555558"/>
    <s v="Slow"/>
    <x v="0"/>
    <n v="1"/>
    <x v="0"/>
    <x v="0"/>
  </r>
  <r>
    <n v="1602"/>
    <x v="1601"/>
    <n v="5.8333333333333327E-2"/>
    <n v="1203"/>
    <n v="304"/>
    <n v="5.2951388888888884"/>
    <x v="1"/>
    <x v="3"/>
    <n v="1.1263888888888889"/>
    <s v="Fast"/>
    <x v="1"/>
    <n v="0"/>
    <x v="1"/>
    <x v="1"/>
  </r>
  <r>
    <n v="1603"/>
    <x v="1602"/>
    <n v="5.2777777777777778E-2"/>
    <n v="1671"/>
    <n v="440"/>
    <n v="27.129166666666666"/>
    <x v="3"/>
    <x v="2"/>
    <n v="1.91875"/>
    <s v="Slow"/>
    <x v="2"/>
    <n v="0"/>
    <x v="1"/>
    <x v="1"/>
  </r>
  <r>
    <n v="1604"/>
    <x v="1603"/>
    <n v="6.6666666666666666E-2"/>
    <n v="2547"/>
    <n v="258"/>
    <n v="20.500694444444445"/>
    <x v="1"/>
    <x v="3"/>
    <n v="1.4625000000000001"/>
    <s v="Fast"/>
    <x v="2"/>
    <n v="0"/>
    <x v="1"/>
    <x v="1"/>
  </r>
  <r>
    <n v="1605"/>
    <x v="1604"/>
    <n v="4.9999999999999996E-2"/>
    <n v="848"/>
    <n v="392"/>
    <n v="6.2951388888888893"/>
    <x v="1"/>
    <x v="0"/>
    <n v="4.6527777777777779E-2"/>
    <s v="Fast"/>
    <x v="2"/>
    <n v="0"/>
    <x v="1"/>
    <x v="1"/>
  </r>
  <r>
    <n v="1606"/>
    <x v="1605"/>
    <n v="4.5138888888888888E-2"/>
    <n v="454"/>
    <n v="11"/>
    <n v="17.755555555555556"/>
    <x v="2"/>
    <x v="2"/>
    <n v="2.6291666666666669"/>
    <s v="Slow"/>
    <x v="2"/>
    <n v="0"/>
    <x v="1"/>
    <x v="1"/>
  </r>
  <r>
    <n v="1607"/>
    <x v="1606"/>
    <n v="4.2361111111111106E-2"/>
    <n v="2584"/>
    <n v="145"/>
    <n v="33.461111111111116"/>
    <x v="3"/>
    <x v="0"/>
    <n v="1.7131944444444445"/>
    <s v="Slow"/>
    <x v="2"/>
    <n v="0"/>
    <x v="1"/>
    <x v="1"/>
  </r>
  <r>
    <n v="1608"/>
    <x v="1607"/>
    <n v="4.6527777777777779E-2"/>
    <n v="2280"/>
    <n v="322"/>
    <n v="31.714583333333334"/>
    <x v="2"/>
    <x v="3"/>
    <n v="1.3333333333333333"/>
    <s v="Fast"/>
    <x v="0"/>
    <n v="0"/>
    <x v="1"/>
    <x v="1"/>
  </r>
  <r>
    <n v="1609"/>
    <x v="1608"/>
    <n v="4.4444444444444446E-2"/>
    <n v="303"/>
    <n v="22"/>
    <n v="48.585416666666667"/>
    <x v="2"/>
    <x v="3"/>
    <n v="1.3361111111111112"/>
    <s v="Fast"/>
    <x v="2"/>
    <n v="1"/>
    <x v="0"/>
    <x v="0"/>
  </r>
  <r>
    <n v="1610"/>
    <x v="1609"/>
    <n v="6.6666666666666666E-2"/>
    <n v="1821"/>
    <n v="377"/>
    <n v="4.7104166666666663"/>
    <x v="0"/>
    <x v="0"/>
    <n v="1.3798611111111112"/>
    <s v="Fast"/>
    <x v="2"/>
    <n v="1"/>
    <x v="0"/>
    <x v="0"/>
  </r>
  <r>
    <n v="1611"/>
    <x v="1610"/>
    <n v="6.0416666666666667E-2"/>
    <n v="2987"/>
    <n v="439"/>
    <n v="39.541666666666664"/>
    <x v="3"/>
    <x v="3"/>
    <n v="1.6722222222222223"/>
    <s v="Slow"/>
    <x v="2"/>
    <n v="1"/>
    <x v="0"/>
    <x v="0"/>
  </r>
  <r>
    <n v="1612"/>
    <x v="1611"/>
    <n v="5.7638888888888885E-2"/>
    <n v="1499"/>
    <n v="442"/>
    <n v="12.922916666666666"/>
    <x v="2"/>
    <x v="2"/>
    <n v="0.79375000000000007"/>
    <s v="Fast"/>
    <x v="0"/>
    <n v="0"/>
    <x v="1"/>
    <x v="1"/>
  </r>
  <r>
    <n v="1613"/>
    <x v="1612"/>
    <n v="6.805555555555555E-2"/>
    <n v="4320"/>
    <n v="457"/>
    <n v="38.50416666666667"/>
    <x v="1"/>
    <x v="2"/>
    <n v="1.8798611111111112"/>
    <s v="Slow"/>
    <x v="0"/>
    <n v="0"/>
    <x v="1"/>
    <x v="1"/>
  </r>
  <r>
    <n v="1614"/>
    <x v="1613"/>
    <n v="5.9027777777777783E-2"/>
    <n v="1443"/>
    <n v="219"/>
    <n v="13.127083333333333"/>
    <x v="3"/>
    <x v="2"/>
    <n v="2.2506944444444446"/>
    <s v="Slow"/>
    <x v="1"/>
    <n v="0"/>
    <x v="1"/>
    <x v="1"/>
  </r>
  <r>
    <n v="1615"/>
    <x v="1614"/>
    <n v="6.1111111111111109E-2"/>
    <n v="1088"/>
    <n v="134"/>
    <n v="21.546527777777779"/>
    <x v="0"/>
    <x v="2"/>
    <n v="1"/>
    <s v="Fast"/>
    <x v="0"/>
    <n v="1"/>
    <x v="0"/>
    <x v="0"/>
  </r>
  <r>
    <n v="1616"/>
    <x v="1615"/>
    <n v="4.5833333333333337E-2"/>
    <n v="1503"/>
    <n v="424"/>
    <n v="1.16875"/>
    <x v="1"/>
    <x v="3"/>
    <n v="0.79166666666666663"/>
    <s v="Fast"/>
    <x v="1"/>
    <n v="0"/>
    <x v="1"/>
    <x v="1"/>
  </r>
  <r>
    <n v="1617"/>
    <x v="1616"/>
    <n v="4.9999999999999996E-2"/>
    <n v="659"/>
    <n v="493"/>
    <n v="55.83680555555555"/>
    <x v="0"/>
    <x v="2"/>
    <n v="1.7972222222222223"/>
    <s v="Slow"/>
    <x v="2"/>
    <n v="0"/>
    <x v="1"/>
    <x v="1"/>
  </r>
  <r>
    <n v="1618"/>
    <x v="1617"/>
    <n v="5.9027777777777783E-2"/>
    <n v="4776"/>
    <n v="78"/>
    <n v="24.046527777777779"/>
    <x v="1"/>
    <x v="2"/>
    <n v="2.5437499999999997"/>
    <s v="Slow"/>
    <x v="1"/>
    <n v="0"/>
    <x v="1"/>
    <x v="1"/>
  </r>
  <r>
    <n v="1619"/>
    <x v="1618"/>
    <n v="6.458333333333334E-2"/>
    <n v="4273"/>
    <n v="186"/>
    <n v="3.4645833333333336"/>
    <x v="2"/>
    <x v="3"/>
    <n v="1.0840277777777778"/>
    <s v="Fast"/>
    <x v="2"/>
    <n v="0"/>
    <x v="1"/>
    <x v="1"/>
  </r>
  <r>
    <n v="1620"/>
    <x v="1619"/>
    <n v="4.9305555555555554E-2"/>
    <n v="440"/>
    <n v="179"/>
    <n v="31.75277777777778"/>
    <x v="3"/>
    <x v="0"/>
    <n v="2.9208333333333329"/>
    <s v="Slow"/>
    <x v="1"/>
    <n v="0"/>
    <x v="1"/>
    <x v="1"/>
  </r>
  <r>
    <n v="1621"/>
    <x v="1620"/>
    <n v="5.4166666666666669E-2"/>
    <n v="1683"/>
    <n v="410"/>
    <n v="33.630555555555553"/>
    <x v="0"/>
    <x v="3"/>
    <n v="1.7145833333333333"/>
    <s v="Slow"/>
    <x v="1"/>
    <n v="0"/>
    <x v="1"/>
    <x v="1"/>
  </r>
  <r>
    <n v="1622"/>
    <x v="1621"/>
    <n v="4.9305555555555554E-2"/>
    <n v="392"/>
    <n v="420"/>
    <n v="77.959027777777777"/>
    <x v="3"/>
    <x v="1"/>
    <n v="0.83958333333333324"/>
    <s v="Fast"/>
    <x v="0"/>
    <n v="1"/>
    <x v="0"/>
    <x v="2"/>
  </r>
  <r>
    <n v="1623"/>
    <x v="1622"/>
    <n v="4.9999999999999996E-2"/>
    <n v="3527"/>
    <n v="389"/>
    <n v="48.291666666666664"/>
    <x v="2"/>
    <x v="2"/>
    <n v="0.96319444444444446"/>
    <s v="Fast"/>
    <x v="0"/>
    <n v="0"/>
    <x v="1"/>
    <x v="1"/>
  </r>
  <r>
    <n v="1624"/>
    <x v="1623"/>
    <n v="5.7638888888888885E-2"/>
    <n v="2095"/>
    <n v="254"/>
    <n v="6.2527777777777773"/>
    <x v="3"/>
    <x v="0"/>
    <n v="1.5416666666666667"/>
    <s v="Slow"/>
    <x v="0"/>
    <n v="0"/>
    <x v="1"/>
    <x v="1"/>
  </r>
  <r>
    <n v="1625"/>
    <x v="1624"/>
    <n v="6.7361111111111108E-2"/>
    <n v="1673"/>
    <n v="72"/>
    <n v="0.29305555555555557"/>
    <x v="3"/>
    <x v="0"/>
    <n v="1.2125000000000001"/>
    <s v="Fast"/>
    <x v="0"/>
    <n v="0"/>
    <x v="1"/>
    <x v="1"/>
  </r>
  <r>
    <n v="1626"/>
    <x v="1625"/>
    <n v="6.8749999999999992E-2"/>
    <n v="3267"/>
    <n v="101"/>
    <n v="59.418055555555554"/>
    <x v="1"/>
    <x v="1"/>
    <n v="1.6715277777777777"/>
    <s v="Slow"/>
    <x v="2"/>
    <n v="0"/>
    <x v="1"/>
    <x v="1"/>
  </r>
  <r>
    <n v="1627"/>
    <x v="1626"/>
    <n v="5.7638888888888885E-2"/>
    <n v="1531"/>
    <n v="290"/>
    <n v="36.963194444444447"/>
    <x v="2"/>
    <x v="3"/>
    <n v="0.125"/>
    <s v="Fast"/>
    <x v="0"/>
    <n v="1"/>
    <x v="0"/>
    <x v="0"/>
  </r>
  <r>
    <n v="1628"/>
    <x v="1627"/>
    <n v="4.2361111111111106E-2"/>
    <n v="4532"/>
    <n v="255"/>
    <n v="81.918750000000003"/>
    <x v="0"/>
    <x v="1"/>
    <n v="2.6277777777777778"/>
    <s v="Slow"/>
    <x v="0"/>
    <n v="0"/>
    <x v="1"/>
    <x v="1"/>
  </r>
  <r>
    <n v="1629"/>
    <x v="1628"/>
    <n v="4.9305555555555554E-2"/>
    <n v="1578"/>
    <n v="140"/>
    <n v="67.084027777777777"/>
    <x v="0"/>
    <x v="1"/>
    <n v="2.4611111111111112"/>
    <s v="Slow"/>
    <x v="0"/>
    <n v="1"/>
    <x v="0"/>
    <x v="2"/>
  </r>
  <r>
    <n v="1630"/>
    <x v="1629"/>
    <n v="5.9722222222222225E-2"/>
    <n v="2459"/>
    <n v="495"/>
    <n v="21.047222222222221"/>
    <x v="0"/>
    <x v="3"/>
    <n v="1.8340277777777778"/>
    <s v="Slow"/>
    <x v="1"/>
    <n v="0"/>
    <x v="1"/>
    <x v="1"/>
  </r>
  <r>
    <n v="1631"/>
    <x v="1630"/>
    <n v="6.7361111111111108E-2"/>
    <n v="2903"/>
    <n v="246"/>
    <n v="61.712499999999999"/>
    <x v="0"/>
    <x v="2"/>
    <n v="1.0423611111111111"/>
    <s v="Fast"/>
    <x v="1"/>
    <n v="1"/>
    <x v="0"/>
    <x v="0"/>
  </r>
  <r>
    <n v="1632"/>
    <x v="1631"/>
    <n v="4.5833333333333337E-2"/>
    <n v="1419"/>
    <n v="479"/>
    <n v="51.333333333333336"/>
    <x v="3"/>
    <x v="2"/>
    <n v="2.9208333333333329"/>
    <s v="Slow"/>
    <x v="2"/>
    <n v="1"/>
    <x v="0"/>
    <x v="0"/>
  </r>
  <r>
    <n v="1633"/>
    <x v="1632"/>
    <n v="6.458333333333334E-2"/>
    <n v="2657"/>
    <n v="104"/>
    <n v="52.586111111111109"/>
    <x v="0"/>
    <x v="3"/>
    <n v="2.5895833333333331"/>
    <s v="Slow"/>
    <x v="1"/>
    <n v="1"/>
    <x v="0"/>
    <x v="0"/>
  </r>
  <r>
    <n v="1634"/>
    <x v="1633"/>
    <n v="6.5972222222222224E-2"/>
    <n v="1572"/>
    <n v="274"/>
    <n v="70.334027777777777"/>
    <x v="2"/>
    <x v="3"/>
    <n v="1.9208333333333334"/>
    <s v="Slow"/>
    <x v="0"/>
    <n v="0"/>
    <x v="1"/>
    <x v="1"/>
  </r>
  <r>
    <n v="1635"/>
    <x v="1634"/>
    <n v="4.4444444444444446E-2"/>
    <n v="2754"/>
    <n v="9"/>
    <n v="37.797916666666666"/>
    <x v="3"/>
    <x v="3"/>
    <n v="1.4638888888888888"/>
    <s v="Fast"/>
    <x v="0"/>
    <n v="0"/>
    <x v="1"/>
    <x v="1"/>
  </r>
  <r>
    <n v="1636"/>
    <x v="1635"/>
    <n v="6.6666666666666666E-2"/>
    <n v="2875"/>
    <n v="362"/>
    <n v="1.5423611111111111"/>
    <x v="2"/>
    <x v="0"/>
    <n v="0.92222222222222217"/>
    <s v="Fast"/>
    <x v="2"/>
    <n v="1"/>
    <x v="0"/>
    <x v="0"/>
  </r>
  <r>
    <n v="1637"/>
    <x v="1636"/>
    <n v="5.8333333333333327E-2"/>
    <n v="2616"/>
    <n v="82"/>
    <n v="44.002777777777773"/>
    <x v="2"/>
    <x v="2"/>
    <n v="0.54236111111111118"/>
    <s v="Fast"/>
    <x v="0"/>
    <n v="0"/>
    <x v="1"/>
    <x v="1"/>
  </r>
  <r>
    <n v="1638"/>
    <x v="1637"/>
    <n v="6.5277777777777782E-2"/>
    <n v="2807"/>
    <n v="142"/>
    <n v="54.797222222222224"/>
    <x v="3"/>
    <x v="1"/>
    <n v="0.83819444444444446"/>
    <s v="Fast"/>
    <x v="1"/>
    <n v="0"/>
    <x v="1"/>
    <x v="1"/>
  </r>
  <r>
    <n v="1639"/>
    <x v="1638"/>
    <n v="6.0416666666666667E-2"/>
    <n v="3989"/>
    <n v="384"/>
    <n v="6.1277777777777773"/>
    <x v="2"/>
    <x v="0"/>
    <n v="8.8888888888888892E-2"/>
    <s v="Fast"/>
    <x v="1"/>
    <n v="1"/>
    <x v="0"/>
    <x v="0"/>
  </r>
  <r>
    <n v="1640"/>
    <x v="1639"/>
    <n v="6.0416666666666667E-2"/>
    <n v="1971"/>
    <n v="142"/>
    <n v="11.668750000000001"/>
    <x v="2"/>
    <x v="2"/>
    <n v="2.8354166666666667"/>
    <s v="Slow"/>
    <x v="1"/>
    <n v="1"/>
    <x v="0"/>
    <x v="0"/>
  </r>
  <r>
    <n v="1641"/>
    <x v="1640"/>
    <n v="6.5972222222222224E-2"/>
    <n v="2289"/>
    <n v="453"/>
    <n v="75.713888888888889"/>
    <x v="3"/>
    <x v="3"/>
    <n v="2.2527777777777778"/>
    <s v="Slow"/>
    <x v="2"/>
    <n v="0"/>
    <x v="1"/>
    <x v="1"/>
  </r>
  <r>
    <n v="1642"/>
    <x v="1641"/>
    <n v="6.3194444444444442E-2"/>
    <n v="3074"/>
    <n v="173"/>
    <n v="74.75277777777778"/>
    <x v="0"/>
    <x v="3"/>
    <n v="1.0430555555555556"/>
    <s v="Fast"/>
    <x v="2"/>
    <n v="0"/>
    <x v="1"/>
    <x v="1"/>
  </r>
  <r>
    <n v="1643"/>
    <x v="1642"/>
    <n v="5.2777777777777778E-2"/>
    <n v="1333"/>
    <n v="488"/>
    <n v="14.2125"/>
    <x v="3"/>
    <x v="3"/>
    <n v="1.2534722222222221"/>
    <s v="Fast"/>
    <x v="0"/>
    <n v="0"/>
    <x v="1"/>
    <x v="1"/>
  </r>
  <r>
    <n v="1644"/>
    <x v="1643"/>
    <n v="5.2083333333333336E-2"/>
    <n v="4680"/>
    <n v="35"/>
    <n v="69.879861111111111"/>
    <x v="0"/>
    <x v="3"/>
    <n v="2.4618055555555558"/>
    <s v="Slow"/>
    <x v="1"/>
    <n v="0"/>
    <x v="1"/>
    <x v="1"/>
  </r>
  <r>
    <n v="1645"/>
    <x v="1644"/>
    <n v="6.8749999999999992E-2"/>
    <n v="1577"/>
    <n v="7"/>
    <n v="75.171527777777769"/>
    <x v="2"/>
    <x v="2"/>
    <n v="0.50486111111111109"/>
    <s v="Fast"/>
    <x v="1"/>
    <n v="0"/>
    <x v="1"/>
    <x v="1"/>
  </r>
  <r>
    <n v="1646"/>
    <x v="1645"/>
    <n v="4.9305555555555554E-2"/>
    <n v="1817"/>
    <n v="293"/>
    <n v="10.46111111111111"/>
    <x v="3"/>
    <x v="1"/>
    <n v="1.6312499999999999"/>
    <s v="Slow"/>
    <x v="0"/>
    <n v="1"/>
    <x v="0"/>
    <x v="2"/>
  </r>
  <r>
    <n v="1647"/>
    <x v="1646"/>
    <n v="5.2083333333333336E-2"/>
    <n v="2126"/>
    <n v="228"/>
    <n v="74.753472222222214"/>
    <x v="2"/>
    <x v="1"/>
    <n v="0.38125000000000003"/>
    <s v="Fast"/>
    <x v="2"/>
    <n v="1"/>
    <x v="0"/>
    <x v="2"/>
  </r>
  <r>
    <n v="1648"/>
    <x v="1647"/>
    <n v="4.5833333333333337E-2"/>
    <n v="1762"/>
    <n v="243"/>
    <n v="73.046527777777769"/>
    <x v="1"/>
    <x v="3"/>
    <n v="1.4604166666666665"/>
    <s v="Fast"/>
    <x v="2"/>
    <n v="0"/>
    <x v="1"/>
    <x v="1"/>
  </r>
  <r>
    <n v="1649"/>
    <x v="1648"/>
    <n v="5.1388888888888894E-2"/>
    <n v="1797"/>
    <n v="11"/>
    <n v="60.670833333333327"/>
    <x v="0"/>
    <x v="2"/>
    <n v="1.0048611111111112"/>
    <s v="Fast"/>
    <x v="2"/>
    <n v="0"/>
    <x v="1"/>
    <x v="1"/>
  </r>
  <r>
    <n v="1650"/>
    <x v="1649"/>
    <n v="5.7638888888888885E-2"/>
    <n v="4700"/>
    <n v="201"/>
    <n v="42.087499999999999"/>
    <x v="1"/>
    <x v="2"/>
    <n v="2.0833333333333335"/>
    <s v="Slow"/>
    <x v="0"/>
    <n v="1"/>
    <x v="0"/>
    <x v="0"/>
  </r>
  <r>
    <n v="1651"/>
    <x v="1650"/>
    <n v="4.7222222222222221E-2"/>
    <n v="3016"/>
    <n v="274"/>
    <n v="7.9180555555555552"/>
    <x v="0"/>
    <x v="0"/>
    <n v="0.75555555555555554"/>
    <s v="Fast"/>
    <x v="1"/>
    <n v="1"/>
    <x v="0"/>
    <x v="0"/>
  </r>
  <r>
    <n v="1652"/>
    <x v="1651"/>
    <n v="5.3472222222222227E-2"/>
    <n v="3873"/>
    <n v="62"/>
    <n v="15.129861111111111"/>
    <x v="2"/>
    <x v="3"/>
    <n v="2.2520833333333332"/>
    <s v="Slow"/>
    <x v="2"/>
    <n v="1"/>
    <x v="0"/>
    <x v="0"/>
  </r>
  <r>
    <n v="1653"/>
    <x v="1652"/>
    <n v="5.8333333333333327E-2"/>
    <n v="4350"/>
    <n v="459"/>
    <n v="79.754166666666663"/>
    <x v="0"/>
    <x v="3"/>
    <n v="0.6694444444444444"/>
    <s v="Fast"/>
    <x v="1"/>
    <n v="0"/>
    <x v="1"/>
    <x v="1"/>
  </r>
  <r>
    <n v="1654"/>
    <x v="1653"/>
    <n v="5.2083333333333336E-2"/>
    <n v="3269"/>
    <n v="246"/>
    <n v="42.838888888888896"/>
    <x v="3"/>
    <x v="0"/>
    <n v="1.9597222222222221"/>
    <s v="Slow"/>
    <x v="1"/>
    <n v="0"/>
    <x v="1"/>
    <x v="1"/>
  </r>
  <r>
    <n v="1655"/>
    <x v="1654"/>
    <n v="6.2499999999999995E-3"/>
    <n v="726"/>
    <n v="222"/>
    <n v="39.083333333333336"/>
    <x v="0"/>
    <x v="3"/>
    <n v="2.1701388888888888"/>
    <s v="Slow"/>
    <x v="0"/>
    <n v="0"/>
    <x v="1"/>
    <x v="1"/>
  </r>
  <r>
    <n v="1656"/>
    <x v="1655"/>
    <n v="5.6250000000000001E-2"/>
    <n v="3514"/>
    <n v="11"/>
    <n v="81.379166666666663"/>
    <x v="2"/>
    <x v="0"/>
    <n v="2.1673611111111111"/>
    <s v="Slow"/>
    <x v="1"/>
    <n v="1"/>
    <x v="0"/>
    <x v="0"/>
  </r>
  <r>
    <n v="1657"/>
    <x v="1656"/>
    <n v="5.0694444444444438E-2"/>
    <n v="1781"/>
    <n v="159"/>
    <n v="42.710416666666667"/>
    <x v="1"/>
    <x v="2"/>
    <n v="4.6527777777777779E-2"/>
    <s v="Fast"/>
    <x v="1"/>
    <n v="0"/>
    <x v="1"/>
    <x v="1"/>
  </r>
  <r>
    <n v="1658"/>
    <x v="1657"/>
    <n v="6.1805555555555558E-2"/>
    <n v="4660"/>
    <n v="221"/>
    <n v="8.375"/>
    <x v="1"/>
    <x v="1"/>
    <n v="1.9208333333333334"/>
    <s v="Slow"/>
    <x v="0"/>
    <n v="1"/>
    <x v="0"/>
    <x v="2"/>
  </r>
  <r>
    <n v="1659"/>
    <x v="1658"/>
    <n v="5.6944444444444443E-2"/>
    <n v="1587"/>
    <n v="357"/>
    <n v="29.251388888888886"/>
    <x v="1"/>
    <x v="0"/>
    <n v="0.50347222222222221"/>
    <s v="Fast"/>
    <x v="2"/>
    <n v="0"/>
    <x v="1"/>
    <x v="1"/>
  </r>
  <r>
    <n v="1660"/>
    <x v="1659"/>
    <n v="5.4166666666666669E-2"/>
    <n v="4556"/>
    <n v="121"/>
    <n v="66.002083333333331"/>
    <x v="2"/>
    <x v="3"/>
    <n v="0.96388888888888891"/>
    <s v="Fast"/>
    <x v="0"/>
    <n v="0"/>
    <x v="1"/>
    <x v="1"/>
  </r>
  <r>
    <n v="1661"/>
    <x v="1660"/>
    <n v="4.5833333333333337E-2"/>
    <n v="2137"/>
    <n v="333"/>
    <n v="28.793749999999999"/>
    <x v="1"/>
    <x v="2"/>
    <n v="1.75"/>
    <s v="Slow"/>
    <x v="0"/>
    <n v="1"/>
    <x v="0"/>
    <x v="0"/>
  </r>
  <r>
    <n v="1662"/>
    <x v="1661"/>
    <n v="6.8749999999999992E-2"/>
    <n v="4972"/>
    <n v="146"/>
    <n v="39.291666666666664"/>
    <x v="3"/>
    <x v="0"/>
    <n v="1.3333333333333333"/>
    <s v="Fast"/>
    <x v="2"/>
    <n v="1"/>
    <x v="0"/>
    <x v="0"/>
  </r>
  <r>
    <n v="1663"/>
    <x v="1662"/>
    <n v="4.6527777777777779E-2"/>
    <n v="916"/>
    <n v="106"/>
    <n v="60.797916666666673"/>
    <x v="0"/>
    <x v="0"/>
    <n v="2.588888888888889"/>
    <s v="Slow"/>
    <x v="0"/>
    <n v="0"/>
    <x v="1"/>
    <x v="1"/>
  </r>
  <r>
    <n v="1664"/>
    <x v="1663"/>
    <n v="5.2083333333333336E-2"/>
    <n v="1750"/>
    <n v="457"/>
    <n v="55.631250000000001"/>
    <x v="0"/>
    <x v="1"/>
    <n v="0.25347222222222221"/>
    <s v="Fast"/>
    <x v="2"/>
    <n v="1"/>
    <x v="0"/>
    <x v="2"/>
  </r>
  <r>
    <n v="1665"/>
    <x v="1664"/>
    <n v="5.7638888888888885E-2"/>
    <n v="2347"/>
    <n v="490"/>
    <n v="17.834027777777777"/>
    <x v="0"/>
    <x v="1"/>
    <n v="1.0465277777777777"/>
    <s v="Fast"/>
    <x v="2"/>
    <n v="0"/>
    <x v="1"/>
    <x v="1"/>
  </r>
  <r>
    <n v="1666"/>
    <x v="1665"/>
    <n v="6.7361111111111108E-2"/>
    <n v="4342"/>
    <n v="279"/>
    <n v="36.422222222222224"/>
    <x v="0"/>
    <x v="3"/>
    <n v="1.4173611111111111"/>
    <s v="Fast"/>
    <x v="2"/>
    <n v="0"/>
    <x v="1"/>
    <x v="1"/>
  </r>
  <r>
    <n v="1667"/>
    <x v="1666"/>
    <n v="4.9999999999999996E-2"/>
    <n v="4307"/>
    <n v="352"/>
    <n v="25.669444444444448"/>
    <x v="0"/>
    <x v="0"/>
    <n v="0.92291666666666661"/>
    <s v="Fast"/>
    <x v="2"/>
    <n v="0"/>
    <x v="1"/>
    <x v="1"/>
  </r>
  <r>
    <n v="1668"/>
    <x v="1667"/>
    <n v="4.5138888888888888E-2"/>
    <n v="568"/>
    <n v="281"/>
    <n v="43.754166666666663"/>
    <x v="3"/>
    <x v="1"/>
    <n v="2.754861111111111"/>
    <s v="Slow"/>
    <x v="1"/>
    <n v="0"/>
    <x v="1"/>
    <x v="1"/>
  </r>
  <r>
    <n v="1669"/>
    <x v="1668"/>
    <n v="6.1111111111111109E-2"/>
    <n v="2490"/>
    <n v="353"/>
    <n v="23.125"/>
    <x v="2"/>
    <x v="0"/>
    <n v="0.9590277777777777"/>
    <s v="Fast"/>
    <x v="1"/>
    <n v="0"/>
    <x v="1"/>
    <x v="1"/>
  </r>
  <r>
    <n v="1670"/>
    <x v="1669"/>
    <n v="6.805555555555555E-2"/>
    <n v="1154"/>
    <n v="199"/>
    <n v="25.877083333333331"/>
    <x v="3"/>
    <x v="3"/>
    <n v="2.7923611111111111"/>
    <s v="Slow"/>
    <x v="1"/>
    <n v="0"/>
    <x v="1"/>
    <x v="1"/>
  </r>
  <r>
    <n v="1671"/>
    <x v="1670"/>
    <n v="5.4166666666666669E-2"/>
    <n v="1640"/>
    <n v="283"/>
    <n v="67.708333333333329"/>
    <x v="1"/>
    <x v="3"/>
    <n v="0.92013888888888884"/>
    <s v="Fast"/>
    <x v="0"/>
    <n v="0"/>
    <x v="1"/>
    <x v="1"/>
  </r>
  <r>
    <n v="1672"/>
    <x v="1671"/>
    <n v="4.1666666666666664E-2"/>
    <n v="4436"/>
    <n v="64"/>
    <n v="28.795833333333334"/>
    <x v="2"/>
    <x v="3"/>
    <n v="0.88055555555555554"/>
    <s v="Fast"/>
    <x v="0"/>
    <n v="1"/>
    <x v="0"/>
    <x v="0"/>
  </r>
  <r>
    <n v="1673"/>
    <x v="1672"/>
    <n v="5.0694444444444438E-2"/>
    <n v="4515"/>
    <n v="20"/>
    <n v="54.671527777777776"/>
    <x v="0"/>
    <x v="0"/>
    <n v="2.7958333333333329"/>
    <s v="Slow"/>
    <x v="0"/>
    <n v="1"/>
    <x v="0"/>
    <x v="0"/>
  </r>
  <r>
    <n v="1674"/>
    <x v="1673"/>
    <n v="6.5972222222222224E-2"/>
    <n v="2529"/>
    <n v="426"/>
    <n v="48.962499999999999"/>
    <x v="2"/>
    <x v="3"/>
    <n v="2.755555555555556"/>
    <s v="Slow"/>
    <x v="1"/>
    <n v="0"/>
    <x v="1"/>
    <x v="1"/>
  </r>
  <r>
    <n v="1675"/>
    <x v="1674"/>
    <n v="4.1666666666666666E-3"/>
    <n v="1655"/>
    <n v="441"/>
    <n v="59.542361111111113"/>
    <x v="0"/>
    <x v="3"/>
    <n v="1.1312499999999999"/>
    <s v="Fast"/>
    <x v="0"/>
    <n v="0"/>
    <x v="1"/>
    <x v="1"/>
  </r>
  <r>
    <n v="1676"/>
    <x v="1675"/>
    <n v="6.0416666666666667E-2"/>
    <n v="1570"/>
    <n v="248"/>
    <n v="78.839583333333337"/>
    <x v="2"/>
    <x v="3"/>
    <n v="0.67222222222222217"/>
    <s v="Fast"/>
    <x v="2"/>
    <n v="0"/>
    <x v="1"/>
    <x v="1"/>
  </r>
  <r>
    <n v="1677"/>
    <x v="1676"/>
    <n v="6.5972222222222224E-2"/>
    <n v="266"/>
    <n v="350"/>
    <n v="60.33680555555555"/>
    <x v="1"/>
    <x v="1"/>
    <n v="1.1298611111111112"/>
    <s v="Fast"/>
    <x v="1"/>
    <n v="0"/>
    <x v="1"/>
    <x v="1"/>
  </r>
  <r>
    <n v="1678"/>
    <x v="1677"/>
    <n v="4.9305555555555554E-2"/>
    <n v="3946"/>
    <n v="63"/>
    <n v="15.504166666666668"/>
    <x v="1"/>
    <x v="1"/>
    <n v="1.2513888888888889"/>
    <s v="Fast"/>
    <x v="1"/>
    <n v="0"/>
    <x v="1"/>
    <x v="1"/>
  </r>
  <r>
    <n v="1679"/>
    <x v="1678"/>
    <n v="6.5277777777777782E-2"/>
    <n v="1038"/>
    <n v="63"/>
    <n v="65.75555555555556"/>
    <x v="0"/>
    <x v="3"/>
    <n v="2.7083333333333335"/>
    <s v="Slow"/>
    <x v="1"/>
    <n v="0"/>
    <x v="1"/>
    <x v="1"/>
  </r>
  <r>
    <n v="1680"/>
    <x v="1679"/>
    <n v="5.8333333333333327E-2"/>
    <n v="1682"/>
    <n v="32"/>
    <n v="53.587499999999999"/>
    <x v="2"/>
    <x v="1"/>
    <n v="1.5013888888888889"/>
    <s v="Slow"/>
    <x v="0"/>
    <n v="0"/>
    <x v="1"/>
    <x v="1"/>
  </r>
  <r>
    <n v="1681"/>
    <x v="1680"/>
    <n v="5.0694444444444438E-2"/>
    <n v="781"/>
    <n v="136"/>
    <n v="20.417361111111109"/>
    <x v="3"/>
    <x v="3"/>
    <n v="1.0847222222222224"/>
    <s v="Fast"/>
    <x v="1"/>
    <n v="0"/>
    <x v="1"/>
    <x v="1"/>
  </r>
  <r>
    <n v="1682"/>
    <x v="1681"/>
    <n v="4.3055555555555562E-2"/>
    <n v="1943"/>
    <n v="75"/>
    <n v="52.584722222222219"/>
    <x v="2"/>
    <x v="3"/>
    <n v="1.7555555555555555"/>
    <s v="Slow"/>
    <x v="2"/>
    <n v="0"/>
    <x v="1"/>
    <x v="1"/>
  </r>
  <r>
    <n v="1683"/>
    <x v="1682"/>
    <n v="5.9722222222222225E-2"/>
    <n v="607"/>
    <n v="409"/>
    <n v="22.587500000000002"/>
    <x v="1"/>
    <x v="1"/>
    <n v="2.1312500000000001"/>
    <s v="Slow"/>
    <x v="0"/>
    <n v="0"/>
    <x v="1"/>
    <x v="1"/>
  </r>
  <r>
    <n v="1684"/>
    <x v="1683"/>
    <n v="5.2083333333333336E-2"/>
    <n v="2202"/>
    <n v="476"/>
    <n v="69.626388888888883"/>
    <x v="0"/>
    <x v="2"/>
    <n v="0.33333333333333331"/>
    <s v="Fast"/>
    <x v="1"/>
    <n v="1"/>
    <x v="0"/>
    <x v="0"/>
  </r>
  <r>
    <n v="1685"/>
    <x v="1684"/>
    <n v="5.6944444444444443E-2"/>
    <n v="3101"/>
    <n v="327"/>
    <n v="29.791666666666668"/>
    <x v="2"/>
    <x v="0"/>
    <n v="2.5458333333333334"/>
    <s v="Slow"/>
    <x v="1"/>
    <n v="1"/>
    <x v="0"/>
    <x v="0"/>
  </r>
  <r>
    <n v="1686"/>
    <x v="1685"/>
    <n v="4.7222222222222221E-2"/>
    <n v="3082"/>
    <n v="20"/>
    <n v="83"/>
    <x v="1"/>
    <x v="2"/>
    <n v="0.54375000000000007"/>
    <s v="Fast"/>
    <x v="0"/>
    <n v="0"/>
    <x v="1"/>
    <x v="1"/>
  </r>
  <r>
    <n v="1687"/>
    <x v="1686"/>
    <n v="4.2361111111111106E-2"/>
    <n v="3092"/>
    <n v="402"/>
    <n v="36.420833333333334"/>
    <x v="1"/>
    <x v="0"/>
    <n v="1.5"/>
    <s v="Fast"/>
    <x v="0"/>
    <n v="0"/>
    <x v="1"/>
    <x v="1"/>
  </r>
  <r>
    <n v="1688"/>
    <x v="1687"/>
    <n v="4.4444444444444446E-2"/>
    <n v="4230"/>
    <n v="400"/>
    <n v="53.418749999999996"/>
    <x v="1"/>
    <x v="2"/>
    <n v="2.7944444444444443"/>
    <s v="Slow"/>
    <x v="1"/>
    <n v="0"/>
    <x v="1"/>
    <x v="1"/>
  </r>
  <r>
    <n v="1689"/>
    <x v="1688"/>
    <n v="5.9722222222222225E-2"/>
    <n v="930"/>
    <n v="146"/>
    <n v="58.21319444444444"/>
    <x v="0"/>
    <x v="1"/>
    <n v="0.41875000000000001"/>
    <s v="Fast"/>
    <x v="1"/>
    <n v="0"/>
    <x v="1"/>
    <x v="1"/>
  </r>
  <r>
    <n v="1690"/>
    <x v="1689"/>
    <n v="4.5138888888888888E-2"/>
    <n v="4835"/>
    <n v="81"/>
    <n v="42.087499999999999"/>
    <x v="1"/>
    <x v="1"/>
    <n v="1.75"/>
    <s v="Slow"/>
    <x v="2"/>
    <n v="1"/>
    <x v="0"/>
    <x v="2"/>
  </r>
  <r>
    <n v="1691"/>
    <x v="1690"/>
    <n v="4.9999999999999996E-2"/>
    <n v="4738"/>
    <n v="196"/>
    <n v="42.75"/>
    <x v="1"/>
    <x v="0"/>
    <n v="2.838194444444444"/>
    <s v="Slow"/>
    <x v="0"/>
    <n v="0"/>
    <x v="1"/>
    <x v="1"/>
  </r>
  <r>
    <n v="1692"/>
    <x v="1691"/>
    <n v="5.8333333333333327E-2"/>
    <n v="1378"/>
    <n v="430"/>
    <n v="60.756250000000001"/>
    <x v="1"/>
    <x v="1"/>
    <n v="1.1708333333333334"/>
    <s v="Fast"/>
    <x v="0"/>
    <n v="0"/>
    <x v="1"/>
    <x v="1"/>
  </r>
  <r>
    <n v="1693"/>
    <x v="1692"/>
    <n v="4.9305555555555554E-2"/>
    <n v="1740"/>
    <n v="88"/>
    <n v="64.918055555555554"/>
    <x v="0"/>
    <x v="1"/>
    <n v="2.2111111111111112"/>
    <s v="Slow"/>
    <x v="2"/>
    <n v="0"/>
    <x v="1"/>
    <x v="1"/>
  </r>
  <r>
    <n v="1694"/>
    <x v="1693"/>
    <n v="5.486111111111111E-2"/>
    <n v="2889"/>
    <n v="187"/>
    <n v="63.38055555555556"/>
    <x v="1"/>
    <x v="0"/>
    <n v="0.67222222222222217"/>
    <s v="Fast"/>
    <x v="1"/>
    <n v="0"/>
    <x v="1"/>
    <x v="1"/>
  </r>
  <r>
    <n v="1695"/>
    <x v="1694"/>
    <n v="5.2777777777777778E-2"/>
    <n v="232"/>
    <n v="327"/>
    <n v="15.672222222222222"/>
    <x v="1"/>
    <x v="1"/>
    <n v="0.37777777777777777"/>
    <s v="Fast"/>
    <x v="2"/>
    <n v="0"/>
    <x v="1"/>
    <x v="1"/>
  </r>
  <r>
    <n v="1696"/>
    <x v="1695"/>
    <n v="6.3194444444444442E-2"/>
    <n v="1406"/>
    <n v="371"/>
    <n v="68.546527777777769"/>
    <x v="1"/>
    <x v="3"/>
    <n v="0.29652777777777778"/>
    <s v="Fast"/>
    <x v="2"/>
    <n v="0"/>
    <x v="1"/>
    <x v="1"/>
  </r>
  <r>
    <n v="1697"/>
    <x v="1696"/>
    <n v="5.2777777777777778E-2"/>
    <n v="154"/>
    <n v="160"/>
    <n v="51.12638888888889"/>
    <x v="1"/>
    <x v="0"/>
    <n v="0.62638888888888888"/>
    <s v="Fast"/>
    <x v="2"/>
    <n v="0"/>
    <x v="1"/>
    <x v="1"/>
  </r>
  <r>
    <n v="1698"/>
    <x v="1697"/>
    <n v="4.9305555555555554E-2"/>
    <n v="2341"/>
    <n v="184"/>
    <n v="26.25"/>
    <x v="2"/>
    <x v="1"/>
    <n v="2.0444444444444447"/>
    <s v="Slow"/>
    <x v="1"/>
    <n v="0"/>
    <x v="1"/>
    <x v="1"/>
  </r>
  <r>
    <n v="1699"/>
    <x v="1698"/>
    <n v="6.8749999999999992E-2"/>
    <n v="3826"/>
    <n v="188"/>
    <n v="32.168055555555554"/>
    <x v="0"/>
    <x v="1"/>
    <n v="1.6291666666666667"/>
    <s v="Slow"/>
    <x v="2"/>
    <n v="0"/>
    <x v="1"/>
    <x v="1"/>
  </r>
  <r>
    <n v="1700"/>
    <x v="1699"/>
    <n v="4.6527777777777779E-2"/>
    <n v="4022"/>
    <n v="249"/>
    <n v="76.377083333333331"/>
    <x v="2"/>
    <x v="0"/>
    <n v="2.2562500000000001"/>
    <s v="Slow"/>
    <x v="1"/>
    <n v="0"/>
    <x v="1"/>
    <x v="1"/>
  </r>
  <r>
    <n v="1701"/>
    <x v="1700"/>
    <n v="5.9722222222222225E-2"/>
    <n v="3348"/>
    <n v="91"/>
    <n v="4.2527777777777773"/>
    <x v="2"/>
    <x v="0"/>
    <n v="0.21180555555555555"/>
    <s v="Fast"/>
    <x v="1"/>
    <n v="0"/>
    <x v="1"/>
    <x v="1"/>
  </r>
  <r>
    <n v="1702"/>
    <x v="1701"/>
    <n v="5.9027777777777783E-2"/>
    <n v="445"/>
    <n v="438"/>
    <n v="47.958333333333336"/>
    <x v="3"/>
    <x v="2"/>
    <n v="0.46111111111111108"/>
    <s v="Fast"/>
    <x v="1"/>
    <n v="0"/>
    <x v="1"/>
    <x v="1"/>
  </r>
  <r>
    <n v="1703"/>
    <x v="1702"/>
    <n v="5.1388888888888894E-2"/>
    <n v="1930"/>
    <n v="451"/>
    <n v="20.836805555555554"/>
    <x v="2"/>
    <x v="0"/>
    <n v="0.37986111111111115"/>
    <s v="Fast"/>
    <x v="0"/>
    <n v="1"/>
    <x v="0"/>
    <x v="0"/>
  </r>
  <r>
    <n v="1704"/>
    <x v="1703"/>
    <n v="6.2499999999999995E-3"/>
    <n v="4844"/>
    <n v="77"/>
    <n v="22.631249999999998"/>
    <x v="1"/>
    <x v="0"/>
    <n v="1.8756944444444443"/>
    <s v="Slow"/>
    <x v="1"/>
    <n v="0"/>
    <x v="1"/>
    <x v="1"/>
  </r>
  <r>
    <n v="1705"/>
    <x v="1704"/>
    <n v="6.2499999999999995E-3"/>
    <n v="1627"/>
    <n v="259"/>
    <n v="29.337500000000002"/>
    <x v="2"/>
    <x v="2"/>
    <n v="0.96180555555555547"/>
    <s v="Fast"/>
    <x v="0"/>
    <n v="0"/>
    <x v="1"/>
    <x v="1"/>
  </r>
  <r>
    <n v="1706"/>
    <x v="1705"/>
    <n v="5.486111111111111E-2"/>
    <n v="2603"/>
    <n v="456"/>
    <n v="64.381250000000009"/>
    <x v="2"/>
    <x v="0"/>
    <n v="0.75555555555555554"/>
    <s v="Fast"/>
    <x v="1"/>
    <n v="0"/>
    <x v="1"/>
    <x v="1"/>
  </r>
  <r>
    <n v="1707"/>
    <x v="1706"/>
    <n v="5.0694444444444438E-2"/>
    <n v="4826"/>
    <n v="386"/>
    <n v="22.668749999999999"/>
    <x v="0"/>
    <x v="2"/>
    <n v="0.92152777777777783"/>
    <s v="Fast"/>
    <x v="1"/>
    <n v="1"/>
    <x v="0"/>
    <x v="0"/>
  </r>
  <r>
    <n v="1708"/>
    <x v="1707"/>
    <n v="4.5138888888888888E-2"/>
    <n v="3185"/>
    <n v="194"/>
    <n v="70.291666666666671"/>
    <x v="0"/>
    <x v="0"/>
    <n v="1.6708333333333334"/>
    <s v="Slow"/>
    <x v="1"/>
    <n v="0"/>
    <x v="1"/>
    <x v="1"/>
  </r>
  <r>
    <n v="1709"/>
    <x v="1708"/>
    <n v="6.5972222222222224E-2"/>
    <n v="4448"/>
    <n v="413"/>
    <n v="73.172222222222231"/>
    <x v="2"/>
    <x v="0"/>
    <n v="0.87847222222222221"/>
    <s v="Fast"/>
    <x v="1"/>
    <n v="0"/>
    <x v="1"/>
    <x v="1"/>
  </r>
  <r>
    <n v="1710"/>
    <x v="1709"/>
    <n v="6.8749999999999992E-2"/>
    <n v="1859"/>
    <n v="232"/>
    <n v="25.209722222222222"/>
    <x v="0"/>
    <x v="0"/>
    <n v="2.1680555555555556"/>
    <s v="Slow"/>
    <x v="0"/>
    <n v="1"/>
    <x v="0"/>
    <x v="0"/>
  </r>
  <r>
    <n v="1711"/>
    <x v="1710"/>
    <n v="4.9305555555555554E-2"/>
    <n v="340"/>
    <n v="382"/>
    <n v="55.920833333333327"/>
    <x v="2"/>
    <x v="0"/>
    <n v="0.79652777777777783"/>
    <s v="Fast"/>
    <x v="1"/>
    <n v="0"/>
    <x v="1"/>
    <x v="1"/>
  </r>
  <r>
    <n v="1712"/>
    <x v="1711"/>
    <n v="5.0694444444444438E-2"/>
    <n v="118"/>
    <n v="487"/>
    <n v="34.295833333333334"/>
    <x v="2"/>
    <x v="2"/>
    <n v="0.21249999999999999"/>
    <s v="Fast"/>
    <x v="1"/>
    <n v="1"/>
    <x v="0"/>
    <x v="0"/>
  </r>
  <r>
    <n v="1713"/>
    <x v="1712"/>
    <n v="5.9722222222222225E-2"/>
    <n v="461"/>
    <n v="47"/>
    <n v="69.379861111111111"/>
    <x v="2"/>
    <x v="3"/>
    <n v="2.4208333333333334"/>
    <s v="Slow"/>
    <x v="2"/>
    <n v="0"/>
    <x v="1"/>
    <x v="1"/>
  </r>
  <r>
    <n v="1714"/>
    <x v="1713"/>
    <n v="6.3194444444444442E-2"/>
    <n v="1521"/>
    <n v="258"/>
    <n v="12.294444444444444"/>
    <x v="2"/>
    <x v="0"/>
    <n v="0.33333333333333331"/>
    <s v="Fast"/>
    <x v="2"/>
    <n v="1"/>
    <x v="0"/>
    <x v="0"/>
  </r>
  <r>
    <n v="1715"/>
    <x v="1714"/>
    <n v="6.5277777777777782E-2"/>
    <n v="775"/>
    <n v="393"/>
    <n v="83.254166666666663"/>
    <x v="0"/>
    <x v="1"/>
    <n v="0.29652777777777778"/>
    <s v="Fast"/>
    <x v="1"/>
    <n v="0"/>
    <x v="1"/>
    <x v="1"/>
  </r>
  <r>
    <n v="1716"/>
    <x v="1715"/>
    <n v="6.3194444444444442E-2"/>
    <n v="3198"/>
    <n v="256"/>
    <n v="32.002083333333331"/>
    <x v="1"/>
    <x v="0"/>
    <n v="0.50347222222222221"/>
    <s v="Fast"/>
    <x v="0"/>
    <n v="1"/>
    <x v="0"/>
    <x v="0"/>
  </r>
  <r>
    <n v="1717"/>
    <x v="1716"/>
    <n v="6.0416666666666667E-2"/>
    <n v="3906"/>
    <n v="183"/>
    <n v="77.504861111111111"/>
    <x v="3"/>
    <x v="3"/>
    <n v="0.62916666666666665"/>
    <s v="Fast"/>
    <x v="2"/>
    <n v="1"/>
    <x v="0"/>
    <x v="0"/>
  </r>
  <r>
    <n v="1718"/>
    <x v="1717"/>
    <n v="5.9027777777777783E-2"/>
    <n v="1509"/>
    <n v="455"/>
    <n v="78.292361111111106"/>
    <x v="2"/>
    <x v="3"/>
    <n v="2.25"/>
    <s v="Slow"/>
    <x v="2"/>
    <n v="0"/>
    <x v="1"/>
    <x v="1"/>
  </r>
  <r>
    <n v="1719"/>
    <x v="1718"/>
    <n v="4.2361111111111106E-2"/>
    <n v="784"/>
    <n v="466"/>
    <n v="23.336111111111112"/>
    <x v="3"/>
    <x v="2"/>
    <n v="2.5430555555555556"/>
    <s v="Slow"/>
    <x v="0"/>
    <n v="0"/>
    <x v="1"/>
    <x v="1"/>
  </r>
  <r>
    <n v="1720"/>
    <x v="1719"/>
    <n v="5.5555555555555558E-3"/>
    <n v="653"/>
    <n v="475"/>
    <n v="79.333333333333329"/>
    <x v="0"/>
    <x v="1"/>
    <n v="2.4222222222222221"/>
    <s v="Slow"/>
    <x v="2"/>
    <n v="0"/>
    <x v="1"/>
    <x v="1"/>
  </r>
  <r>
    <n v="1721"/>
    <x v="1720"/>
    <n v="6.1111111111111109E-2"/>
    <n v="4865"/>
    <n v="95"/>
    <n v="13.668055555555556"/>
    <x v="3"/>
    <x v="3"/>
    <n v="0.54722222222222217"/>
    <s v="Fast"/>
    <x v="0"/>
    <n v="1"/>
    <x v="0"/>
    <x v="0"/>
  </r>
  <r>
    <n v="1722"/>
    <x v="1721"/>
    <n v="4.9999999999999996E-2"/>
    <n v="2813"/>
    <n v="378"/>
    <n v="29.420833333333334"/>
    <x v="2"/>
    <x v="2"/>
    <n v="1.7541666666666667"/>
    <s v="Slow"/>
    <x v="1"/>
    <n v="1"/>
    <x v="0"/>
    <x v="0"/>
  </r>
  <r>
    <n v="1723"/>
    <x v="1722"/>
    <n v="4.8611111111111112E-3"/>
    <n v="4162"/>
    <n v="162"/>
    <n v="43.584027777777777"/>
    <x v="0"/>
    <x v="3"/>
    <n v="2.879861111111111"/>
    <s v="Slow"/>
    <x v="1"/>
    <n v="1"/>
    <x v="0"/>
    <x v="0"/>
  </r>
  <r>
    <n v="1724"/>
    <x v="1723"/>
    <n v="5.3472222222222227E-2"/>
    <n v="1972"/>
    <n v="10"/>
    <n v="32.797222222222224"/>
    <x v="3"/>
    <x v="2"/>
    <n v="4.2361111111111106E-2"/>
    <s v="Fast"/>
    <x v="2"/>
    <n v="0"/>
    <x v="1"/>
    <x v="1"/>
  </r>
  <r>
    <n v="1725"/>
    <x v="1724"/>
    <n v="5.6944444444444443E-2"/>
    <n v="3342"/>
    <n v="373"/>
    <n v="27.166666666666668"/>
    <x v="1"/>
    <x v="1"/>
    <n v="2.6722222222222225"/>
    <s v="Slow"/>
    <x v="2"/>
    <n v="0"/>
    <x v="1"/>
    <x v="1"/>
  </r>
  <r>
    <n v="1726"/>
    <x v="1725"/>
    <n v="4.1666666666666666E-3"/>
    <n v="3058"/>
    <n v="468"/>
    <n v="75.920138888888886"/>
    <x v="2"/>
    <x v="3"/>
    <n v="0.96388888888888891"/>
    <s v="Fast"/>
    <x v="2"/>
    <n v="0"/>
    <x v="1"/>
    <x v="1"/>
  </r>
  <r>
    <n v="1727"/>
    <x v="1726"/>
    <n v="6.2499999999999995E-3"/>
    <n v="772"/>
    <n v="470"/>
    <n v="43.291666666666664"/>
    <x v="0"/>
    <x v="2"/>
    <n v="1.6291666666666667"/>
    <s v="Slow"/>
    <x v="1"/>
    <n v="0"/>
    <x v="1"/>
    <x v="1"/>
  </r>
  <r>
    <n v="1728"/>
    <x v="1727"/>
    <n v="6.1111111111111109E-2"/>
    <n v="2188"/>
    <n v="191"/>
    <n v="7.1694444444444443"/>
    <x v="3"/>
    <x v="2"/>
    <n v="2.755555555555556"/>
    <s v="Slow"/>
    <x v="0"/>
    <n v="1"/>
    <x v="0"/>
    <x v="0"/>
  </r>
  <r>
    <n v="1729"/>
    <x v="1728"/>
    <n v="4.7916666666666663E-2"/>
    <n v="1638"/>
    <n v="219"/>
    <n v="55.584027777777777"/>
    <x v="3"/>
    <x v="0"/>
    <n v="1.6715277777777777"/>
    <s v="Slow"/>
    <x v="0"/>
    <n v="1"/>
    <x v="0"/>
    <x v="0"/>
  </r>
  <r>
    <n v="1730"/>
    <x v="1729"/>
    <n v="4.8611111111111112E-3"/>
    <n v="3887"/>
    <n v="231"/>
    <n v="78.87777777777778"/>
    <x v="0"/>
    <x v="0"/>
    <n v="0.83750000000000002"/>
    <s v="Fast"/>
    <x v="2"/>
    <n v="0"/>
    <x v="1"/>
    <x v="1"/>
  </r>
  <r>
    <n v="1731"/>
    <x v="1730"/>
    <n v="4.6527777777777779E-2"/>
    <n v="1752"/>
    <n v="231"/>
    <n v="66.629166666666663"/>
    <x v="1"/>
    <x v="3"/>
    <n v="0.33611111111111108"/>
    <s v="Fast"/>
    <x v="0"/>
    <n v="0"/>
    <x v="1"/>
    <x v="1"/>
  </r>
  <r>
    <n v="1732"/>
    <x v="1731"/>
    <n v="5.2777777777777778E-2"/>
    <n v="4370"/>
    <n v="112"/>
    <n v="16.625694444444445"/>
    <x v="2"/>
    <x v="2"/>
    <n v="0.91875000000000007"/>
    <s v="Fast"/>
    <x v="2"/>
    <n v="1"/>
    <x v="0"/>
    <x v="0"/>
  </r>
  <r>
    <n v="1733"/>
    <x v="1732"/>
    <n v="6.805555555555555E-2"/>
    <n v="2924"/>
    <n v="380"/>
    <n v="26.630555555555556"/>
    <x v="0"/>
    <x v="3"/>
    <n v="1.0479166666666666"/>
    <s v="Fast"/>
    <x v="2"/>
    <n v="0"/>
    <x v="1"/>
    <x v="1"/>
  </r>
  <r>
    <n v="1734"/>
    <x v="1733"/>
    <n v="5.2777777777777778E-2"/>
    <n v="1475"/>
    <n v="376"/>
    <n v="18.588194444444444"/>
    <x v="3"/>
    <x v="0"/>
    <n v="1.4173611111111111"/>
    <s v="Fast"/>
    <x v="1"/>
    <n v="0"/>
    <x v="1"/>
    <x v="1"/>
  </r>
  <r>
    <n v="1735"/>
    <x v="1734"/>
    <n v="6.7361111111111108E-2"/>
    <n v="2508"/>
    <n v="318"/>
    <n v="18.504861111111111"/>
    <x v="3"/>
    <x v="0"/>
    <n v="1.1277777777777778"/>
    <s v="Fast"/>
    <x v="0"/>
    <n v="1"/>
    <x v="0"/>
    <x v="0"/>
  </r>
  <r>
    <n v="1736"/>
    <x v="1735"/>
    <n v="4.6527777777777779E-2"/>
    <n v="743"/>
    <n v="261"/>
    <n v="4.75"/>
    <x v="1"/>
    <x v="1"/>
    <n v="0.29166666666666669"/>
    <s v="Fast"/>
    <x v="1"/>
    <n v="0"/>
    <x v="1"/>
    <x v="1"/>
  </r>
  <r>
    <n v="1737"/>
    <x v="1736"/>
    <n v="4.8611111111111112E-3"/>
    <n v="2113"/>
    <n v="370"/>
    <n v="61.418055555555554"/>
    <x v="1"/>
    <x v="2"/>
    <n v="2.6729166666666671"/>
    <s v="Slow"/>
    <x v="1"/>
    <n v="1"/>
    <x v="0"/>
    <x v="0"/>
  </r>
  <r>
    <n v="1738"/>
    <x v="1737"/>
    <n v="5.5555555555555558E-3"/>
    <n v="466"/>
    <n v="93"/>
    <n v="69.418750000000003"/>
    <x v="2"/>
    <x v="1"/>
    <n v="1.0020833333333334"/>
    <s v="Fast"/>
    <x v="0"/>
    <n v="0"/>
    <x v="1"/>
    <x v="1"/>
  </r>
  <r>
    <n v="1739"/>
    <x v="1738"/>
    <n v="4.5833333333333337E-2"/>
    <n v="4465"/>
    <n v="172"/>
    <n v="77.713888888888889"/>
    <x v="0"/>
    <x v="0"/>
    <n v="1.752777777777778"/>
    <s v="Slow"/>
    <x v="0"/>
    <n v="1"/>
    <x v="0"/>
    <x v="0"/>
  </r>
  <r>
    <n v="1740"/>
    <x v="1739"/>
    <n v="4.5138888888888888E-2"/>
    <n v="1601"/>
    <n v="28"/>
    <n v="42.881250000000001"/>
    <x v="1"/>
    <x v="0"/>
    <n v="1.6305555555555555"/>
    <s v="Slow"/>
    <x v="1"/>
    <n v="0"/>
    <x v="1"/>
    <x v="1"/>
  </r>
  <r>
    <n v="1741"/>
    <x v="1740"/>
    <n v="6.0416666666666667E-2"/>
    <n v="4952"/>
    <n v="15"/>
    <n v="57.795833333333327"/>
    <x v="0"/>
    <x v="2"/>
    <n v="0.37638888888888888"/>
    <s v="Fast"/>
    <x v="0"/>
    <n v="0"/>
    <x v="1"/>
    <x v="1"/>
  </r>
  <r>
    <n v="1742"/>
    <x v="1741"/>
    <n v="5.1388888888888894E-2"/>
    <n v="4349"/>
    <n v="12"/>
    <n v="21.420138888888889"/>
    <x v="2"/>
    <x v="2"/>
    <n v="2.0881944444444445"/>
    <s v="Slow"/>
    <x v="0"/>
    <n v="0"/>
    <x v="1"/>
    <x v="1"/>
  </r>
  <r>
    <n v="1743"/>
    <x v="1742"/>
    <n v="6.1111111111111109E-2"/>
    <n v="2425"/>
    <n v="373"/>
    <n v="9.4631944444444454"/>
    <x v="1"/>
    <x v="0"/>
    <n v="0.87777777777777777"/>
    <s v="Fast"/>
    <x v="0"/>
    <n v="1"/>
    <x v="0"/>
    <x v="0"/>
  </r>
  <r>
    <n v="1744"/>
    <x v="1743"/>
    <n v="4.7916666666666663E-2"/>
    <n v="4255"/>
    <n v="108"/>
    <n v="27.131249999999998"/>
    <x v="2"/>
    <x v="0"/>
    <n v="1.4208333333333334"/>
    <s v="Fast"/>
    <x v="2"/>
    <n v="0"/>
    <x v="1"/>
    <x v="1"/>
  </r>
  <r>
    <n v="1745"/>
    <x v="1744"/>
    <n v="4.9999999999999996E-2"/>
    <n v="4270"/>
    <n v="307"/>
    <n v="60.462499999999999"/>
    <x v="3"/>
    <x v="3"/>
    <n v="1.0833333333333333"/>
    <s v="Fast"/>
    <x v="1"/>
    <n v="0"/>
    <x v="1"/>
    <x v="1"/>
  </r>
  <r>
    <n v="1746"/>
    <x v="1745"/>
    <n v="6.6666666666666666E-2"/>
    <n v="3969"/>
    <n v="386"/>
    <n v="15.672222222222222"/>
    <x v="0"/>
    <x v="2"/>
    <n v="2.3347222222222221"/>
    <s v="Slow"/>
    <x v="2"/>
    <n v="0"/>
    <x v="1"/>
    <x v="1"/>
  </r>
  <r>
    <n v="1747"/>
    <x v="1746"/>
    <n v="5.7638888888888885E-2"/>
    <n v="1338"/>
    <n v="376"/>
    <n v="23.089583333333334"/>
    <x v="1"/>
    <x v="3"/>
    <n v="1.5465277777777777"/>
    <s v="Slow"/>
    <x v="1"/>
    <n v="1"/>
    <x v="0"/>
    <x v="0"/>
  </r>
  <r>
    <n v="1748"/>
    <x v="1747"/>
    <n v="4.5138888888888888E-2"/>
    <n v="1309"/>
    <n v="323"/>
    <n v="10.839583333333332"/>
    <x v="3"/>
    <x v="0"/>
    <n v="2.0465277777777779"/>
    <s v="Slow"/>
    <x v="1"/>
    <n v="1"/>
    <x v="0"/>
    <x v="0"/>
  </r>
  <r>
    <n v="1749"/>
    <x v="1748"/>
    <n v="5.3472222222222227E-2"/>
    <n v="98"/>
    <n v="488"/>
    <n v="5.0062500000000005"/>
    <x v="0"/>
    <x v="0"/>
    <n v="0.46388888888888885"/>
    <s v="Fast"/>
    <x v="0"/>
    <n v="0"/>
    <x v="1"/>
    <x v="1"/>
  </r>
  <r>
    <n v="1750"/>
    <x v="1749"/>
    <n v="4.4444444444444446E-2"/>
    <n v="1472"/>
    <n v="429"/>
    <n v="61.131250000000001"/>
    <x v="2"/>
    <x v="0"/>
    <n v="2.7979166666666671"/>
    <s v="Slow"/>
    <x v="1"/>
    <n v="1"/>
    <x v="0"/>
    <x v="0"/>
  </r>
  <r>
    <n v="1751"/>
    <x v="1750"/>
    <n v="4.3750000000000004E-2"/>
    <n v="2268"/>
    <n v="268"/>
    <n v="61.043055555555554"/>
    <x v="1"/>
    <x v="3"/>
    <n v="0.125"/>
    <s v="Fast"/>
    <x v="2"/>
    <n v="0"/>
    <x v="1"/>
    <x v="1"/>
  </r>
  <r>
    <n v="1752"/>
    <x v="1751"/>
    <n v="5.7638888888888885E-2"/>
    <n v="3279"/>
    <n v="277"/>
    <n v="7.8395833333333336"/>
    <x v="3"/>
    <x v="3"/>
    <n v="0.75"/>
    <s v="Fast"/>
    <x v="0"/>
    <n v="0"/>
    <x v="1"/>
    <x v="1"/>
  </r>
  <r>
    <n v="1753"/>
    <x v="1752"/>
    <n v="4.4444444444444446E-2"/>
    <n v="2747"/>
    <n v="232"/>
    <n v="19.544444444444444"/>
    <x v="2"/>
    <x v="3"/>
    <n v="1.6256944444444443"/>
    <s v="Slow"/>
    <x v="0"/>
    <n v="0"/>
    <x v="1"/>
    <x v="1"/>
  </r>
  <r>
    <n v="1754"/>
    <x v="1753"/>
    <n v="4.7916666666666663E-2"/>
    <n v="4470"/>
    <n v="355"/>
    <n v="36.62638888888889"/>
    <x v="1"/>
    <x v="0"/>
    <n v="2.2951388888888888"/>
    <s v="Slow"/>
    <x v="1"/>
    <n v="0"/>
    <x v="1"/>
    <x v="1"/>
  </r>
  <r>
    <n v="1755"/>
    <x v="1754"/>
    <n v="4.3750000000000004E-2"/>
    <n v="4242"/>
    <n v="167"/>
    <n v="0.25625000000000003"/>
    <x v="1"/>
    <x v="0"/>
    <n v="1.4208333333333334"/>
    <s v="Fast"/>
    <x v="0"/>
    <n v="1"/>
    <x v="0"/>
    <x v="0"/>
  </r>
  <r>
    <n v="1756"/>
    <x v="1755"/>
    <n v="4.4444444444444446E-2"/>
    <n v="410"/>
    <n v="179"/>
    <n v="74.502083333333331"/>
    <x v="2"/>
    <x v="0"/>
    <n v="2.0895833333333331"/>
    <s v="Slow"/>
    <x v="2"/>
    <n v="0"/>
    <x v="1"/>
    <x v="1"/>
  </r>
  <r>
    <n v="1757"/>
    <x v="1756"/>
    <n v="5.4166666666666669E-2"/>
    <n v="2502"/>
    <n v="37"/>
    <n v="41.25138888888889"/>
    <x v="3"/>
    <x v="1"/>
    <n v="2"/>
    <s v="Slow"/>
    <x v="1"/>
    <n v="0"/>
    <x v="1"/>
    <x v="1"/>
  </r>
  <r>
    <n v="1758"/>
    <x v="1757"/>
    <n v="4.6527777777777779E-2"/>
    <n v="486"/>
    <n v="140"/>
    <n v="60.793055555555554"/>
    <x v="1"/>
    <x v="1"/>
    <n v="2.1284722222222223"/>
    <s v="Slow"/>
    <x v="2"/>
    <n v="0"/>
    <x v="1"/>
    <x v="1"/>
  </r>
  <r>
    <n v="1759"/>
    <x v="1758"/>
    <n v="5.0694444444444438E-2"/>
    <n v="4116"/>
    <n v="37"/>
    <n v="60.128472222222221"/>
    <x v="2"/>
    <x v="1"/>
    <n v="2.7118055555555554"/>
    <s v="Slow"/>
    <x v="0"/>
    <n v="0"/>
    <x v="1"/>
    <x v="1"/>
  </r>
  <r>
    <n v="1760"/>
    <x v="1759"/>
    <n v="5.3472222222222227E-2"/>
    <n v="862"/>
    <n v="62"/>
    <n v="42.50416666666667"/>
    <x v="1"/>
    <x v="3"/>
    <n v="1.3354166666666665"/>
    <s v="Fast"/>
    <x v="1"/>
    <n v="1"/>
    <x v="0"/>
    <x v="0"/>
  </r>
  <r>
    <n v="1761"/>
    <x v="1760"/>
    <n v="4.7222222222222221E-2"/>
    <n v="4696"/>
    <n v="390"/>
    <n v="24.753472222222225"/>
    <x v="3"/>
    <x v="3"/>
    <n v="0.66805555555555562"/>
    <s v="Fast"/>
    <x v="1"/>
    <n v="0"/>
    <x v="1"/>
    <x v="1"/>
  </r>
  <r>
    <n v="1762"/>
    <x v="1761"/>
    <n v="4.5138888888888888E-2"/>
    <n v="4104"/>
    <n v="471"/>
    <n v="45"/>
    <x v="2"/>
    <x v="2"/>
    <n v="2.4215277777777779"/>
    <s v="Slow"/>
    <x v="1"/>
    <n v="0"/>
    <x v="1"/>
    <x v="1"/>
  </r>
  <r>
    <n v="1763"/>
    <x v="1762"/>
    <n v="4.5833333333333337E-2"/>
    <n v="872"/>
    <n v="221"/>
    <n v="66.002083333333331"/>
    <x v="1"/>
    <x v="2"/>
    <n v="1.1277777777777778"/>
    <s v="Fast"/>
    <x v="0"/>
    <n v="1"/>
    <x v="0"/>
    <x v="0"/>
  </r>
  <r>
    <n v="1764"/>
    <x v="1763"/>
    <n v="6.805555555555555E-2"/>
    <n v="4968"/>
    <n v="264"/>
    <n v="52.964583333333337"/>
    <x v="2"/>
    <x v="3"/>
    <n v="0.71388888888888891"/>
    <s v="Fast"/>
    <x v="1"/>
    <n v="1"/>
    <x v="0"/>
    <x v="0"/>
  </r>
  <r>
    <n v="1765"/>
    <x v="1764"/>
    <n v="5.1388888888888894E-2"/>
    <n v="1277"/>
    <n v="213"/>
    <n v="52.458333333333336"/>
    <x v="2"/>
    <x v="3"/>
    <n v="0.12916666666666668"/>
    <s v="Fast"/>
    <x v="0"/>
    <n v="1"/>
    <x v="0"/>
    <x v="0"/>
  </r>
  <r>
    <n v="1766"/>
    <x v="1765"/>
    <n v="5.4166666666666669E-2"/>
    <n v="2939"/>
    <n v="287"/>
    <n v="37.62777777777778"/>
    <x v="3"/>
    <x v="0"/>
    <n v="2.713194444444444"/>
    <s v="Slow"/>
    <x v="0"/>
    <n v="0"/>
    <x v="1"/>
    <x v="1"/>
  </r>
  <r>
    <n v="1767"/>
    <x v="1766"/>
    <n v="6.2499999999999995E-3"/>
    <n v="4994"/>
    <n v="249"/>
    <n v="34.922222222222224"/>
    <x v="1"/>
    <x v="1"/>
    <n v="2.0437499999999997"/>
    <s v="Slow"/>
    <x v="0"/>
    <n v="0"/>
    <x v="1"/>
    <x v="1"/>
  </r>
  <r>
    <n v="1768"/>
    <x v="1767"/>
    <n v="6.3194444444444442E-2"/>
    <n v="2975"/>
    <n v="1"/>
    <n v="9.75"/>
    <x v="0"/>
    <x v="3"/>
    <n v="1.211111111111111"/>
    <s v="Fast"/>
    <x v="2"/>
    <n v="0"/>
    <x v="1"/>
    <x v="1"/>
  </r>
  <r>
    <n v="1769"/>
    <x v="1768"/>
    <n v="6.1111111111111109E-2"/>
    <n v="56"/>
    <n v="363"/>
    <n v="81.13055555555556"/>
    <x v="0"/>
    <x v="3"/>
    <n v="0.62916666666666665"/>
    <s v="Fast"/>
    <x v="2"/>
    <n v="0"/>
    <x v="1"/>
    <x v="1"/>
  </r>
  <r>
    <n v="1770"/>
    <x v="1769"/>
    <n v="6.6666666666666666E-2"/>
    <n v="2112"/>
    <n v="235"/>
    <n v="39.125"/>
    <x v="3"/>
    <x v="3"/>
    <n v="2.7930555555555556"/>
    <s v="Slow"/>
    <x v="2"/>
    <n v="1"/>
    <x v="0"/>
    <x v="0"/>
  </r>
  <r>
    <n v="1771"/>
    <x v="1770"/>
    <n v="5.6250000000000001E-2"/>
    <n v="4083"/>
    <n v="428"/>
    <n v="17.291666666666668"/>
    <x v="0"/>
    <x v="0"/>
    <n v="0.54305555555555551"/>
    <s v="Fast"/>
    <x v="2"/>
    <n v="0"/>
    <x v="1"/>
    <x v="1"/>
  </r>
  <r>
    <n v="1772"/>
    <x v="1771"/>
    <n v="4.6527777777777779E-2"/>
    <n v="1030"/>
    <n v="222"/>
    <n v="69.667361111111106"/>
    <x v="0"/>
    <x v="0"/>
    <n v="1.5833333333333333"/>
    <s v="Slow"/>
    <x v="2"/>
    <n v="0"/>
    <x v="1"/>
    <x v="1"/>
  </r>
  <r>
    <n v="1773"/>
    <x v="1772"/>
    <n v="5.8333333333333327E-2"/>
    <n v="3843"/>
    <n v="417"/>
    <n v="76.878472222222214"/>
    <x v="3"/>
    <x v="1"/>
    <n v="0.63124999999999998"/>
    <s v="Fast"/>
    <x v="1"/>
    <n v="0"/>
    <x v="1"/>
    <x v="1"/>
  </r>
  <r>
    <n v="1774"/>
    <x v="1773"/>
    <n v="5.4166666666666669E-2"/>
    <n v="4457"/>
    <n v="193"/>
    <n v="55.753472222222221"/>
    <x v="2"/>
    <x v="1"/>
    <n v="2.2965277777777779"/>
    <s v="Slow"/>
    <x v="1"/>
    <n v="0"/>
    <x v="1"/>
    <x v="1"/>
  </r>
  <r>
    <n v="1775"/>
    <x v="1774"/>
    <n v="6.458333333333334E-2"/>
    <n v="2624"/>
    <n v="291"/>
    <n v="30.421527777777779"/>
    <x v="1"/>
    <x v="3"/>
    <n v="1.4201388888888891"/>
    <s v="Fast"/>
    <x v="0"/>
    <n v="0"/>
    <x v="1"/>
    <x v="1"/>
  </r>
  <r>
    <n v="1776"/>
    <x v="1775"/>
    <n v="4.8611111111111112E-3"/>
    <n v="4169"/>
    <n v="102"/>
    <n v="44.922222222222224"/>
    <x v="0"/>
    <x v="3"/>
    <n v="0.58333333333333337"/>
    <s v="Fast"/>
    <x v="1"/>
    <n v="1"/>
    <x v="0"/>
    <x v="0"/>
  </r>
  <r>
    <n v="1777"/>
    <x v="1776"/>
    <n v="6.0416666666666667E-2"/>
    <n v="1763"/>
    <n v="421"/>
    <n v="37.920833333333334"/>
    <x v="3"/>
    <x v="1"/>
    <n v="0.45902777777777781"/>
    <s v="Fast"/>
    <x v="2"/>
    <n v="0"/>
    <x v="1"/>
    <x v="1"/>
  </r>
  <r>
    <n v="1778"/>
    <x v="1777"/>
    <n v="4.1666666666666666E-3"/>
    <n v="4462"/>
    <n v="346"/>
    <n v="40.006250000000001"/>
    <x v="0"/>
    <x v="2"/>
    <n v="4.3750000000000004E-2"/>
    <s v="Fast"/>
    <x v="2"/>
    <n v="0"/>
    <x v="1"/>
    <x v="1"/>
  </r>
  <r>
    <n v="1779"/>
    <x v="1778"/>
    <n v="5.2083333333333336E-2"/>
    <n v="261"/>
    <n v="239"/>
    <n v="42.046527777777776"/>
    <x v="1"/>
    <x v="3"/>
    <n v="1.7972222222222223"/>
    <s v="Slow"/>
    <x v="2"/>
    <n v="0"/>
    <x v="1"/>
    <x v="1"/>
  </r>
  <r>
    <n v="1780"/>
    <x v="1779"/>
    <n v="5.1388888888888894E-2"/>
    <n v="2551"/>
    <n v="166"/>
    <n v="53.294444444444444"/>
    <x v="2"/>
    <x v="0"/>
    <n v="1.5416666666666667"/>
    <s v="Slow"/>
    <x v="2"/>
    <n v="0"/>
    <x v="1"/>
    <x v="1"/>
  </r>
  <r>
    <n v="1781"/>
    <x v="1780"/>
    <n v="4.4444444444444446E-2"/>
    <n v="927"/>
    <n v="50"/>
    <n v="70.375694444444449"/>
    <x v="3"/>
    <x v="0"/>
    <n v="0.62986111111111109"/>
    <s v="Fast"/>
    <x v="1"/>
    <n v="1"/>
    <x v="0"/>
    <x v="0"/>
  </r>
  <r>
    <n v="1782"/>
    <x v="1781"/>
    <n v="6.458333333333334E-2"/>
    <n v="3014"/>
    <n v="105"/>
    <n v="57.419444444444444"/>
    <x v="1"/>
    <x v="0"/>
    <n v="8.4027777777777771E-2"/>
    <s v="Fast"/>
    <x v="0"/>
    <n v="0"/>
    <x v="1"/>
    <x v="1"/>
  </r>
  <r>
    <n v="1783"/>
    <x v="1782"/>
    <n v="6.458333333333334E-2"/>
    <n v="1395"/>
    <n v="312"/>
    <n v="55.83680555555555"/>
    <x v="3"/>
    <x v="0"/>
    <n v="2.4618055555555558"/>
    <s v="Slow"/>
    <x v="0"/>
    <n v="0"/>
    <x v="1"/>
    <x v="1"/>
  </r>
  <r>
    <n v="1784"/>
    <x v="1783"/>
    <n v="4.8611111111111112E-3"/>
    <n v="1401"/>
    <n v="58"/>
    <n v="53.797222222222224"/>
    <x v="1"/>
    <x v="0"/>
    <n v="2.4611111111111112"/>
    <s v="Slow"/>
    <x v="1"/>
    <n v="0"/>
    <x v="1"/>
    <x v="1"/>
  </r>
  <r>
    <n v="1785"/>
    <x v="1784"/>
    <n v="6.1111111111111109E-2"/>
    <n v="4526"/>
    <n v="458"/>
    <n v="66.543750000000003"/>
    <x v="2"/>
    <x v="2"/>
    <n v="1.6666666666666667"/>
    <s v="Slow"/>
    <x v="2"/>
    <n v="0"/>
    <x v="1"/>
    <x v="1"/>
  </r>
  <r>
    <n v="1786"/>
    <x v="1785"/>
    <n v="6.6666666666666666E-2"/>
    <n v="1359"/>
    <n v="145"/>
    <n v="30.420833333333334"/>
    <x v="1"/>
    <x v="3"/>
    <n v="0.25138888888888888"/>
    <s v="Fast"/>
    <x v="1"/>
    <n v="0"/>
    <x v="1"/>
    <x v="1"/>
  </r>
  <r>
    <n v="1787"/>
    <x v="1786"/>
    <n v="5.7638888888888885E-2"/>
    <n v="977"/>
    <n v="495"/>
    <n v="77.503472222222214"/>
    <x v="2"/>
    <x v="1"/>
    <n v="0.3354166666666667"/>
    <s v="Fast"/>
    <x v="0"/>
    <n v="0"/>
    <x v="1"/>
    <x v="1"/>
  </r>
  <r>
    <n v="1788"/>
    <x v="1787"/>
    <n v="5.2083333333333336E-2"/>
    <n v="4930"/>
    <n v="117"/>
    <n v="67.75277777777778"/>
    <x v="1"/>
    <x v="2"/>
    <n v="0.45902777777777781"/>
    <s v="Fast"/>
    <x v="1"/>
    <n v="0"/>
    <x v="1"/>
    <x v="1"/>
  </r>
  <r>
    <n v="1789"/>
    <x v="1788"/>
    <n v="6.0416666666666667E-2"/>
    <n v="98"/>
    <n v="50"/>
    <n v="2.5868055555555558"/>
    <x v="1"/>
    <x v="3"/>
    <n v="2.1291666666666669"/>
    <s v="Slow"/>
    <x v="2"/>
    <n v="0"/>
    <x v="1"/>
    <x v="1"/>
  </r>
  <r>
    <n v="1790"/>
    <x v="1789"/>
    <n v="5.2777777777777778E-2"/>
    <n v="3685"/>
    <n v="419"/>
    <n v="33.25416666666667"/>
    <x v="1"/>
    <x v="1"/>
    <n v="2.9624999999999999"/>
    <s v="Slow"/>
    <x v="1"/>
    <n v="0"/>
    <x v="1"/>
    <x v="1"/>
  </r>
  <r>
    <n v="1791"/>
    <x v="1790"/>
    <n v="5.7638888888888885E-2"/>
    <n v="1504"/>
    <n v="301"/>
    <n v="51.546527777777776"/>
    <x v="2"/>
    <x v="0"/>
    <n v="0.33819444444444446"/>
    <s v="Fast"/>
    <x v="2"/>
    <n v="0"/>
    <x v="1"/>
    <x v="1"/>
  </r>
  <r>
    <n v="1792"/>
    <x v="1791"/>
    <n v="5.9722222222222225E-2"/>
    <n v="1850"/>
    <n v="40"/>
    <n v="81.464583333333337"/>
    <x v="1"/>
    <x v="2"/>
    <n v="1.2527777777777778"/>
    <s v="Fast"/>
    <x v="1"/>
    <n v="0"/>
    <x v="1"/>
    <x v="1"/>
  </r>
  <r>
    <n v="1793"/>
    <x v="1792"/>
    <n v="4.9999999999999996E-2"/>
    <n v="4173"/>
    <n v="477"/>
    <n v="78.626388888888883"/>
    <x v="0"/>
    <x v="0"/>
    <n v="1.5854166666666665"/>
    <s v="Slow"/>
    <x v="2"/>
    <n v="0"/>
    <x v="1"/>
    <x v="1"/>
  </r>
  <r>
    <n v="1794"/>
    <x v="1793"/>
    <n v="5.9722222222222225E-2"/>
    <n v="2051"/>
    <n v="361"/>
    <n v="58.463888888888896"/>
    <x v="3"/>
    <x v="0"/>
    <n v="2.5041666666666669"/>
    <s v="Slow"/>
    <x v="0"/>
    <n v="0"/>
    <x v="1"/>
    <x v="1"/>
  </r>
  <r>
    <n v="1795"/>
    <x v="1794"/>
    <n v="5.5555555555555558E-3"/>
    <n v="850"/>
    <n v="241"/>
    <n v="4.8791666666666664"/>
    <x v="2"/>
    <x v="0"/>
    <n v="2.1666666666666665"/>
    <s v="Slow"/>
    <x v="1"/>
    <n v="0"/>
    <x v="1"/>
    <x v="1"/>
  </r>
  <r>
    <n v="1796"/>
    <x v="1795"/>
    <n v="5.8333333333333327E-2"/>
    <n v="4039"/>
    <n v="58"/>
    <n v="34.587499999999999"/>
    <x v="3"/>
    <x v="1"/>
    <n v="2.4604166666666667"/>
    <s v="Slow"/>
    <x v="2"/>
    <n v="0"/>
    <x v="1"/>
    <x v="1"/>
  </r>
  <r>
    <n v="1797"/>
    <x v="1796"/>
    <n v="4.9999999999999996E-2"/>
    <n v="1518"/>
    <n v="105"/>
    <n v="33.416666666666664"/>
    <x v="2"/>
    <x v="2"/>
    <n v="2.6680555555555556"/>
    <s v="Slow"/>
    <x v="2"/>
    <n v="1"/>
    <x v="0"/>
    <x v="0"/>
  </r>
  <r>
    <n v="1798"/>
    <x v="1797"/>
    <n v="6.2499999999999995E-3"/>
    <n v="4799"/>
    <n v="475"/>
    <n v="15.50138888888889"/>
    <x v="1"/>
    <x v="3"/>
    <n v="1.8381944444444445"/>
    <s v="Slow"/>
    <x v="1"/>
    <n v="0"/>
    <x v="1"/>
    <x v="1"/>
  </r>
  <r>
    <n v="1799"/>
    <x v="1798"/>
    <n v="4.5833333333333337E-2"/>
    <n v="3541"/>
    <n v="240"/>
    <n v="25.085416666666664"/>
    <x v="0"/>
    <x v="3"/>
    <n v="2.5006944444444446"/>
    <s v="Slow"/>
    <x v="1"/>
    <n v="0"/>
    <x v="1"/>
    <x v="1"/>
  </r>
  <r>
    <n v="1800"/>
    <x v="1799"/>
    <n v="5.486111111111111E-2"/>
    <n v="2894"/>
    <n v="367"/>
    <n v="32.417361111111113"/>
    <x v="3"/>
    <x v="1"/>
    <n v="1.4638888888888888"/>
    <s v="Fast"/>
    <x v="0"/>
    <n v="1"/>
    <x v="0"/>
    <x v="2"/>
  </r>
  <r>
    <n v="1801"/>
    <x v="1800"/>
    <n v="5.6250000000000001E-2"/>
    <n v="1844"/>
    <n v="417"/>
    <n v="63.377083333333331"/>
    <x v="3"/>
    <x v="3"/>
    <n v="0.17222222222222225"/>
    <s v="Fast"/>
    <x v="1"/>
    <n v="0"/>
    <x v="1"/>
    <x v="1"/>
  </r>
  <r>
    <n v="1802"/>
    <x v="1801"/>
    <n v="4.1666666666666666E-3"/>
    <n v="1277"/>
    <n v="417"/>
    <n v="49.167361111111113"/>
    <x v="0"/>
    <x v="3"/>
    <n v="0.67013888888888884"/>
    <s v="Fast"/>
    <x v="2"/>
    <n v="1"/>
    <x v="0"/>
    <x v="0"/>
  </r>
  <r>
    <n v="1803"/>
    <x v="1802"/>
    <n v="6.3888888888888898E-2"/>
    <n v="1451"/>
    <n v="161"/>
    <n v="64.08819444444444"/>
    <x v="2"/>
    <x v="0"/>
    <n v="2.875"/>
    <s v="Slow"/>
    <x v="0"/>
    <n v="1"/>
    <x v="0"/>
    <x v="0"/>
  </r>
  <r>
    <n v="1804"/>
    <x v="1803"/>
    <n v="5.6944444444444443E-2"/>
    <n v="1902"/>
    <n v="164"/>
    <n v="5.0861111111111112"/>
    <x v="2"/>
    <x v="2"/>
    <n v="1.1729166666666666"/>
    <s v="Fast"/>
    <x v="2"/>
    <n v="0"/>
    <x v="1"/>
    <x v="1"/>
  </r>
  <r>
    <n v="1805"/>
    <x v="1804"/>
    <n v="4.3750000000000004E-2"/>
    <n v="3278"/>
    <n v="246"/>
    <n v="20.25"/>
    <x v="1"/>
    <x v="0"/>
    <n v="1.5055555555555555"/>
    <s v="Slow"/>
    <x v="1"/>
    <n v="0"/>
    <x v="1"/>
    <x v="1"/>
  </r>
  <r>
    <n v="1806"/>
    <x v="1805"/>
    <n v="6.5277777777777782E-2"/>
    <n v="2890"/>
    <n v="467"/>
    <n v="60.044444444444444"/>
    <x v="1"/>
    <x v="1"/>
    <n v="2.880555555555556"/>
    <s v="Slow"/>
    <x v="0"/>
    <n v="1"/>
    <x v="0"/>
    <x v="2"/>
  </r>
  <r>
    <n v="1807"/>
    <x v="1806"/>
    <n v="6.1111111111111109E-2"/>
    <n v="397"/>
    <n v="110"/>
    <n v="48.714583333333337"/>
    <x v="0"/>
    <x v="0"/>
    <n v="2.0868055555555558"/>
    <s v="Slow"/>
    <x v="2"/>
    <n v="0"/>
    <x v="1"/>
    <x v="1"/>
  </r>
  <r>
    <n v="1808"/>
    <x v="1807"/>
    <n v="6.7361111111111108E-2"/>
    <n v="3643"/>
    <n v="46"/>
    <n v="41.127083333333331"/>
    <x v="2"/>
    <x v="0"/>
    <n v="1.2506944444444443"/>
    <s v="Fast"/>
    <x v="0"/>
    <n v="0"/>
    <x v="1"/>
    <x v="1"/>
  </r>
  <r>
    <n v="1809"/>
    <x v="1808"/>
    <n v="6.0416666666666667E-2"/>
    <n v="274"/>
    <n v="278"/>
    <n v="35"/>
    <x v="2"/>
    <x v="3"/>
    <n v="2.0472222222222221"/>
    <s v="Slow"/>
    <x v="2"/>
    <n v="0"/>
    <x v="1"/>
    <x v="1"/>
  </r>
  <r>
    <n v="1810"/>
    <x v="1809"/>
    <n v="5.5555555555555558E-3"/>
    <n v="2244"/>
    <n v="334"/>
    <n v="73.584027777777777"/>
    <x v="0"/>
    <x v="2"/>
    <n v="1.6666666666666667"/>
    <s v="Slow"/>
    <x v="1"/>
    <n v="1"/>
    <x v="0"/>
    <x v="0"/>
  </r>
  <r>
    <n v="1811"/>
    <x v="1810"/>
    <n v="6.3888888888888898E-2"/>
    <n v="2173"/>
    <n v="406"/>
    <n v="19.295138888888889"/>
    <x v="1"/>
    <x v="1"/>
    <n v="2.8763888888888887"/>
    <s v="Slow"/>
    <x v="2"/>
    <n v="0"/>
    <x v="1"/>
    <x v="1"/>
  </r>
  <r>
    <n v="1812"/>
    <x v="1811"/>
    <n v="5.1388888888888894E-2"/>
    <n v="2438"/>
    <n v="1"/>
    <n v="58.584722222222219"/>
    <x v="2"/>
    <x v="2"/>
    <n v="4.7222222222222221E-2"/>
    <s v="Fast"/>
    <x v="0"/>
    <n v="1"/>
    <x v="0"/>
    <x v="0"/>
  </r>
  <r>
    <n v="1813"/>
    <x v="1812"/>
    <n v="5.3472222222222227E-2"/>
    <n v="701"/>
    <n v="19"/>
    <n v="29.588194444444444"/>
    <x v="0"/>
    <x v="0"/>
    <n v="1.4625000000000001"/>
    <s v="Fast"/>
    <x v="0"/>
    <n v="1"/>
    <x v="0"/>
    <x v="0"/>
  </r>
  <r>
    <n v="1814"/>
    <x v="1813"/>
    <n v="5.1388888888888894E-2"/>
    <n v="4531"/>
    <n v="60"/>
    <n v="25.963194444444444"/>
    <x v="3"/>
    <x v="3"/>
    <n v="2.0847222222222221"/>
    <s v="Slow"/>
    <x v="2"/>
    <n v="1"/>
    <x v="0"/>
    <x v="0"/>
  </r>
  <r>
    <n v="1815"/>
    <x v="1814"/>
    <n v="5.0694444444444438E-2"/>
    <n v="384"/>
    <n v="152"/>
    <n v="41.127083333333331"/>
    <x v="0"/>
    <x v="1"/>
    <n v="1.6673611111111111"/>
    <s v="Slow"/>
    <x v="0"/>
    <n v="0"/>
    <x v="1"/>
    <x v="1"/>
  </r>
  <r>
    <n v="1816"/>
    <x v="1815"/>
    <n v="6.805555555555555E-2"/>
    <n v="2813"/>
    <n v="315"/>
    <n v="55.375"/>
    <x v="0"/>
    <x v="0"/>
    <n v="0.9604166666666667"/>
    <s v="Fast"/>
    <x v="0"/>
    <n v="0"/>
    <x v="1"/>
    <x v="1"/>
  </r>
  <r>
    <n v="1817"/>
    <x v="1816"/>
    <n v="5.5555555555555558E-3"/>
    <n v="4067"/>
    <n v="67"/>
    <n v="2.6277777777777778"/>
    <x v="0"/>
    <x v="2"/>
    <n v="1.7916666666666667"/>
    <s v="Slow"/>
    <x v="2"/>
    <n v="0"/>
    <x v="1"/>
    <x v="1"/>
  </r>
  <r>
    <n v="1818"/>
    <x v="1817"/>
    <n v="5.5555555555555558E-3"/>
    <n v="2092"/>
    <n v="324"/>
    <n v="6.2937500000000002"/>
    <x v="0"/>
    <x v="0"/>
    <n v="8.8888888888888892E-2"/>
    <s v="Fast"/>
    <x v="1"/>
    <n v="0"/>
    <x v="1"/>
    <x v="1"/>
  </r>
  <r>
    <n v="1819"/>
    <x v="1818"/>
    <n v="5.2083333333333336E-2"/>
    <n v="1859"/>
    <n v="98"/>
    <n v="51.504166666666663"/>
    <x v="3"/>
    <x v="2"/>
    <n v="2.2534722222222223"/>
    <s v="Slow"/>
    <x v="0"/>
    <n v="0"/>
    <x v="1"/>
    <x v="1"/>
  </r>
  <r>
    <n v="1820"/>
    <x v="1819"/>
    <n v="5.0694444444444438E-2"/>
    <n v="165"/>
    <n v="161"/>
    <n v="52.750694444444441"/>
    <x v="3"/>
    <x v="1"/>
    <n v="2.0020833333333332"/>
    <s v="Slow"/>
    <x v="2"/>
    <n v="1"/>
    <x v="0"/>
    <x v="2"/>
  </r>
  <r>
    <n v="1821"/>
    <x v="1820"/>
    <n v="4.7916666666666663E-2"/>
    <n v="2284"/>
    <n v="458"/>
    <n v="45.420833333333327"/>
    <x v="3"/>
    <x v="3"/>
    <n v="1.0451388888888888"/>
    <s v="Fast"/>
    <x v="0"/>
    <n v="0"/>
    <x v="1"/>
    <x v="1"/>
  </r>
  <r>
    <n v="1822"/>
    <x v="1821"/>
    <n v="6.805555555555555E-2"/>
    <n v="1654"/>
    <n v="242"/>
    <n v="79.547222222222231"/>
    <x v="3"/>
    <x v="1"/>
    <n v="2.6680555555555556"/>
    <s v="Slow"/>
    <x v="1"/>
    <n v="0"/>
    <x v="1"/>
    <x v="1"/>
  </r>
  <r>
    <n v="1823"/>
    <x v="1822"/>
    <n v="6.1805555555555558E-2"/>
    <n v="243"/>
    <n v="44"/>
    <n v="53.62638888888889"/>
    <x v="0"/>
    <x v="2"/>
    <n v="2.1729166666666666"/>
    <s v="Slow"/>
    <x v="0"/>
    <n v="0"/>
    <x v="1"/>
    <x v="1"/>
  </r>
  <r>
    <n v="1824"/>
    <x v="1823"/>
    <n v="5.486111111111111E-2"/>
    <n v="2176"/>
    <n v="185"/>
    <n v="73.334027777777777"/>
    <x v="1"/>
    <x v="0"/>
    <n v="0.71319444444444446"/>
    <s v="Fast"/>
    <x v="0"/>
    <n v="0"/>
    <x v="1"/>
    <x v="1"/>
  </r>
  <r>
    <n v="1825"/>
    <x v="1824"/>
    <n v="5.8333333333333327E-2"/>
    <n v="3951"/>
    <n v="158"/>
    <n v="52.375"/>
    <x v="0"/>
    <x v="0"/>
    <n v="1.0875000000000001"/>
    <s v="Fast"/>
    <x v="2"/>
    <n v="0"/>
    <x v="1"/>
    <x v="1"/>
  </r>
  <r>
    <n v="1826"/>
    <x v="1825"/>
    <n v="6.5277777777777782E-2"/>
    <n v="1671"/>
    <n v="31"/>
    <n v="26.961111111111112"/>
    <x v="3"/>
    <x v="2"/>
    <n v="0.21319444444444444"/>
    <s v="Fast"/>
    <x v="2"/>
    <n v="0"/>
    <x v="1"/>
    <x v="1"/>
  </r>
  <r>
    <n v="1827"/>
    <x v="1826"/>
    <n v="5.2083333333333336E-2"/>
    <n v="941"/>
    <n v="201"/>
    <n v="71.459722222222226"/>
    <x v="2"/>
    <x v="2"/>
    <n v="2.125"/>
    <s v="Slow"/>
    <x v="1"/>
    <n v="0"/>
    <x v="1"/>
    <x v="1"/>
  </r>
  <r>
    <n v="1828"/>
    <x v="1827"/>
    <n v="4.9305555555555554E-2"/>
    <n v="4608"/>
    <n v="207"/>
    <n v="49.837499999999999"/>
    <x v="2"/>
    <x v="0"/>
    <n v="0.63124999999999998"/>
    <s v="Fast"/>
    <x v="0"/>
    <n v="1"/>
    <x v="0"/>
    <x v="0"/>
  </r>
  <r>
    <n v="1829"/>
    <x v="1828"/>
    <n v="5.486111111111111E-2"/>
    <n v="2349"/>
    <n v="108"/>
    <n v="15.08611111111111"/>
    <x v="2"/>
    <x v="0"/>
    <n v="1.3375000000000001"/>
    <s v="Fast"/>
    <x v="1"/>
    <n v="0"/>
    <x v="1"/>
    <x v="1"/>
  </r>
  <r>
    <n v="1830"/>
    <x v="1829"/>
    <n v="5.4166666666666669E-2"/>
    <n v="3451"/>
    <n v="344"/>
    <n v="30.794444444444448"/>
    <x v="2"/>
    <x v="2"/>
    <n v="1.3805555555555555"/>
    <s v="Fast"/>
    <x v="0"/>
    <n v="0"/>
    <x v="1"/>
    <x v="1"/>
  </r>
  <r>
    <n v="1831"/>
    <x v="1830"/>
    <n v="6.458333333333334E-2"/>
    <n v="3369"/>
    <n v="227"/>
    <n v="10.085416666666667"/>
    <x v="0"/>
    <x v="3"/>
    <n v="1.0416666666666667"/>
    <s v="Fast"/>
    <x v="1"/>
    <n v="0"/>
    <x v="1"/>
    <x v="1"/>
  </r>
  <r>
    <n v="1832"/>
    <x v="1831"/>
    <n v="6.6666666666666666E-2"/>
    <n v="4244"/>
    <n v="79"/>
    <n v="20.962500000000002"/>
    <x v="2"/>
    <x v="1"/>
    <n v="2.0423611111111111"/>
    <s v="Slow"/>
    <x v="1"/>
    <n v="1"/>
    <x v="0"/>
    <x v="2"/>
  </r>
  <r>
    <n v="1833"/>
    <x v="1832"/>
    <n v="6.5277777777777782E-2"/>
    <n v="4257"/>
    <n v="395"/>
    <n v="32.75138888888889"/>
    <x v="2"/>
    <x v="2"/>
    <n v="2.8812500000000001"/>
    <s v="Slow"/>
    <x v="1"/>
    <n v="1"/>
    <x v="0"/>
    <x v="0"/>
  </r>
  <r>
    <n v="1834"/>
    <x v="1833"/>
    <n v="6.1111111111111109E-2"/>
    <n v="4269"/>
    <n v="374"/>
    <n v="49.918749999999996"/>
    <x v="1"/>
    <x v="0"/>
    <n v="0.37847222222222227"/>
    <s v="Fast"/>
    <x v="2"/>
    <n v="1"/>
    <x v="0"/>
    <x v="0"/>
  </r>
  <r>
    <n v="1835"/>
    <x v="1834"/>
    <n v="5.6250000000000001E-2"/>
    <n v="2257"/>
    <n v="341"/>
    <n v="46.213888888888896"/>
    <x v="2"/>
    <x v="3"/>
    <n v="1.6701388888888891"/>
    <s v="Slow"/>
    <x v="0"/>
    <n v="0"/>
    <x v="1"/>
    <x v="1"/>
  </r>
  <r>
    <n v="1836"/>
    <x v="1835"/>
    <n v="4.6527777777777779E-2"/>
    <n v="2476"/>
    <n v="170"/>
    <n v="76.461805555555557"/>
    <x v="3"/>
    <x v="2"/>
    <n v="0.46249999999999997"/>
    <s v="Fast"/>
    <x v="0"/>
    <n v="1"/>
    <x v="0"/>
    <x v="0"/>
  </r>
  <r>
    <n v="1837"/>
    <x v="1836"/>
    <n v="6.7361111111111108E-2"/>
    <n v="608"/>
    <n v="459"/>
    <n v="76.209722222222226"/>
    <x v="1"/>
    <x v="2"/>
    <n v="0.67152777777777783"/>
    <s v="Fast"/>
    <x v="1"/>
    <n v="1"/>
    <x v="0"/>
    <x v="0"/>
  </r>
  <r>
    <n v="1838"/>
    <x v="1837"/>
    <n v="6.5277777777777782E-2"/>
    <n v="404"/>
    <n v="420"/>
    <n v="10.125"/>
    <x v="0"/>
    <x v="1"/>
    <n v="1.3784722222222223"/>
    <s v="Fast"/>
    <x v="1"/>
    <n v="0"/>
    <x v="1"/>
    <x v="1"/>
  </r>
  <r>
    <n v="1839"/>
    <x v="1838"/>
    <n v="5.6250000000000001E-2"/>
    <n v="1481"/>
    <n v="461"/>
    <n v="5.9208333333333334"/>
    <x v="3"/>
    <x v="0"/>
    <n v="0.54236111111111118"/>
    <s v="Fast"/>
    <x v="2"/>
    <n v="0"/>
    <x v="1"/>
    <x v="1"/>
  </r>
  <r>
    <n v="1840"/>
    <x v="1839"/>
    <n v="6.2499999999999995E-3"/>
    <n v="657"/>
    <n v="48"/>
    <n v="37.958333333333336"/>
    <x v="0"/>
    <x v="0"/>
    <n v="0.41944444444444445"/>
    <s v="Fast"/>
    <x v="0"/>
    <n v="1"/>
    <x v="0"/>
    <x v="0"/>
  </r>
  <r>
    <n v="1841"/>
    <x v="1840"/>
    <n v="6.6666666666666666E-2"/>
    <n v="4719"/>
    <n v="28"/>
    <n v="71.921527777777769"/>
    <x v="3"/>
    <x v="1"/>
    <n v="1.8798611111111112"/>
    <s v="Slow"/>
    <x v="1"/>
    <n v="0"/>
    <x v="1"/>
    <x v="1"/>
  </r>
  <r>
    <n v="1842"/>
    <x v="1841"/>
    <n v="4.9999999999999996E-2"/>
    <n v="4434"/>
    <n v="471"/>
    <n v="49.75138888888889"/>
    <x v="0"/>
    <x v="1"/>
    <n v="2.1256944444444446"/>
    <s v="Slow"/>
    <x v="2"/>
    <n v="0"/>
    <x v="1"/>
    <x v="1"/>
  </r>
  <r>
    <n v="1843"/>
    <x v="1842"/>
    <n v="5.7638888888888885E-2"/>
    <n v="1849"/>
    <n v="432"/>
    <n v="75.381250000000009"/>
    <x v="3"/>
    <x v="3"/>
    <n v="2.629861111111111"/>
    <s v="Slow"/>
    <x v="0"/>
    <n v="1"/>
    <x v="0"/>
    <x v="0"/>
  </r>
  <r>
    <n v="1844"/>
    <x v="1843"/>
    <n v="6.805555555555555E-2"/>
    <n v="1010"/>
    <n v="167"/>
    <n v="37.881250000000001"/>
    <x v="3"/>
    <x v="2"/>
    <n v="0.92013888888888884"/>
    <s v="Fast"/>
    <x v="2"/>
    <n v="0"/>
    <x v="1"/>
    <x v="1"/>
  </r>
  <r>
    <n v="1845"/>
    <x v="1844"/>
    <n v="4.7916666666666663E-2"/>
    <n v="2348"/>
    <n v="254"/>
    <n v="33.375694444444441"/>
    <x v="0"/>
    <x v="0"/>
    <n v="2.5854166666666667"/>
    <s v="Slow"/>
    <x v="0"/>
    <n v="0"/>
    <x v="1"/>
    <x v="1"/>
  </r>
  <r>
    <n v="1846"/>
    <x v="1845"/>
    <n v="4.5833333333333337E-2"/>
    <n v="366"/>
    <n v="191"/>
    <n v="26.168055555555554"/>
    <x v="3"/>
    <x v="0"/>
    <n v="4.7916666666666663E-2"/>
    <s v="Fast"/>
    <x v="0"/>
    <n v="0"/>
    <x v="1"/>
    <x v="1"/>
  </r>
  <r>
    <n v="1847"/>
    <x v="1846"/>
    <n v="6.805555555555555E-2"/>
    <n v="2486"/>
    <n v="386"/>
    <n v="21.170138888888889"/>
    <x v="0"/>
    <x v="2"/>
    <n v="1.04375"/>
    <s v="Fast"/>
    <x v="1"/>
    <n v="1"/>
    <x v="0"/>
    <x v="0"/>
  </r>
  <r>
    <n v="1848"/>
    <x v="1847"/>
    <n v="6.5972222222222224E-2"/>
    <n v="1705"/>
    <n v="153"/>
    <n v="73.254166666666663"/>
    <x v="1"/>
    <x v="3"/>
    <n v="0.75416666666666676"/>
    <s v="Fast"/>
    <x v="2"/>
    <n v="1"/>
    <x v="0"/>
    <x v="0"/>
  </r>
  <r>
    <n v="1849"/>
    <x v="1848"/>
    <n v="4.3055555555555562E-2"/>
    <n v="3044"/>
    <n v="450"/>
    <n v="45.875"/>
    <x v="0"/>
    <x v="2"/>
    <n v="1.0423611111111111"/>
    <s v="Fast"/>
    <x v="1"/>
    <n v="1"/>
    <x v="0"/>
    <x v="0"/>
  </r>
  <r>
    <n v="1850"/>
    <x v="1849"/>
    <n v="5.7638888888888885E-2"/>
    <n v="2217"/>
    <n v="331"/>
    <n v="35.462499999999999"/>
    <x v="0"/>
    <x v="1"/>
    <n v="2.1722222222222221"/>
    <s v="Slow"/>
    <x v="2"/>
    <n v="1"/>
    <x v="0"/>
    <x v="2"/>
  </r>
  <r>
    <n v="1851"/>
    <x v="1850"/>
    <n v="5.9722222222222225E-2"/>
    <n v="2736"/>
    <n v="484"/>
    <n v="54.210416666666667"/>
    <x v="3"/>
    <x v="3"/>
    <n v="2.7541666666666664"/>
    <s v="Slow"/>
    <x v="2"/>
    <n v="0"/>
    <x v="1"/>
    <x v="1"/>
  </r>
  <r>
    <n v="1852"/>
    <x v="1851"/>
    <n v="6.1805555555555558E-2"/>
    <n v="410"/>
    <n v="264"/>
    <n v="25.835416666666664"/>
    <x v="1"/>
    <x v="2"/>
    <n v="0.79583333333333339"/>
    <s v="Fast"/>
    <x v="2"/>
    <n v="0"/>
    <x v="1"/>
    <x v="1"/>
  </r>
  <r>
    <n v="1853"/>
    <x v="1852"/>
    <n v="5.9027777777777783E-2"/>
    <n v="562"/>
    <n v="328"/>
    <n v="19.129166666666666"/>
    <x v="0"/>
    <x v="1"/>
    <n v="1.7930555555555554"/>
    <s v="Slow"/>
    <x v="1"/>
    <n v="0"/>
    <x v="1"/>
    <x v="1"/>
  </r>
  <r>
    <n v="1854"/>
    <x v="1853"/>
    <n v="5.7638888888888885E-2"/>
    <n v="251"/>
    <n v="9"/>
    <n v="16.25"/>
    <x v="1"/>
    <x v="2"/>
    <n v="2.3368055555555558"/>
    <s v="Slow"/>
    <x v="2"/>
    <n v="0"/>
    <x v="1"/>
    <x v="1"/>
  </r>
  <r>
    <n v="1855"/>
    <x v="1854"/>
    <n v="5.8333333333333327E-2"/>
    <n v="3034"/>
    <n v="398"/>
    <n v="79.752083333333331"/>
    <x v="2"/>
    <x v="2"/>
    <n v="2.0013888888888887"/>
    <s v="Slow"/>
    <x v="0"/>
    <n v="0"/>
    <x v="1"/>
    <x v="1"/>
  </r>
  <r>
    <n v="1856"/>
    <x v="1855"/>
    <n v="5.9027777777777783E-2"/>
    <n v="685"/>
    <n v="119"/>
    <n v="65.088888888888889"/>
    <x v="3"/>
    <x v="3"/>
    <n v="1.0895833333333333"/>
    <s v="Fast"/>
    <x v="1"/>
    <n v="0"/>
    <x v="1"/>
    <x v="1"/>
  </r>
  <r>
    <n v="1857"/>
    <x v="1856"/>
    <n v="4.4444444444444446E-2"/>
    <n v="1774"/>
    <n v="313"/>
    <n v="64.709722222222226"/>
    <x v="0"/>
    <x v="3"/>
    <n v="2.0430555555555556"/>
    <s v="Slow"/>
    <x v="1"/>
    <n v="0"/>
    <x v="1"/>
    <x v="1"/>
  </r>
  <r>
    <n v="1858"/>
    <x v="1857"/>
    <n v="4.6527777777777779E-2"/>
    <n v="1108"/>
    <n v="473"/>
    <n v="81.254861111111111"/>
    <x v="1"/>
    <x v="1"/>
    <n v="0.29305555555555557"/>
    <s v="Fast"/>
    <x v="1"/>
    <n v="0"/>
    <x v="1"/>
    <x v="1"/>
  </r>
  <r>
    <n v="1859"/>
    <x v="1858"/>
    <n v="4.9305555555555554E-2"/>
    <n v="914"/>
    <n v="258"/>
    <n v="16.422916666666666"/>
    <x v="3"/>
    <x v="2"/>
    <n v="1.66875"/>
    <s v="Slow"/>
    <x v="0"/>
    <n v="0"/>
    <x v="1"/>
    <x v="1"/>
  </r>
  <r>
    <n v="1860"/>
    <x v="1859"/>
    <n v="6.7361111111111108E-2"/>
    <n v="3406"/>
    <n v="397"/>
    <n v="20.712500000000002"/>
    <x v="1"/>
    <x v="2"/>
    <n v="2.875"/>
    <s v="Slow"/>
    <x v="0"/>
    <n v="1"/>
    <x v="0"/>
    <x v="0"/>
  </r>
  <r>
    <n v="1861"/>
    <x v="1860"/>
    <n v="5.486111111111111E-2"/>
    <n v="2234"/>
    <n v="388"/>
    <n v="17.292361111111109"/>
    <x v="3"/>
    <x v="3"/>
    <n v="1.0423611111111111"/>
    <s v="Fast"/>
    <x v="0"/>
    <n v="0"/>
    <x v="1"/>
    <x v="1"/>
  </r>
  <r>
    <n v="1862"/>
    <x v="1861"/>
    <n v="5.9027777777777783E-2"/>
    <n v="4514"/>
    <n v="248"/>
    <n v="71.96041666666666"/>
    <x v="2"/>
    <x v="0"/>
    <n v="1.1312499999999999"/>
    <s v="Fast"/>
    <x v="1"/>
    <n v="0"/>
    <x v="1"/>
    <x v="1"/>
  </r>
  <r>
    <n v="1863"/>
    <x v="1862"/>
    <n v="6.8749999999999992E-2"/>
    <n v="2358"/>
    <n v="238"/>
    <n v="14.838194444444445"/>
    <x v="1"/>
    <x v="0"/>
    <n v="0.625"/>
    <s v="Fast"/>
    <x v="0"/>
    <n v="0"/>
    <x v="1"/>
    <x v="1"/>
  </r>
  <r>
    <n v="1864"/>
    <x v="1863"/>
    <n v="4.4444444444444446E-2"/>
    <n v="1844"/>
    <n v="63"/>
    <n v="79.504861111111111"/>
    <x v="0"/>
    <x v="3"/>
    <n v="1.0888888888888888"/>
    <s v="Fast"/>
    <x v="1"/>
    <n v="0"/>
    <x v="1"/>
    <x v="1"/>
  </r>
  <r>
    <n v="1865"/>
    <x v="1864"/>
    <n v="4.7222222222222221E-2"/>
    <n v="2475"/>
    <n v="192"/>
    <n v="7.125694444444445"/>
    <x v="2"/>
    <x v="0"/>
    <n v="0.29652777777777778"/>
    <s v="Fast"/>
    <x v="2"/>
    <n v="0"/>
    <x v="1"/>
    <x v="1"/>
  </r>
  <r>
    <n v="1866"/>
    <x v="1865"/>
    <n v="4.9305555555555554E-2"/>
    <n v="1482"/>
    <n v="51"/>
    <n v="73.08541666666666"/>
    <x v="2"/>
    <x v="0"/>
    <n v="0.46111111111111108"/>
    <s v="Fast"/>
    <x v="0"/>
    <n v="1"/>
    <x v="0"/>
    <x v="0"/>
  </r>
  <r>
    <n v="1867"/>
    <x v="1866"/>
    <n v="6.7361111111111108E-2"/>
    <n v="1566"/>
    <n v="392"/>
    <n v="71.462499999999991"/>
    <x v="3"/>
    <x v="2"/>
    <n v="1.9604166666666665"/>
    <s v="Slow"/>
    <x v="0"/>
    <n v="1"/>
    <x v="0"/>
    <x v="0"/>
  </r>
  <r>
    <n v="1868"/>
    <x v="1867"/>
    <n v="6.1805555555555558E-2"/>
    <n v="688"/>
    <n v="163"/>
    <n v="79.086111111111109"/>
    <x v="2"/>
    <x v="1"/>
    <n v="1.2513888888888889"/>
    <s v="Fast"/>
    <x v="0"/>
    <n v="1"/>
    <x v="0"/>
    <x v="2"/>
  </r>
  <r>
    <n v="1869"/>
    <x v="1868"/>
    <n v="4.5138888888888888E-2"/>
    <n v="1718"/>
    <n v="254"/>
    <n v="60.668055555555554"/>
    <x v="0"/>
    <x v="0"/>
    <n v="1.8340277777777778"/>
    <s v="Slow"/>
    <x v="2"/>
    <n v="1"/>
    <x v="0"/>
    <x v="0"/>
  </r>
  <r>
    <n v="1870"/>
    <x v="1869"/>
    <n v="4.3750000000000004E-2"/>
    <n v="4670"/>
    <n v="299"/>
    <n v="76.833333333333329"/>
    <x v="1"/>
    <x v="1"/>
    <n v="2.8347222222222221"/>
    <s v="Slow"/>
    <x v="2"/>
    <n v="1"/>
    <x v="0"/>
    <x v="2"/>
  </r>
  <r>
    <n v="1871"/>
    <x v="1870"/>
    <n v="4.6527777777777779E-2"/>
    <n v="4825"/>
    <n v="258"/>
    <n v="52.297222222222224"/>
    <x v="1"/>
    <x v="2"/>
    <n v="1.3347222222222221"/>
    <s v="Fast"/>
    <x v="2"/>
    <n v="0"/>
    <x v="1"/>
    <x v="1"/>
  </r>
  <r>
    <n v="1872"/>
    <x v="1871"/>
    <n v="6.7361111111111108E-2"/>
    <n v="827"/>
    <n v="119"/>
    <n v="48.585416666666667"/>
    <x v="1"/>
    <x v="2"/>
    <n v="2.754861111111111"/>
    <s v="Slow"/>
    <x v="1"/>
    <n v="0"/>
    <x v="1"/>
    <x v="1"/>
  </r>
  <r>
    <n v="1873"/>
    <x v="1872"/>
    <n v="5.3472222222222227E-2"/>
    <n v="1386"/>
    <n v="88"/>
    <n v="29.503472222222225"/>
    <x v="2"/>
    <x v="3"/>
    <n v="1.1680555555555556"/>
    <s v="Fast"/>
    <x v="2"/>
    <n v="1"/>
    <x v="0"/>
    <x v="0"/>
  </r>
  <r>
    <n v="1874"/>
    <x v="1873"/>
    <n v="6.5972222222222224E-2"/>
    <n v="3582"/>
    <n v="205"/>
    <n v="36.963194444444447"/>
    <x v="1"/>
    <x v="3"/>
    <n v="1.7562499999999999"/>
    <s v="Slow"/>
    <x v="2"/>
    <n v="0"/>
    <x v="1"/>
    <x v="1"/>
  </r>
  <r>
    <n v="1875"/>
    <x v="1874"/>
    <n v="6.5277777777777782E-2"/>
    <n v="3244"/>
    <n v="285"/>
    <n v="42.297222222222224"/>
    <x v="3"/>
    <x v="3"/>
    <n v="0.79513888888888884"/>
    <s v="Fast"/>
    <x v="2"/>
    <n v="0"/>
    <x v="1"/>
    <x v="1"/>
  </r>
  <r>
    <n v="1876"/>
    <x v="1875"/>
    <n v="6.8749999999999992E-2"/>
    <n v="1506"/>
    <n v="350"/>
    <n v="74.126388888888883"/>
    <x v="1"/>
    <x v="2"/>
    <n v="1.7548611111111112"/>
    <s v="Slow"/>
    <x v="0"/>
    <n v="0"/>
    <x v="1"/>
    <x v="1"/>
  </r>
  <r>
    <n v="1877"/>
    <x v="1876"/>
    <n v="5.6944444444444443E-2"/>
    <n v="1675"/>
    <n v="107"/>
    <n v="81.504861111111111"/>
    <x v="0"/>
    <x v="1"/>
    <n v="1.2520833333333334"/>
    <s v="Fast"/>
    <x v="2"/>
    <n v="0"/>
    <x v="1"/>
    <x v="1"/>
  </r>
  <r>
    <n v="1878"/>
    <x v="1877"/>
    <n v="4.9305555555555554E-2"/>
    <n v="4665"/>
    <n v="451"/>
    <n v="36.797222222222224"/>
    <x v="1"/>
    <x v="2"/>
    <n v="2.5013888888888887"/>
    <s v="Slow"/>
    <x v="0"/>
    <n v="1"/>
    <x v="0"/>
    <x v="0"/>
  </r>
  <r>
    <n v="1879"/>
    <x v="1878"/>
    <n v="5.6250000000000001E-2"/>
    <n v="1573"/>
    <n v="91"/>
    <n v="5.5854166666666671"/>
    <x v="2"/>
    <x v="3"/>
    <n v="0.21111111111111111"/>
    <s v="Fast"/>
    <x v="2"/>
    <n v="0"/>
    <x v="1"/>
    <x v="1"/>
  </r>
  <r>
    <n v="1880"/>
    <x v="1879"/>
    <n v="6.6666666666666666E-2"/>
    <n v="3672"/>
    <n v="267"/>
    <n v="12.21111111111111"/>
    <x v="3"/>
    <x v="0"/>
    <n v="1.3395833333333333"/>
    <s v="Fast"/>
    <x v="1"/>
    <n v="0"/>
    <x v="1"/>
    <x v="1"/>
  </r>
  <r>
    <n v="1881"/>
    <x v="1880"/>
    <n v="6.805555555555555E-2"/>
    <n v="653"/>
    <n v="52"/>
    <n v="80.214583333333337"/>
    <x v="2"/>
    <x v="2"/>
    <n v="1.0881944444444445"/>
    <s v="Fast"/>
    <x v="2"/>
    <n v="0"/>
    <x v="1"/>
    <x v="1"/>
  </r>
  <r>
    <n v="1882"/>
    <x v="1881"/>
    <n v="5.2777777777777778E-2"/>
    <n v="3905"/>
    <n v="237"/>
    <n v="22.920138888888889"/>
    <x v="2"/>
    <x v="3"/>
    <n v="2.1284722222222223"/>
    <s v="Slow"/>
    <x v="0"/>
    <n v="0"/>
    <x v="1"/>
    <x v="1"/>
  </r>
  <r>
    <n v="1883"/>
    <x v="1882"/>
    <n v="5.486111111111111E-2"/>
    <n v="1184"/>
    <n v="107"/>
    <n v="1.7916666666666667"/>
    <x v="1"/>
    <x v="3"/>
    <n v="0.37708333333333338"/>
    <s v="Fast"/>
    <x v="1"/>
    <n v="0"/>
    <x v="1"/>
    <x v="1"/>
  </r>
  <r>
    <n v="1884"/>
    <x v="1883"/>
    <n v="6.3888888888888898E-2"/>
    <n v="2635"/>
    <n v="308"/>
    <n v="32.834027777777777"/>
    <x v="1"/>
    <x v="0"/>
    <n v="0.66666666666666663"/>
    <s v="Fast"/>
    <x v="0"/>
    <n v="1"/>
    <x v="0"/>
    <x v="0"/>
  </r>
  <r>
    <n v="1885"/>
    <x v="1884"/>
    <n v="5.2777777777777778E-2"/>
    <n v="4938"/>
    <n v="19"/>
    <n v="1.625"/>
    <x v="1"/>
    <x v="1"/>
    <n v="1.3784722222222223"/>
    <s v="Fast"/>
    <x v="2"/>
    <n v="1"/>
    <x v="0"/>
    <x v="2"/>
  </r>
  <r>
    <n v="1886"/>
    <x v="1885"/>
    <n v="4.8611111111111112E-3"/>
    <n v="1542"/>
    <n v="338"/>
    <n v="19.879861111111111"/>
    <x v="2"/>
    <x v="2"/>
    <n v="2.504861111111111"/>
    <s v="Slow"/>
    <x v="2"/>
    <n v="0"/>
    <x v="1"/>
    <x v="1"/>
  </r>
  <r>
    <n v="1887"/>
    <x v="1886"/>
    <n v="4.9305555555555554E-2"/>
    <n v="2135"/>
    <n v="23"/>
    <n v="81.418750000000003"/>
    <x v="3"/>
    <x v="3"/>
    <n v="2.9215277777777775"/>
    <s v="Slow"/>
    <x v="0"/>
    <n v="0"/>
    <x v="1"/>
    <x v="1"/>
  </r>
  <r>
    <n v="1888"/>
    <x v="1887"/>
    <n v="5.486111111111111E-2"/>
    <n v="2181"/>
    <n v="364"/>
    <n v="1.6680555555555554"/>
    <x v="2"/>
    <x v="1"/>
    <n v="2.0854166666666667"/>
    <s v="Slow"/>
    <x v="2"/>
    <n v="0"/>
    <x v="1"/>
    <x v="1"/>
  </r>
  <r>
    <n v="1889"/>
    <x v="1888"/>
    <n v="4.8611111111111112E-3"/>
    <n v="2459"/>
    <n v="351"/>
    <n v="31.547916666666666"/>
    <x v="0"/>
    <x v="3"/>
    <n v="2.4583333333333335"/>
    <s v="Slow"/>
    <x v="1"/>
    <n v="0"/>
    <x v="1"/>
    <x v="1"/>
  </r>
  <r>
    <n v="1890"/>
    <x v="1889"/>
    <n v="6.3194444444444442E-2"/>
    <n v="3497"/>
    <n v="71"/>
    <n v="16.631249999999998"/>
    <x v="0"/>
    <x v="1"/>
    <n v="2.1680555555555556"/>
    <s v="Slow"/>
    <x v="1"/>
    <n v="1"/>
    <x v="0"/>
    <x v="2"/>
  </r>
  <r>
    <n v="1891"/>
    <x v="1890"/>
    <n v="6.0416666666666667E-2"/>
    <n v="2214"/>
    <n v="22"/>
    <n v="64.21319444444444"/>
    <x v="1"/>
    <x v="1"/>
    <n v="0.29722222222222222"/>
    <s v="Fast"/>
    <x v="0"/>
    <n v="0"/>
    <x v="1"/>
    <x v="1"/>
  </r>
  <r>
    <n v="1892"/>
    <x v="1891"/>
    <n v="6.7361111111111108E-2"/>
    <n v="4826"/>
    <n v="354"/>
    <n v="81.627083333333331"/>
    <x v="3"/>
    <x v="0"/>
    <n v="2.2097222222222221"/>
    <s v="Slow"/>
    <x v="0"/>
    <n v="1"/>
    <x v="0"/>
    <x v="0"/>
  </r>
  <r>
    <n v="1893"/>
    <x v="1892"/>
    <n v="6.2499999999999995E-3"/>
    <n v="997"/>
    <n v="370"/>
    <n v="29.253472222222225"/>
    <x v="3"/>
    <x v="1"/>
    <n v="2.2951388888888888"/>
    <s v="Slow"/>
    <x v="1"/>
    <n v="0"/>
    <x v="1"/>
    <x v="1"/>
  </r>
  <r>
    <n v="1894"/>
    <x v="1893"/>
    <n v="5.4166666666666669E-2"/>
    <n v="2902"/>
    <n v="140"/>
    <n v="36.045833333333334"/>
    <x v="3"/>
    <x v="3"/>
    <n v="1.4215277777777777"/>
    <s v="Fast"/>
    <x v="0"/>
    <n v="0"/>
    <x v="1"/>
    <x v="1"/>
  </r>
  <r>
    <n v="1895"/>
    <x v="1894"/>
    <n v="4.6527777777777779E-2"/>
    <n v="784"/>
    <n v="440"/>
    <n v="63.71319444444444"/>
    <x v="1"/>
    <x v="1"/>
    <n v="2.3812500000000001"/>
    <s v="Slow"/>
    <x v="0"/>
    <n v="0"/>
    <x v="1"/>
    <x v="1"/>
  </r>
  <r>
    <n v="1896"/>
    <x v="1895"/>
    <n v="4.7916666666666663E-2"/>
    <n v="1320"/>
    <n v="478"/>
    <n v="70.628472222222214"/>
    <x v="1"/>
    <x v="3"/>
    <n v="2.7944444444444443"/>
    <s v="Slow"/>
    <x v="0"/>
    <n v="0"/>
    <x v="1"/>
    <x v="1"/>
  </r>
  <r>
    <n v="1897"/>
    <x v="1896"/>
    <n v="6.5972222222222224E-2"/>
    <n v="2197"/>
    <n v="237"/>
    <n v="67.293750000000003"/>
    <x v="0"/>
    <x v="0"/>
    <n v="2.1284722222222223"/>
    <s v="Slow"/>
    <x v="1"/>
    <n v="1"/>
    <x v="0"/>
    <x v="0"/>
  </r>
  <r>
    <n v="1898"/>
    <x v="1897"/>
    <n v="5.9027777777777783E-2"/>
    <n v="1624"/>
    <n v="103"/>
    <n v="37.62777777777778"/>
    <x v="2"/>
    <x v="1"/>
    <n v="1.1715277777777777"/>
    <s v="Fast"/>
    <x v="1"/>
    <n v="0"/>
    <x v="1"/>
    <x v="1"/>
  </r>
  <r>
    <n v="1899"/>
    <x v="1898"/>
    <n v="4.4444444444444446E-2"/>
    <n v="4489"/>
    <n v="331"/>
    <n v="4.1298611111111105"/>
    <x v="1"/>
    <x v="1"/>
    <n v="1.0881944444444445"/>
    <s v="Fast"/>
    <x v="1"/>
    <n v="0"/>
    <x v="1"/>
    <x v="1"/>
  </r>
  <r>
    <n v="1900"/>
    <x v="1899"/>
    <n v="5.5555555555555558E-3"/>
    <n v="1142"/>
    <n v="205"/>
    <n v="50.836111111111109"/>
    <x v="3"/>
    <x v="3"/>
    <n v="2.6277777777777778"/>
    <s v="Slow"/>
    <x v="1"/>
    <n v="0"/>
    <x v="1"/>
    <x v="1"/>
  </r>
  <r>
    <n v="1901"/>
    <x v="1900"/>
    <n v="6.3194444444444442E-2"/>
    <n v="2996"/>
    <n v="493"/>
    <n v="37.631250000000001"/>
    <x v="0"/>
    <x v="1"/>
    <n v="4.3055555555555562E-2"/>
    <s v="Fast"/>
    <x v="0"/>
    <n v="0"/>
    <x v="1"/>
    <x v="1"/>
  </r>
  <r>
    <n v="1902"/>
    <x v="1901"/>
    <n v="6.3888888888888898E-2"/>
    <n v="3589"/>
    <n v="377"/>
    <n v="11.084722222222224"/>
    <x v="0"/>
    <x v="3"/>
    <n v="1.9597222222222221"/>
    <s v="Slow"/>
    <x v="0"/>
    <n v="0"/>
    <x v="1"/>
    <x v="1"/>
  </r>
  <r>
    <n v="1903"/>
    <x v="1902"/>
    <n v="6.5277777777777782E-2"/>
    <n v="3267"/>
    <n v="282"/>
    <n v="70.750694444444449"/>
    <x v="2"/>
    <x v="1"/>
    <n v="1.877777777777778"/>
    <s v="Slow"/>
    <x v="0"/>
    <n v="0"/>
    <x v="1"/>
    <x v="1"/>
  </r>
  <r>
    <n v="1904"/>
    <x v="1903"/>
    <n v="6.6666666666666666E-2"/>
    <n v="1284"/>
    <n v="184"/>
    <n v="82.375"/>
    <x v="1"/>
    <x v="1"/>
    <n v="1.8791666666666667"/>
    <s v="Slow"/>
    <x v="0"/>
    <n v="0"/>
    <x v="1"/>
    <x v="1"/>
  </r>
  <r>
    <n v="1905"/>
    <x v="1904"/>
    <n v="5.486111111111111E-2"/>
    <n v="2428"/>
    <n v="106"/>
    <n v="63.5"/>
    <x v="1"/>
    <x v="1"/>
    <n v="0.96111111111111114"/>
    <s v="Fast"/>
    <x v="2"/>
    <n v="1"/>
    <x v="0"/>
    <x v="2"/>
  </r>
  <r>
    <n v="1906"/>
    <x v="1905"/>
    <n v="6.0416666666666667E-2"/>
    <n v="1086"/>
    <n v="23"/>
    <n v="52.709027777777777"/>
    <x v="3"/>
    <x v="3"/>
    <n v="1.6722222222222223"/>
    <s v="Slow"/>
    <x v="0"/>
    <n v="1"/>
    <x v="0"/>
    <x v="0"/>
  </r>
  <r>
    <n v="1907"/>
    <x v="1906"/>
    <n v="4.3750000000000004E-2"/>
    <n v="1768"/>
    <n v="426"/>
    <n v="69.086805555555557"/>
    <x v="0"/>
    <x v="0"/>
    <n v="1.5861111111111112"/>
    <s v="Slow"/>
    <x v="0"/>
    <n v="0"/>
    <x v="1"/>
    <x v="1"/>
  </r>
  <r>
    <n v="1908"/>
    <x v="1907"/>
    <n v="5.9722222222222225E-2"/>
    <n v="3795"/>
    <n v="116"/>
    <n v="67.042361111111106"/>
    <x v="1"/>
    <x v="1"/>
    <n v="2.6270833333333332"/>
    <s v="Slow"/>
    <x v="0"/>
    <n v="0"/>
    <x v="1"/>
    <x v="1"/>
  </r>
  <r>
    <n v="1909"/>
    <x v="1908"/>
    <n v="5.6250000000000001E-2"/>
    <n v="517"/>
    <n v="444"/>
    <n v="28.172916666666666"/>
    <x v="3"/>
    <x v="1"/>
    <n v="2.8777777777777778"/>
    <s v="Slow"/>
    <x v="2"/>
    <n v="0"/>
    <x v="1"/>
    <x v="1"/>
  </r>
  <r>
    <n v="1910"/>
    <x v="1909"/>
    <n v="4.7916666666666663E-2"/>
    <n v="69"/>
    <n v="474"/>
    <n v="58.25555555555556"/>
    <x v="2"/>
    <x v="1"/>
    <n v="1.2097222222222224"/>
    <s v="Fast"/>
    <x v="0"/>
    <n v="0"/>
    <x v="1"/>
    <x v="1"/>
  </r>
  <r>
    <n v="1911"/>
    <x v="1910"/>
    <n v="4.8611111111111112E-3"/>
    <n v="3992"/>
    <n v="313"/>
    <n v="9.8361111111111104"/>
    <x v="3"/>
    <x v="0"/>
    <n v="2.5868055555555558"/>
    <s v="Slow"/>
    <x v="2"/>
    <n v="0"/>
    <x v="1"/>
    <x v="1"/>
  </r>
  <r>
    <n v="1912"/>
    <x v="1911"/>
    <n v="6.1111111111111109E-2"/>
    <n v="1502"/>
    <n v="56"/>
    <n v="33.212499999999999"/>
    <x v="2"/>
    <x v="1"/>
    <n v="1.4597222222222221"/>
    <s v="Fast"/>
    <x v="2"/>
    <n v="0"/>
    <x v="1"/>
    <x v="1"/>
  </r>
  <r>
    <n v="1913"/>
    <x v="1912"/>
    <n v="4.7916666666666663E-2"/>
    <n v="2328"/>
    <n v="352"/>
    <n v="65.75"/>
    <x v="1"/>
    <x v="0"/>
    <n v="2.4645833333333331"/>
    <s v="Slow"/>
    <x v="2"/>
    <n v="0"/>
    <x v="1"/>
    <x v="1"/>
  </r>
  <r>
    <n v="1914"/>
    <x v="1913"/>
    <n v="5.1388888888888894E-2"/>
    <n v="4532"/>
    <n v="315"/>
    <n v="2.4583333333333335"/>
    <x v="2"/>
    <x v="1"/>
    <n v="0.75416666666666676"/>
    <s v="Fast"/>
    <x v="2"/>
    <n v="1"/>
    <x v="0"/>
    <x v="2"/>
  </r>
  <r>
    <n v="1915"/>
    <x v="1914"/>
    <n v="5.2083333333333336E-2"/>
    <n v="608"/>
    <n v="310"/>
    <n v="37.295833333333334"/>
    <x v="1"/>
    <x v="2"/>
    <n v="1.7923611111111111"/>
    <s v="Slow"/>
    <x v="0"/>
    <n v="1"/>
    <x v="0"/>
    <x v="0"/>
  </r>
  <r>
    <n v="1916"/>
    <x v="1915"/>
    <n v="6.2499999999999995E-3"/>
    <n v="2040"/>
    <n v="251"/>
    <n v="31.292361111111109"/>
    <x v="1"/>
    <x v="2"/>
    <n v="0.21458333333333335"/>
    <s v="Fast"/>
    <x v="0"/>
    <n v="0"/>
    <x v="1"/>
    <x v="1"/>
  </r>
  <r>
    <n v="1917"/>
    <x v="1916"/>
    <n v="4.7222222222222221E-2"/>
    <n v="3909"/>
    <n v="229"/>
    <n v="47.627777777777773"/>
    <x v="2"/>
    <x v="2"/>
    <n v="0.50277777777777777"/>
    <s v="Fast"/>
    <x v="2"/>
    <n v="0"/>
    <x v="1"/>
    <x v="1"/>
  </r>
  <r>
    <n v="1918"/>
    <x v="1917"/>
    <n v="4.3750000000000004E-2"/>
    <n v="2133"/>
    <n v="139"/>
    <n v="8.3812499999999996"/>
    <x v="1"/>
    <x v="1"/>
    <n v="1.9638888888888888"/>
    <s v="Slow"/>
    <x v="1"/>
    <n v="0"/>
    <x v="1"/>
    <x v="1"/>
  </r>
  <r>
    <n v="1919"/>
    <x v="1918"/>
    <n v="4.6527777777777779E-2"/>
    <n v="2004"/>
    <n v="242"/>
    <n v="66.672222222222231"/>
    <x v="0"/>
    <x v="2"/>
    <n v="0.37638888888888888"/>
    <s v="Fast"/>
    <x v="0"/>
    <n v="0"/>
    <x v="1"/>
    <x v="1"/>
  </r>
  <r>
    <n v="1920"/>
    <x v="1919"/>
    <n v="6.1805555555555558E-2"/>
    <n v="1987"/>
    <n v="103"/>
    <n v="34.255555555555553"/>
    <x v="0"/>
    <x v="1"/>
    <n v="0.88055555555555554"/>
    <s v="Fast"/>
    <x v="2"/>
    <n v="0"/>
    <x v="1"/>
    <x v="1"/>
  </r>
  <r>
    <n v="1921"/>
    <x v="1920"/>
    <n v="4.3055555555555562E-2"/>
    <n v="575"/>
    <n v="302"/>
    <n v="64.918055555555554"/>
    <x v="2"/>
    <x v="2"/>
    <n v="8.7500000000000008E-2"/>
    <s v="Fast"/>
    <x v="1"/>
    <n v="0"/>
    <x v="1"/>
    <x v="1"/>
  </r>
  <r>
    <n v="1922"/>
    <x v="1921"/>
    <n v="5.6944444444444443E-2"/>
    <n v="4012"/>
    <n v="170"/>
    <n v="36.5"/>
    <x v="1"/>
    <x v="2"/>
    <n v="0.67291666666666661"/>
    <s v="Fast"/>
    <x v="0"/>
    <n v="0"/>
    <x v="1"/>
    <x v="1"/>
  </r>
  <r>
    <n v="1923"/>
    <x v="1922"/>
    <n v="5.5555555555555558E-3"/>
    <n v="899"/>
    <n v="29"/>
    <n v="67.836111111111109"/>
    <x v="1"/>
    <x v="1"/>
    <n v="1.4229166666666666"/>
    <s v="Fast"/>
    <x v="2"/>
    <n v="0"/>
    <x v="1"/>
    <x v="1"/>
  </r>
  <r>
    <n v="1924"/>
    <x v="1923"/>
    <n v="5.2083333333333336E-2"/>
    <n v="2833"/>
    <n v="453"/>
    <n v="45.129861111111104"/>
    <x v="0"/>
    <x v="1"/>
    <n v="1.9173611111111111"/>
    <s v="Slow"/>
    <x v="0"/>
    <n v="0"/>
    <x v="1"/>
    <x v="1"/>
  </r>
  <r>
    <n v="1925"/>
    <x v="1924"/>
    <n v="5.1388888888888894E-2"/>
    <n v="3197"/>
    <n v="166"/>
    <n v="1.5479166666666666"/>
    <x v="0"/>
    <x v="3"/>
    <n v="0.79305555555555562"/>
    <s v="Fast"/>
    <x v="1"/>
    <n v="0"/>
    <x v="1"/>
    <x v="1"/>
  </r>
  <r>
    <n v="1926"/>
    <x v="1925"/>
    <n v="5.6944444444444443E-2"/>
    <n v="4409"/>
    <n v="264"/>
    <n v="59.713888888888896"/>
    <x v="2"/>
    <x v="0"/>
    <n v="0.25555555555555559"/>
    <s v="Fast"/>
    <x v="0"/>
    <n v="0"/>
    <x v="1"/>
    <x v="1"/>
  </r>
  <r>
    <n v="1927"/>
    <x v="1926"/>
    <n v="4.3055555555555562E-2"/>
    <n v="537"/>
    <n v="385"/>
    <n v="65.839583333333337"/>
    <x v="2"/>
    <x v="0"/>
    <n v="2.8333333333333335"/>
    <s v="Slow"/>
    <x v="1"/>
    <n v="1"/>
    <x v="0"/>
    <x v="0"/>
  </r>
  <r>
    <n v="1928"/>
    <x v="1927"/>
    <n v="5.0694444444444438E-2"/>
    <n v="335"/>
    <n v="171"/>
    <n v="47.004861111111104"/>
    <x v="2"/>
    <x v="0"/>
    <n v="2.1277777777777778"/>
    <s v="Slow"/>
    <x v="1"/>
    <n v="1"/>
    <x v="0"/>
    <x v="0"/>
  </r>
  <r>
    <n v="1929"/>
    <x v="1928"/>
    <n v="5.3472222222222227E-2"/>
    <n v="2305"/>
    <n v="356"/>
    <n v="29.584722222222222"/>
    <x v="3"/>
    <x v="3"/>
    <n v="1.8798611111111112"/>
    <s v="Slow"/>
    <x v="1"/>
    <n v="0"/>
    <x v="1"/>
    <x v="1"/>
  </r>
  <r>
    <n v="1930"/>
    <x v="1929"/>
    <n v="4.5833333333333337E-2"/>
    <n v="4675"/>
    <n v="362"/>
    <n v="33.459722222222219"/>
    <x v="2"/>
    <x v="0"/>
    <n v="1.2506944444444443"/>
    <s v="Fast"/>
    <x v="0"/>
    <n v="0"/>
    <x v="1"/>
    <x v="1"/>
  </r>
  <r>
    <n v="1931"/>
    <x v="1930"/>
    <n v="5.6250000000000001E-2"/>
    <n v="4790"/>
    <n v="435"/>
    <n v="25.920833333333334"/>
    <x v="3"/>
    <x v="3"/>
    <n v="0.66666666666666663"/>
    <s v="Fast"/>
    <x v="2"/>
    <n v="1"/>
    <x v="0"/>
    <x v="0"/>
  </r>
  <r>
    <n v="1932"/>
    <x v="1931"/>
    <n v="4.9999999999999996E-2"/>
    <n v="1126"/>
    <n v="120"/>
    <n v="26.797222222222221"/>
    <x v="0"/>
    <x v="2"/>
    <n v="0.8354166666666667"/>
    <s v="Fast"/>
    <x v="0"/>
    <n v="0"/>
    <x v="1"/>
    <x v="1"/>
  </r>
  <r>
    <n v="1933"/>
    <x v="1932"/>
    <n v="4.3750000000000004E-2"/>
    <n v="4352"/>
    <n v="404"/>
    <n v="29.041666666666668"/>
    <x v="3"/>
    <x v="3"/>
    <n v="1.3347222222222221"/>
    <s v="Fast"/>
    <x v="0"/>
    <n v="0"/>
    <x v="1"/>
    <x v="1"/>
  </r>
  <r>
    <n v="1934"/>
    <x v="1933"/>
    <n v="4.5138888888888888E-2"/>
    <n v="4584"/>
    <n v="361"/>
    <n v="73.58819444444444"/>
    <x v="2"/>
    <x v="0"/>
    <n v="2.6708333333333329"/>
    <s v="Slow"/>
    <x v="2"/>
    <n v="0"/>
    <x v="1"/>
    <x v="1"/>
  </r>
  <r>
    <n v="1935"/>
    <x v="1934"/>
    <n v="5.0694444444444438E-2"/>
    <n v="2149"/>
    <n v="128"/>
    <n v="49.297222222222224"/>
    <x v="1"/>
    <x v="1"/>
    <n v="2.3347222222222221"/>
    <s v="Slow"/>
    <x v="2"/>
    <n v="1"/>
    <x v="0"/>
    <x v="2"/>
  </r>
  <r>
    <n v="1936"/>
    <x v="1935"/>
    <n v="5.9722222222222225E-2"/>
    <n v="2480"/>
    <n v="239"/>
    <n v="46.919444444444444"/>
    <x v="3"/>
    <x v="2"/>
    <n v="2.6715277777777775"/>
    <s v="Slow"/>
    <x v="0"/>
    <n v="0"/>
    <x v="1"/>
    <x v="1"/>
  </r>
  <r>
    <n v="1937"/>
    <x v="1936"/>
    <n v="6.3888888888888898E-2"/>
    <n v="381"/>
    <n v="109"/>
    <n v="15.000694444444443"/>
    <x v="2"/>
    <x v="1"/>
    <n v="0.25277777777777777"/>
    <s v="Fast"/>
    <x v="2"/>
    <n v="0"/>
    <x v="1"/>
    <x v="1"/>
  </r>
  <r>
    <n v="1938"/>
    <x v="1937"/>
    <n v="5.486111111111111E-2"/>
    <n v="1842"/>
    <n v="452"/>
    <n v="12.5"/>
    <x v="1"/>
    <x v="2"/>
    <n v="2.6694444444444443"/>
    <s v="Slow"/>
    <x v="2"/>
    <n v="0"/>
    <x v="1"/>
    <x v="1"/>
  </r>
  <r>
    <n v="1939"/>
    <x v="1938"/>
    <n v="4.3055555555555562E-2"/>
    <n v="1017"/>
    <n v="430"/>
    <n v="70.006250000000009"/>
    <x v="1"/>
    <x v="1"/>
    <n v="1.7562499999999999"/>
    <s v="Slow"/>
    <x v="0"/>
    <n v="0"/>
    <x v="1"/>
    <x v="1"/>
  </r>
  <r>
    <n v="1940"/>
    <x v="1939"/>
    <n v="5.8333333333333327E-2"/>
    <n v="4678"/>
    <n v="304"/>
    <n v="32.755555555555553"/>
    <x v="1"/>
    <x v="1"/>
    <n v="0.96388888888888891"/>
    <s v="Fast"/>
    <x v="1"/>
    <n v="1"/>
    <x v="0"/>
    <x v="2"/>
  </r>
  <r>
    <n v="1941"/>
    <x v="1940"/>
    <n v="6.6666666666666666E-2"/>
    <n v="3783"/>
    <n v="495"/>
    <n v="80.211111111111109"/>
    <x v="1"/>
    <x v="1"/>
    <n v="0.62916666666666665"/>
    <s v="Fast"/>
    <x v="2"/>
    <n v="1"/>
    <x v="0"/>
    <x v="2"/>
  </r>
  <r>
    <n v="1942"/>
    <x v="1941"/>
    <n v="4.3055555555555562E-2"/>
    <n v="575"/>
    <n v="490"/>
    <n v="8.7138888888888886"/>
    <x v="2"/>
    <x v="0"/>
    <n v="2.6277777777777778"/>
    <s v="Slow"/>
    <x v="2"/>
    <n v="0"/>
    <x v="1"/>
    <x v="1"/>
  </r>
  <r>
    <n v="1943"/>
    <x v="1942"/>
    <n v="5.1388888888888894E-2"/>
    <n v="186"/>
    <n v="168"/>
    <n v="37.922916666666666"/>
    <x v="0"/>
    <x v="1"/>
    <n v="0.71250000000000002"/>
    <s v="Fast"/>
    <x v="0"/>
    <n v="0"/>
    <x v="1"/>
    <x v="1"/>
  </r>
  <r>
    <n v="1944"/>
    <x v="1943"/>
    <n v="4.2361111111111106E-2"/>
    <n v="2693"/>
    <n v="4"/>
    <n v="64.294444444444437"/>
    <x v="0"/>
    <x v="0"/>
    <n v="0.87777777777777777"/>
    <s v="Fast"/>
    <x v="0"/>
    <n v="0"/>
    <x v="1"/>
    <x v="1"/>
  </r>
  <r>
    <n v="1945"/>
    <x v="1944"/>
    <n v="5.7638888888888885E-2"/>
    <n v="3457"/>
    <n v="135"/>
    <n v="29.214583333333334"/>
    <x v="3"/>
    <x v="1"/>
    <n v="2.2513888888888887"/>
    <s v="Slow"/>
    <x v="2"/>
    <n v="1"/>
    <x v="0"/>
    <x v="2"/>
  </r>
  <r>
    <n v="1946"/>
    <x v="1945"/>
    <n v="4.4444444444444446E-2"/>
    <n v="421"/>
    <n v="284"/>
    <n v="50"/>
    <x v="2"/>
    <x v="1"/>
    <n v="1.1722222222222223"/>
    <s v="Fast"/>
    <x v="0"/>
    <n v="0"/>
    <x v="1"/>
    <x v="1"/>
  </r>
  <r>
    <n v="1947"/>
    <x v="1946"/>
    <n v="6.805555555555555E-2"/>
    <n v="4483"/>
    <n v="344"/>
    <n v="47.089583333333337"/>
    <x v="1"/>
    <x v="0"/>
    <n v="0.46111111111111108"/>
    <s v="Fast"/>
    <x v="0"/>
    <n v="0"/>
    <x v="1"/>
    <x v="1"/>
  </r>
  <r>
    <n v="1948"/>
    <x v="1947"/>
    <n v="5.2777777777777778E-2"/>
    <n v="4568"/>
    <n v="307"/>
    <n v="28.752083333333331"/>
    <x v="1"/>
    <x v="2"/>
    <n v="1.9597222222222221"/>
    <s v="Slow"/>
    <x v="1"/>
    <n v="1"/>
    <x v="0"/>
    <x v="0"/>
  </r>
  <r>
    <n v="1949"/>
    <x v="1948"/>
    <n v="5.9027777777777783E-2"/>
    <n v="647"/>
    <n v="482"/>
    <n v="74.297222222222231"/>
    <x v="2"/>
    <x v="2"/>
    <n v="0.29305555555555557"/>
    <s v="Fast"/>
    <x v="0"/>
    <n v="0"/>
    <x v="1"/>
    <x v="1"/>
  </r>
  <r>
    <n v="1950"/>
    <x v="1949"/>
    <n v="5.0694444444444438E-2"/>
    <n v="4128"/>
    <n v="198"/>
    <n v="25.752083333333331"/>
    <x v="0"/>
    <x v="2"/>
    <n v="2.3812500000000001"/>
    <s v="Slow"/>
    <x v="2"/>
    <n v="0"/>
    <x v="1"/>
    <x v="1"/>
  </r>
  <r>
    <n v="1951"/>
    <x v="1950"/>
    <n v="5.0694444444444438E-2"/>
    <n v="533"/>
    <n v="35"/>
    <n v="77.958333333333329"/>
    <x v="0"/>
    <x v="1"/>
    <n v="0.13055555555555556"/>
    <s v="Fast"/>
    <x v="1"/>
    <n v="0"/>
    <x v="1"/>
    <x v="1"/>
  </r>
  <r>
    <n v="1952"/>
    <x v="1951"/>
    <n v="4.1666666666666666E-3"/>
    <n v="3762"/>
    <n v="268"/>
    <n v="65.336111111111109"/>
    <x v="1"/>
    <x v="0"/>
    <n v="0.9604166666666667"/>
    <s v="Fast"/>
    <x v="0"/>
    <n v="0"/>
    <x v="1"/>
    <x v="1"/>
  </r>
  <r>
    <n v="1953"/>
    <x v="1952"/>
    <n v="6.5972222222222224E-2"/>
    <n v="413"/>
    <n v="489"/>
    <n v="39.62638888888889"/>
    <x v="0"/>
    <x v="3"/>
    <n v="2.3791666666666669"/>
    <s v="Slow"/>
    <x v="2"/>
    <n v="0"/>
    <x v="1"/>
    <x v="1"/>
  </r>
  <r>
    <n v="1954"/>
    <x v="1953"/>
    <n v="4.9305555555555554E-2"/>
    <n v="1231"/>
    <n v="463"/>
    <n v="79.75277777777778"/>
    <x v="3"/>
    <x v="1"/>
    <n v="1.54375"/>
    <s v="Slow"/>
    <x v="1"/>
    <n v="1"/>
    <x v="0"/>
    <x v="2"/>
  </r>
  <r>
    <n v="1955"/>
    <x v="1954"/>
    <n v="4.8611111111111112E-3"/>
    <n v="4895"/>
    <n v="96"/>
    <n v="30.794444444444448"/>
    <x v="0"/>
    <x v="3"/>
    <n v="2.8777777777777778"/>
    <s v="Slow"/>
    <x v="1"/>
    <n v="0"/>
    <x v="1"/>
    <x v="1"/>
  </r>
  <r>
    <n v="1956"/>
    <x v="1955"/>
    <n v="5.1388888888888894E-2"/>
    <n v="62"/>
    <n v="305"/>
    <n v="66.045138888888886"/>
    <x v="3"/>
    <x v="3"/>
    <n v="1.8368055555555556"/>
    <s v="Slow"/>
    <x v="0"/>
    <n v="0"/>
    <x v="1"/>
    <x v="1"/>
  </r>
  <r>
    <n v="1957"/>
    <x v="1956"/>
    <n v="4.6527777777777779E-2"/>
    <n v="832"/>
    <n v="359"/>
    <n v="60.295833333333327"/>
    <x v="3"/>
    <x v="1"/>
    <n v="1.9194444444444445"/>
    <s v="Slow"/>
    <x v="0"/>
    <n v="0"/>
    <x v="1"/>
    <x v="1"/>
  </r>
  <r>
    <n v="1958"/>
    <x v="1957"/>
    <n v="4.9999999999999996E-2"/>
    <n v="1132"/>
    <n v="168"/>
    <n v="15.709722222222224"/>
    <x v="1"/>
    <x v="0"/>
    <n v="2.5465277777777779"/>
    <s v="Slow"/>
    <x v="0"/>
    <n v="0"/>
    <x v="1"/>
    <x v="1"/>
  </r>
  <r>
    <n v="1959"/>
    <x v="1958"/>
    <n v="4.9305555555555554E-2"/>
    <n v="3467"/>
    <n v="32"/>
    <n v="51.418749999999996"/>
    <x v="1"/>
    <x v="3"/>
    <n v="2.7951388888888888"/>
    <s v="Slow"/>
    <x v="1"/>
    <n v="0"/>
    <x v="1"/>
    <x v="1"/>
  </r>
  <r>
    <n v="1960"/>
    <x v="1959"/>
    <n v="6.8749999999999992E-2"/>
    <n v="217"/>
    <n v="299"/>
    <n v="13.211805555555555"/>
    <x v="0"/>
    <x v="1"/>
    <n v="0.25138888888888888"/>
    <s v="Fast"/>
    <x v="1"/>
    <n v="0"/>
    <x v="1"/>
    <x v="1"/>
  </r>
  <r>
    <n v="1961"/>
    <x v="1960"/>
    <n v="6.5972222222222224E-2"/>
    <n v="363"/>
    <n v="453"/>
    <n v="62.460416666666667"/>
    <x v="1"/>
    <x v="3"/>
    <n v="2.6291666666666669"/>
    <s v="Slow"/>
    <x v="2"/>
    <n v="0"/>
    <x v="1"/>
    <x v="1"/>
  </r>
  <r>
    <n v="1962"/>
    <x v="1961"/>
    <n v="4.9305555555555554E-2"/>
    <n v="4260"/>
    <n v="230"/>
    <n v="72.791666666666671"/>
    <x v="1"/>
    <x v="0"/>
    <n v="2.2937499999999997"/>
    <s v="Slow"/>
    <x v="1"/>
    <n v="1"/>
    <x v="0"/>
    <x v="0"/>
  </r>
  <r>
    <n v="1963"/>
    <x v="1962"/>
    <n v="6.5277777777777782E-2"/>
    <n v="432"/>
    <n v="42"/>
    <n v="69.833333333333329"/>
    <x v="3"/>
    <x v="1"/>
    <n v="2.5430555555555556"/>
    <s v="Slow"/>
    <x v="2"/>
    <n v="1"/>
    <x v="0"/>
    <x v="2"/>
  </r>
  <r>
    <n v="1964"/>
    <x v="1963"/>
    <n v="4.3055555555555562E-2"/>
    <n v="1759"/>
    <n v="158"/>
    <n v="59.627083333333331"/>
    <x v="2"/>
    <x v="2"/>
    <n v="2.2972222222222221"/>
    <s v="Slow"/>
    <x v="0"/>
    <n v="1"/>
    <x v="0"/>
    <x v="0"/>
  </r>
  <r>
    <n v="1965"/>
    <x v="1964"/>
    <n v="5.7638888888888885E-2"/>
    <n v="4218"/>
    <n v="314"/>
    <n v="12.25"/>
    <x v="0"/>
    <x v="1"/>
    <n v="2.4590277777777776"/>
    <s v="Slow"/>
    <x v="1"/>
    <n v="0"/>
    <x v="1"/>
    <x v="1"/>
  </r>
  <r>
    <n v="1966"/>
    <x v="1965"/>
    <n v="6.5972222222222224E-2"/>
    <n v="1845"/>
    <n v="117"/>
    <n v="44.71180555555555"/>
    <x v="2"/>
    <x v="1"/>
    <n v="0.25069444444444444"/>
    <s v="Fast"/>
    <x v="1"/>
    <n v="0"/>
    <x v="1"/>
    <x v="1"/>
  </r>
  <r>
    <n v="1967"/>
    <x v="1966"/>
    <n v="4.7916666666666663E-2"/>
    <n v="3102"/>
    <n v="56"/>
    <n v="69.172222222222231"/>
    <x v="2"/>
    <x v="1"/>
    <n v="2.25"/>
    <s v="Slow"/>
    <x v="1"/>
    <n v="1"/>
    <x v="0"/>
    <x v="2"/>
  </r>
  <r>
    <n v="1968"/>
    <x v="1967"/>
    <n v="4.5833333333333337E-2"/>
    <n v="3190"/>
    <n v="469"/>
    <n v="34.00277777777778"/>
    <x v="0"/>
    <x v="3"/>
    <n v="0.67013888888888884"/>
    <s v="Fast"/>
    <x v="1"/>
    <n v="0"/>
    <x v="1"/>
    <x v="1"/>
  </r>
  <r>
    <n v="1969"/>
    <x v="1968"/>
    <n v="6.3888888888888898E-2"/>
    <n v="1999"/>
    <n v="165"/>
    <n v="22.255555555555556"/>
    <x v="3"/>
    <x v="2"/>
    <n v="2.4604166666666667"/>
    <s v="Slow"/>
    <x v="0"/>
    <n v="0"/>
    <x v="1"/>
    <x v="1"/>
  </r>
  <r>
    <n v="1970"/>
    <x v="1969"/>
    <n v="5.9722222222222225E-2"/>
    <n v="3163"/>
    <n v="349"/>
    <n v="1.3395833333333333"/>
    <x v="3"/>
    <x v="1"/>
    <n v="0.71250000000000002"/>
    <s v="Fast"/>
    <x v="2"/>
    <n v="1"/>
    <x v="0"/>
    <x v="2"/>
  </r>
  <r>
    <n v="1971"/>
    <x v="1970"/>
    <n v="6.8749999999999992E-2"/>
    <n v="3364"/>
    <n v="339"/>
    <n v="9.9180555555555561"/>
    <x v="1"/>
    <x v="1"/>
    <n v="1.2923611111111111"/>
    <s v="Fast"/>
    <x v="0"/>
    <n v="0"/>
    <x v="1"/>
    <x v="1"/>
  </r>
  <r>
    <n v="1972"/>
    <x v="1971"/>
    <n v="4.5833333333333337E-2"/>
    <n v="1028"/>
    <n v="57"/>
    <n v="63.087499999999999"/>
    <x v="1"/>
    <x v="0"/>
    <n v="2.8333333333333335"/>
    <s v="Slow"/>
    <x v="1"/>
    <n v="1"/>
    <x v="0"/>
    <x v="0"/>
  </r>
  <r>
    <n v="1973"/>
    <x v="1972"/>
    <n v="4.5833333333333337E-2"/>
    <n v="810"/>
    <n v="445"/>
    <n v="71.714583333333337"/>
    <x v="1"/>
    <x v="3"/>
    <n v="1.7541666666666667"/>
    <s v="Slow"/>
    <x v="1"/>
    <n v="0"/>
    <x v="1"/>
    <x v="1"/>
  </r>
  <r>
    <n v="1974"/>
    <x v="1973"/>
    <n v="4.3055555555555562E-2"/>
    <n v="2679"/>
    <n v="485"/>
    <n v="42.003472222222221"/>
    <x v="0"/>
    <x v="0"/>
    <n v="2.5041666666666669"/>
    <s v="Slow"/>
    <x v="1"/>
    <n v="1"/>
    <x v="0"/>
    <x v="0"/>
  </r>
  <r>
    <n v="1975"/>
    <x v="1974"/>
    <n v="5.0694444444444438E-2"/>
    <n v="56"/>
    <n v="423"/>
    <n v="17.752083333333335"/>
    <x v="0"/>
    <x v="0"/>
    <n v="0.7090277777777777"/>
    <s v="Fast"/>
    <x v="0"/>
    <n v="0"/>
    <x v="1"/>
    <x v="1"/>
  </r>
  <r>
    <n v="1976"/>
    <x v="1975"/>
    <n v="4.3055555555555562E-2"/>
    <n v="1728"/>
    <n v="307"/>
    <n v="71.46319444444444"/>
    <x v="2"/>
    <x v="3"/>
    <n v="1.7972222222222223"/>
    <s v="Slow"/>
    <x v="2"/>
    <n v="0"/>
    <x v="1"/>
    <x v="1"/>
  </r>
  <r>
    <n v="1977"/>
    <x v="1976"/>
    <n v="5.9027777777777783E-2"/>
    <n v="1920"/>
    <n v="375"/>
    <n v="30.211111111111112"/>
    <x v="3"/>
    <x v="2"/>
    <n v="1.3388888888888888"/>
    <s v="Fast"/>
    <x v="2"/>
    <n v="0"/>
    <x v="1"/>
    <x v="1"/>
  </r>
  <r>
    <n v="1978"/>
    <x v="1977"/>
    <n v="4.3750000000000004E-2"/>
    <n v="957"/>
    <n v="328"/>
    <n v="45.670833333333327"/>
    <x v="1"/>
    <x v="1"/>
    <n v="0.83611111111111114"/>
    <s v="Fast"/>
    <x v="0"/>
    <n v="0"/>
    <x v="1"/>
    <x v="1"/>
  </r>
  <r>
    <n v="1979"/>
    <x v="1978"/>
    <n v="5.4166666666666669E-2"/>
    <n v="1117"/>
    <n v="339"/>
    <n v="76.502083333333331"/>
    <x v="0"/>
    <x v="1"/>
    <n v="0.25347222222222221"/>
    <s v="Fast"/>
    <x v="1"/>
    <n v="0"/>
    <x v="1"/>
    <x v="1"/>
  </r>
  <r>
    <n v="1980"/>
    <x v="1979"/>
    <n v="5.6250000000000001E-2"/>
    <n v="3844"/>
    <n v="32"/>
    <n v="80.420833333333334"/>
    <x v="3"/>
    <x v="1"/>
    <n v="1.91875"/>
    <s v="Slow"/>
    <x v="2"/>
    <n v="1"/>
    <x v="0"/>
    <x v="2"/>
  </r>
  <r>
    <n v="1981"/>
    <x v="1980"/>
    <n v="4.3750000000000004E-2"/>
    <n v="3453"/>
    <n v="174"/>
    <n v="76.418750000000003"/>
    <x v="1"/>
    <x v="2"/>
    <n v="2.629861111111111"/>
    <s v="Slow"/>
    <x v="1"/>
    <n v="0"/>
    <x v="1"/>
    <x v="1"/>
  </r>
  <r>
    <n v="1982"/>
    <x v="1981"/>
    <n v="6.1111111111111109E-2"/>
    <n v="3501"/>
    <n v="345"/>
    <n v="16.793749999999999"/>
    <x v="3"/>
    <x v="3"/>
    <n v="0.67083333333333339"/>
    <s v="Fast"/>
    <x v="0"/>
    <n v="0"/>
    <x v="1"/>
    <x v="1"/>
  </r>
  <r>
    <n v="1983"/>
    <x v="1982"/>
    <n v="4.1666666666666664E-2"/>
    <n v="642"/>
    <n v="431"/>
    <n v="16.458333333333332"/>
    <x v="1"/>
    <x v="1"/>
    <n v="0.13055555555555556"/>
    <s v="Fast"/>
    <x v="2"/>
    <n v="1"/>
    <x v="0"/>
    <x v="2"/>
  </r>
  <r>
    <n v="1984"/>
    <x v="1983"/>
    <n v="5.2777777777777778E-2"/>
    <n v="4590"/>
    <n v="33"/>
    <n v="24.875"/>
    <x v="1"/>
    <x v="0"/>
    <n v="0.20833333333333334"/>
    <s v="Fast"/>
    <x v="2"/>
    <n v="1"/>
    <x v="0"/>
    <x v="0"/>
  </r>
  <r>
    <n v="1985"/>
    <x v="1984"/>
    <n v="5.6250000000000001E-2"/>
    <n v="515"/>
    <n v="117"/>
    <n v="13.541666666666666"/>
    <x v="3"/>
    <x v="1"/>
    <n v="1.627777777777778"/>
    <s v="Slow"/>
    <x v="2"/>
    <n v="0"/>
    <x v="1"/>
    <x v="1"/>
  </r>
  <r>
    <n v="1986"/>
    <x v="1985"/>
    <n v="5.2083333333333336E-2"/>
    <n v="2992"/>
    <n v="444"/>
    <n v="0.50208333333333333"/>
    <x v="3"/>
    <x v="3"/>
    <n v="0.21111111111111111"/>
    <s v="Fast"/>
    <x v="2"/>
    <n v="0"/>
    <x v="1"/>
    <x v="1"/>
  </r>
  <r>
    <n v="1987"/>
    <x v="1986"/>
    <n v="6.8749999999999992E-2"/>
    <n v="505"/>
    <n v="381"/>
    <n v="59.047222222222224"/>
    <x v="3"/>
    <x v="1"/>
    <n v="2.0833333333333335"/>
    <s v="Slow"/>
    <x v="0"/>
    <n v="0"/>
    <x v="1"/>
    <x v="1"/>
  </r>
  <r>
    <n v="1988"/>
    <x v="1987"/>
    <n v="6.5277777777777782E-2"/>
    <n v="927"/>
    <n v="370"/>
    <n v="2.5868055555555558"/>
    <x v="1"/>
    <x v="3"/>
    <n v="1.7097222222222221"/>
    <s v="Slow"/>
    <x v="0"/>
    <n v="0"/>
    <x v="1"/>
    <x v="1"/>
  </r>
  <r>
    <n v="1989"/>
    <x v="1988"/>
    <n v="6.8749999999999992E-2"/>
    <n v="618"/>
    <n v="208"/>
    <n v="5.8763888888888891"/>
    <x v="0"/>
    <x v="2"/>
    <n v="1.1270833333333334"/>
    <s v="Fast"/>
    <x v="2"/>
    <n v="1"/>
    <x v="0"/>
    <x v="0"/>
  </r>
  <r>
    <n v="1990"/>
    <x v="1989"/>
    <n v="5.2083333333333336E-2"/>
    <n v="3504"/>
    <n v="363"/>
    <n v="61.172222222222224"/>
    <x v="2"/>
    <x v="2"/>
    <n v="1.0055555555555555"/>
    <s v="Fast"/>
    <x v="0"/>
    <n v="1"/>
    <x v="0"/>
    <x v="0"/>
  </r>
  <r>
    <n v="1991"/>
    <x v="1990"/>
    <n v="5.0694444444444438E-2"/>
    <n v="521"/>
    <n v="158"/>
    <n v="51.795833333333327"/>
    <x v="0"/>
    <x v="2"/>
    <n v="2.4645833333333331"/>
    <s v="Slow"/>
    <x v="1"/>
    <n v="0"/>
    <x v="1"/>
    <x v="1"/>
  </r>
  <r>
    <n v="1992"/>
    <x v="1991"/>
    <n v="4.2361111111111106E-2"/>
    <n v="4849"/>
    <n v="414"/>
    <n v="76.921527777777769"/>
    <x v="3"/>
    <x v="1"/>
    <n v="2.0416666666666665"/>
    <s v="Slow"/>
    <x v="1"/>
    <n v="1"/>
    <x v="0"/>
    <x v="2"/>
  </r>
  <r>
    <n v="1993"/>
    <x v="1992"/>
    <n v="4.3750000000000004E-2"/>
    <n v="1005"/>
    <n v="246"/>
    <n v="75.751388888888883"/>
    <x v="2"/>
    <x v="1"/>
    <n v="1.0041666666666667"/>
    <s v="Fast"/>
    <x v="0"/>
    <n v="0"/>
    <x v="1"/>
    <x v="1"/>
  </r>
  <r>
    <n v="1994"/>
    <x v="1993"/>
    <n v="6.805555555555555E-2"/>
    <n v="2153"/>
    <n v="76"/>
    <n v="58.254166666666663"/>
    <x v="1"/>
    <x v="2"/>
    <n v="0.37638888888888888"/>
    <s v="Fast"/>
    <x v="1"/>
    <n v="0"/>
    <x v="1"/>
    <x v="1"/>
  </r>
  <r>
    <n v="1995"/>
    <x v="1994"/>
    <n v="5.7638888888888885E-2"/>
    <n v="3157"/>
    <n v="238"/>
    <n v="51.835416666666667"/>
    <x v="2"/>
    <x v="1"/>
    <n v="1.1715277777777777"/>
    <s v="Fast"/>
    <x v="2"/>
    <n v="0"/>
    <x v="1"/>
    <x v="1"/>
  </r>
  <r>
    <n v="1996"/>
    <x v="1995"/>
    <n v="5.4166666666666669E-2"/>
    <n v="1794"/>
    <n v="12"/>
    <n v="23.837500000000002"/>
    <x v="2"/>
    <x v="2"/>
    <n v="1.2104166666666667"/>
    <s v="Fast"/>
    <x v="1"/>
    <n v="0"/>
    <x v="1"/>
    <x v="1"/>
  </r>
  <r>
    <n v="1997"/>
    <x v="1996"/>
    <n v="4.5833333333333337E-2"/>
    <n v="1013"/>
    <n v="350"/>
    <n v="6.833333333333333"/>
    <x v="3"/>
    <x v="3"/>
    <n v="0.42083333333333334"/>
    <s v="Fast"/>
    <x v="2"/>
    <n v="0"/>
    <x v="1"/>
    <x v="1"/>
  </r>
  <r>
    <n v="1998"/>
    <x v="1997"/>
    <n v="6.805555555555555E-2"/>
    <n v="792"/>
    <n v="10"/>
    <n v="63.50138888888889"/>
    <x v="3"/>
    <x v="0"/>
    <n v="0.9194444444444444"/>
    <s v="Fast"/>
    <x v="0"/>
    <n v="1"/>
    <x v="0"/>
    <x v="0"/>
  </r>
  <r>
    <n v="1999"/>
    <x v="1998"/>
    <n v="4.3055555555555562E-2"/>
    <n v="246"/>
    <n v="168"/>
    <n v="44.754166666666663"/>
    <x v="2"/>
    <x v="1"/>
    <n v="1.0458333333333334"/>
    <s v="Fast"/>
    <x v="1"/>
    <n v="0"/>
    <x v="1"/>
    <x v="1"/>
  </r>
  <r>
    <n v="2000"/>
    <x v="1999"/>
    <n v="5.9722222222222225E-2"/>
    <n v="4712"/>
    <n v="468"/>
    <n v="57.041666666666664"/>
    <x v="1"/>
    <x v="3"/>
    <n v="1.2958333333333334"/>
    <s v="Fast"/>
    <x v="1"/>
    <n v="0"/>
    <x v="1"/>
    <x v="1"/>
  </r>
  <r>
    <n v="2001"/>
    <x v="2000"/>
    <n v="5.8333333333333327E-2"/>
    <n v="2830"/>
    <n v="56"/>
    <n v="1.3805555555555555"/>
    <x v="3"/>
    <x v="2"/>
    <n v="2.0881944444444445"/>
    <s v="Slow"/>
    <x v="2"/>
    <n v="0"/>
    <x v="1"/>
    <x v="1"/>
  </r>
  <r>
    <n v="2002"/>
    <x v="2001"/>
    <n v="6.1805555555555558E-2"/>
    <n v="4379"/>
    <n v="243"/>
    <n v="32.211111111111116"/>
    <x v="2"/>
    <x v="3"/>
    <n v="1.3763888888888889"/>
    <s v="Fast"/>
    <x v="2"/>
    <n v="0"/>
    <x v="1"/>
    <x v="1"/>
  </r>
  <r>
    <n v="2003"/>
    <x v="2002"/>
    <n v="6.2499999999999995E-3"/>
    <n v="3979"/>
    <n v="365"/>
    <n v="61.293055555555554"/>
    <x v="0"/>
    <x v="0"/>
    <n v="1.7118055555555556"/>
    <s v="Slow"/>
    <x v="1"/>
    <n v="0"/>
    <x v="1"/>
    <x v="1"/>
  </r>
  <r>
    <n v="2004"/>
    <x v="2003"/>
    <n v="6.0416666666666667E-2"/>
    <n v="3815"/>
    <n v="454"/>
    <n v="49.795138888888886"/>
    <x v="0"/>
    <x v="0"/>
    <n v="0.7944444444444444"/>
    <s v="Fast"/>
    <x v="0"/>
    <n v="0"/>
    <x v="1"/>
    <x v="1"/>
  </r>
  <r>
    <n v="2005"/>
    <x v="2004"/>
    <n v="5.6944444444444443E-2"/>
    <n v="3996"/>
    <n v="265"/>
    <n v="47.21319444444444"/>
    <x v="2"/>
    <x v="0"/>
    <n v="2.3777777777777778"/>
    <s v="Slow"/>
    <x v="2"/>
    <n v="0"/>
    <x v="1"/>
    <x v="1"/>
  </r>
  <r>
    <n v="2006"/>
    <x v="2005"/>
    <n v="5.3472222222222227E-2"/>
    <n v="4330"/>
    <n v="285"/>
    <n v="62.420833333333327"/>
    <x v="1"/>
    <x v="3"/>
    <n v="1.8368055555555556"/>
    <s v="Slow"/>
    <x v="1"/>
    <n v="0"/>
    <x v="1"/>
    <x v="1"/>
  </r>
  <r>
    <n v="2007"/>
    <x v="2006"/>
    <n v="6.3888888888888898E-2"/>
    <n v="1123"/>
    <n v="76"/>
    <n v="72.211805555555557"/>
    <x v="0"/>
    <x v="1"/>
    <n v="2.0416666666666665"/>
    <s v="Slow"/>
    <x v="2"/>
    <n v="0"/>
    <x v="1"/>
    <x v="1"/>
  </r>
  <r>
    <n v="2008"/>
    <x v="2007"/>
    <n v="4.5138888888888888E-2"/>
    <n v="2639"/>
    <n v="280"/>
    <n v="13.37638888888889"/>
    <x v="2"/>
    <x v="3"/>
    <n v="1.3388888888888888"/>
    <s v="Fast"/>
    <x v="1"/>
    <n v="0"/>
    <x v="1"/>
    <x v="1"/>
  </r>
  <r>
    <n v="2009"/>
    <x v="2008"/>
    <n v="4.9305555555555554E-2"/>
    <n v="924"/>
    <n v="372"/>
    <n v="15.584027777777777"/>
    <x v="2"/>
    <x v="3"/>
    <n v="0.25069444444444444"/>
    <s v="Fast"/>
    <x v="0"/>
    <n v="0"/>
    <x v="1"/>
    <x v="1"/>
  </r>
  <r>
    <n v="2010"/>
    <x v="2009"/>
    <n v="6.3194444444444442E-2"/>
    <n v="1626"/>
    <n v="117"/>
    <n v="35.83958333333333"/>
    <x v="2"/>
    <x v="0"/>
    <n v="1.8805555555555555"/>
    <s v="Slow"/>
    <x v="1"/>
    <n v="0"/>
    <x v="1"/>
    <x v="1"/>
  </r>
  <r>
    <n v="2011"/>
    <x v="2010"/>
    <n v="6.6666666666666666E-2"/>
    <n v="2643"/>
    <n v="215"/>
    <n v="4.0062500000000005"/>
    <x v="2"/>
    <x v="2"/>
    <n v="1.7090277777777778"/>
    <s v="Slow"/>
    <x v="2"/>
    <n v="0"/>
    <x v="1"/>
    <x v="1"/>
  </r>
  <r>
    <n v="2012"/>
    <x v="2011"/>
    <n v="5.9722222222222225E-2"/>
    <n v="1098"/>
    <n v="477"/>
    <n v="66.213888888888889"/>
    <x v="2"/>
    <x v="0"/>
    <n v="2.4215277777777779"/>
    <s v="Slow"/>
    <x v="2"/>
    <n v="1"/>
    <x v="0"/>
    <x v="0"/>
  </r>
  <r>
    <n v="2013"/>
    <x v="2012"/>
    <n v="4.3055555555555562E-2"/>
    <n v="1636"/>
    <n v="125"/>
    <n v="45.834722222222219"/>
    <x v="1"/>
    <x v="0"/>
    <n v="1.7548611111111112"/>
    <s v="Slow"/>
    <x v="2"/>
    <n v="0"/>
    <x v="1"/>
    <x v="1"/>
  </r>
  <r>
    <n v="2014"/>
    <x v="2013"/>
    <n v="6.458333333333334E-2"/>
    <n v="4294"/>
    <n v="497"/>
    <n v="46.712499999999999"/>
    <x v="3"/>
    <x v="1"/>
    <n v="2.5881944444444445"/>
    <s v="Slow"/>
    <x v="2"/>
    <n v="0"/>
    <x v="1"/>
    <x v="1"/>
  </r>
  <r>
    <n v="2015"/>
    <x v="2014"/>
    <n v="6.8749999999999992E-2"/>
    <n v="3851"/>
    <n v="85"/>
    <n v="27.880555555555556"/>
    <x v="3"/>
    <x v="2"/>
    <n v="1.8340277777777778"/>
    <s v="Slow"/>
    <x v="2"/>
    <n v="0"/>
    <x v="1"/>
    <x v="1"/>
  </r>
  <r>
    <n v="2016"/>
    <x v="2015"/>
    <n v="5.4166666666666669E-2"/>
    <n v="3185"/>
    <n v="313"/>
    <n v="7.5854166666666671"/>
    <x v="2"/>
    <x v="0"/>
    <n v="0.62638888888888888"/>
    <s v="Fast"/>
    <x v="1"/>
    <n v="1"/>
    <x v="0"/>
    <x v="0"/>
  </r>
  <r>
    <n v="2017"/>
    <x v="2016"/>
    <n v="5.2777777777777778E-2"/>
    <n v="654"/>
    <n v="147"/>
    <n v="53.378472222222221"/>
    <x v="1"/>
    <x v="2"/>
    <n v="2.8791666666666664"/>
    <s v="Slow"/>
    <x v="2"/>
    <n v="0"/>
    <x v="1"/>
    <x v="1"/>
  </r>
  <r>
    <n v="2018"/>
    <x v="2017"/>
    <n v="5.1388888888888894E-2"/>
    <n v="3289"/>
    <n v="4"/>
    <n v="60.213888888888896"/>
    <x v="3"/>
    <x v="3"/>
    <n v="2.0062500000000001"/>
    <s v="Slow"/>
    <x v="0"/>
    <n v="1"/>
    <x v="0"/>
    <x v="0"/>
  </r>
  <r>
    <n v="2019"/>
    <x v="2018"/>
    <n v="5.8333333333333327E-2"/>
    <n v="3890"/>
    <n v="378"/>
    <n v="76.709722222222226"/>
    <x v="1"/>
    <x v="0"/>
    <n v="1"/>
    <s v="Fast"/>
    <x v="2"/>
    <n v="0"/>
    <x v="1"/>
    <x v="1"/>
  </r>
  <r>
    <n v="2020"/>
    <x v="2019"/>
    <n v="4.6527777777777779E-2"/>
    <n v="433"/>
    <n v="494"/>
    <n v="8.7965277777777775"/>
    <x v="0"/>
    <x v="2"/>
    <n v="0.83611111111111114"/>
    <s v="Fast"/>
    <x v="2"/>
    <n v="1"/>
    <x v="0"/>
    <x v="0"/>
  </r>
  <r>
    <n v="2021"/>
    <x v="2020"/>
    <n v="4.5138888888888888E-2"/>
    <n v="3198"/>
    <n v="450"/>
    <n v="6.7541666666666664"/>
    <x v="3"/>
    <x v="2"/>
    <n v="2.8347222222222221"/>
    <s v="Slow"/>
    <x v="0"/>
    <n v="0"/>
    <x v="1"/>
    <x v="1"/>
  </r>
  <r>
    <n v="2022"/>
    <x v="2021"/>
    <n v="4.1666666666666664E-2"/>
    <n v="4898"/>
    <n v="324"/>
    <n v="79.920138888888886"/>
    <x v="3"/>
    <x v="0"/>
    <n v="2.8395833333333336"/>
    <s v="Slow"/>
    <x v="2"/>
    <n v="1"/>
    <x v="0"/>
    <x v="0"/>
  </r>
  <r>
    <n v="2023"/>
    <x v="2022"/>
    <n v="5.5555555555555558E-3"/>
    <n v="2341"/>
    <n v="370"/>
    <n v="81.547222222222231"/>
    <x v="0"/>
    <x v="0"/>
    <n v="2.4229166666666666"/>
    <s v="Slow"/>
    <x v="1"/>
    <n v="0"/>
    <x v="1"/>
    <x v="1"/>
  </r>
  <r>
    <n v="2024"/>
    <x v="2023"/>
    <n v="5.6250000000000001E-2"/>
    <n v="1391"/>
    <n v="463"/>
    <n v="74.129166666666663"/>
    <x v="2"/>
    <x v="0"/>
    <n v="1.0423611111111111"/>
    <s v="Fast"/>
    <x v="2"/>
    <n v="0"/>
    <x v="1"/>
    <x v="1"/>
  </r>
  <r>
    <n v="2025"/>
    <x v="2024"/>
    <n v="4.9999999999999996E-2"/>
    <n v="2469"/>
    <n v="119"/>
    <n v="64.588888888888889"/>
    <x v="0"/>
    <x v="0"/>
    <n v="1.6701388888888891"/>
    <s v="Slow"/>
    <x v="1"/>
    <n v="1"/>
    <x v="0"/>
    <x v="0"/>
  </r>
  <r>
    <n v="2026"/>
    <x v="2025"/>
    <n v="4.3055555555555562E-2"/>
    <n v="274"/>
    <n v="452"/>
    <n v="44.46319444444444"/>
    <x v="3"/>
    <x v="2"/>
    <n v="2.7124999999999999"/>
    <s v="Slow"/>
    <x v="1"/>
    <n v="0"/>
    <x v="1"/>
    <x v="1"/>
  </r>
  <r>
    <n v="2027"/>
    <x v="2026"/>
    <n v="4.3750000000000004E-2"/>
    <n v="4504"/>
    <n v="407"/>
    <n v="17.333333333333332"/>
    <x v="0"/>
    <x v="0"/>
    <n v="1.3333333333333333"/>
    <s v="Fast"/>
    <x v="2"/>
    <n v="0"/>
    <x v="1"/>
    <x v="1"/>
  </r>
  <r>
    <n v="2028"/>
    <x v="2027"/>
    <n v="4.3055555555555562E-2"/>
    <n v="4167"/>
    <n v="203"/>
    <n v="23.043055555555554"/>
    <x v="2"/>
    <x v="3"/>
    <n v="2.25"/>
    <s v="Slow"/>
    <x v="1"/>
    <n v="0"/>
    <x v="1"/>
    <x v="1"/>
  </r>
  <r>
    <n v="2029"/>
    <x v="2028"/>
    <n v="6.1111111111111109E-2"/>
    <n v="3132"/>
    <n v="27"/>
    <n v="68.047916666666666"/>
    <x v="3"/>
    <x v="3"/>
    <n v="0.95833333333333337"/>
    <s v="Fast"/>
    <x v="1"/>
    <n v="1"/>
    <x v="0"/>
    <x v="0"/>
  </r>
  <r>
    <n v="2030"/>
    <x v="2029"/>
    <n v="6.3194444444444442E-2"/>
    <n v="580"/>
    <n v="188"/>
    <n v="50.713888888888896"/>
    <x v="3"/>
    <x v="3"/>
    <n v="0.42222222222222222"/>
    <s v="Fast"/>
    <x v="2"/>
    <n v="1"/>
    <x v="0"/>
    <x v="0"/>
  </r>
  <r>
    <n v="2031"/>
    <x v="2030"/>
    <n v="6.805555555555555E-2"/>
    <n v="3219"/>
    <n v="163"/>
    <n v="22.209027777777777"/>
    <x v="1"/>
    <x v="0"/>
    <n v="1.5472222222222223"/>
    <s v="Slow"/>
    <x v="1"/>
    <n v="0"/>
    <x v="1"/>
    <x v="1"/>
  </r>
  <r>
    <n v="2032"/>
    <x v="2031"/>
    <n v="6.8749999999999992E-2"/>
    <n v="1914"/>
    <n v="135"/>
    <n v="29.836805555555557"/>
    <x v="1"/>
    <x v="1"/>
    <n v="2.0874999999999999"/>
    <s v="Slow"/>
    <x v="2"/>
    <n v="0"/>
    <x v="1"/>
    <x v="1"/>
  </r>
  <r>
    <n v="2033"/>
    <x v="2032"/>
    <n v="4.5833333333333337E-2"/>
    <n v="3059"/>
    <n v="466"/>
    <n v="40.130555555555553"/>
    <x v="0"/>
    <x v="2"/>
    <n v="1.3381944444444445"/>
    <s v="Fast"/>
    <x v="0"/>
    <n v="0"/>
    <x v="1"/>
    <x v="1"/>
  </r>
  <r>
    <n v="2034"/>
    <x v="2033"/>
    <n v="4.2361111111111106E-2"/>
    <n v="1355"/>
    <n v="458"/>
    <n v="81.459722222222226"/>
    <x v="1"/>
    <x v="1"/>
    <n v="0.62916666666666665"/>
    <s v="Fast"/>
    <x v="1"/>
    <n v="0"/>
    <x v="1"/>
    <x v="1"/>
  </r>
  <r>
    <n v="2035"/>
    <x v="2034"/>
    <n v="6.0416666666666667E-2"/>
    <n v="1086"/>
    <n v="56"/>
    <n v="57.417361111111113"/>
    <x v="2"/>
    <x v="0"/>
    <n v="0.125"/>
    <s v="Fast"/>
    <x v="0"/>
    <n v="0"/>
    <x v="1"/>
    <x v="1"/>
  </r>
  <r>
    <n v="2036"/>
    <x v="2035"/>
    <n v="4.9999999999999996E-2"/>
    <n v="1854"/>
    <n v="176"/>
    <n v="5.2118055555555554"/>
    <x v="1"/>
    <x v="0"/>
    <n v="2.7965277777777775"/>
    <s v="Slow"/>
    <x v="1"/>
    <n v="1"/>
    <x v="0"/>
    <x v="0"/>
  </r>
  <r>
    <n v="2037"/>
    <x v="2036"/>
    <n v="6.7361111111111108E-2"/>
    <n v="3152"/>
    <n v="20"/>
    <n v="79.294444444444437"/>
    <x v="2"/>
    <x v="1"/>
    <n v="1.7090277777777778"/>
    <s v="Slow"/>
    <x v="0"/>
    <n v="0"/>
    <x v="1"/>
    <x v="1"/>
  </r>
  <r>
    <n v="2038"/>
    <x v="2037"/>
    <n v="5.5555555555555558E-3"/>
    <n v="2490"/>
    <n v="482"/>
    <n v="38.12916666666667"/>
    <x v="1"/>
    <x v="0"/>
    <n v="0.79513888888888884"/>
    <s v="Fast"/>
    <x v="0"/>
    <n v="1"/>
    <x v="0"/>
    <x v="0"/>
  </r>
  <r>
    <n v="2039"/>
    <x v="2038"/>
    <n v="5.4166666666666669E-2"/>
    <n v="2277"/>
    <n v="280"/>
    <n v="62.334027777777777"/>
    <x v="2"/>
    <x v="1"/>
    <n v="1.0055555555555555"/>
    <s v="Fast"/>
    <x v="2"/>
    <n v="1"/>
    <x v="0"/>
    <x v="2"/>
  </r>
  <r>
    <n v="2040"/>
    <x v="2039"/>
    <n v="5.3472222222222227E-2"/>
    <n v="822"/>
    <n v="417"/>
    <n v="67.631250000000009"/>
    <x v="1"/>
    <x v="0"/>
    <n v="2.5041666666666669"/>
    <s v="Slow"/>
    <x v="0"/>
    <n v="0"/>
    <x v="1"/>
    <x v="1"/>
  </r>
  <r>
    <n v="2041"/>
    <x v="2040"/>
    <n v="4.9999999999999996E-2"/>
    <n v="2600"/>
    <n v="38"/>
    <n v="34.668749999999996"/>
    <x v="2"/>
    <x v="3"/>
    <n v="2.5020833333333332"/>
    <s v="Slow"/>
    <x v="0"/>
    <n v="0"/>
    <x v="1"/>
    <x v="1"/>
  </r>
  <r>
    <n v="2042"/>
    <x v="2041"/>
    <n v="5.7638888888888885E-2"/>
    <n v="4377"/>
    <n v="428"/>
    <n v="79.418055555555554"/>
    <x v="0"/>
    <x v="3"/>
    <n v="0.54583333333333328"/>
    <s v="Fast"/>
    <x v="2"/>
    <n v="0"/>
    <x v="1"/>
    <x v="1"/>
  </r>
  <r>
    <n v="2043"/>
    <x v="2042"/>
    <n v="4.6527777777777779E-2"/>
    <n v="2882"/>
    <n v="98"/>
    <n v="9.7125000000000004"/>
    <x v="3"/>
    <x v="0"/>
    <n v="2.0062500000000001"/>
    <s v="Slow"/>
    <x v="0"/>
    <n v="0"/>
    <x v="1"/>
    <x v="1"/>
  </r>
  <r>
    <n v="2044"/>
    <x v="2043"/>
    <n v="6.8749999999999992E-2"/>
    <n v="3793"/>
    <n v="323"/>
    <n v="47.46319444444444"/>
    <x v="0"/>
    <x v="0"/>
    <n v="0.66666666666666663"/>
    <s v="Fast"/>
    <x v="1"/>
    <n v="1"/>
    <x v="0"/>
    <x v="0"/>
  </r>
  <r>
    <n v="2045"/>
    <x v="2044"/>
    <n v="6.3888888888888898E-2"/>
    <n v="3424"/>
    <n v="73"/>
    <n v="16.379861111111111"/>
    <x v="2"/>
    <x v="0"/>
    <n v="1.2979166666666666"/>
    <s v="Fast"/>
    <x v="2"/>
    <n v="0"/>
    <x v="1"/>
    <x v="1"/>
  </r>
  <r>
    <n v="2046"/>
    <x v="2045"/>
    <n v="6.5277777777777782E-2"/>
    <n v="128"/>
    <n v="276"/>
    <n v="34.58958333333333"/>
    <x v="1"/>
    <x v="3"/>
    <n v="1.4215277777777777"/>
    <s v="Fast"/>
    <x v="1"/>
    <n v="0"/>
    <x v="1"/>
    <x v="1"/>
  </r>
  <r>
    <n v="2047"/>
    <x v="2046"/>
    <n v="6.805555555555555E-2"/>
    <n v="4944"/>
    <n v="388"/>
    <n v="12.834027777777777"/>
    <x v="0"/>
    <x v="2"/>
    <n v="1.3361111111111112"/>
    <s v="Fast"/>
    <x v="1"/>
    <n v="1"/>
    <x v="0"/>
    <x v="0"/>
  </r>
  <r>
    <n v="2048"/>
    <x v="2047"/>
    <n v="6.0416666666666667E-2"/>
    <n v="2225"/>
    <n v="311"/>
    <n v="18.875694444444445"/>
    <x v="2"/>
    <x v="3"/>
    <n v="1.2923611111111111"/>
    <s v="Fast"/>
    <x v="0"/>
    <n v="0"/>
    <x v="1"/>
    <x v="1"/>
  </r>
  <r>
    <n v="2049"/>
    <x v="2048"/>
    <n v="6.6666666666666666E-2"/>
    <n v="419"/>
    <n v="299"/>
    <n v="72.709722222222226"/>
    <x v="2"/>
    <x v="3"/>
    <n v="2.7534722222222219"/>
    <s v="Slow"/>
    <x v="2"/>
    <n v="1"/>
    <x v="0"/>
    <x v="0"/>
  </r>
  <r>
    <n v="2050"/>
    <x v="2049"/>
    <n v="6.2499999999999995E-3"/>
    <n v="739"/>
    <n v="190"/>
    <n v="8.0458333333333325"/>
    <x v="3"/>
    <x v="1"/>
    <n v="1.2930555555555556"/>
    <s v="Fast"/>
    <x v="2"/>
    <n v="0"/>
    <x v="1"/>
    <x v="1"/>
  </r>
  <r>
    <n v="2051"/>
    <x v="2050"/>
    <n v="5.486111111111111E-2"/>
    <n v="82"/>
    <n v="402"/>
    <n v="2.0458333333333334"/>
    <x v="1"/>
    <x v="0"/>
    <n v="1.5847222222222221"/>
    <s v="Slow"/>
    <x v="0"/>
    <n v="0"/>
    <x v="1"/>
    <x v="1"/>
  </r>
  <r>
    <n v="2052"/>
    <x v="2051"/>
    <n v="4.2361111111111106E-2"/>
    <n v="2699"/>
    <n v="155"/>
    <n v="58.293749999999996"/>
    <x v="2"/>
    <x v="1"/>
    <n v="1.5840277777777778"/>
    <s v="Slow"/>
    <x v="1"/>
    <n v="0"/>
    <x v="1"/>
    <x v="1"/>
  </r>
  <r>
    <n v="2053"/>
    <x v="2052"/>
    <n v="5.6250000000000001E-2"/>
    <n v="4829"/>
    <n v="24"/>
    <n v="66.172916666666666"/>
    <x v="2"/>
    <x v="1"/>
    <n v="2.125"/>
    <s v="Slow"/>
    <x v="1"/>
    <n v="0"/>
    <x v="1"/>
    <x v="1"/>
  </r>
  <r>
    <n v="2054"/>
    <x v="2053"/>
    <n v="5.6944444444444443E-2"/>
    <n v="1306"/>
    <n v="140"/>
    <n v="26.166666666666668"/>
    <x v="3"/>
    <x v="0"/>
    <n v="2.2930555555555556"/>
    <s v="Slow"/>
    <x v="1"/>
    <n v="0"/>
    <x v="1"/>
    <x v="1"/>
  </r>
  <r>
    <n v="2055"/>
    <x v="2054"/>
    <n v="6.1805555555555558E-2"/>
    <n v="1763"/>
    <n v="12"/>
    <n v="12.797222222222222"/>
    <x v="2"/>
    <x v="0"/>
    <n v="2.2527777777777778"/>
    <s v="Slow"/>
    <x v="0"/>
    <n v="0"/>
    <x v="1"/>
    <x v="1"/>
  </r>
  <r>
    <n v="2056"/>
    <x v="2055"/>
    <n v="6.5972222222222224E-2"/>
    <n v="2316"/>
    <n v="299"/>
    <n v="29.083333333333332"/>
    <x v="0"/>
    <x v="2"/>
    <n v="1.2083333333333333"/>
    <s v="Fast"/>
    <x v="0"/>
    <n v="0"/>
    <x v="1"/>
    <x v="1"/>
  </r>
  <r>
    <n v="2057"/>
    <x v="2056"/>
    <n v="5.9027777777777783E-2"/>
    <n v="377"/>
    <n v="487"/>
    <n v="72.21041666666666"/>
    <x v="2"/>
    <x v="2"/>
    <n v="1.3791666666666667"/>
    <s v="Fast"/>
    <x v="2"/>
    <n v="1"/>
    <x v="0"/>
    <x v="0"/>
  </r>
  <r>
    <n v="2058"/>
    <x v="2057"/>
    <n v="4.3750000000000004E-2"/>
    <n v="4387"/>
    <n v="215"/>
    <n v="50.627777777777773"/>
    <x v="3"/>
    <x v="3"/>
    <n v="0.25"/>
    <s v="Fast"/>
    <x v="1"/>
    <n v="0"/>
    <x v="1"/>
    <x v="1"/>
  </r>
  <r>
    <n v="2059"/>
    <x v="2058"/>
    <n v="4.4444444444444446E-2"/>
    <n v="4284"/>
    <n v="178"/>
    <n v="32.880555555555553"/>
    <x v="3"/>
    <x v="2"/>
    <n v="2.2097222222222221"/>
    <s v="Slow"/>
    <x v="2"/>
    <n v="1"/>
    <x v="0"/>
    <x v="0"/>
  </r>
  <r>
    <n v="2060"/>
    <x v="2059"/>
    <n v="6.5972222222222224E-2"/>
    <n v="164"/>
    <n v="490"/>
    <n v="40.045833333333334"/>
    <x v="0"/>
    <x v="1"/>
    <n v="0.58402777777777781"/>
    <s v="Fast"/>
    <x v="1"/>
    <n v="0"/>
    <x v="1"/>
    <x v="1"/>
  </r>
  <r>
    <n v="2061"/>
    <x v="2060"/>
    <n v="6.5972222222222224E-2"/>
    <n v="2427"/>
    <n v="67"/>
    <n v="15.964583333333332"/>
    <x v="3"/>
    <x v="0"/>
    <n v="0.91875000000000007"/>
    <s v="Fast"/>
    <x v="1"/>
    <n v="0"/>
    <x v="1"/>
    <x v="1"/>
  </r>
  <r>
    <n v="2062"/>
    <x v="2061"/>
    <n v="5.2777777777777778E-2"/>
    <n v="2431"/>
    <n v="278"/>
    <n v="49.213888888888896"/>
    <x v="1"/>
    <x v="2"/>
    <n v="8.4027777777777771E-2"/>
    <s v="Fast"/>
    <x v="0"/>
    <n v="0"/>
    <x v="1"/>
    <x v="1"/>
  </r>
  <r>
    <n v="2063"/>
    <x v="2062"/>
    <n v="4.3750000000000004E-2"/>
    <n v="3572"/>
    <n v="73"/>
    <n v="74.211805555555557"/>
    <x v="3"/>
    <x v="0"/>
    <n v="2.5020833333333332"/>
    <s v="Slow"/>
    <x v="1"/>
    <n v="1"/>
    <x v="0"/>
    <x v="0"/>
  </r>
  <r>
    <n v="2064"/>
    <x v="2063"/>
    <n v="4.4444444444444446E-2"/>
    <n v="2596"/>
    <n v="151"/>
    <n v="43.504861111111104"/>
    <x v="1"/>
    <x v="0"/>
    <n v="8.3333333333333329E-2"/>
    <s v="Fast"/>
    <x v="0"/>
    <n v="1"/>
    <x v="0"/>
    <x v="0"/>
  </r>
  <r>
    <n v="2065"/>
    <x v="2064"/>
    <n v="4.5138888888888888E-2"/>
    <n v="1901"/>
    <n v="37"/>
    <n v="31.463194444444444"/>
    <x v="2"/>
    <x v="2"/>
    <n v="2.1305555555555555"/>
    <s v="Slow"/>
    <x v="1"/>
    <n v="0"/>
    <x v="1"/>
    <x v="1"/>
  </r>
  <r>
    <n v="2066"/>
    <x v="2065"/>
    <n v="6.7361111111111108E-2"/>
    <n v="2686"/>
    <n v="226"/>
    <n v="19.75"/>
    <x v="0"/>
    <x v="3"/>
    <n v="0.87986111111111109"/>
    <s v="Fast"/>
    <x v="2"/>
    <n v="0"/>
    <x v="1"/>
    <x v="1"/>
  </r>
  <r>
    <n v="2067"/>
    <x v="2066"/>
    <n v="5.2777777777777778E-2"/>
    <n v="4164"/>
    <n v="374"/>
    <n v="77.504861111111111"/>
    <x v="2"/>
    <x v="2"/>
    <n v="2.8333333333333335"/>
    <s v="Slow"/>
    <x v="1"/>
    <n v="0"/>
    <x v="1"/>
    <x v="1"/>
  </r>
  <r>
    <n v="2068"/>
    <x v="2067"/>
    <n v="5.486111111111111E-2"/>
    <n v="1134"/>
    <n v="125"/>
    <n v="49.128472222222221"/>
    <x v="0"/>
    <x v="3"/>
    <n v="2.338888888888889"/>
    <s v="Slow"/>
    <x v="2"/>
    <n v="0"/>
    <x v="1"/>
    <x v="1"/>
  </r>
  <r>
    <n v="2069"/>
    <x v="2068"/>
    <n v="6.458333333333334E-2"/>
    <n v="4603"/>
    <n v="208"/>
    <n v="3.213888888888889"/>
    <x v="0"/>
    <x v="2"/>
    <n v="0.42222222222222222"/>
    <s v="Fast"/>
    <x v="2"/>
    <n v="0"/>
    <x v="1"/>
    <x v="1"/>
  </r>
  <r>
    <n v="2070"/>
    <x v="2069"/>
    <n v="4.8611111111111112E-3"/>
    <n v="4654"/>
    <n v="438"/>
    <n v="58.710416666666667"/>
    <x v="3"/>
    <x v="3"/>
    <n v="2.1694444444444447"/>
    <s v="Slow"/>
    <x v="1"/>
    <n v="1"/>
    <x v="0"/>
    <x v="0"/>
  </r>
  <r>
    <n v="2071"/>
    <x v="2070"/>
    <n v="5.6250000000000001E-2"/>
    <n v="4347"/>
    <n v="194"/>
    <n v="81.836805555555557"/>
    <x v="0"/>
    <x v="3"/>
    <n v="1.3805555555555555"/>
    <s v="Fast"/>
    <x v="2"/>
    <n v="0"/>
    <x v="1"/>
    <x v="1"/>
  </r>
  <r>
    <n v="2072"/>
    <x v="2071"/>
    <n v="5.7638888888888885E-2"/>
    <n v="3015"/>
    <n v="403"/>
    <n v="17.463888888888889"/>
    <x v="1"/>
    <x v="3"/>
    <n v="1.9201388888888891"/>
    <s v="Slow"/>
    <x v="0"/>
    <n v="1"/>
    <x v="0"/>
    <x v="0"/>
  </r>
  <r>
    <n v="2073"/>
    <x v="2072"/>
    <n v="5.3472222222222227E-2"/>
    <n v="2110"/>
    <n v="119"/>
    <n v="47.003472222222221"/>
    <x v="3"/>
    <x v="1"/>
    <n v="1.2104166666666667"/>
    <s v="Fast"/>
    <x v="1"/>
    <n v="1"/>
    <x v="0"/>
    <x v="2"/>
  </r>
  <r>
    <n v="2074"/>
    <x v="2073"/>
    <n v="4.5138888888888888E-2"/>
    <n v="3064"/>
    <n v="11"/>
    <n v="44.959722222222219"/>
    <x v="0"/>
    <x v="0"/>
    <n v="1.0006944444444443"/>
    <s v="Fast"/>
    <x v="1"/>
    <n v="1"/>
    <x v="0"/>
    <x v="0"/>
  </r>
  <r>
    <n v="2075"/>
    <x v="2074"/>
    <n v="5.3472222222222227E-2"/>
    <n v="1943"/>
    <n v="482"/>
    <n v="54.129166666666663"/>
    <x v="0"/>
    <x v="3"/>
    <n v="2.7944444444444443"/>
    <s v="Slow"/>
    <x v="0"/>
    <n v="1"/>
    <x v="0"/>
    <x v="0"/>
  </r>
  <r>
    <n v="2076"/>
    <x v="2075"/>
    <n v="4.4444444444444446E-2"/>
    <n v="2257"/>
    <n v="204"/>
    <n v="32.210416666666667"/>
    <x v="1"/>
    <x v="3"/>
    <n v="1.3395833333333333"/>
    <s v="Fast"/>
    <x v="2"/>
    <n v="0"/>
    <x v="1"/>
    <x v="1"/>
  </r>
  <r>
    <n v="2077"/>
    <x v="2076"/>
    <n v="5.0694444444444438E-2"/>
    <n v="4231"/>
    <n v="348"/>
    <n v="40.459027777777777"/>
    <x v="0"/>
    <x v="3"/>
    <n v="0.92083333333333339"/>
    <s v="Fast"/>
    <x v="1"/>
    <n v="0"/>
    <x v="1"/>
    <x v="1"/>
  </r>
  <r>
    <n v="2078"/>
    <x v="2077"/>
    <n v="5.2777777777777778E-2"/>
    <n v="2059"/>
    <n v="214"/>
    <n v="57.416666666666664"/>
    <x v="2"/>
    <x v="0"/>
    <n v="0.17222222222222225"/>
    <s v="Fast"/>
    <x v="1"/>
    <n v="0"/>
    <x v="1"/>
    <x v="1"/>
  </r>
  <r>
    <n v="2079"/>
    <x v="2078"/>
    <n v="4.7222222222222221E-2"/>
    <n v="1608"/>
    <n v="184"/>
    <n v="33.417361111111113"/>
    <x v="0"/>
    <x v="1"/>
    <n v="0.54166666666666663"/>
    <s v="Fast"/>
    <x v="1"/>
    <n v="0"/>
    <x v="1"/>
    <x v="1"/>
  </r>
  <r>
    <n v="2080"/>
    <x v="2079"/>
    <n v="4.1666666666666664E-2"/>
    <n v="1250"/>
    <n v="364"/>
    <n v="6.7097222222222221"/>
    <x v="0"/>
    <x v="0"/>
    <n v="1.9645833333333333"/>
    <s v="Slow"/>
    <x v="1"/>
    <n v="0"/>
    <x v="1"/>
    <x v="1"/>
  </r>
  <r>
    <n v="2081"/>
    <x v="2080"/>
    <n v="6.1111111111111109E-2"/>
    <n v="4937"/>
    <n v="465"/>
    <n v="42.37916666666667"/>
    <x v="1"/>
    <x v="0"/>
    <n v="1.2923611111111111"/>
    <s v="Fast"/>
    <x v="2"/>
    <n v="0"/>
    <x v="1"/>
    <x v="1"/>
  </r>
  <r>
    <n v="2082"/>
    <x v="2081"/>
    <n v="6.7361111111111108E-2"/>
    <n v="554"/>
    <n v="357"/>
    <n v="52.33680555555555"/>
    <x v="3"/>
    <x v="1"/>
    <n v="1.5888888888888888"/>
    <s v="Slow"/>
    <x v="2"/>
    <n v="0"/>
    <x v="1"/>
    <x v="1"/>
  </r>
  <r>
    <n v="2083"/>
    <x v="2082"/>
    <n v="6.7361111111111108E-2"/>
    <n v="2859"/>
    <n v="462"/>
    <n v="38.838194444444447"/>
    <x v="2"/>
    <x v="1"/>
    <n v="1.7138888888888888"/>
    <s v="Slow"/>
    <x v="1"/>
    <n v="1"/>
    <x v="0"/>
    <x v="2"/>
  </r>
  <r>
    <n v="2084"/>
    <x v="2083"/>
    <n v="4.9305555555555554E-2"/>
    <n v="3501"/>
    <n v="218"/>
    <n v="17.839583333333334"/>
    <x v="2"/>
    <x v="1"/>
    <n v="0.33749999999999997"/>
    <s v="Fast"/>
    <x v="2"/>
    <n v="1"/>
    <x v="0"/>
    <x v="2"/>
  </r>
  <r>
    <n v="2085"/>
    <x v="2084"/>
    <n v="4.5833333333333337E-2"/>
    <n v="4972"/>
    <n v="302"/>
    <n v="12.255555555555555"/>
    <x v="1"/>
    <x v="0"/>
    <n v="1.7520833333333332"/>
    <s v="Slow"/>
    <x v="0"/>
    <n v="1"/>
    <x v="0"/>
    <x v="0"/>
  </r>
  <r>
    <n v="2086"/>
    <x v="2085"/>
    <n v="4.1666666666666664E-2"/>
    <n v="1003"/>
    <n v="76"/>
    <n v="2.7090277777777776"/>
    <x v="1"/>
    <x v="3"/>
    <n v="0.46111111111111108"/>
    <s v="Fast"/>
    <x v="2"/>
    <n v="0"/>
    <x v="1"/>
    <x v="1"/>
  </r>
  <r>
    <n v="2087"/>
    <x v="2086"/>
    <n v="5.5555555555555558E-3"/>
    <n v="4151"/>
    <n v="304"/>
    <n v="52.043055555555554"/>
    <x v="3"/>
    <x v="2"/>
    <n v="2.1715277777777779"/>
    <s v="Slow"/>
    <x v="1"/>
    <n v="0"/>
    <x v="1"/>
    <x v="1"/>
  </r>
  <r>
    <n v="2088"/>
    <x v="2087"/>
    <n v="6.0416666666666667E-2"/>
    <n v="2240"/>
    <n v="495"/>
    <n v="25.542361111111109"/>
    <x v="0"/>
    <x v="2"/>
    <n v="1.54375"/>
    <s v="Slow"/>
    <x v="2"/>
    <n v="1"/>
    <x v="0"/>
    <x v="0"/>
  </r>
  <r>
    <n v="2089"/>
    <x v="2088"/>
    <n v="6.5972222222222224E-2"/>
    <n v="1713"/>
    <n v="19"/>
    <n v="40.959027777777777"/>
    <x v="2"/>
    <x v="1"/>
    <n v="2.4194444444444447"/>
    <s v="Slow"/>
    <x v="2"/>
    <n v="1"/>
    <x v="0"/>
    <x v="2"/>
  </r>
  <r>
    <n v="2090"/>
    <x v="2089"/>
    <n v="5.1388888888888894E-2"/>
    <n v="1516"/>
    <n v="371"/>
    <n v="6.875694444444445"/>
    <x v="2"/>
    <x v="0"/>
    <n v="0.46111111111111108"/>
    <s v="Fast"/>
    <x v="0"/>
    <n v="0"/>
    <x v="1"/>
    <x v="1"/>
  </r>
  <r>
    <n v="2091"/>
    <x v="2090"/>
    <n v="5.8333333333333327E-2"/>
    <n v="2187"/>
    <n v="325"/>
    <n v="66.834722222222226"/>
    <x v="3"/>
    <x v="1"/>
    <n v="1.3375000000000001"/>
    <s v="Fast"/>
    <x v="0"/>
    <n v="1"/>
    <x v="0"/>
    <x v="2"/>
  </r>
  <r>
    <n v="2092"/>
    <x v="2091"/>
    <n v="4.9999999999999996E-2"/>
    <n v="1372"/>
    <n v="425"/>
    <n v="24.338888888888889"/>
    <x v="3"/>
    <x v="0"/>
    <n v="0.58472222222222225"/>
    <s v="Fast"/>
    <x v="0"/>
    <n v="0"/>
    <x v="1"/>
    <x v="1"/>
  </r>
  <r>
    <n v="2093"/>
    <x v="2092"/>
    <n v="4.7916666666666663E-2"/>
    <n v="891"/>
    <n v="492"/>
    <n v="62.791666666666664"/>
    <x v="2"/>
    <x v="1"/>
    <n v="1.8340277777777778"/>
    <s v="Slow"/>
    <x v="2"/>
    <n v="0"/>
    <x v="1"/>
    <x v="1"/>
  </r>
  <r>
    <n v="2094"/>
    <x v="2093"/>
    <n v="4.2361111111111106E-2"/>
    <n v="2394"/>
    <n v="107"/>
    <n v="8.9194444444444443"/>
    <x v="1"/>
    <x v="0"/>
    <n v="0.25069444444444444"/>
    <s v="Fast"/>
    <x v="2"/>
    <n v="0"/>
    <x v="1"/>
    <x v="1"/>
  </r>
  <r>
    <n v="2095"/>
    <x v="2094"/>
    <n v="4.7916666666666663E-2"/>
    <n v="2670"/>
    <n v="130"/>
    <n v="72.338888888888889"/>
    <x v="1"/>
    <x v="2"/>
    <n v="1.2145833333333333"/>
    <s v="Fast"/>
    <x v="2"/>
    <n v="0"/>
    <x v="1"/>
    <x v="1"/>
  </r>
  <r>
    <n v="2096"/>
    <x v="2095"/>
    <n v="4.8611111111111112E-3"/>
    <n v="4760"/>
    <n v="394"/>
    <n v="81.126388888888883"/>
    <x v="2"/>
    <x v="1"/>
    <n v="1.5458333333333334"/>
    <s v="Slow"/>
    <x v="1"/>
    <n v="1"/>
    <x v="0"/>
    <x v="2"/>
  </r>
  <r>
    <n v="2097"/>
    <x v="2096"/>
    <n v="6.2499999999999995E-3"/>
    <n v="3162"/>
    <n v="420"/>
    <n v="69.208333333333329"/>
    <x v="1"/>
    <x v="1"/>
    <n v="2.9645833333333336"/>
    <s v="Slow"/>
    <x v="0"/>
    <n v="0"/>
    <x v="1"/>
    <x v="1"/>
  </r>
  <r>
    <n v="2098"/>
    <x v="2097"/>
    <n v="5.6250000000000001E-2"/>
    <n v="3855"/>
    <n v="271"/>
    <n v="44.336111111111109"/>
    <x v="2"/>
    <x v="2"/>
    <n v="1.1673611111111111"/>
    <s v="Fast"/>
    <x v="0"/>
    <n v="0"/>
    <x v="1"/>
    <x v="1"/>
  </r>
  <r>
    <n v="2099"/>
    <x v="2098"/>
    <n v="6.3194444444444442E-2"/>
    <n v="3628"/>
    <n v="93"/>
    <n v="53.629166666666663"/>
    <x v="1"/>
    <x v="2"/>
    <n v="1.5840277777777778"/>
    <s v="Slow"/>
    <x v="1"/>
    <n v="0"/>
    <x v="1"/>
    <x v="1"/>
  </r>
  <r>
    <n v="2100"/>
    <x v="2099"/>
    <n v="4.9305555555555554E-2"/>
    <n v="4874"/>
    <n v="218"/>
    <n v="50.835416666666667"/>
    <x v="1"/>
    <x v="1"/>
    <n v="0.46388888888888885"/>
    <s v="Fast"/>
    <x v="1"/>
    <n v="1"/>
    <x v="0"/>
    <x v="2"/>
  </r>
  <r>
    <n v="2101"/>
    <x v="2100"/>
    <n v="4.7916666666666663E-2"/>
    <n v="1029"/>
    <n v="337"/>
    <n v="53.381250000000001"/>
    <x v="0"/>
    <x v="3"/>
    <n v="0.62777777777777777"/>
    <s v="Fast"/>
    <x v="0"/>
    <n v="0"/>
    <x v="1"/>
    <x v="1"/>
  </r>
  <r>
    <n v="2102"/>
    <x v="2101"/>
    <n v="5.7638888888888885E-2"/>
    <n v="3561"/>
    <n v="63"/>
    <n v="56.335416666666667"/>
    <x v="3"/>
    <x v="1"/>
    <n v="0.79305555555555562"/>
    <s v="Fast"/>
    <x v="0"/>
    <n v="0"/>
    <x v="1"/>
    <x v="1"/>
  </r>
  <r>
    <n v="2103"/>
    <x v="2102"/>
    <n v="4.9305555555555554E-2"/>
    <n v="4452"/>
    <n v="486"/>
    <n v="21.043749999999999"/>
    <x v="3"/>
    <x v="1"/>
    <n v="2.7944444444444443"/>
    <s v="Slow"/>
    <x v="1"/>
    <n v="0"/>
    <x v="1"/>
    <x v="1"/>
  </r>
  <r>
    <n v="2104"/>
    <x v="2103"/>
    <n v="6.2499999999999995E-3"/>
    <n v="3474"/>
    <n v="445"/>
    <n v="74.793750000000003"/>
    <x v="1"/>
    <x v="2"/>
    <n v="2.8395833333333336"/>
    <s v="Slow"/>
    <x v="2"/>
    <n v="0"/>
    <x v="1"/>
    <x v="1"/>
  </r>
  <r>
    <n v="2105"/>
    <x v="2104"/>
    <n v="5.2083333333333336E-2"/>
    <n v="1290"/>
    <n v="252"/>
    <n v="25.756249999999998"/>
    <x v="0"/>
    <x v="0"/>
    <n v="2.1715277777777779"/>
    <s v="Slow"/>
    <x v="2"/>
    <n v="0"/>
    <x v="1"/>
    <x v="1"/>
  </r>
  <r>
    <n v="2106"/>
    <x v="2105"/>
    <n v="4.9305555555555554E-2"/>
    <n v="1011"/>
    <n v="260"/>
    <n v="13.463888888888889"/>
    <x v="3"/>
    <x v="1"/>
    <n v="2.7972222222222225"/>
    <s v="Slow"/>
    <x v="2"/>
    <n v="0"/>
    <x v="1"/>
    <x v="1"/>
  </r>
  <r>
    <n v="2107"/>
    <x v="2106"/>
    <n v="6.2499999999999995E-3"/>
    <n v="551"/>
    <n v="158"/>
    <n v="68.420833333333334"/>
    <x v="3"/>
    <x v="3"/>
    <n v="2.588888888888889"/>
    <s v="Slow"/>
    <x v="2"/>
    <n v="0"/>
    <x v="1"/>
    <x v="1"/>
  </r>
  <r>
    <n v="2108"/>
    <x v="2107"/>
    <n v="4.7222222222222221E-2"/>
    <n v="278"/>
    <n v="488"/>
    <n v="36.875"/>
    <x v="0"/>
    <x v="2"/>
    <n v="2.6312500000000001"/>
    <s v="Slow"/>
    <x v="0"/>
    <n v="0"/>
    <x v="1"/>
    <x v="1"/>
  </r>
  <r>
    <n v="2109"/>
    <x v="2108"/>
    <n v="6.1805555555555558E-2"/>
    <n v="2904"/>
    <n v="5"/>
    <n v="63.754861111111104"/>
    <x v="0"/>
    <x v="3"/>
    <n v="0.13055555555555556"/>
    <s v="Fast"/>
    <x v="1"/>
    <n v="1"/>
    <x v="0"/>
    <x v="0"/>
  </r>
  <r>
    <n v="2110"/>
    <x v="2109"/>
    <n v="5.2777777777777778E-2"/>
    <n v="1729"/>
    <n v="118"/>
    <n v="7.9624999999999995"/>
    <x v="3"/>
    <x v="0"/>
    <n v="1.2555555555555555"/>
    <s v="Fast"/>
    <x v="0"/>
    <n v="0"/>
    <x v="1"/>
    <x v="1"/>
  </r>
  <r>
    <n v="2111"/>
    <x v="2110"/>
    <n v="4.3750000000000004E-2"/>
    <n v="207"/>
    <n v="361"/>
    <n v="4.2145833333333336"/>
    <x v="1"/>
    <x v="1"/>
    <n v="1.2118055555555556"/>
    <s v="Fast"/>
    <x v="1"/>
    <n v="0"/>
    <x v="1"/>
    <x v="1"/>
  </r>
  <r>
    <n v="2112"/>
    <x v="2111"/>
    <n v="5.9027777777777783E-2"/>
    <n v="75"/>
    <n v="191"/>
    <n v="16.588888888888889"/>
    <x v="0"/>
    <x v="1"/>
    <n v="2.5874999999999999"/>
    <s v="Slow"/>
    <x v="0"/>
    <n v="1"/>
    <x v="0"/>
    <x v="2"/>
  </r>
  <r>
    <n v="2113"/>
    <x v="2112"/>
    <n v="5.8333333333333327E-2"/>
    <n v="1990"/>
    <n v="397"/>
    <n v="34.337499999999999"/>
    <x v="1"/>
    <x v="2"/>
    <n v="1.377777777777778"/>
    <s v="Fast"/>
    <x v="2"/>
    <n v="1"/>
    <x v="0"/>
    <x v="0"/>
  </r>
  <r>
    <n v="2114"/>
    <x v="2113"/>
    <n v="4.4444444444444446E-2"/>
    <n v="2405"/>
    <n v="436"/>
    <n v="76.670833333333334"/>
    <x v="3"/>
    <x v="1"/>
    <n v="2.8770833333333332"/>
    <s v="Slow"/>
    <x v="2"/>
    <n v="1"/>
    <x v="0"/>
    <x v="2"/>
  </r>
  <r>
    <n v="2115"/>
    <x v="2114"/>
    <n v="5.4166666666666669E-2"/>
    <n v="1019"/>
    <n v="25"/>
    <n v="26.75"/>
    <x v="0"/>
    <x v="1"/>
    <n v="0.9194444444444444"/>
    <s v="Fast"/>
    <x v="1"/>
    <n v="0"/>
    <x v="1"/>
    <x v="1"/>
  </r>
  <r>
    <n v="2116"/>
    <x v="2115"/>
    <n v="5.486111111111111E-2"/>
    <n v="877"/>
    <n v="324"/>
    <n v="78.922916666666666"/>
    <x v="1"/>
    <x v="1"/>
    <n v="1.6673611111111111"/>
    <s v="Slow"/>
    <x v="1"/>
    <n v="0"/>
    <x v="1"/>
    <x v="1"/>
  </r>
  <r>
    <n v="2117"/>
    <x v="2116"/>
    <n v="6.1805555555555558E-2"/>
    <n v="4239"/>
    <n v="20"/>
    <n v="39.083333333333336"/>
    <x v="1"/>
    <x v="3"/>
    <n v="1.8805555555555555"/>
    <s v="Slow"/>
    <x v="2"/>
    <n v="0"/>
    <x v="1"/>
    <x v="1"/>
  </r>
  <r>
    <n v="2118"/>
    <x v="2117"/>
    <n v="4.7222222222222221E-2"/>
    <n v="1014"/>
    <n v="312"/>
    <n v="16.670138888888889"/>
    <x v="3"/>
    <x v="3"/>
    <n v="1.6701388888888891"/>
    <s v="Slow"/>
    <x v="0"/>
    <n v="0"/>
    <x v="1"/>
    <x v="1"/>
  </r>
  <r>
    <n v="2119"/>
    <x v="2118"/>
    <n v="5.6944444444444443E-2"/>
    <n v="2848"/>
    <n v="381"/>
    <n v="23.045833333333334"/>
    <x v="2"/>
    <x v="1"/>
    <n v="1.0020833333333334"/>
    <s v="Fast"/>
    <x v="2"/>
    <n v="0"/>
    <x v="1"/>
    <x v="1"/>
  </r>
  <r>
    <n v="2120"/>
    <x v="2119"/>
    <n v="4.1666666666666664E-2"/>
    <n v="2905"/>
    <n v="403"/>
    <n v="61.042361111111113"/>
    <x v="1"/>
    <x v="2"/>
    <n v="8.4027777777777771E-2"/>
    <s v="Fast"/>
    <x v="2"/>
    <n v="0"/>
    <x v="1"/>
    <x v="1"/>
  </r>
  <r>
    <n v="2121"/>
    <x v="2120"/>
    <n v="4.2361111111111106E-2"/>
    <n v="2065"/>
    <n v="438"/>
    <n v="12.672916666666666"/>
    <x v="1"/>
    <x v="1"/>
    <n v="1.502777777777778"/>
    <s v="Slow"/>
    <x v="2"/>
    <n v="0"/>
    <x v="1"/>
    <x v="1"/>
  </r>
  <r>
    <n v="2122"/>
    <x v="2121"/>
    <n v="6.1805555555555558E-2"/>
    <n v="4672"/>
    <n v="56"/>
    <n v="53.88055555555556"/>
    <x v="0"/>
    <x v="3"/>
    <n v="2.9208333333333329"/>
    <s v="Slow"/>
    <x v="1"/>
    <n v="0"/>
    <x v="1"/>
    <x v="1"/>
  </r>
  <r>
    <n v="2123"/>
    <x v="2122"/>
    <n v="5.1388888888888894E-2"/>
    <n v="2214"/>
    <n v="356"/>
    <n v="53.546527777777776"/>
    <x v="0"/>
    <x v="2"/>
    <n v="0.21111111111111111"/>
    <s v="Fast"/>
    <x v="0"/>
    <n v="0"/>
    <x v="1"/>
    <x v="1"/>
  </r>
  <r>
    <n v="2124"/>
    <x v="2123"/>
    <n v="5.486111111111111E-2"/>
    <n v="1997"/>
    <n v="388"/>
    <n v="39.75"/>
    <x v="1"/>
    <x v="0"/>
    <n v="2.5006944444444446"/>
    <s v="Slow"/>
    <x v="1"/>
    <n v="1"/>
    <x v="0"/>
    <x v="0"/>
  </r>
  <r>
    <n v="2125"/>
    <x v="2124"/>
    <n v="4.9305555555555554E-2"/>
    <n v="2509"/>
    <n v="173"/>
    <n v="43.209027777777777"/>
    <x v="1"/>
    <x v="1"/>
    <n v="1.2958333333333334"/>
    <s v="Fast"/>
    <x v="2"/>
    <n v="1"/>
    <x v="0"/>
    <x v="2"/>
  </r>
  <r>
    <n v="2126"/>
    <x v="2125"/>
    <n v="5.4166666666666669E-2"/>
    <n v="2987"/>
    <n v="18"/>
    <n v="36.420138888888893"/>
    <x v="0"/>
    <x v="2"/>
    <n v="2.6708333333333329"/>
    <s v="Slow"/>
    <x v="0"/>
    <n v="1"/>
    <x v="0"/>
    <x v="0"/>
  </r>
  <r>
    <n v="2127"/>
    <x v="2126"/>
    <n v="5.5555555555555558E-3"/>
    <n v="1968"/>
    <n v="301"/>
    <n v="60.003472222222221"/>
    <x v="0"/>
    <x v="3"/>
    <n v="1.5416666666666667"/>
    <s v="Slow"/>
    <x v="0"/>
    <n v="0"/>
    <x v="1"/>
    <x v="1"/>
  </r>
  <r>
    <n v="2128"/>
    <x v="2127"/>
    <n v="6.7361111111111108E-2"/>
    <n v="794"/>
    <n v="188"/>
    <n v="23.669444444444448"/>
    <x v="0"/>
    <x v="1"/>
    <n v="2.6715277777777775"/>
    <s v="Slow"/>
    <x v="0"/>
    <n v="0"/>
    <x v="1"/>
    <x v="1"/>
  </r>
  <r>
    <n v="2129"/>
    <x v="2128"/>
    <n v="6.5972222222222224E-2"/>
    <n v="4384"/>
    <n v="438"/>
    <n v="66.754166666666663"/>
    <x v="3"/>
    <x v="0"/>
    <n v="1.8798611111111112"/>
    <s v="Slow"/>
    <x v="0"/>
    <n v="1"/>
    <x v="0"/>
    <x v="0"/>
  </r>
  <r>
    <n v="2130"/>
    <x v="2129"/>
    <n v="6.7361111111111108E-2"/>
    <n v="3641"/>
    <n v="122"/>
    <n v="80.793750000000003"/>
    <x v="3"/>
    <x v="1"/>
    <n v="0.75416666666666676"/>
    <s v="Fast"/>
    <x v="0"/>
    <n v="0"/>
    <x v="1"/>
    <x v="1"/>
  </r>
  <r>
    <n v="2131"/>
    <x v="2130"/>
    <n v="6.8749999999999992E-2"/>
    <n v="2791"/>
    <n v="37"/>
    <n v="75.214583333333337"/>
    <x v="0"/>
    <x v="0"/>
    <n v="0.1277777777777778"/>
    <s v="Fast"/>
    <x v="0"/>
    <n v="0"/>
    <x v="1"/>
    <x v="1"/>
  </r>
  <r>
    <n v="2132"/>
    <x v="2131"/>
    <n v="5.2777777777777778E-2"/>
    <n v="280"/>
    <n v="426"/>
    <n v="42.08958333333333"/>
    <x v="0"/>
    <x v="0"/>
    <n v="2.0034722222222223"/>
    <s v="Slow"/>
    <x v="1"/>
    <n v="1"/>
    <x v="0"/>
    <x v="0"/>
  </r>
  <r>
    <n v="2133"/>
    <x v="2132"/>
    <n v="6.3194444444444442E-2"/>
    <n v="3836"/>
    <n v="290"/>
    <n v="63.58680555555555"/>
    <x v="0"/>
    <x v="2"/>
    <n v="1.6291666666666667"/>
    <s v="Slow"/>
    <x v="0"/>
    <n v="0"/>
    <x v="1"/>
    <x v="1"/>
  </r>
  <r>
    <n v="2134"/>
    <x v="2133"/>
    <n v="6.6666666666666666E-2"/>
    <n v="1849"/>
    <n v="186"/>
    <n v="24.672916666666666"/>
    <x v="0"/>
    <x v="2"/>
    <n v="2.8756944444444446"/>
    <s v="Slow"/>
    <x v="1"/>
    <n v="1"/>
    <x v="0"/>
    <x v="0"/>
  </r>
  <r>
    <n v="2135"/>
    <x v="2134"/>
    <n v="4.5138888888888888E-2"/>
    <n v="185"/>
    <n v="248"/>
    <n v="75.959027777777777"/>
    <x v="2"/>
    <x v="3"/>
    <n v="0.37916666666666665"/>
    <s v="Fast"/>
    <x v="2"/>
    <n v="0"/>
    <x v="1"/>
    <x v="1"/>
  </r>
  <r>
    <n v="2136"/>
    <x v="2135"/>
    <n v="6.1805555555555558E-2"/>
    <n v="3503"/>
    <n v="430"/>
    <n v="26.586805555555557"/>
    <x v="2"/>
    <x v="3"/>
    <n v="0.67222222222222217"/>
    <s v="Fast"/>
    <x v="0"/>
    <n v="0"/>
    <x v="1"/>
    <x v="1"/>
  </r>
  <r>
    <n v="2137"/>
    <x v="2136"/>
    <n v="5.7638888888888885E-2"/>
    <n v="774"/>
    <n v="15"/>
    <n v="40.545833333333334"/>
    <x v="0"/>
    <x v="1"/>
    <n v="0.87638888888888899"/>
    <s v="Fast"/>
    <x v="1"/>
    <n v="0"/>
    <x v="1"/>
    <x v="1"/>
  </r>
  <r>
    <n v="2138"/>
    <x v="2137"/>
    <n v="4.7222222222222221E-2"/>
    <n v="3012"/>
    <n v="52"/>
    <n v="81.793750000000003"/>
    <x v="3"/>
    <x v="1"/>
    <n v="1.8812499999999999"/>
    <s v="Slow"/>
    <x v="0"/>
    <n v="1"/>
    <x v="0"/>
    <x v="2"/>
  </r>
  <r>
    <n v="2139"/>
    <x v="2138"/>
    <n v="5.9027777777777783E-2"/>
    <n v="1671"/>
    <n v="62"/>
    <n v="43.839583333333337"/>
    <x v="1"/>
    <x v="1"/>
    <n v="1.4631944444444445"/>
    <s v="Fast"/>
    <x v="2"/>
    <n v="0"/>
    <x v="1"/>
    <x v="1"/>
  </r>
  <r>
    <n v="2140"/>
    <x v="2139"/>
    <n v="6.1111111111111109E-2"/>
    <n v="4028"/>
    <n v="411"/>
    <n v="29.630555555555556"/>
    <x v="1"/>
    <x v="1"/>
    <n v="0.70833333333333337"/>
    <s v="Fast"/>
    <x v="1"/>
    <n v="0"/>
    <x v="1"/>
    <x v="1"/>
  </r>
  <r>
    <n v="2141"/>
    <x v="2140"/>
    <n v="5.9722222222222225E-2"/>
    <n v="2034"/>
    <n v="343"/>
    <n v="21.338888888888889"/>
    <x v="0"/>
    <x v="2"/>
    <n v="0.20833333333333334"/>
    <s v="Fast"/>
    <x v="0"/>
    <n v="0"/>
    <x v="1"/>
    <x v="1"/>
  </r>
  <r>
    <n v="2142"/>
    <x v="2141"/>
    <n v="4.1666666666666666E-3"/>
    <n v="448"/>
    <n v="321"/>
    <n v="57.12638888888889"/>
    <x v="1"/>
    <x v="1"/>
    <n v="0.75208333333333333"/>
    <s v="Fast"/>
    <x v="1"/>
    <n v="0"/>
    <x v="1"/>
    <x v="1"/>
  </r>
  <r>
    <n v="2143"/>
    <x v="2142"/>
    <n v="6.7361111111111108E-2"/>
    <n v="2170"/>
    <n v="187"/>
    <n v="56.381250000000001"/>
    <x v="0"/>
    <x v="3"/>
    <n v="1.7951388888888891"/>
    <s v="Slow"/>
    <x v="0"/>
    <n v="0"/>
    <x v="1"/>
    <x v="1"/>
  </r>
  <r>
    <n v="2144"/>
    <x v="2143"/>
    <n v="5.1388888888888894E-2"/>
    <n v="4425"/>
    <n v="172"/>
    <n v="35.544444444444444"/>
    <x v="0"/>
    <x v="3"/>
    <n v="2.2923611111111111"/>
    <s v="Slow"/>
    <x v="0"/>
    <n v="0"/>
    <x v="1"/>
    <x v="1"/>
  </r>
  <r>
    <n v="2145"/>
    <x v="2144"/>
    <n v="6.3888888888888898E-2"/>
    <n v="878"/>
    <n v="493"/>
    <n v="18.543749999999999"/>
    <x v="0"/>
    <x v="1"/>
    <n v="2.2555555555555555"/>
    <s v="Slow"/>
    <x v="2"/>
    <n v="0"/>
    <x v="1"/>
    <x v="1"/>
  </r>
  <r>
    <n v="2146"/>
    <x v="2145"/>
    <n v="4.5833333333333337E-2"/>
    <n v="2286"/>
    <n v="15"/>
    <n v="50.13055555555556"/>
    <x v="1"/>
    <x v="3"/>
    <n v="0.54166666666666663"/>
    <s v="Fast"/>
    <x v="2"/>
    <n v="1"/>
    <x v="0"/>
    <x v="0"/>
  </r>
  <r>
    <n v="2147"/>
    <x v="2146"/>
    <n v="5.8333333333333327E-2"/>
    <n v="2503"/>
    <n v="69"/>
    <n v="62.919444444444444"/>
    <x v="3"/>
    <x v="2"/>
    <n v="0.75"/>
    <s v="Fast"/>
    <x v="2"/>
    <n v="0"/>
    <x v="1"/>
    <x v="1"/>
  </r>
  <r>
    <n v="2148"/>
    <x v="2147"/>
    <n v="4.3055555555555562E-2"/>
    <n v="4020"/>
    <n v="86"/>
    <n v="69"/>
    <x v="0"/>
    <x v="2"/>
    <n v="0.95972222222222225"/>
    <s v="Fast"/>
    <x v="2"/>
    <n v="0"/>
    <x v="1"/>
    <x v="1"/>
  </r>
  <r>
    <n v="2149"/>
    <x v="2148"/>
    <n v="5.6944444444444443E-2"/>
    <n v="3022"/>
    <n v="454"/>
    <n v="52.833333333333336"/>
    <x v="1"/>
    <x v="1"/>
    <n v="1.2930555555555556"/>
    <s v="Fast"/>
    <x v="1"/>
    <n v="1"/>
    <x v="0"/>
    <x v="2"/>
  </r>
  <r>
    <n v="2150"/>
    <x v="2149"/>
    <n v="5.9722222222222225E-2"/>
    <n v="516"/>
    <n v="491"/>
    <n v="0.29791666666666666"/>
    <x v="2"/>
    <x v="2"/>
    <n v="0.62777777777777777"/>
    <s v="Fast"/>
    <x v="0"/>
    <n v="1"/>
    <x v="0"/>
    <x v="0"/>
  </r>
  <r>
    <n v="2151"/>
    <x v="2150"/>
    <n v="5.2083333333333336E-2"/>
    <n v="4792"/>
    <n v="387"/>
    <n v="26.918055555555554"/>
    <x v="1"/>
    <x v="2"/>
    <n v="2.6701388888888888"/>
    <s v="Slow"/>
    <x v="1"/>
    <n v="0"/>
    <x v="1"/>
    <x v="1"/>
  </r>
  <r>
    <n v="2152"/>
    <x v="2151"/>
    <n v="6.1805555555555558E-2"/>
    <n v="3385"/>
    <n v="141"/>
    <n v="72.418055555555554"/>
    <x v="1"/>
    <x v="0"/>
    <n v="1.9194444444444445"/>
    <s v="Slow"/>
    <x v="2"/>
    <n v="0"/>
    <x v="1"/>
    <x v="1"/>
  </r>
  <r>
    <n v="2153"/>
    <x v="2152"/>
    <n v="5.486111111111111E-2"/>
    <n v="2762"/>
    <n v="106"/>
    <n v="62.422222222222224"/>
    <x v="0"/>
    <x v="0"/>
    <n v="2.1694444444444447"/>
    <s v="Slow"/>
    <x v="0"/>
    <n v="1"/>
    <x v="0"/>
    <x v="0"/>
  </r>
  <r>
    <n v="2154"/>
    <x v="2153"/>
    <n v="4.3055555555555562E-2"/>
    <n v="4285"/>
    <n v="366"/>
    <n v="45.08680555555555"/>
    <x v="3"/>
    <x v="1"/>
    <n v="0.42291666666666666"/>
    <s v="Fast"/>
    <x v="2"/>
    <n v="0"/>
    <x v="1"/>
    <x v="1"/>
  </r>
  <r>
    <n v="2155"/>
    <x v="2154"/>
    <n v="4.3055555555555562E-2"/>
    <n v="3288"/>
    <n v="270"/>
    <n v="12.959722222222224"/>
    <x v="3"/>
    <x v="1"/>
    <n v="0.50069444444444444"/>
    <s v="Fast"/>
    <x v="2"/>
    <n v="1"/>
    <x v="0"/>
    <x v="2"/>
  </r>
  <r>
    <n v="2156"/>
    <x v="2155"/>
    <n v="4.3055555555555562E-2"/>
    <n v="2726"/>
    <n v="131"/>
    <n v="24.880555555555556"/>
    <x v="1"/>
    <x v="1"/>
    <n v="1.5888888888888888"/>
    <s v="Slow"/>
    <x v="0"/>
    <n v="0"/>
    <x v="1"/>
    <x v="1"/>
  </r>
  <r>
    <n v="2157"/>
    <x v="2156"/>
    <n v="5.1388888888888894E-2"/>
    <n v="4179"/>
    <n v="7"/>
    <n v="74.63055555555556"/>
    <x v="1"/>
    <x v="0"/>
    <n v="1.7541666666666667"/>
    <s v="Slow"/>
    <x v="1"/>
    <n v="1"/>
    <x v="0"/>
    <x v="0"/>
  </r>
  <r>
    <n v="2158"/>
    <x v="2157"/>
    <n v="6.7361111111111108E-2"/>
    <n v="2857"/>
    <n v="86"/>
    <n v="56.628472222222221"/>
    <x v="0"/>
    <x v="1"/>
    <n v="2.2979166666666666"/>
    <s v="Slow"/>
    <x v="0"/>
    <n v="1"/>
    <x v="0"/>
    <x v="2"/>
  </r>
  <r>
    <n v="2159"/>
    <x v="2158"/>
    <n v="5.0694444444444438E-2"/>
    <n v="1782"/>
    <n v="55"/>
    <n v="66.25"/>
    <x v="1"/>
    <x v="3"/>
    <n v="0.3756944444444445"/>
    <s v="Fast"/>
    <x v="2"/>
    <n v="1"/>
    <x v="0"/>
    <x v="0"/>
  </r>
  <r>
    <n v="2160"/>
    <x v="2159"/>
    <n v="6.458333333333334E-2"/>
    <n v="1768"/>
    <n v="14"/>
    <n v="44.25555555555556"/>
    <x v="3"/>
    <x v="1"/>
    <n v="1.16875"/>
    <s v="Fast"/>
    <x v="1"/>
    <n v="0"/>
    <x v="1"/>
    <x v="1"/>
  </r>
  <r>
    <n v="2161"/>
    <x v="2160"/>
    <n v="5.9722222222222225E-2"/>
    <n v="4598"/>
    <n v="487"/>
    <n v="63.922916666666673"/>
    <x v="3"/>
    <x v="0"/>
    <n v="2.088888888888889"/>
    <s v="Slow"/>
    <x v="2"/>
    <n v="0"/>
    <x v="1"/>
    <x v="1"/>
  </r>
  <r>
    <n v="2162"/>
    <x v="2161"/>
    <n v="6.1111111111111109E-2"/>
    <n v="2361"/>
    <n v="73"/>
    <n v="49.08819444444444"/>
    <x v="0"/>
    <x v="3"/>
    <n v="2.625"/>
    <s v="Slow"/>
    <x v="1"/>
    <n v="1"/>
    <x v="0"/>
    <x v="0"/>
  </r>
  <r>
    <n v="2163"/>
    <x v="2162"/>
    <n v="5.9722222222222225E-2"/>
    <n v="513"/>
    <n v="309"/>
    <n v="16.546527777777779"/>
    <x v="1"/>
    <x v="1"/>
    <n v="1.7916666666666667"/>
    <s v="Slow"/>
    <x v="0"/>
    <n v="0"/>
    <x v="1"/>
    <x v="1"/>
  </r>
  <r>
    <n v="2164"/>
    <x v="2163"/>
    <n v="4.7222222222222221E-2"/>
    <n v="4449"/>
    <n v="100"/>
    <n v="11.33611111111111"/>
    <x v="1"/>
    <x v="2"/>
    <n v="0.66805555555555562"/>
    <s v="Fast"/>
    <x v="1"/>
    <n v="0"/>
    <x v="1"/>
    <x v="1"/>
  </r>
  <r>
    <n v="2165"/>
    <x v="2164"/>
    <n v="6.5972222222222224E-2"/>
    <n v="1944"/>
    <n v="185"/>
    <n v="30.625"/>
    <x v="1"/>
    <x v="3"/>
    <n v="0.29652777777777778"/>
    <s v="Fast"/>
    <x v="0"/>
    <n v="1"/>
    <x v="0"/>
    <x v="0"/>
  </r>
  <r>
    <n v="2166"/>
    <x v="2165"/>
    <n v="5.3472222222222227E-2"/>
    <n v="4453"/>
    <n v="422"/>
    <n v="39.208333333333336"/>
    <x v="1"/>
    <x v="0"/>
    <n v="2.0041666666666669"/>
    <s v="Slow"/>
    <x v="1"/>
    <n v="0"/>
    <x v="1"/>
    <x v="1"/>
  </r>
  <r>
    <n v="2167"/>
    <x v="2166"/>
    <n v="6.7361111111111108E-2"/>
    <n v="1376"/>
    <n v="134"/>
    <n v="5.7131944444444445"/>
    <x v="0"/>
    <x v="2"/>
    <n v="1.2083333333333333"/>
    <s v="Fast"/>
    <x v="1"/>
    <n v="0"/>
    <x v="1"/>
    <x v="1"/>
  </r>
  <r>
    <n v="2168"/>
    <x v="2167"/>
    <n v="4.2361111111111106E-2"/>
    <n v="3340"/>
    <n v="105"/>
    <n v="56.541666666666664"/>
    <x v="2"/>
    <x v="3"/>
    <n v="1.125"/>
    <s v="Fast"/>
    <x v="1"/>
    <n v="1"/>
    <x v="0"/>
    <x v="0"/>
  </r>
  <r>
    <n v="2169"/>
    <x v="2168"/>
    <n v="4.5138888888888888E-2"/>
    <n v="2213"/>
    <n v="44"/>
    <n v="62.25"/>
    <x v="3"/>
    <x v="2"/>
    <n v="1.2548611111111112"/>
    <s v="Fast"/>
    <x v="0"/>
    <n v="0"/>
    <x v="1"/>
    <x v="1"/>
  </r>
  <r>
    <n v="2170"/>
    <x v="2169"/>
    <n v="4.5138888888888888E-2"/>
    <n v="2156"/>
    <n v="266"/>
    <n v="80.25555555555556"/>
    <x v="3"/>
    <x v="3"/>
    <n v="1.1305555555555555"/>
    <s v="Fast"/>
    <x v="1"/>
    <n v="0"/>
    <x v="1"/>
    <x v="1"/>
  </r>
  <r>
    <n v="2171"/>
    <x v="2170"/>
    <n v="6.1805555555555558E-2"/>
    <n v="858"/>
    <n v="307"/>
    <n v="10.919444444444444"/>
    <x v="0"/>
    <x v="2"/>
    <n v="2.3784722222222223"/>
    <s v="Slow"/>
    <x v="1"/>
    <n v="0"/>
    <x v="1"/>
    <x v="1"/>
  </r>
  <r>
    <n v="2172"/>
    <x v="2171"/>
    <n v="4.4444444444444446E-2"/>
    <n v="3684"/>
    <n v="487"/>
    <n v="39.125694444444441"/>
    <x v="2"/>
    <x v="3"/>
    <n v="0.17291666666666669"/>
    <s v="Fast"/>
    <x v="1"/>
    <n v="0"/>
    <x v="1"/>
    <x v="1"/>
  </r>
  <r>
    <n v="2173"/>
    <x v="2172"/>
    <n v="5.3472222222222227E-2"/>
    <n v="1753"/>
    <n v="468"/>
    <n v="15.380555555555555"/>
    <x v="1"/>
    <x v="3"/>
    <n v="2.1708333333333334"/>
    <s v="Slow"/>
    <x v="0"/>
    <n v="0"/>
    <x v="1"/>
    <x v="1"/>
  </r>
  <r>
    <n v="2174"/>
    <x v="2173"/>
    <n v="5.6250000000000001E-2"/>
    <n v="476"/>
    <n v="8"/>
    <n v="57.504861111111104"/>
    <x v="0"/>
    <x v="3"/>
    <n v="0.70833333333333337"/>
    <s v="Fast"/>
    <x v="0"/>
    <n v="0"/>
    <x v="1"/>
    <x v="1"/>
  </r>
  <r>
    <n v="2175"/>
    <x v="2174"/>
    <n v="5.6250000000000001E-2"/>
    <n v="2652"/>
    <n v="362"/>
    <n v="74.297916666666666"/>
    <x v="1"/>
    <x v="2"/>
    <n v="2.6729166666666671"/>
    <s v="Slow"/>
    <x v="2"/>
    <n v="1"/>
    <x v="0"/>
    <x v="0"/>
  </r>
  <r>
    <n v="2176"/>
    <x v="2175"/>
    <n v="4.9999999999999996E-2"/>
    <n v="2575"/>
    <n v="409"/>
    <n v="59.13055555555556"/>
    <x v="2"/>
    <x v="3"/>
    <n v="0.37916666666666665"/>
    <s v="Fast"/>
    <x v="0"/>
    <n v="0"/>
    <x v="1"/>
    <x v="1"/>
  </r>
  <r>
    <n v="2177"/>
    <x v="2176"/>
    <n v="6.5972222222222224E-2"/>
    <n v="1664"/>
    <n v="246"/>
    <n v="58.211111111111109"/>
    <x v="2"/>
    <x v="1"/>
    <n v="2.8354166666666667"/>
    <s v="Slow"/>
    <x v="2"/>
    <n v="1"/>
    <x v="0"/>
    <x v="2"/>
  </r>
  <r>
    <n v="2178"/>
    <x v="2177"/>
    <n v="5.4166666666666669E-2"/>
    <n v="4259"/>
    <n v="104"/>
    <n v="9.5861111111111104"/>
    <x v="2"/>
    <x v="3"/>
    <n v="2.4583333333333335"/>
    <s v="Slow"/>
    <x v="0"/>
    <n v="0"/>
    <x v="1"/>
    <x v="1"/>
  </r>
  <r>
    <n v="2179"/>
    <x v="2178"/>
    <n v="4.6527777777777779E-2"/>
    <n v="3589"/>
    <n v="314"/>
    <n v="38.879861111111111"/>
    <x v="3"/>
    <x v="3"/>
    <n v="0.58402777777777781"/>
    <s v="Fast"/>
    <x v="2"/>
    <n v="0"/>
    <x v="1"/>
    <x v="1"/>
  </r>
  <r>
    <n v="2180"/>
    <x v="2179"/>
    <n v="5.6944444444444443E-2"/>
    <n v="2483"/>
    <n v="379"/>
    <n v="60.922222222222224"/>
    <x v="1"/>
    <x v="2"/>
    <n v="0.20972222222222223"/>
    <s v="Fast"/>
    <x v="0"/>
    <n v="0"/>
    <x v="1"/>
    <x v="1"/>
  </r>
  <r>
    <n v="2181"/>
    <x v="2180"/>
    <n v="4.5138888888888888E-2"/>
    <n v="749"/>
    <n v="75"/>
    <n v="76.959027777777777"/>
    <x v="1"/>
    <x v="3"/>
    <n v="2.9604166666666667"/>
    <s v="Slow"/>
    <x v="2"/>
    <n v="0"/>
    <x v="1"/>
    <x v="1"/>
  </r>
  <r>
    <n v="2182"/>
    <x v="2181"/>
    <n v="6.0416666666666667E-2"/>
    <n v="4587"/>
    <n v="181"/>
    <n v="75.214583333333337"/>
    <x v="3"/>
    <x v="3"/>
    <n v="2.9590277777777776"/>
    <s v="Slow"/>
    <x v="2"/>
    <n v="1"/>
    <x v="0"/>
    <x v="0"/>
  </r>
  <r>
    <n v="2183"/>
    <x v="2182"/>
    <n v="4.6527777777777779E-2"/>
    <n v="1501"/>
    <n v="179"/>
    <n v="38.087499999999999"/>
    <x v="0"/>
    <x v="2"/>
    <n v="0.58333333333333337"/>
    <s v="Fast"/>
    <x v="0"/>
    <n v="0"/>
    <x v="1"/>
    <x v="1"/>
  </r>
  <r>
    <n v="2184"/>
    <x v="2183"/>
    <n v="6.6666666666666666E-2"/>
    <n v="2060"/>
    <n v="103"/>
    <n v="68.544444444444437"/>
    <x v="2"/>
    <x v="0"/>
    <n v="1.7097222222222221"/>
    <s v="Slow"/>
    <x v="2"/>
    <n v="0"/>
    <x v="1"/>
    <x v="1"/>
  </r>
  <r>
    <n v="2185"/>
    <x v="2184"/>
    <n v="4.3750000000000004E-2"/>
    <n v="2004"/>
    <n v="170"/>
    <n v="41.668055555555554"/>
    <x v="3"/>
    <x v="3"/>
    <n v="1.2944444444444445"/>
    <s v="Fast"/>
    <x v="2"/>
    <n v="0"/>
    <x v="1"/>
    <x v="1"/>
  </r>
  <r>
    <n v="2186"/>
    <x v="2185"/>
    <n v="4.9999999999999996E-2"/>
    <n v="3543"/>
    <n v="61"/>
    <n v="48.33680555555555"/>
    <x v="3"/>
    <x v="0"/>
    <n v="0.75"/>
    <s v="Fast"/>
    <x v="1"/>
    <n v="0"/>
    <x v="1"/>
    <x v="1"/>
  </r>
  <r>
    <n v="2187"/>
    <x v="2186"/>
    <n v="4.7916666666666663E-2"/>
    <n v="1499"/>
    <n v="213"/>
    <n v="56.584027777777777"/>
    <x v="1"/>
    <x v="2"/>
    <n v="1.8368055555555556"/>
    <s v="Slow"/>
    <x v="2"/>
    <n v="0"/>
    <x v="1"/>
    <x v="1"/>
  </r>
  <r>
    <n v="2188"/>
    <x v="2187"/>
    <n v="5.7638888888888885E-2"/>
    <n v="983"/>
    <n v="274"/>
    <n v="39.172222222222224"/>
    <x v="3"/>
    <x v="2"/>
    <n v="2.6708333333333329"/>
    <s v="Slow"/>
    <x v="1"/>
    <n v="0"/>
    <x v="1"/>
    <x v="1"/>
  </r>
  <r>
    <n v="2189"/>
    <x v="2188"/>
    <n v="5.2777777777777778E-2"/>
    <n v="4612"/>
    <n v="41"/>
    <n v="71.084027777777777"/>
    <x v="2"/>
    <x v="1"/>
    <n v="2.25"/>
    <s v="Slow"/>
    <x v="1"/>
    <n v="0"/>
    <x v="1"/>
    <x v="1"/>
  </r>
  <r>
    <n v="2190"/>
    <x v="2189"/>
    <n v="5.4166666666666669E-2"/>
    <n v="4820"/>
    <n v="444"/>
    <n v="0.96319444444444446"/>
    <x v="0"/>
    <x v="2"/>
    <n v="0.71111111111111114"/>
    <s v="Fast"/>
    <x v="1"/>
    <n v="1"/>
    <x v="0"/>
    <x v="0"/>
  </r>
  <r>
    <n v="2191"/>
    <x v="2190"/>
    <n v="5.4166666666666669E-2"/>
    <n v="4875"/>
    <n v="228"/>
    <n v="43.88055555555556"/>
    <x v="0"/>
    <x v="3"/>
    <n v="1.7125000000000001"/>
    <s v="Slow"/>
    <x v="0"/>
    <n v="1"/>
    <x v="0"/>
    <x v="0"/>
  </r>
  <r>
    <n v="2192"/>
    <x v="2191"/>
    <n v="5.8333333333333327E-2"/>
    <n v="4885"/>
    <n v="43"/>
    <n v="37.920833333333334"/>
    <x v="3"/>
    <x v="2"/>
    <n v="0.45833333333333331"/>
    <s v="Fast"/>
    <x v="1"/>
    <n v="1"/>
    <x v="0"/>
    <x v="0"/>
  </r>
  <r>
    <n v="2193"/>
    <x v="2192"/>
    <n v="4.8611111111111112E-3"/>
    <n v="2567"/>
    <n v="331"/>
    <n v="37.754861111111111"/>
    <x v="0"/>
    <x v="2"/>
    <n v="0.54305555555555551"/>
    <s v="Fast"/>
    <x v="0"/>
    <n v="1"/>
    <x v="0"/>
    <x v="0"/>
  </r>
  <r>
    <n v="2194"/>
    <x v="2193"/>
    <n v="5.0694444444444438E-2"/>
    <n v="3448"/>
    <n v="230"/>
    <n v="81.086111111111109"/>
    <x v="2"/>
    <x v="2"/>
    <n v="2.7958333333333329"/>
    <s v="Slow"/>
    <x v="1"/>
    <n v="0"/>
    <x v="1"/>
    <x v="1"/>
  </r>
  <r>
    <n v="2195"/>
    <x v="2194"/>
    <n v="4.8611111111111112E-3"/>
    <n v="4317"/>
    <n v="269"/>
    <n v="3.8770833333333332"/>
    <x v="1"/>
    <x v="1"/>
    <n v="0.3347222222222222"/>
    <s v="Fast"/>
    <x v="0"/>
    <n v="0"/>
    <x v="1"/>
    <x v="1"/>
  </r>
  <r>
    <n v="2196"/>
    <x v="2195"/>
    <n v="4.5833333333333337E-2"/>
    <n v="1623"/>
    <n v="147"/>
    <n v="31.250694444444445"/>
    <x v="3"/>
    <x v="0"/>
    <n v="4.2361111111111106E-2"/>
    <s v="Fast"/>
    <x v="1"/>
    <n v="1"/>
    <x v="0"/>
    <x v="0"/>
  </r>
  <r>
    <n v="2197"/>
    <x v="2196"/>
    <n v="5.9027777777777783E-2"/>
    <n v="1825"/>
    <n v="200"/>
    <n v="22.710416666666664"/>
    <x v="3"/>
    <x v="2"/>
    <n v="0.58958333333333335"/>
    <s v="Fast"/>
    <x v="2"/>
    <n v="0"/>
    <x v="1"/>
    <x v="1"/>
  </r>
  <r>
    <n v="2198"/>
    <x v="2197"/>
    <n v="6.7361111111111108E-2"/>
    <n v="4867"/>
    <n v="6"/>
    <n v="6.5048611111111114"/>
    <x v="3"/>
    <x v="2"/>
    <n v="1.0034722222222221"/>
    <s v="Fast"/>
    <x v="0"/>
    <n v="1"/>
    <x v="0"/>
    <x v="0"/>
  </r>
  <r>
    <n v="2199"/>
    <x v="2198"/>
    <n v="6.6666666666666666E-2"/>
    <n v="987"/>
    <n v="442"/>
    <n v="9.0027777777777782"/>
    <x v="1"/>
    <x v="0"/>
    <n v="1.2958333333333334"/>
    <s v="Fast"/>
    <x v="0"/>
    <n v="0"/>
    <x v="1"/>
    <x v="1"/>
  </r>
  <r>
    <n v="2200"/>
    <x v="2199"/>
    <n v="6.8749999999999992E-2"/>
    <n v="3406"/>
    <n v="425"/>
    <n v="69.63055555555556"/>
    <x v="1"/>
    <x v="2"/>
    <n v="2.254861111111111"/>
    <s v="Slow"/>
    <x v="0"/>
    <n v="1"/>
    <x v="0"/>
    <x v="0"/>
  </r>
  <r>
    <n v="2201"/>
    <x v="2200"/>
    <n v="4.4444444444444446E-2"/>
    <n v="1745"/>
    <n v="452"/>
    <n v="79.296527777777769"/>
    <x v="2"/>
    <x v="0"/>
    <n v="2.0465277777777779"/>
    <s v="Slow"/>
    <x v="0"/>
    <n v="0"/>
    <x v="1"/>
    <x v="1"/>
  </r>
  <r>
    <n v="2202"/>
    <x v="2201"/>
    <n v="6.1805555555555558E-2"/>
    <n v="3405"/>
    <n v="334"/>
    <n v="77.00277777777778"/>
    <x v="2"/>
    <x v="2"/>
    <n v="0.13125000000000001"/>
    <s v="Fast"/>
    <x v="2"/>
    <n v="0"/>
    <x v="1"/>
    <x v="1"/>
  </r>
  <r>
    <n v="2203"/>
    <x v="2202"/>
    <n v="4.3750000000000004E-2"/>
    <n v="3492"/>
    <n v="321"/>
    <n v="52.25555555555556"/>
    <x v="0"/>
    <x v="1"/>
    <n v="1"/>
    <s v="Fast"/>
    <x v="1"/>
    <n v="1"/>
    <x v="0"/>
    <x v="2"/>
  </r>
  <r>
    <n v="2204"/>
    <x v="2203"/>
    <n v="6.458333333333334E-2"/>
    <n v="3937"/>
    <n v="109"/>
    <n v="7.6701388888888893"/>
    <x v="2"/>
    <x v="3"/>
    <n v="1.5020833333333332"/>
    <s v="Slow"/>
    <x v="2"/>
    <n v="0"/>
    <x v="1"/>
    <x v="1"/>
  </r>
  <r>
    <n v="2205"/>
    <x v="2204"/>
    <n v="6.5277777777777782E-2"/>
    <n v="456"/>
    <n v="246"/>
    <n v="77.834722222222226"/>
    <x v="2"/>
    <x v="3"/>
    <n v="1.7548611111111112"/>
    <s v="Slow"/>
    <x v="2"/>
    <n v="0"/>
    <x v="1"/>
    <x v="1"/>
  </r>
  <r>
    <n v="2206"/>
    <x v="2205"/>
    <n v="5.486111111111111E-2"/>
    <n v="1865"/>
    <n v="154"/>
    <n v="4.6270833333333332"/>
    <x v="1"/>
    <x v="3"/>
    <n v="0.66875000000000007"/>
    <s v="Fast"/>
    <x v="1"/>
    <n v="0"/>
    <x v="1"/>
    <x v="1"/>
  </r>
  <r>
    <n v="2207"/>
    <x v="2206"/>
    <n v="6.8749999999999992E-2"/>
    <n v="4775"/>
    <n v="337"/>
    <n v="43.418055555555554"/>
    <x v="3"/>
    <x v="0"/>
    <n v="1.4215277777777777"/>
    <s v="Fast"/>
    <x v="2"/>
    <n v="0"/>
    <x v="1"/>
    <x v="1"/>
  </r>
  <r>
    <n v="2208"/>
    <x v="2207"/>
    <n v="5.486111111111111E-2"/>
    <n v="3387"/>
    <n v="92"/>
    <n v="60.043055555555554"/>
    <x v="0"/>
    <x v="3"/>
    <n v="2.2944444444444447"/>
    <s v="Slow"/>
    <x v="0"/>
    <n v="0"/>
    <x v="1"/>
    <x v="1"/>
  </r>
  <r>
    <n v="2209"/>
    <x v="2208"/>
    <n v="5.6944444444444443E-2"/>
    <n v="447"/>
    <n v="304"/>
    <n v="71.252083333333331"/>
    <x v="1"/>
    <x v="2"/>
    <n v="2.2541666666666669"/>
    <s v="Slow"/>
    <x v="1"/>
    <n v="0"/>
    <x v="1"/>
    <x v="1"/>
  </r>
  <r>
    <n v="2210"/>
    <x v="2209"/>
    <n v="5.1388888888888894E-2"/>
    <n v="2480"/>
    <n v="237"/>
    <n v="15.583333333333334"/>
    <x v="3"/>
    <x v="1"/>
    <n v="0.33402777777777781"/>
    <s v="Fast"/>
    <x v="1"/>
    <n v="0"/>
    <x v="1"/>
    <x v="1"/>
  </r>
  <r>
    <n v="2211"/>
    <x v="2210"/>
    <n v="6.458333333333334E-2"/>
    <n v="2026"/>
    <n v="424"/>
    <n v="39.586111111111116"/>
    <x v="3"/>
    <x v="2"/>
    <n v="1.0833333333333333"/>
    <s v="Fast"/>
    <x v="0"/>
    <n v="0"/>
    <x v="1"/>
    <x v="1"/>
  </r>
  <r>
    <n v="2212"/>
    <x v="2211"/>
    <n v="5.7638888888888885E-2"/>
    <n v="1697"/>
    <n v="294"/>
    <n v="60.338888888888896"/>
    <x v="0"/>
    <x v="1"/>
    <n v="2.0465277777777779"/>
    <s v="Slow"/>
    <x v="1"/>
    <n v="1"/>
    <x v="0"/>
    <x v="2"/>
  </r>
  <r>
    <n v="2213"/>
    <x v="2212"/>
    <n v="5.5555555555555558E-3"/>
    <n v="1774"/>
    <n v="449"/>
    <n v="36.547916666666666"/>
    <x v="3"/>
    <x v="0"/>
    <n v="2.7958333333333329"/>
    <s v="Slow"/>
    <x v="1"/>
    <n v="0"/>
    <x v="1"/>
    <x v="1"/>
  </r>
  <r>
    <n v="2214"/>
    <x v="2213"/>
    <n v="5.3472222222222227E-2"/>
    <n v="1861"/>
    <n v="477"/>
    <n v="66.464583333333337"/>
    <x v="0"/>
    <x v="0"/>
    <n v="0.54236111111111118"/>
    <s v="Fast"/>
    <x v="0"/>
    <n v="0"/>
    <x v="1"/>
    <x v="1"/>
  </r>
  <r>
    <n v="2215"/>
    <x v="2214"/>
    <n v="6.2499999999999995E-3"/>
    <n v="2056"/>
    <n v="261"/>
    <n v="45.672222222222224"/>
    <x v="2"/>
    <x v="3"/>
    <n v="1.1277777777777778"/>
    <s v="Fast"/>
    <x v="1"/>
    <n v="0"/>
    <x v="1"/>
    <x v="1"/>
  </r>
  <r>
    <n v="2216"/>
    <x v="2215"/>
    <n v="4.3750000000000004E-2"/>
    <n v="3738"/>
    <n v="173"/>
    <n v="63.708333333333336"/>
    <x v="1"/>
    <x v="3"/>
    <n v="0.58402777777777781"/>
    <s v="Fast"/>
    <x v="2"/>
    <n v="0"/>
    <x v="1"/>
    <x v="1"/>
  </r>
  <r>
    <n v="2217"/>
    <x v="2216"/>
    <n v="5.9027777777777783E-2"/>
    <n v="2488"/>
    <n v="29"/>
    <n v="1.4618055555555556"/>
    <x v="0"/>
    <x v="0"/>
    <n v="2.2541666666666669"/>
    <s v="Slow"/>
    <x v="0"/>
    <n v="1"/>
    <x v="0"/>
    <x v="0"/>
  </r>
  <r>
    <n v="2218"/>
    <x v="2217"/>
    <n v="4.3750000000000004E-2"/>
    <n v="3618"/>
    <n v="192"/>
    <n v="13.047916666666666"/>
    <x v="2"/>
    <x v="3"/>
    <n v="2.7562500000000001"/>
    <s v="Slow"/>
    <x v="1"/>
    <n v="1"/>
    <x v="0"/>
    <x v="0"/>
  </r>
  <r>
    <n v="2219"/>
    <x v="2218"/>
    <n v="4.7916666666666663E-2"/>
    <n v="2095"/>
    <n v="398"/>
    <n v="19.545833333333334"/>
    <x v="0"/>
    <x v="0"/>
    <n v="2.4187499999999997"/>
    <s v="Slow"/>
    <x v="0"/>
    <n v="1"/>
    <x v="0"/>
    <x v="0"/>
  </r>
  <r>
    <n v="2220"/>
    <x v="2219"/>
    <n v="4.2361111111111106E-2"/>
    <n v="547"/>
    <n v="77"/>
    <n v="78.918055555555554"/>
    <x v="1"/>
    <x v="1"/>
    <n v="0.83819444444444446"/>
    <s v="Fast"/>
    <x v="0"/>
    <n v="1"/>
    <x v="0"/>
    <x v="2"/>
  </r>
  <r>
    <n v="2221"/>
    <x v="2220"/>
    <n v="5.6250000000000001E-2"/>
    <n v="2575"/>
    <n v="33"/>
    <n v="15.503472222222221"/>
    <x v="3"/>
    <x v="0"/>
    <n v="2.0423611111111111"/>
    <s v="Slow"/>
    <x v="2"/>
    <n v="0"/>
    <x v="1"/>
    <x v="1"/>
  </r>
  <r>
    <n v="2222"/>
    <x v="2221"/>
    <n v="6.805555555555555E-2"/>
    <n v="2086"/>
    <n v="288"/>
    <n v="48.795138888888886"/>
    <x v="1"/>
    <x v="3"/>
    <n v="0.12916666666666668"/>
    <s v="Fast"/>
    <x v="1"/>
    <n v="0"/>
    <x v="1"/>
    <x v="1"/>
  </r>
  <r>
    <n v="2223"/>
    <x v="2222"/>
    <n v="4.7916666666666663E-2"/>
    <n v="2005"/>
    <n v="85"/>
    <n v="73.836805555555557"/>
    <x v="0"/>
    <x v="1"/>
    <n v="2.9208333333333329"/>
    <s v="Slow"/>
    <x v="0"/>
    <n v="0"/>
    <x v="1"/>
    <x v="1"/>
  </r>
  <r>
    <n v="2224"/>
    <x v="2223"/>
    <n v="4.5138888888888888E-2"/>
    <n v="1999"/>
    <n v="338"/>
    <n v="78.459722222222226"/>
    <x v="2"/>
    <x v="0"/>
    <n v="0.62986111111111109"/>
    <s v="Fast"/>
    <x v="0"/>
    <n v="0"/>
    <x v="1"/>
    <x v="1"/>
  </r>
  <r>
    <n v="2225"/>
    <x v="2224"/>
    <n v="5.6250000000000001E-2"/>
    <n v="1092"/>
    <n v="235"/>
    <n v="70.959027777777777"/>
    <x v="2"/>
    <x v="1"/>
    <n v="2.2958333333333334"/>
    <s v="Slow"/>
    <x v="1"/>
    <n v="1"/>
    <x v="0"/>
    <x v="2"/>
  </r>
  <r>
    <n v="2226"/>
    <x v="2225"/>
    <n v="4.2361111111111106E-2"/>
    <n v="3165"/>
    <n v="339"/>
    <n v="10.584027777777779"/>
    <x v="1"/>
    <x v="3"/>
    <n v="1.9597222222222221"/>
    <s v="Slow"/>
    <x v="1"/>
    <n v="1"/>
    <x v="0"/>
    <x v="0"/>
  </r>
  <r>
    <n v="2227"/>
    <x v="2226"/>
    <n v="5.1388888888888894E-2"/>
    <n v="2405"/>
    <n v="374"/>
    <n v="68.379166666666663"/>
    <x v="3"/>
    <x v="0"/>
    <n v="0.79236111111111107"/>
    <s v="Fast"/>
    <x v="2"/>
    <n v="0"/>
    <x v="1"/>
    <x v="1"/>
  </r>
  <r>
    <n v="2228"/>
    <x v="2227"/>
    <n v="5.4166666666666669E-2"/>
    <n v="1402"/>
    <n v="217"/>
    <n v="21.295138888888889"/>
    <x v="1"/>
    <x v="0"/>
    <n v="1.7972222222222223"/>
    <s v="Slow"/>
    <x v="1"/>
    <n v="0"/>
    <x v="1"/>
    <x v="1"/>
  </r>
  <r>
    <n v="2229"/>
    <x v="2228"/>
    <n v="4.3750000000000004E-2"/>
    <n v="1607"/>
    <n v="458"/>
    <n v="44.209722222222219"/>
    <x v="3"/>
    <x v="2"/>
    <n v="2.0451388888888888"/>
    <s v="Slow"/>
    <x v="0"/>
    <n v="0"/>
    <x v="1"/>
    <x v="1"/>
  </r>
  <r>
    <n v="2230"/>
    <x v="2229"/>
    <n v="6.5972222222222224E-2"/>
    <n v="2286"/>
    <n v="400"/>
    <n v="46.417361111111113"/>
    <x v="0"/>
    <x v="2"/>
    <n v="2.1715277777777779"/>
    <s v="Slow"/>
    <x v="1"/>
    <n v="0"/>
    <x v="1"/>
    <x v="1"/>
  </r>
  <r>
    <n v="2231"/>
    <x v="2230"/>
    <n v="5.2083333333333336E-2"/>
    <n v="321"/>
    <n v="52"/>
    <n v="61.337499999999999"/>
    <x v="0"/>
    <x v="0"/>
    <n v="0.87569444444444444"/>
    <s v="Fast"/>
    <x v="2"/>
    <n v="0"/>
    <x v="1"/>
    <x v="1"/>
  </r>
  <r>
    <n v="2232"/>
    <x v="2231"/>
    <n v="5.7638888888888885E-2"/>
    <n v="1538"/>
    <n v="235"/>
    <n v="73.714583333333337"/>
    <x v="3"/>
    <x v="1"/>
    <n v="2.7520833333333332"/>
    <s v="Slow"/>
    <x v="2"/>
    <n v="0"/>
    <x v="1"/>
    <x v="1"/>
  </r>
  <r>
    <n v="2233"/>
    <x v="2232"/>
    <n v="4.5138888888888888E-2"/>
    <n v="684"/>
    <n v="367"/>
    <n v="58.297222222222224"/>
    <x v="0"/>
    <x v="3"/>
    <n v="2.7118055555555554"/>
    <s v="Slow"/>
    <x v="1"/>
    <n v="0"/>
    <x v="1"/>
    <x v="1"/>
  </r>
  <r>
    <n v="2234"/>
    <x v="2233"/>
    <n v="6.8749999999999992E-2"/>
    <n v="1784"/>
    <n v="174"/>
    <n v="45.256250000000001"/>
    <x v="0"/>
    <x v="2"/>
    <n v="0.92013888888888884"/>
    <s v="Fast"/>
    <x v="2"/>
    <n v="1"/>
    <x v="0"/>
    <x v="0"/>
  </r>
  <r>
    <n v="2235"/>
    <x v="2234"/>
    <n v="4.6527777777777779E-2"/>
    <n v="69"/>
    <n v="138"/>
    <n v="15.545833333333334"/>
    <x v="1"/>
    <x v="2"/>
    <n v="0.13055555555555556"/>
    <s v="Fast"/>
    <x v="1"/>
    <n v="0"/>
    <x v="1"/>
    <x v="1"/>
  </r>
  <r>
    <n v="2236"/>
    <x v="2235"/>
    <n v="5.486111111111111E-2"/>
    <n v="801"/>
    <n v="55"/>
    <n v="50.791666666666664"/>
    <x v="3"/>
    <x v="0"/>
    <n v="2.3395833333333331"/>
    <s v="Slow"/>
    <x v="1"/>
    <n v="0"/>
    <x v="1"/>
    <x v="1"/>
  </r>
  <r>
    <n v="2237"/>
    <x v="2236"/>
    <n v="4.4444444444444446E-2"/>
    <n v="1265"/>
    <n v="351"/>
    <n v="77.714583333333337"/>
    <x v="3"/>
    <x v="2"/>
    <n v="1.2923611111111111"/>
    <s v="Fast"/>
    <x v="2"/>
    <n v="0"/>
    <x v="1"/>
    <x v="1"/>
  </r>
  <r>
    <n v="2238"/>
    <x v="2237"/>
    <n v="4.5833333333333337E-2"/>
    <n v="3523"/>
    <n v="132"/>
    <n v="8.1673611111111111"/>
    <x v="2"/>
    <x v="0"/>
    <n v="2.8333333333333335"/>
    <s v="Slow"/>
    <x v="0"/>
    <n v="0"/>
    <x v="1"/>
    <x v="1"/>
  </r>
  <r>
    <n v="2239"/>
    <x v="2238"/>
    <n v="4.5138888888888888E-2"/>
    <n v="4150"/>
    <n v="106"/>
    <n v="76.500694444444449"/>
    <x v="2"/>
    <x v="2"/>
    <n v="1.0013888888888889"/>
    <s v="Fast"/>
    <x v="1"/>
    <n v="0"/>
    <x v="1"/>
    <x v="1"/>
  </r>
  <r>
    <n v="2240"/>
    <x v="2239"/>
    <n v="5.2083333333333336E-2"/>
    <n v="368"/>
    <n v="178"/>
    <n v="43.504861111111104"/>
    <x v="3"/>
    <x v="0"/>
    <n v="0.41944444444444445"/>
    <s v="Fast"/>
    <x v="1"/>
    <n v="0"/>
    <x v="1"/>
    <x v="1"/>
  </r>
  <r>
    <n v="2241"/>
    <x v="2240"/>
    <n v="4.4444444444444446E-2"/>
    <n v="3681"/>
    <n v="185"/>
    <n v="2.2937499999999997"/>
    <x v="0"/>
    <x v="1"/>
    <n v="1.0430555555555556"/>
    <s v="Fast"/>
    <x v="2"/>
    <n v="0"/>
    <x v="1"/>
    <x v="1"/>
  </r>
  <r>
    <n v="2242"/>
    <x v="2241"/>
    <n v="5.486111111111111E-2"/>
    <n v="876"/>
    <n v="312"/>
    <n v="10.543750000000001"/>
    <x v="2"/>
    <x v="3"/>
    <n v="0.17152777777777775"/>
    <s v="Fast"/>
    <x v="2"/>
    <n v="0"/>
    <x v="1"/>
    <x v="1"/>
  </r>
  <r>
    <n v="2243"/>
    <x v="2242"/>
    <n v="5.7638888888888885E-2"/>
    <n v="1883"/>
    <n v="173"/>
    <n v="62.08819444444444"/>
    <x v="3"/>
    <x v="1"/>
    <n v="2.125"/>
    <s v="Slow"/>
    <x v="1"/>
    <n v="1"/>
    <x v="0"/>
    <x v="2"/>
  </r>
  <r>
    <n v="2244"/>
    <x v="2243"/>
    <n v="4.7222222222222221E-2"/>
    <n v="4839"/>
    <n v="124"/>
    <n v="57.08819444444444"/>
    <x v="2"/>
    <x v="1"/>
    <n v="1.2979166666666666"/>
    <s v="Fast"/>
    <x v="1"/>
    <n v="0"/>
    <x v="1"/>
    <x v="1"/>
  </r>
  <r>
    <n v="2245"/>
    <x v="2244"/>
    <n v="6.3194444444444442E-2"/>
    <n v="3573"/>
    <n v="11"/>
    <n v="48.46180555555555"/>
    <x v="2"/>
    <x v="2"/>
    <n v="0.29305555555555557"/>
    <s v="Fast"/>
    <x v="1"/>
    <n v="0"/>
    <x v="1"/>
    <x v="1"/>
  </r>
  <r>
    <n v="2246"/>
    <x v="2245"/>
    <n v="4.3750000000000004E-2"/>
    <n v="4518"/>
    <n v="23"/>
    <n v="50.043055555555554"/>
    <x v="0"/>
    <x v="1"/>
    <n v="0.62708333333333333"/>
    <s v="Fast"/>
    <x v="2"/>
    <n v="0"/>
    <x v="1"/>
    <x v="1"/>
  </r>
  <r>
    <n v="2247"/>
    <x v="2246"/>
    <n v="5.7638888888888885E-2"/>
    <n v="4174"/>
    <n v="224"/>
    <n v="72.500694444444449"/>
    <x v="1"/>
    <x v="0"/>
    <n v="1.2506944444444443"/>
    <s v="Fast"/>
    <x v="0"/>
    <n v="0"/>
    <x v="1"/>
    <x v="1"/>
  </r>
  <r>
    <n v="2248"/>
    <x v="2247"/>
    <n v="6.3888888888888898E-2"/>
    <n v="2815"/>
    <n v="399"/>
    <n v="68.003472222222214"/>
    <x v="3"/>
    <x v="1"/>
    <n v="0.21319444444444444"/>
    <s v="Fast"/>
    <x v="1"/>
    <n v="0"/>
    <x v="1"/>
    <x v="1"/>
  </r>
  <r>
    <n v="2249"/>
    <x v="2248"/>
    <n v="5.9027777777777783E-2"/>
    <n v="4762"/>
    <n v="150"/>
    <n v="68.127083333333331"/>
    <x v="2"/>
    <x v="1"/>
    <n v="2.2972222222222221"/>
    <s v="Slow"/>
    <x v="0"/>
    <n v="0"/>
    <x v="1"/>
    <x v="1"/>
  </r>
  <r>
    <n v="2250"/>
    <x v="2249"/>
    <n v="4.1666666666666666E-3"/>
    <n v="4535"/>
    <n v="54"/>
    <n v="54.004166666666663"/>
    <x v="3"/>
    <x v="0"/>
    <n v="0.50277777777777777"/>
    <s v="Fast"/>
    <x v="1"/>
    <n v="0"/>
    <x v="1"/>
    <x v="1"/>
  </r>
  <r>
    <n v="2251"/>
    <x v="2250"/>
    <n v="4.3750000000000004E-2"/>
    <n v="253"/>
    <n v="271"/>
    <n v="28.336111111111112"/>
    <x v="0"/>
    <x v="3"/>
    <n v="1.0055555555555555"/>
    <s v="Fast"/>
    <x v="1"/>
    <n v="0"/>
    <x v="1"/>
    <x v="1"/>
  </r>
  <r>
    <n v="2252"/>
    <x v="2251"/>
    <n v="4.3055555555555562E-2"/>
    <n v="1280"/>
    <n v="355"/>
    <n v="31.294444444444448"/>
    <x v="1"/>
    <x v="1"/>
    <n v="4.5138888888888888E-2"/>
    <s v="Fast"/>
    <x v="2"/>
    <n v="0"/>
    <x v="1"/>
    <x v="1"/>
  </r>
  <r>
    <n v="2253"/>
    <x v="2252"/>
    <n v="4.5138888888888888E-2"/>
    <n v="1198"/>
    <n v="401"/>
    <n v="46.547916666666673"/>
    <x v="1"/>
    <x v="0"/>
    <n v="0.33680555555555558"/>
    <s v="Fast"/>
    <x v="1"/>
    <n v="1"/>
    <x v="0"/>
    <x v="0"/>
  </r>
  <r>
    <n v="2254"/>
    <x v="2253"/>
    <n v="5.6250000000000001E-2"/>
    <n v="3306"/>
    <n v="257"/>
    <n v="77.088888888888889"/>
    <x v="1"/>
    <x v="1"/>
    <n v="1.3756944444444443"/>
    <s v="Fast"/>
    <x v="2"/>
    <n v="0"/>
    <x v="1"/>
    <x v="1"/>
  </r>
  <r>
    <n v="2255"/>
    <x v="2254"/>
    <n v="6.805555555555555E-2"/>
    <n v="477"/>
    <n v="154"/>
    <n v="41.291666666666664"/>
    <x v="3"/>
    <x v="1"/>
    <n v="1.7118055555555556"/>
    <s v="Slow"/>
    <x v="1"/>
    <n v="0"/>
    <x v="1"/>
    <x v="1"/>
  </r>
  <r>
    <n v="2256"/>
    <x v="2255"/>
    <n v="5.2083333333333336E-2"/>
    <n v="473"/>
    <n v="199"/>
    <n v="54.631250000000001"/>
    <x v="2"/>
    <x v="3"/>
    <n v="1.9208333333333334"/>
    <s v="Slow"/>
    <x v="2"/>
    <n v="0"/>
    <x v="1"/>
    <x v="1"/>
  </r>
  <r>
    <n v="2257"/>
    <x v="2256"/>
    <n v="6.3888888888888898E-2"/>
    <n v="3908"/>
    <n v="174"/>
    <n v="73.920833333333334"/>
    <x v="2"/>
    <x v="0"/>
    <n v="1.5458333333333334"/>
    <s v="Slow"/>
    <x v="1"/>
    <n v="0"/>
    <x v="1"/>
    <x v="1"/>
  </r>
  <r>
    <n v="2258"/>
    <x v="2257"/>
    <n v="4.9305555555555554E-2"/>
    <n v="2390"/>
    <n v="2"/>
    <n v="0.8354166666666667"/>
    <x v="2"/>
    <x v="3"/>
    <n v="4.3055555555555562E-2"/>
    <s v="Fast"/>
    <x v="1"/>
    <n v="0"/>
    <x v="1"/>
    <x v="1"/>
  </r>
  <r>
    <n v="2259"/>
    <x v="2258"/>
    <n v="6.8749999999999992E-2"/>
    <n v="4292"/>
    <n v="356"/>
    <n v="11.752083333333333"/>
    <x v="3"/>
    <x v="1"/>
    <n v="2.125"/>
    <s v="Slow"/>
    <x v="2"/>
    <n v="1"/>
    <x v="0"/>
    <x v="2"/>
  </r>
  <r>
    <n v="2260"/>
    <x v="2259"/>
    <n v="5.2083333333333336E-2"/>
    <n v="3152"/>
    <n v="343"/>
    <n v="5.166666666666667"/>
    <x v="3"/>
    <x v="2"/>
    <n v="1.8791666666666667"/>
    <s v="Slow"/>
    <x v="0"/>
    <n v="0"/>
    <x v="1"/>
    <x v="1"/>
  </r>
  <r>
    <n v="2261"/>
    <x v="2260"/>
    <n v="4.7222222222222221E-2"/>
    <n v="288"/>
    <n v="98"/>
    <n v="45.918749999999996"/>
    <x v="2"/>
    <x v="1"/>
    <n v="0.63055555555555554"/>
    <s v="Fast"/>
    <x v="2"/>
    <n v="0"/>
    <x v="1"/>
    <x v="1"/>
  </r>
  <r>
    <n v="2262"/>
    <x v="2261"/>
    <n v="4.7222222222222221E-2"/>
    <n v="963"/>
    <n v="374"/>
    <n v="22.584722222222222"/>
    <x v="2"/>
    <x v="0"/>
    <n v="1.1680555555555556"/>
    <s v="Fast"/>
    <x v="1"/>
    <n v="1"/>
    <x v="0"/>
    <x v="0"/>
  </r>
  <r>
    <n v="2263"/>
    <x v="2262"/>
    <n v="4.5138888888888888E-2"/>
    <n v="910"/>
    <n v="490"/>
    <n v="32.547916666666666"/>
    <x v="2"/>
    <x v="2"/>
    <n v="1.25"/>
    <s v="Fast"/>
    <x v="0"/>
    <n v="0"/>
    <x v="1"/>
    <x v="1"/>
  </r>
  <r>
    <n v="2264"/>
    <x v="2263"/>
    <n v="4.3750000000000004E-2"/>
    <n v="2666"/>
    <n v="46"/>
    <n v="18.962500000000002"/>
    <x v="3"/>
    <x v="2"/>
    <n v="8.4027777777777771E-2"/>
    <s v="Fast"/>
    <x v="1"/>
    <n v="0"/>
    <x v="1"/>
    <x v="1"/>
  </r>
  <r>
    <n v="2265"/>
    <x v="2264"/>
    <n v="6.7361111111111108E-2"/>
    <n v="805"/>
    <n v="261"/>
    <n v="4.6263888888888891"/>
    <x v="3"/>
    <x v="2"/>
    <n v="2.6263888888888887"/>
    <s v="Slow"/>
    <x v="0"/>
    <n v="0"/>
    <x v="1"/>
    <x v="1"/>
  </r>
  <r>
    <n v="2266"/>
    <x v="2265"/>
    <n v="6.1805555555555558E-2"/>
    <n v="2208"/>
    <n v="329"/>
    <n v="42.96319444444444"/>
    <x v="2"/>
    <x v="0"/>
    <n v="2.2534722222222223"/>
    <s v="Slow"/>
    <x v="0"/>
    <n v="1"/>
    <x v="0"/>
    <x v="0"/>
  </r>
  <r>
    <n v="2267"/>
    <x v="2266"/>
    <n v="4.5833333333333337E-2"/>
    <n v="475"/>
    <n v="452"/>
    <n v="70.961111111111109"/>
    <x v="2"/>
    <x v="3"/>
    <n v="1.1673611111111111"/>
    <s v="Fast"/>
    <x v="2"/>
    <n v="1"/>
    <x v="0"/>
    <x v="0"/>
  </r>
  <r>
    <n v="2268"/>
    <x v="2267"/>
    <n v="5.8333333333333327E-2"/>
    <n v="342"/>
    <n v="314"/>
    <n v="27.714583333333334"/>
    <x v="3"/>
    <x v="3"/>
    <n v="1.7104166666666665"/>
    <s v="Slow"/>
    <x v="1"/>
    <n v="1"/>
    <x v="0"/>
    <x v="0"/>
  </r>
  <r>
    <n v="2269"/>
    <x v="2268"/>
    <n v="5.486111111111111E-2"/>
    <n v="4882"/>
    <n v="319"/>
    <n v="43.916666666666664"/>
    <x v="0"/>
    <x v="3"/>
    <n v="1.8756944444444443"/>
    <s v="Slow"/>
    <x v="2"/>
    <n v="0"/>
    <x v="1"/>
    <x v="1"/>
  </r>
  <r>
    <n v="2270"/>
    <x v="2269"/>
    <n v="4.3750000000000004E-2"/>
    <n v="624"/>
    <n v="373"/>
    <n v="31.464583333333334"/>
    <x v="0"/>
    <x v="3"/>
    <n v="0.75277777777777777"/>
    <s v="Fast"/>
    <x v="0"/>
    <n v="0"/>
    <x v="1"/>
    <x v="1"/>
  </r>
  <r>
    <n v="2271"/>
    <x v="2270"/>
    <n v="4.1666666666666664E-2"/>
    <n v="4493"/>
    <n v="215"/>
    <n v="18.125694444444445"/>
    <x v="3"/>
    <x v="2"/>
    <n v="0.83333333333333337"/>
    <s v="Fast"/>
    <x v="0"/>
    <n v="0"/>
    <x v="1"/>
    <x v="1"/>
  </r>
  <r>
    <n v="2272"/>
    <x v="2271"/>
    <n v="4.7916666666666663E-2"/>
    <n v="3148"/>
    <n v="198"/>
    <n v="40.710416666666667"/>
    <x v="0"/>
    <x v="2"/>
    <n v="0.58472222222222225"/>
    <s v="Fast"/>
    <x v="1"/>
    <n v="0"/>
    <x v="1"/>
    <x v="1"/>
  </r>
  <r>
    <n v="2273"/>
    <x v="2272"/>
    <n v="5.7638888888888885E-2"/>
    <n v="785"/>
    <n v="148"/>
    <n v="35.461805555555557"/>
    <x v="0"/>
    <x v="0"/>
    <n v="1.91875"/>
    <s v="Slow"/>
    <x v="1"/>
    <n v="0"/>
    <x v="1"/>
    <x v="1"/>
  </r>
  <r>
    <n v="2274"/>
    <x v="2273"/>
    <n v="5.1388888888888894E-2"/>
    <n v="2368"/>
    <n v="201"/>
    <n v="6.4180555555555552"/>
    <x v="2"/>
    <x v="3"/>
    <n v="1.7562499999999999"/>
    <s v="Slow"/>
    <x v="2"/>
    <n v="1"/>
    <x v="0"/>
    <x v="0"/>
  </r>
  <r>
    <n v="2275"/>
    <x v="2274"/>
    <n v="5.5555555555555558E-3"/>
    <n v="4806"/>
    <n v="451"/>
    <n v="14.000694444444443"/>
    <x v="1"/>
    <x v="2"/>
    <n v="1.1701388888888888"/>
    <s v="Fast"/>
    <x v="1"/>
    <n v="0"/>
    <x v="1"/>
    <x v="1"/>
  </r>
  <r>
    <n v="2276"/>
    <x v="2275"/>
    <n v="4.1666666666666664E-2"/>
    <n v="2688"/>
    <n v="103"/>
    <n v="52.38055555555556"/>
    <x v="2"/>
    <x v="3"/>
    <n v="0.62638888888888888"/>
    <s v="Fast"/>
    <x v="0"/>
    <n v="0"/>
    <x v="1"/>
    <x v="1"/>
  </r>
  <r>
    <n v="2277"/>
    <x v="2276"/>
    <n v="6.3194444444444442E-2"/>
    <n v="4891"/>
    <n v="458"/>
    <n v="31.209027777777777"/>
    <x v="1"/>
    <x v="3"/>
    <n v="8.4027777777777771E-2"/>
    <s v="Fast"/>
    <x v="0"/>
    <n v="0"/>
    <x v="1"/>
    <x v="1"/>
  </r>
  <r>
    <n v="2278"/>
    <x v="2277"/>
    <n v="4.8611111111111112E-3"/>
    <n v="2700"/>
    <n v="188"/>
    <n v="77.795138888888886"/>
    <x v="3"/>
    <x v="3"/>
    <n v="1.5055555555555555"/>
    <s v="Slow"/>
    <x v="0"/>
    <n v="0"/>
    <x v="1"/>
    <x v="1"/>
  </r>
  <r>
    <n v="2279"/>
    <x v="2278"/>
    <n v="6.1111111111111109E-2"/>
    <n v="238"/>
    <n v="84"/>
    <n v="42.416666666666664"/>
    <x v="1"/>
    <x v="0"/>
    <n v="0.21180555555555555"/>
    <s v="Fast"/>
    <x v="2"/>
    <n v="0"/>
    <x v="1"/>
    <x v="1"/>
  </r>
  <r>
    <n v="2280"/>
    <x v="2279"/>
    <n v="5.486111111111111E-2"/>
    <n v="3934"/>
    <n v="465"/>
    <n v="6.2930555555555552"/>
    <x v="2"/>
    <x v="3"/>
    <n v="0.46249999999999997"/>
    <s v="Fast"/>
    <x v="2"/>
    <n v="0"/>
    <x v="1"/>
    <x v="1"/>
  </r>
  <r>
    <n v="2281"/>
    <x v="2280"/>
    <n v="4.8611111111111112E-3"/>
    <n v="3369"/>
    <n v="311"/>
    <n v="44.045138888888886"/>
    <x v="3"/>
    <x v="0"/>
    <n v="1.625"/>
    <s v="Slow"/>
    <x v="1"/>
    <n v="0"/>
    <x v="1"/>
    <x v="1"/>
  </r>
  <r>
    <n v="2282"/>
    <x v="2281"/>
    <n v="5.6944444444444443E-2"/>
    <n v="4931"/>
    <n v="389"/>
    <n v="15.46111111111111"/>
    <x v="3"/>
    <x v="2"/>
    <n v="2.5465277777777779"/>
    <s v="Slow"/>
    <x v="2"/>
    <n v="1"/>
    <x v="0"/>
    <x v="0"/>
  </r>
  <r>
    <n v="2283"/>
    <x v="2282"/>
    <n v="4.7916666666666663E-2"/>
    <n v="4682"/>
    <n v="317"/>
    <n v="59.756250000000001"/>
    <x v="0"/>
    <x v="2"/>
    <n v="1.5472222222222223"/>
    <s v="Slow"/>
    <x v="2"/>
    <n v="0"/>
    <x v="1"/>
    <x v="1"/>
  </r>
  <r>
    <n v="2284"/>
    <x v="2283"/>
    <n v="6.3888888888888898E-2"/>
    <n v="1101"/>
    <n v="460"/>
    <n v="57.043055555555554"/>
    <x v="1"/>
    <x v="0"/>
    <n v="1.2916666666666667"/>
    <s v="Fast"/>
    <x v="2"/>
    <n v="0"/>
    <x v="1"/>
    <x v="1"/>
  </r>
  <r>
    <n v="2285"/>
    <x v="2284"/>
    <n v="4.9999999999999996E-2"/>
    <n v="2611"/>
    <n v="22"/>
    <n v="78.00277777777778"/>
    <x v="3"/>
    <x v="1"/>
    <n v="0.83611111111111114"/>
    <s v="Fast"/>
    <x v="1"/>
    <n v="1"/>
    <x v="0"/>
    <x v="2"/>
  </r>
  <r>
    <n v="2286"/>
    <x v="2285"/>
    <n v="4.4444444444444446E-2"/>
    <n v="4079"/>
    <n v="484"/>
    <n v="27.339583333333334"/>
    <x v="2"/>
    <x v="1"/>
    <n v="0.66805555555555562"/>
    <s v="Fast"/>
    <x v="0"/>
    <n v="0"/>
    <x v="1"/>
    <x v="1"/>
  </r>
  <r>
    <n v="2287"/>
    <x v="2286"/>
    <n v="6.5972222222222224E-2"/>
    <n v="1849"/>
    <n v="329"/>
    <n v="37.166666666666664"/>
    <x v="3"/>
    <x v="1"/>
    <n v="1.4583333333333333"/>
    <s v="Fast"/>
    <x v="0"/>
    <n v="0"/>
    <x v="1"/>
    <x v="1"/>
  </r>
  <r>
    <n v="2288"/>
    <x v="2287"/>
    <n v="4.6527777777777779E-2"/>
    <n v="2497"/>
    <n v="390"/>
    <n v="17.250694444444445"/>
    <x v="0"/>
    <x v="3"/>
    <n v="2.7097222222222221"/>
    <s v="Slow"/>
    <x v="2"/>
    <n v="0"/>
    <x v="1"/>
    <x v="1"/>
  </r>
  <r>
    <n v="2289"/>
    <x v="2288"/>
    <n v="6.1111111111111109E-2"/>
    <n v="4338"/>
    <n v="164"/>
    <n v="64.920138888888886"/>
    <x v="3"/>
    <x v="3"/>
    <n v="1.2527777777777778"/>
    <s v="Fast"/>
    <x v="1"/>
    <n v="0"/>
    <x v="1"/>
    <x v="1"/>
  </r>
  <r>
    <n v="2290"/>
    <x v="2289"/>
    <n v="6.5972222222222224E-2"/>
    <n v="4461"/>
    <n v="118"/>
    <n v="48.543055555555554"/>
    <x v="1"/>
    <x v="0"/>
    <n v="0.79791666666666661"/>
    <s v="Fast"/>
    <x v="0"/>
    <n v="0"/>
    <x v="1"/>
    <x v="1"/>
  </r>
  <r>
    <n v="2291"/>
    <x v="2290"/>
    <n v="6.1805555555555558E-2"/>
    <n v="1332"/>
    <n v="43"/>
    <n v="64.334027777777777"/>
    <x v="1"/>
    <x v="1"/>
    <n v="1.0854166666666667"/>
    <s v="Fast"/>
    <x v="1"/>
    <n v="1"/>
    <x v="0"/>
    <x v="2"/>
  </r>
  <r>
    <n v="2292"/>
    <x v="2291"/>
    <n v="6.805555555555555E-2"/>
    <n v="386"/>
    <n v="474"/>
    <n v="32.253472222222221"/>
    <x v="3"/>
    <x v="3"/>
    <n v="2.963194444444444"/>
    <s v="Slow"/>
    <x v="1"/>
    <n v="1"/>
    <x v="0"/>
    <x v="0"/>
  </r>
  <r>
    <n v="2293"/>
    <x v="2292"/>
    <n v="4.9305555555555554E-2"/>
    <n v="4960"/>
    <n v="365"/>
    <n v="46.587499999999999"/>
    <x v="2"/>
    <x v="1"/>
    <n v="1.2090277777777778"/>
    <s v="Fast"/>
    <x v="1"/>
    <n v="0"/>
    <x v="1"/>
    <x v="1"/>
  </r>
  <r>
    <n v="2294"/>
    <x v="2293"/>
    <n v="5.2083333333333336E-2"/>
    <n v="1129"/>
    <n v="249"/>
    <n v="31.459722222222222"/>
    <x v="2"/>
    <x v="0"/>
    <n v="1.6284722222222223"/>
    <s v="Slow"/>
    <x v="2"/>
    <n v="0"/>
    <x v="1"/>
    <x v="1"/>
  </r>
  <r>
    <n v="2295"/>
    <x v="2294"/>
    <n v="5.9027777777777783E-2"/>
    <n v="1899"/>
    <n v="325"/>
    <n v="27.459722222222222"/>
    <x v="0"/>
    <x v="3"/>
    <n v="2.5881944444444445"/>
    <s v="Slow"/>
    <x v="1"/>
    <n v="0"/>
    <x v="1"/>
    <x v="1"/>
  </r>
  <r>
    <n v="2296"/>
    <x v="2295"/>
    <n v="4.5138888888888888E-2"/>
    <n v="2246"/>
    <n v="394"/>
    <n v="26.543055555555554"/>
    <x v="1"/>
    <x v="0"/>
    <n v="2.4624999999999999"/>
    <s v="Slow"/>
    <x v="1"/>
    <n v="1"/>
    <x v="0"/>
    <x v="0"/>
  </r>
  <r>
    <n v="2297"/>
    <x v="2296"/>
    <n v="4.1666666666666664E-2"/>
    <n v="1543"/>
    <n v="222"/>
    <n v="55.37638888888889"/>
    <x v="0"/>
    <x v="3"/>
    <n v="2.0013888888888887"/>
    <s v="Slow"/>
    <x v="1"/>
    <n v="1"/>
    <x v="0"/>
    <x v="0"/>
  </r>
  <r>
    <n v="2298"/>
    <x v="2297"/>
    <n v="5.9722222222222225E-2"/>
    <n v="1766"/>
    <n v="178"/>
    <n v="27.875694444444445"/>
    <x v="2"/>
    <x v="1"/>
    <n v="0.67222222222222217"/>
    <s v="Fast"/>
    <x v="1"/>
    <n v="0"/>
    <x v="1"/>
    <x v="1"/>
  </r>
  <r>
    <n v="2299"/>
    <x v="2298"/>
    <n v="6.0416666666666667E-2"/>
    <n v="3472"/>
    <n v="408"/>
    <n v="81.214583333333337"/>
    <x v="1"/>
    <x v="3"/>
    <n v="0.62986111111111109"/>
    <s v="Fast"/>
    <x v="0"/>
    <n v="0"/>
    <x v="1"/>
    <x v="1"/>
  </r>
  <r>
    <n v="2300"/>
    <x v="2299"/>
    <n v="5.7638888888888885E-2"/>
    <n v="4986"/>
    <n v="60"/>
    <n v="12"/>
    <x v="2"/>
    <x v="0"/>
    <n v="1.2520833333333334"/>
    <s v="Fast"/>
    <x v="0"/>
    <n v="0"/>
    <x v="1"/>
    <x v="1"/>
  </r>
  <r>
    <n v="2301"/>
    <x v="2300"/>
    <n v="5.5555555555555558E-3"/>
    <n v="3207"/>
    <n v="467"/>
    <n v="58.627777777777773"/>
    <x v="1"/>
    <x v="2"/>
    <n v="0.7944444444444444"/>
    <s v="Fast"/>
    <x v="1"/>
    <n v="1"/>
    <x v="0"/>
    <x v="0"/>
  </r>
  <r>
    <n v="2302"/>
    <x v="2301"/>
    <n v="4.7222222222222221E-2"/>
    <n v="324"/>
    <n v="394"/>
    <n v="61.416666666666664"/>
    <x v="1"/>
    <x v="1"/>
    <n v="2.338888888888889"/>
    <s v="Slow"/>
    <x v="2"/>
    <n v="0"/>
    <x v="1"/>
    <x v="1"/>
  </r>
  <r>
    <n v="2303"/>
    <x v="2302"/>
    <n v="4.4444444444444446E-2"/>
    <n v="3557"/>
    <n v="149"/>
    <n v="27.629166666666666"/>
    <x v="0"/>
    <x v="2"/>
    <n v="0.41944444444444445"/>
    <s v="Fast"/>
    <x v="0"/>
    <n v="0"/>
    <x v="1"/>
    <x v="1"/>
  </r>
  <r>
    <n v="2304"/>
    <x v="2303"/>
    <n v="4.8611111111111112E-3"/>
    <n v="321"/>
    <n v="72"/>
    <n v="42.379861111111111"/>
    <x v="2"/>
    <x v="1"/>
    <n v="2.4631944444444445"/>
    <s v="Slow"/>
    <x v="1"/>
    <n v="0"/>
    <x v="1"/>
    <x v="1"/>
  </r>
  <r>
    <n v="2305"/>
    <x v="2304"/>
    <n v="4.2361111111111106E-2"/>
    <n v="2917"/>
    <n v="32"/>
    <n v="3.4590277777777776"/>
    <x v="2"/>
    <x v="2"/>
    <n v="1.6666666666666667"/>
    <s v="Slow"/>
    <x v="2"/>
    <n v="0"/>
    <x v="1"/>
    <x v="1"/>
  </r>
  <r>
    <n v="2306"/>
    <x v="2305"/>
    <n v="5.9027777777777783E-2"/>
    <n v="2117"/>
    <n v="161"/>
    <n v="26.750694444444445"/>
    <x v="1"/>
    <x v="2"/>
    <n v="1.1312499999999999"/>
    <s v="Fast"/>
    <x v="0"/>
    <n v="1"/>
    <x v="0"/>
    <x v="0"/>
  </r>
  <r>
    <n v="2307"/>
    <x v="2306"/>
    <n v="4.6527777777777779E-2"/>
    <n v="2580"/>
    <n v="485"/>
    <n v="50.877777777777773"/>
    <x v="3"/>
    <x v="1"/>
    <n v="0.58958333333333335"/>
    <s v="Fast"/>
    <x v="2"/>
    <n v="0"/>
    <x v="1"/>
    <x v="1"/>
  </r>
  <r>
    <n v="2308"/>
    <x v="2307"/>
    <n v="6.7361111111111108E-2"/>
    <n v="2656"/>
    <n v="235"/>
    <n v="54.714583333333337"/>
    <x v="0"/>
    <x v="0"/>
    <n v="8.4722222222222213E-2"/>
    <s v="Fast"/>
    <x v="0"/>
    <n v="0"/>
    <x v="1"/>
    <x v="1"/>
  </r>
  <r>
    <n v="2309"/>
    <x v="2308"/>
    <n v="4.4444444444444446E-2"/>
    <n v="2090"/>
    <n v="136"/>
    <n v="75.375694444444449"/>
    <x v="0"/>
    <x v="2"/>
    <n v="1.3798611111111112"/>
    <s v="Fast"/>
    <x v="1"/>
    <n v="0"/>
    <x v="1"/>
    <x v="1"/>
  </r>
  <r>
    <n v="2310"/>
    <x v="2309"/>
    <n v="5.0694444444444438E-2"/>
    <n v="3816"/>
    <n v="50"/>
    <n v="51.75138888888889"/>
    <x v="0"/>
    <x v="0"/>
    <n v="1.4604166666666665"/>
    <s v="Fast"/>
    <x v="1"/>
    <n v="0"/>
    <x v="1"/>
    <x v="1"/>
  </r>
  <r>
    <n v="2311"/>
    <x v="2310"/>
    <n v="6.5277777777777782E-2"/>
    <n v="95"/>
    <n v="395"/>
    <n v="69.668750000000003"/>
    <x v="3"/>
    <x v="0"/>
    <n v="8.6805555555555566E-2"/>
    <s v="Fast"/>
    <x v="0"/>
    <n v="1"/>
    <x v="0"/>
    <x v="0"/>
  </r>
  <r>
    <n v="2312"/>
    <x v="2311"/>
    <n v="5.9027777777777783E-2"/>
    <n v="3091"/>
    <n v="20"/>
    <n v="81.333333333333329"/>
    <x v="2"/>
    <x v="3"/>
    <n v="2.4222222222222221"/>
    <s v="Slow"/>
    <x v="2"/>
    <n v="0"/>
    <x v="1"/>
    <x v="1"/>
  </r>
  <r>
    <n v="2313"/>
    <x v="2312"/>
    <n v="5.3472222222222227E-2"/>
    <n v="2774"/>
    <n v="322"/>
    <n v="69.669444444444437"/>
    <x v="2"/>
    <x v="1"/>
    <n v="0.91805555555555562"/>
    <s v="Fast"/>
    <x v="1"/>
    <n v="1"/>
    <x v="0"/>
    <x v="2"/>
  </r>
  <r>
    <n v="2314"/>
    <x v="2313"/>
    <n v="6.1805555555555558E-2"/>
    <n v="3144"/>
    <n v="243"/>
    <n v="37.297916666666666"/>
    <x v="2"/>
    <x v="2"/>
    <n v="2.6694444444444443"/>
    <s v="Slow"/>
    <x v="1"/>
    <n v="1"/>
    <x v="0"/>
    <x v="0"/>
  </r>
  <r>
    <n v="2315"/>
    <x v="2314"/>
    <n v="5.2777777777777778E-2"/>
    <n v="1459"/>
    <n v="224"/>
    <n v="53.87638888888889"/>
    <x v="1"/>
    <x v="2"/>
    <n v="8.4027777777777771E-2"/>
    <s v="Fast"/>
    <x v="0"/>
    <n v="0"/>
    <x v="1"/>
    <x v="1"/>
  </r>
  <r>
    <n v="2316"/>
    <x v="2315"/>
    <n v="4.5833333333333337E-2"/>
    <n v="4917"/>
    <n v="478"/>
    <n v="9.1715277777777775"/>
    <x v="0"/>
    <x v="3"/>
    <n v="8.5416666666666655E-2"/>
    <s v="Fast"/>
    <x v="2"/>
    <n v="0"/>
    <x v="1"/>
    <x v="1"/>
  </r>
  <r>
    <n v="2317"/>
    <x v="2316"/>
    <n v="6.8749999999999992E-2"/>
    <n v="3404"/>
    <n v="256"/>
    <n v="43.877777777777773"/>
    <x v="0"/>
    <x v="2"/>
    <n v="1.7555555555555555"/>
    <s v="Slow"/>
    <x v="2"/>
    <n v="1"/>
    <x v="0"/>
    <x v="0"/>
  </r>
  <r>
    <n v="2318"/>
    <x v="2317"/>
    <n v="6.5972222222222224E-2"/>
    <n v="179"/>
    <n v="377"/>
    <n v="39.875"/>
    <x v="3"/>
    <x v="0"/>
    <n v="2.1256944444444446"/>
    <s v="Slow"/>
    <x v="0"/>
    <n v="0"/>
    <x v="1"/>
    <x v="1"/>
  </r>
  <r>
    <n v="2319"/>
    <x v="2318"/>
    <n v="6.2499999999999995E-3"/>
    <n v="790"/>
    <n v="471"/>
    <n v="31.088194444444444"/>
    <x v="2"/>
    <x v="3"/>
    <n v="2.4208333333333334"/>
    <s v="Slow"/>
    <x v="0"/>
    <n v="0"/>
    <x v="1"/>
    <x v="1"/>
  </r>
  <r>
    <n v="2320"/>
    <x v="2319"/>
    <n v="4.9305555555555554E-2"/>
    <n v="1962"/>
    <n v="111"/>
    <n v="30.583333333333332"/>
    <x v="3"/>
    <x v="0"/>
    <n v="1.3791666666666667"/>
    <s v="Fast"/>
    <x v="2"/>
    <n v="0"/>
    <x v="1"/>
    <x v="1"/>
  </r>
  <r>
    <n v="2321"/>
    <x v="2320"/>
    <n v="5.5555555555555558E-3"/>
    <n v="1239"/>
    <n v="200"/>
    <n v="12.378472222222221"/>
    <x v="1"/>
    <x v="0"/>
    <n v="0.58402777777777781"/>
    <s v="Fast"/>
    <x v="2"/>
    <n v="0"/>
    <x v="1"/>
    <x v="1"/>
  </r>
  <r>
    <n v="2322"/>
    <x v="2321"/>
    <n v="4.4444444444444446E-2"/>
    <n v="1676"/>
    <n v="241"/>
    <n v="1.7951388888888891"/>
    <x v="3"/>
    <x v="1"/>
    <n v="1.7930555555555554"/>
    <s v="Slow"/>
    <x v="2"/>
    <n v="0"/>
    <x v="1"/>
    <x v="1"/>
  </r>
  <r>
    <n v="2323"/>
    <x v="2322"/>
    <n v="4.3055555555555562E-2"/>
    <n v="522"/>
    <n v="249"/>
    <n v="41.588888888888889"/>
    <x v="2"/>
    <x v="2"/>
    <n v="0.79236111111111107"/>
    <s v="Fast"/>
    <x v="0"/>
    <n v="1"/>
    <x v="0"/>
    <x v="0"/>
  </r>
  <r>
    <n v="2324"/>
    <x v="2323"/>
    <n v="6.805555555555555E-2"/>
    <n v="1585"/>
    <n v="327"/>
    <n v="46.168055555555554"/>
    <x v="3"/>
    <x v="2"/>
    <n v="1.2527777777777778"/>
    <s v="Fast"/>
    <x v="2"/>
    <n v="1"/>
    <x v="0"/>
    <x v="0"/>
  </r>
  <r>
    <n v="2325"/>
    <x v="2324"/>
    <n v="5.3472222222222227E-2"/>
    <n v="2850"/>
    <n v="174"/>
    <n v="77.041666666666671"/>
    <x v="0"/>
    <x v="0"/>
    <n v="1.8388888888888888"/>
    <s v="Slow"/>
    <x v="0"/>
    <n v="1"/>
    <x v="0"/>
    <x v="0"/>
  </r>
  <r>
    <n v="2326"/>
    <x v="2325"/>
    <n v="4.7916666666666663E-2"/>
    <n v="1751"/>
    <n v="257"/>
    <n v="64.584027777777777"/>
    <x v="1"/>
    <x v="0"/>
    <n v="1.5"/>
    <s v="Fast"/>
    <x v="2"/>
    <n v="0"/>
    <x v="1"/>
    <x v="1"/>
  </r>
  <r>
    <n v="2327"/>
    <x v="2326"/>
    <n v="6.3888888888888898E-2"/>
    <n v="3960"/>
    <n v="40"/>
    <n v="56.922222222222224"/>
    <x v="3"/>
    <x v="2"/>
    <n v="2.0881944444444445"/>
    <s v="Slow"/>
    <x v="1"/>
    <n v="1"/>
    <x v="0"/>
    <x v="0"/>
  </r>
  <r>
    <n v="2328"/>
    <x v="2327"/>
    <n v="5.6250000000000001E-2"/>
    <n v="4748"/>
    <n v="156"/>
    <n v="52.710416666666667"/>
    <x v="0"/>
    <x v="0"/>
    <n v="2.7930555555555556"/>
    <s v="Slow"/>
    <x v="1"/>
    <n v="0"/>
    <x v="1"/>
    <x v="1"/>
  </r>
  <r>
    <n v="2329"/>
    <x v="2328"/>
    <n v="5.9722222222222225E-2"/>
    <n v="929"/>
    <n v="25"/>
    <n v="66.671527777777769"/>
    <x v="0"/>
    <x v="0"/>
    <n v="2.7562500000000001"/>
    <s v="Slow"/>
    <x v="1"/>
    <n v="0"/>
    <x v="1"/>
    <x v="1"/>
  </r>
  <r>
    <n v="2330"/>
    <x v="2329"/>
    <n v="4.4444444444444446E-2"/>
    <n v="2879"/>
    <n v="90"/>
    <n v="64.339583333333337"/>
    <x v="1"/>
    <x v="0"/>
    <n v="2.7944444444444443"/>
    <s v="Slow"/>
    <x v="1"/>
    <n v="0"/>
    <x v="1"/>
    <x v="1"/>
  </r>
  <r>
    <n v="2331"/>
    <x v="2330"/>
    <n v="5.4166666666666669E-2"/>
    <n v="4093"/>
    <n v="75"/>
    <n v="27.377083333333331"/>
    <x v="2"/>
    <x v="3"/>
    <n v="0.9194444444444444"/>
    <s v="Fast"/>
    <x v="2"/>
    <n v="0"/>
    <x v="1"/>
    <x v="1"/>
  </r>
  <r>
    <n v="2332"/>
    <x v="2331"/>
    <n v="5.2777777777777778E-2"/>
    <n v="3373"/>
    <n v="320"/>
    <n v="73.006250000000009"/>
    <x v="0"/>
    <x v="0"/>
    <n v="2.5013888888888887"/>
    <s v="Slow"/>
    <x v="0"/>
    <n v="0"/>
    <x v="1"/>
    <x v="1"/>
  </r>
  <r>
    <n v="2333"/>
    <x v="2332"/>
    <n v="4.9999999999999996E-2"/>
    <n v="1368"/>
    <n v="90"/>
    <n v="73.211111111111109"/>
    <x v="3"/>
    <x v="0"/>
    <n v="2.4180555555555556"/>
    <s v="Slow"/>
    <x v="2"/>
    <n v="0"/>
    <x v="1"/>
    <x v="1"/>
  </r>
  <r>
    <n v="2334"/>
    <x v="2333"/>
    <n v="4.6527777777777779E-2"/>
    <n v="4191"/>
    <n v="181"/>
    <n v="29.084027777777777"/>
    <x v="0"/>
    <x v="3"/>
    <n v="1.7951388888888891"/>
    <s v="Slow"/>
    <x v="1"/>
    <n v="0"/>
    <x v="1"/>
    <x v="1"/>
  </r>
  <r>
    <n v="2335"/>
    <x v="2334"/>
    <n v="6.5972222222222224E-2"/>
    <n v="2778"/>
    <n v="140"/>
    <n v="75.504166666666663"/>
    <x v="2"/>
    <x v="2"/>
    <n v="0.46249999999999997"/>
    <s v="Fast"/>
    <x v="1"/>
    <n v="0"/>
    <x v="1"/>
    <x v="1"/>
  </r>
  <r>
    <n v="2336"/>
    <x v="2335"/>
    <n v="6.2499999999999995E-3"/>
    <n v="3544"/>
    <n v="256"/>
    <n v="4.5062500000000005"/>
    <x v="3"/>
    <x v="3"/>
    <n v="1.4222222222222223"/>
    <s v="Fast"/>
    <x v="2"/>
    <n v="0"/>
    <x v="1"/>
    <x v="1"/>
  </r>
  <r>
    <n v="2337"/>
    <x v="2336"/>
    <n v="5.7638888888888885E-2"/>
    <n v="2822"/>
    <n v="363"/>
    <n v="37.668749999999996"/>
    <x v="1"/>
    <x v="3"/>
    <n v="2.1729166666666666"/>
    <s v="Slow"/>
    <x v="1"/>
    <n v="1"/>
    <x v="0"/>
    <x v="0"/>
  </r>
  <r>
    <n v="2338"/>
    <x v="2337"/>
    <n v="4.9305555555555554E-2"/>
    <n v="3569"/>
    <n v="17"/>
    <n v="18.62638888888889"/>
    <x v="1"/>
    <x v="1"/>
    <n v="0.29791666666666666"/>
    <s v="Fast"/>
    <x v="2"/>
    <n v="1"/>
    <x v="0"/>
    <x v="2"/>
  </r>
  <r>
    <n v="2339"/>
    <x v="2338"/>
    <n v="5.9027777777777783E-2"/>
    <n v="1360"/>
    <n v="422"/>
    <n v="14.62638888888889"/>
    <x v="1"/>
    <x v="1"/>
    <n v="0.29166666666666669"/>
    <s v="Fast"/>
    <x v="0"/>
    <n v="0"/>
    <x v="1"/>
    <x v="1"/>
  </r>
  <r>
    <n v="2340"/>
    <x v="2339"/>
    <n v="5.2777777777777778E-2"/>
    <n v="2205"/>
    <n v="317"/>
    <n v="18.422916666666666"/>
    <x v="3"/>
    <x v="3"/>
    <n v="0.58472222222222225"/>
    <s v="Fast"/>
    <x v="2"/>
    <n v="0"/>
    <x v="1"/>
    <x v="1"/>
  </r>
  <r>
    <n v="2341"/>
    <x v="2340"/>
    <n v="4.1666666666666666E-3"/>
    <n v="1640"/>
    <n v="305"/>
    <n v="0.58888888888888891"/>
    <x v="2"/>
    <x v="3"/>
    <n v="1.1715277777777777"/>
    <s v="Fast"/>
    <x v="2"/>
    <n v="1"/>
    <x v="0"/>
    <x v="0"/>
  </r>
  <r>
    <n v="2342"/>
    <x v="2341"/>
    <n v="5.9027777777777783E-2"/>
    <n v="3799"/>
    <n v="274"/>
    <n v="71.546527777777769"/>
    <x v="2"/>
    <x v="0"/>
    <n v="1.16875"/>
    <s v="Fast"/>
    <x v="0"/>
    <n v="0"/>
    <x v="1"/>
    <x v="1"/>
  </r>
  <r>
    <n v="2343"/>
    <x v="2342"/>
    <n v="6.0416666666666667E-2"/>
    <n v="3746"/>
    <n v="477"/>
    <n v="51.878472222222221"/>
    <x v="0"/>
    <x v="3"/>
    <n v="0.96111111111111114"/>
    <s v="Fast"/>
    <x v="0"/>
    <n v="0"/>
    <x v="1"/>
    <x v="1"/>
  </r>
  <r>
    <n v="2344"/>
    <x v="2343"/>
    <n v="6.805555555555555E-2"/>
    <n v="4116"/>
    <n v="456"/>
    <n v="33.713194444444447"/>
    <x v="0"/>
    <x v="0"/>
    <n v="8.4027777777777771E-2"/>
    <s v="Fast"/>
    <x v="2"/>
    <n v="0"/>
    <x v="1"/>
    <x v="1"/>
  </r>
  <r>
    <n v="2345"/>
    <x v="2344"/>
    <n v="6.458333333333334E-2"/>
    <n v="520"/>
    <n v="245"/>
    <n v="24.752083333333331"/>
    <x v="3"/>
    <x v="3"/>
    <n v="1.0875000000000001"/>
    <s v="Fast"/>
    <x v="1"/>
    <n v="0"/>
    <x v="1"/>
    <x v="1"/>
  </r>
  <r>
    <n v="2346"/>
    <x v="2345"/>
    <n v="4.3750000000000004E-2"/>
    <n v="1237"/>
    <n v="429"/>
    <n v="71.752083333333331"/>
    <x v="2"/>
    <x v="2"/>
    <n v="2.7965277777777775"/>
    <s v="Slow"/>
    <x v="1"/>
    <n v="1"/>
    <x v="0"/>
    <x v="0"/>
  </r>
  <r>
    <n v="2347"/>
    <x v="2346"/>
    <n v="5.0694444444444438E-2"/>
    <n v="1617"/>
    <n v="9"/>
    <n v="3.7506944444444446"/>
    <x v="1"/>
    <x v="1"/>
    <n v="2.5430555555555556"/>
    <s v="Slow"/>
    <x v="1"/>
    <n v="0"/>
    <x v="1"/>
    <x v="1"/>
  </r>
  <r>
    <n v="2348"/>
    <x v="2347"/>
    <n v="4.3055555555555562E-2"/>
    <n v="1312"/>
    <n v="308"/>
    <n v="11.834027777777777"/>
    <x v="1"/>
    <x v="2"/>
    <n v="2.4624999999999999"/>
    <s v="Slow"/>
    <x v="2"/>
    <n v="1"/>
    <x v="0"/>
    <x v="0"/>
  </r>
  <r>
    <n v="2349"/>
    <x v="2348"/>
    <n v="4.3750000000000004E-2"/>
    <n v="1739"/>
    <n v="316"/>
    <n v="50.504166666666663"/>
    <x v="0"/>
    <x v="3"/>
    <n v="0.9604166666666667"/>
    <s v="Fast"/>
    <x v="1"/>
    <n v="0"/>
    <x v="1"/>
    <x v="1"/>
  </r>
  <r>
    <n v="2350"/>
    <x v="2349"/>
    <n v="5.486111111111111E-2"/>
    <n v="3604"/>
    <n v="417"/>
    <n v="21.084722222222222"/>
    <x v="1"/>
    <x v="0"/>
    <n v="0.12847222222222224"/>
    <s v="Fast"/>
    <x v="2"/>
    <n v="0"/>
    <x v="1"/>
    <x v="1"/>
  </r>
  <r>
    <n v="2351"/>
    <x v="2350"/>
    <n v="4.7222222222222221E-2"/>
    <n v="3744"/>
    <n v="292"/>
    <n v="2.8361111111111108"/>
    <x v="2"/>
    <x v="1"/>
    <n v="2.7965277777777775"/>
    <s v="Slow"/>
    <x v="0"/>
    <n v="1"/>
    <x v="0"/>
    <x v="2"/>
  </r>
  <r>
    <n v="2352"/>
    <x v="2351"/>
    <n v="4.3055555555555562E-2"/>
    <n v="4387"/>
    <n v="293"/>
    <n v="1.8340277777777778"/>
    <x v="1"/>
    <x v="3"/>
    <n v="2.7930555555555556"/>
    <s v="Slow"/>
    <x v="0"/>
    <n v="0"/>
    <x v="1"/>
    <x v="1"/>
  </r>
  <r>
    <n v="2353"/>
    <x v="2352"/>
    <n v="5.9027777777777783E-2"/>
    <n v="2657"/>
    <n v="427"/>
    <n v="76.752083333333331"/>
    <x v="0"/>
    <x v="1"/>
    <n v="1.7972222222222223"/>
    <s v="Slow"/>
    <x v="1"/>
    <n v="0"/>
    <x v="1"/>
    <x v="1"/>
  </r>
  <r>
    <n v="2354"/>
    <x v="2353"/>
    <n v="6.7361111111111108E-2"/>
    <n v="4718"/>
    <n v="321"/>
    <n v="0.92083333333333339"/>
    <x v="2"/>
    <x v="0"/>
    <n v="1.6708333333333334"/>
    <s v="Slow"/>
    <x v="1"/>
    <n v="0"/>
    <x v="1"/>
    <x v="1"/>
  </r>
  <r>
    <n v="2355"/>
    <x v="2354"/>
    <n v="6.458333333333334E-2"/>
    <n v="2496"/>
    <n v="31"/>
    <n v="72.33819444444444"/>
    <x v="1"/>
    <x v="2"/>
    <n v="1.0020833333333334"/>
    <s v="Fast"/>
    <x v="1"/>
    <n v="1"/>
    <x v="0"/>
    <x v="0"/>
  </r>
  <r>
    <n v="2356"/>
    <x v="2355"/>
    <n v="4.3055555555555562E-2"/>
    <n v="4738"/>
    <n v="5"/>
    <n v="66.501388888888883"/>
    <x v="3"/>
    <x v="2"/>
    <n v="2.2979166666666666"/>
    <s v="Slow"/>
    <x v="2"/>
    <n v="0"/>
    <x v="1"/>
    <x v="1"/>
  </r>
  <r>
    <n v="2357"/>
    <x v="2356"/>
    <n v="4.9999999999999996E-2"/>
    <n v="1691"/>
    <n v="115"/>
    <n v="71.047916666666666"/>
    <x v="0"/>
    <x v="0"/>
    <n v="1.5861111111111112"/>
    <s v="Slow"/>
    <x v="0"/>
    <n v="0"/>
    <x v="1"/>
    <x v="1"/>
  </r>
  <r>
    <n v="2358"/>
    <x v="2357"/>
    <n v="4.3055555555555562E-2"/>
    <n v="443"/>
    <n v="340"/>
    <n v="35.169444444444444"/>
    <x v="1"/>
    <x v="2"/>
    <n v="0.63124999999999998"/>
    <s v="Fast"/>
    <x v="2"/>
    <n v="0"/>
    <x v="1"/>
    <x v="1"/>
  </r>
  <r>
    <n v="2359"/>
    <x v="2358"/>
    <n v="5.3472222222222227E-2"/>
    <n v="1167"/>
    <n v="478"/>
    <n v="8.9194444444444443"/>
    <x v="2"/>
    <x v="2"/>
    <n v="0.83472222222222225"/>
    <s v="Fast"/>
    <x v="2"/>
    <n v="1"/>
    <x v="0"/>
    <x v="0"/>
  </r>
  <r>
    <n v="2360"/>
    <x v="2359"/>
    <n v="6.7361111111111108E-2"/>
    <n v="4168"/>
    <n v="326"/>
    <n v="78.041666666666671"/>
    <x v="1"/>
    <x v="3"/>
    <n v="0.12986111111111112"/>
    <s v="Fast"/>
    <x v="1"/>
    <n v="0"/>
    <x v="1"/>
    <x v="1"/>
  </r>
  <r>
    <n v="2361"/>
    <x v="2360"/>
    <n v="4.7222222222222221E-2"/>
    <n v="4804"/>
    <n v="196"/>
    <n v="2.5437499999999997"/>
    <x v="3"/>
    <x v="3"/>
    <n v="1.1694444444444445"/>
    <s v="Fast"/>
    <x v="1"/>
    <n v="1"/>
    <x v="0"/>
    <x v="0"/>
  </r>
  <r>
    <n v="2362"/>
    <x v="2361"/>
    <n v="6.1805555555555558E-2"/>
    <n v="667"/>
    <n v="160"/>
    <n v="56.334027777777777"/>
    <x v="0"/>
    <x v="1"/>
    <n v="1.6680555555555554"/>
    <s v="Slow"/>
    <x v="2"/>
    <n v="1"/>
    <x v="0"/>
    <x v="2"/>
  </r>
  <r>
    <n v="2363"/>
    <x v="2362"/>
    <n v="5.5555555555555558E-3"/>
    <n v="2009"/>
    <n v="349"/>
    <n v="27.919444444444448"/>
    <x v="3"/>
    <x v="0"/>
    <n v="2.2111111111111112"/>
    <s v="Slow"/>
    <x v="0"/>
    <n v="1"/>
    <x v="0"/>
    <x v="0"/>
  </r>
  <r>
    <n v="2364"/>
    <x v="2363"/>
    <n v="5.6250000000000001E-2"/>
    <n v="1999"/>
    <n v="336"/>
    <n v="45.379861111111104"/>
    <x v="0"/>
    <x v="3"/>
    <n v="2.2923611111111111"/>
    <s v="Slow"/>
    <x v="0"/>
    <n v="0"/>
    <x v="1"/>
    <x v="1"/>
  </r>
  <r>
    <n v="2365"/>
    <x v="2364"/>
    <n v="6.458333333333334E-2"/>
    <n v="3742"/>
    <n v="15"/>
    <n v="35.836805555555557"/>
    <x v="0"/>
    <x v="2"/>
    <n v="0.3756944444444445"/>
    <s v="Fast"/>
    <x v="1"/>
    <n v="0"/>
    <x v="1"/>
    <x v="1"/>
  </r>
  <r>
    <n v="2366"/>
    <x v="2365"/>
    <n v="4.9999999999999996E-2"/>
    <n v="2353"/>
    <n v="124"/>
    <n v="38.881250000000001"/>
    <x v="3"/>
    <x v="3"/>
    <n v="1.7951388888888891"/>
    <s v="Slow"/>
    <x v="1"/>
    <n v="0"/>
    <x v="1"/>
    <x v="1"/>
  </r>
  <r>
    <n v="2367"/>
    <x v="2366"/>
    <n v="5.0694444444444438E-2"/>
    <n v="276"/>
    <n v="25"/>
    <n v="65.25277777777778"/>
    <x v="0"/>
    <x v="3"/>
    <n v="2.963194444444444"/>
    <s v="Slow"/>
    <x v="1"/>
    <n v="0"/>
    <x v="1"/>
    <x v="1"/>
  </r>
  <r>
    <n v="2368"/>
    <x v="2367"/>
    <n v="6.2499999999999995E-3"/>
    <n v="683"/>
    <n v="387"/>
    <n v="31.754166666666666"/>
    <x v="3"/>
    <x v="0"/>
    <n v="0.75347222222222221"/>
    <s v="Fast"/>
    <x v="0"/>
    <n v="0"/>
    <x v="1"/>
    <x v="1"/>
  </r>
  <r>
    <n v="2369"/>
    <x v="2368"/>
    <n v="4.5833333333333337E-2"/>
    <n v="2567"/>
    <n v="297"/>
    <n v="51.336111111111109"/>
    <x v="1"/>
    <x v="2"/>
    <n v="1.25"/>
    <s v="Fast"/>
    <x v="2"/>
    <n v="0"/>
    <x v="1"/>
    <x v="1"/>
  </r>
  <r>
    <n v="2370"/>
    <x v="2369"/>
    <n v="4.4444444444444446E-2"/>
    <n v="1888"/>
    <n v="71"/>
    <n v="54.213888888888896"/>
    <x v="3"/>
    <x v="1"/>
    <n v="2.5020833333333332"/>
    <s v="Slow"/>
    <x v="2"/>
    <n v="0"/>
    <x v="1"/>
    <x v="1"/>
  </r>
  <r>
    <n v="2371"/>
    <x v="2370"/>
    <n v="5.2777777777777778E-2"/>
    <n v="3108"/>
    <n v="398"/>
    <n v="37.335416666666667"/>
    <x v="0"/>
    <x v="3"/>
    <n v="0.66875000000000007"/>
    <s v="Fast"/>
    <x v="0"/>
    <n v="0"/>
    <x v="1"/>
    <x v="1"/>
  </r>
  <r>
    <n v="2372"/>
    <x v="2371"/>
    <n v="5.2777777777777778E-2"/>
    <n v="2227"/>
    <n v="329"/>
    <n v="47.917361111111113"/>
    <x v="2"/>
    <x v="0"/>
    <n v="2.3770833333333332"/>
    <s v="Slow"/>
    <x v="2"/>
    <n v="0"/>
    <x v="1"/>
    <x v="1"/>
  </r>
  <r>
    <n v="2373"/>
    <x v="2372"/>
    <n v="4.9999999999999996E-2"/>
    <n v="578"/>
    <n v="19"/>
    <n v="3.4173611111111111"/>
    <x v="2"/>
    <x v="3"/>
    <n v="1.625"/>
    <s v="Slow"/>
    <x v="1"/>
    <n v="1"/>
    <x v="0"/>
    <x v="0"/>
  </r>
  <r>
    <n v="2374"/>
    <x v="2373"/>
    <n v="4.8611111111111112E-3"/>
    <n v="813"/>
    <n v="468"/>
    <n v="12.7125"/>
    <x v="2"/>
    <x v="1"/>
    <n v="1.6270833333333332"/>
    <s v="Slow"/>
    <x v="0"/>
    <n v="1"/>
    <x v="0"/>
    <x v="2"/>
  </r>
  <r>
    <n v="2375"/>
    <x v="2374"/>
    <n v="6.5972222222222224E-2"/>
    <n v="4289"/>
    <n v="381"/>
    <n v="30.251388888888886"/>
    <x v="3"/>
    <x v="0"/>
    <n v="1.8770833333333332"/>
    <s v="Slow"/>
    <x v="2"/>
    <n v="1"/>
    <x v="0"/>
    <x v="0"/>
  </r>
  <r>
    <n v="2376"/>
    <x v="2375"/>
    <n v="5.2777777777777778E-2"/>
    <n v="1771"/>
    <n v="205"/>
    <n v="76.293055555555554"/>
    <x v="1"/>
    <x v="0"/>
    <n v="2.9597222222222221"/>
    <s v="Slow"/>
    <x v="1"/>
    <n v="1"/>
    <x v="0"/>
    <x v="0"/>
  </r>
  <r>
    <n v="2377"/>
    <x v="2376"/>
    <n v="4.9999999999999996E-2"/>
    <n v="1402"/>
    <n v="271"/>
    <n v="24.5"/>
    <x v="0"/>
    <x v="2"/>
    <n v="2.4624999999999999"/>
    <s v="Slow"/>
    <x v="1"/>
    <n v="1"/>
    <x v="0"/>
    <x v="0"/>
  </r>
  <r>
    <n v="2378"/>
    <x v="2377"/>
    <n v="6.3194444444444442E-2"/>
    <n v="1357"/>
    <n v="14"/>
    <n v="36.792361111111113"/>
    <x v="3"/>
    <x v="0"/>
    <n v="1.6673611111111111"/>
    <s v="Slow"/>
    <x v="1"/>
    <n v="1"/>
    <x v="0"/>
    <x v="0"/>
  </r>
  <r>
    <n v="2379"/>
    <x v="2378"/>
    <n v="6.5277777777777782E-2"/>
    <n v="4734"/>
    <n v="175"/>
    <n v="0.20972222222222223"/>
    <x v="1"/>
    <x v="2"/>
    <n v="0.62569444444444444"/>
    <s v="Fast"/>
    <x v="2"/>
    <n v="1"/>
    <x v="0"/>
    <x v="0"/>
  </r>
  <r>
    <n v="2380"/>
    <x v="2379"/>
    <n v="6.1111111111111109E-2"/>
    <n v="3019"/>
    <n v="234"/>
    <n v="49.25"/>
    <x v="3"/>
    <x v="1"/>
    <n v="2.1708333333333334"/>
    <s v="Slow"/>
    <x v="2"/>
    <n v="0"/>
    <x v="1"/>
    <x v="1"/>
  </r>
  <r>
    <n v="2381"/>
    <x v="2380"/>
    <n v="6.8749999999999992E-2"/>
    <n v="3956"/>
    <n v="159"/>
    <n v="6.7145833333333336"/>
    <x v="2"/>
    <x v="2"/>
    <n v="1.2118055555555556"/>
    <s v="Fast"/>
    <x v="2"/>
    <n v="0"/>
    <x v="1"/>
    <x v="1"/>
  </r>
  <r>
    <n v="2382"/>
    <x v="2381"/>
    <n v="4.5138888888888888E-2"/>
    <n v="3108"/>
    <n v="227"/>
    <n v="4.6284722222222223"/>
    <x v="3"/>
    <x v="3"/>
    <n v="1.2513888888888889"/>
    <s v="Fast"/>
    <x v="0"/>
    <n v="0"/>
    <x v="1"/>
    <x v="1"/>
  </r>
  <r>
    <n v="2383"/>
    <x v="2382"/>
    <n v="5.4166666666666669E-2"/>
    <n v="797"/>
    <n v="300"/>
    <n v="50.379861111111104"/>
    <x v="2"/>
    <x v="1"/>
    <n v="2.7513888888888887"/>
    <s v="Slow"/>
    <x v="1"/>
    <n v="1"/>
    <x v="0"/>
    <x v="2"/>
  </r>
  <r>
    <n v="2384"/>
    <x v="2383"/>
    <n v="6.3888888888888898E-2"/>
    <n v="1870"/>
    <n v="224"/>
    <n v="69.458333333333329"/>
    <x v="3"/>
    <x v="2"/>
    <n v="2.6312500000000001"/>
    <s v="Slow"/>
    <x v="2"/>
    <n v="0"/>
    <x v="1"/>
    <x v="1"/>
  </r>
  <r>
    <n v="2385"/>
    <x v="2384"/>
    <n v="6.8749999999999992E-2"/>
    <n v="3508"/>
    <n v="378"/>
    <n v="75.297916666666666"/>
    <x v="1"/>
    <x v="3"/>
    <n v="2.3361111111111112"/>
    <s v="Slow"/>
    <x v="0"/>
    <n v="0"/>
    <x v="1"/>
    <x v="1"/>
  </r>
  <r>
    <n v="2386"/>
    <x v="2385"/>
    <n v="4.7222222222222221E-2"/>
    <n v="1764"/>
    <n v="91"/>
    <n v="54.211111111111109"/>
    <x v="3"/>
    <x v="0"/>
    <n v="1.3784722222222223"/>
    <s v="Fast"/>
    <x v="0"/>
    <n v="0"/>
    <x v="1"/>
    <x v="1"/>
  </r>
  <r>
    <n v="2387"/>
    <x v="2386"/>
    <n v="6.2499999999999995E-3"/>
    <n v="4811"/>
    <n v="417"/>
    <n v="35.334027777777777"/>
    <x v="0"/>
    <x v="2"/>
    <n v="1.8388888888888888"/>
    <s v="Slow"/>
    <x v="2"/>
    <n v="0"/>
    <x v="1"/>
    <x v="1"/>
  </r>
  <r>
    <n v="2388"/>
    <x v="2387"/>
    <n v="4.7222222222222221E-2"/>
    <n v="2797"/>
    <n v="142"/>
    <n v="26.421527777777779"/>
    <x v="1"/>
    <x v="3"/>
    <n v="1.3347222222222221"/>
    <s v="Fast"/>
    <x v="0"/>
    <n v="0"/>
    <x v="1"/>
    <x v="1"/>
  </r>
  <r>
    <n v="2389"/>
    <x v="2388"/>
    <n v="5.2777777777777778E-2"/>
    <n v="2295"/>
    <n v="184"/>
    <n v="82.00277777777778"/>
    <x v="2"/>
    <x v="0"/>
    <n v="1.4625000000000001"/>
    <s v="Fast"/>
    <x v="2"/>
    <n v="0"/>
    <x v="1"/>
    <x v="1"/>
  </r>
  <r>
    <n v="2390"/>
    <x v="2389"/>
    <n v="6.2499999999999995E-3"/>
    <n v="4077"/>
    <n v="207"/>
    <n v="61.542361111111113"/>
    <x v="2"/>
    <x v="3"/>
    <n v="1.4618055555555556"/>
    <s v="Fast"/>
    <x v="1"/>
    <n v="0"/>
    <x v="1"/>
    <x v="1"/>
  </r>
  <r>
    <n v="2391"/>
    <x v="2390"/>
    <n v="6.3194444444444442E-2"/>
    <n v="2186"/>
    <n v="53"/>
    <n v="53.381250000000001"/>
    <x v="3"/>
    <x v="2"/>
    <n v="1.5430555555555554"/>
    <s v="Slow"/>
    <x v="1"/>
    <n v="1"/>
    <x v="0"/>
    <x v="0"/>
  </r>
  <r>
    <n v="2392"/>
    <x v="2391"/>
    <n v="4.3055555555555562E-2"/>
    <n v="3985"/>
    <n v="304"/>
    <n v="1.6680555555555554"/>
    <x v="0"/>
    <x v="2"/>
    <n v="1.0479166666666666"/>
    <s v="Fast"/>
    <x v="0"/>
    <n v="1"/>
    <x v="0"/>
    <x v="0"/>
  </r>
  <r>
    <n v="2393"/>
    <x v="2392"/>
    <n v="4.8611111111111112E-3"/>
    <n v="3215"/>
    <n v="225"/>
    <n v="8.8388888888888886"/>
    <x v="3"/>
    <x v="3"/>
    <n v="2.3763888888888887"/>
    <s v="Slow"/>
    <x v="1"/>
    <n v="0"/>
    <x v="1"/>
    <x v="1"/>
  </r>
  <r>
    <n v="2394"/>
    <x v="2393"/>
    <n v="6.8749999999999992E-2"/>
    <n v="4036"/>
    <n v="310"/>
    <n v="30.375694444444445"/>
    <x v="2"/>
    <x v="1"/>
    <n v="1.6729166666666666"/>
    <s v="Slow"/>
    <x v="1"/>
    <n v="0"/>
    <x v="1"/>
    <x v="1"/>
  </r>
  <r>
    <n v="2395"/>
    <x v="2394"/>
    <n v="5.7638888888888885E-2"/>
    <n v="3546"/>
    <n v="417"/>
    <n v="46.128472222222221"/>
    <x v="3"/>
    <x v="0"/>
    <n v="2.5874999999999999"/>
    <s v="Slow"/>
    <x v="0"/>
    <n v="0"/>
    <x v="1"/>
    <x v="1"/>
  </r>
  <r>
    <n v="2396"/>
    <x v="2395"/>
    <n v="5.7638888888888885E-2"/>
    <n v="3136"/>
    <n v="293"/>
    <n v="61.084722222222219"/>
    <x v="3"/>
    <x v="3"/>
    <n v="2.880555555555556"/>
    <s v="Slow"/>
    <x v="2"/>
    <n v="0"/>
    <x v="1"/>
    <x v="1"/>
  </r>
  <r>
    <n v="2397"/>
    <x v="2396"/>
    <n v="4.8611111111111112E-3"/>
    <n v="2624"/>
    <n v="1"/>
    <n v="49.297222222222224"/>
    <x v="2"/>
    <x v="2"/>
    <n v="1.6701388888888891"/>
    <s v="Slow"/>
    <x v="2"/>
    <n v="1"/>
    <x v="0"/>
    <x v="0"/>
  </r>
  <r>
    <n v="2398"/>
    <x v="2397"/>
    <n v="5.4166666666666669E-2"/>
    <n v="2773"/>
    <n v="135"/>
    <n v="50.422916666666673"/>
    <x v="1"/>
    <x v="0"/>
    <n v="1.9194444444444445"/>
    <s v="Slow"/>
    <x v="0"/>
    <n v="0"/>
    <x v="1"/>
    <x v="1"/>
  </r>
  <r>
    <n v="2399"/>
    <x v="2398"/>
    <n v="4.9305555555555554E-2"/>
    <n v="2284"/>
    <n v="203"/>
    <n v="29.171527777777779"/>
    <x v="3"/>
    <x v="0"/>
    <n v="2.0423611111111111"/>
    <s v="Slow"/>
    <x v="0"/>
    <n v="0"/>
    <x v="1"/>
    <x v="1"/>
  </r>
  <r>
    <n v="2400"/>
    <x v="2399"/>
    <n v="4.5833333333333337E-2"/>
    <n v="3267"/>
    <n v="488"/>
    <n v="34.584722222222219"/>
    <x v="2"/>
    <x v="2"/>
    <n v="2.5874999999999999"/>
    <s v="Slow"/>
    <x v="0"/>
    <n v="1"/>
    <x v="0"/>
    <x v="0"/>
  </r>
  <r>
    <n v="2401"/>
    <x v="2400"/>
    <n v="4.9305555555555554E-2"/>
    <n v="2361"/>
    <n v="364"/>
    <n v="24.962500000000002"/>
    <x v="3"/>
    <x v="3"/>
    <n v="2.5833333333333335"/>
    <s v="Slow"/>
    <x v="2"/>
    <n v="0"/>
    <x v="1"/>
    <x v="1"/>
  </r>
  <r>
    <n v="2402"/>
    <x v="2401"/>
    <n v="5.6944444444444443E-2"/>
    <n v="3753"/>
    <n v="21"/>
    <n v="9.3347222222222221"/>
    <x v="3"/>
    <x v="0"/>
    <n v="0.20833333333333334"/>
    <s v="Fast"/>
    <x v="1"/>
    <n v="0"/>
    <x v="1"/>
    <x v="1"/>
  </r>
  <r>
    <n v="2403"/>
    <x v="2402"/>
    <n v="5.6250000000000001E-2"/>
    <n v="4580"/>
    <n v="469"/>
    <n v="34.130555555555553"/>
    <x v="1"/>
    <x v="2"/>
    <n v="1.8805555555555555"/>
    <s v="Slow"/>
    <x v="2"/>
    <n v="0"/>
    <x v="1"/>
    <x v="1"/>
  </r>
  <r>
    <n v="2404"/>
    <x v="2403"/>
    <n v="5.6250000000000001E-2"/>
    <n v="1381"/>
    <n v="273"/>
    <n v="29.293749999999999"/>
    <x v="2"/>
    <x v="1"/>
    <n v="0.3354166666666667"/>
    <s v="Fast"/>
    <x v="2"/>
    <n v="0"/>
    <x v="1"/>
    <x v="1"/>
  </r>
  <r>
    <n v="2405"/>
    <x v="2404"/>
    <n v="5.1388888888888894E-2"/>
    <n v="2735"/>
    <n v="104"/>
    <n v="19.502777777777776"/>
    <x v="0"/>
    <x v="2"/>
    <n v="1.3756944444444443"/>
    <s v="Fast"/>
    <x v="1"/>
    <n v="0"/>
    <x v="1"/>
    <x v="1"/>
  </r>
  <r>
    <n v="2406"/>
    <x v="2405"/>
    <n v="5.3472222222222227E-2"/>
    <n v="819"/>
    <n v="9"/>
    <n v="35.629861111111111"/>
    <x v="3"/>
    <x v="2"/>
    <n v="1.6305555555555555"/>
    <s v="Slow"/>
    <x v="2"/>
    <n v="0"/>
    <x v="1"/>
    <x v="1"/>
  </r>
  <r>
    <n v="2407"/>
    <x v="2406"/>
    <n v="6.5972222222222224E-2"/>
    <n v="351"/>
    <n v="180"/>
    <n v="23.792361111111109"/>
    <x v="1"/>
    <x v="3"/>
    <n v="1.0048611111111112"/>
    <s v="Fast"/>
    <x v="2"/>
    <n v="1"/>
    <x v="0"/>
    <x v="0"/>
  </r>
  <r>
    <n v="2408"/>
    <x v="2407"/>
    <n v="6.7361111111111108E-2"/>
    <n v="796"/>
    <n v="403"/>
    <n v="14.250694444444443"/>
    <x v="0"/>
    <x v="0"/>
    <n v="2.6263888888888887"/>
    <s v="Slow"/>
    <x v="1"/>
    <n v="0"/>
    <x v="1"/>
    <x v="1"/>
  </r>
  <r>
    <n v="2409"/>
    <x v="2408"/>
    <n v="6.6666666666666666E-2"/>
    <n v="776"/>
    <n v="329"/>
    <n v="48.541666666666664"/>
    <x v="1"/>
    <x v="3"/>
    <n v="2.0895833333333331"/>
    <s v="Slow"/>
    <x v="0"/>
    <n v="0"/>
    <x v="1"/>
    <x v="1"/>
  </r>
  <r>
    <n v="2410"/>
    <x v="2409"/>
    <n v="4.7916666666666663E-2"/>
    <n v="3133"/>
    <n v="117"/>
    <n v="76.5"/>
    <x v="1"/>
    <x v="0"/>
    <n v="2.5006944444444446"/>
    <s v="Slow"/>
    <x v="2"/>
    <n v="0"/>
    <x v="1"/>
    <x v="1"/>
  </r>
  <r>
    <n v="2411"/>
    <x v="2410"/>
    <n v="5.9027777777777783E-2"/>
    <n v="2514"/>
    <n v="35"/>
    <n v="64.58541666666666"/>
    <x v="1"/>
    <x v="1"/>
    <n v="0.1673611111111111"/>
    <s v="Fast"/>
    <x v="2"/>
    <n v="0"/>
    <x v="1"/>
    <x v="1"/>
  </r>
  <r>
    <n v="2412"/>
    <x v="2411"/>
    <n v="6.3194444444444442E-2"/>
    <n v="4485"/>
    <n v="479"/>
    <n v="58.83819444444444"/>
    <x v="1"/>
    <x v="0"/>
    <n v="2.4229166666666666"/>
    <s v="Slow"/>
    <x v="2"/>
    <n v="0"/>
    <x v="1"/>
    <x v="1"/>
  </r>
  <r>
    <n v="2413"/>
    <x v="2412"/>
    <n v="5.0694444444444438E-2"/>
    <n v="2683"/>
    <n v="478"/>
    <n v="25.461111111111112"/>
    <x v="2"/>
    <x v="2"/>
    <n v="2.1715277777777779"/>
    <s v="Slow"/>
    <x v="2"/>
    <n v="0"/>
    <x v="1"/>
    <x v="1"/>
  </r>
  <r>
    <n v="2414"/>
    <x v="2413"/>
    <n v="5.486111111111111E-2"/>
    <n v="3285"/>
    <n v="20"/>
    <n v="78.209027777777777"/>
    <x v="0"/>
    <x v="1"/>
    <n v="1.8368055555555556"/>
    <s v="Slow"/>
    <x v="0"/>
    <n v="0"/>
    <x v="1"/>
    <x v="1"/>
  </r>
  <r>
    <n v="2415"/>
    <x v="2414"/>
    <n v="6.5277777777777782E-2"/>
    <n v="3733"/>
    <n v="453"/>
    <n v="64.794444444444437"/>
    <x v="0"/>
    <x v="1"/>
    <n v="0.33888888888888885"/>
    <s v="Fast"/>
    <x v="2"/>
    <n v="0"/>
    <x v="1"/>
    <x v="1"/>
  </r>
  <r>
    <n v="2416"/>
    <x v="2415"/>
    <n v="6.1111111111111109E-2"/>
    <n v="1937"/>
    <n v="438"/>
    <n v="37.959722222222219"/>
    <x v="1"/>
    <x v="1"/>
    <n v="2.3340277777777776"/>
    <s v="Slow"/>
    <x v="1"/>
    <n v="0"/>
    <x v="1"/>
    <x v="1"/>
  </r>
  <r>
    <n v="2417"/>
    <x v="2416"/>
    <n v="6.1805555555555558E-2"/>
    <n v="2079"/>
    <n v="4"/>
    <n v="11.71111111111111"/>
    <x v="2"/>
    <x v="0"/>
    <n v="2.9597222222222221"/>
    <s v="Slow"/>
    <x v="1"/>
    <n v="1"/>
    <x v="0"/>
    <x v="0"/>
  </r>
  <r>
    <n v="2418"/>
    <x v="2417"/>
    <n v="4.3750000000000004E-2"/>
    <n v="4828"/>
    <n v="237"/>
    <n v="50.044444444444444"/>
    <x v="1"/>
    <x v="3"/>
    <n v="0.29583333333333334"/>
    <s v="Fast"/>
    <x v="0"/>
    <n v="0"/>
    <x v="1"/>
    <x v="1"/>
  </r>
  <r>
    <n v="2419"/>
    <x v="2418"/>
    <n v="4.3055555555555562E-2"/>
    <n v="4861"/>
    <n v="489"/>
    <n v="15.169444444444444"/>
    <x v="1"/>
    <x v="1"/>
    <n v="2.0895833333333331"/>
    <s v="Slow"/>
    <x v="2"/>
    <n v="0"/>
    <x v="1"/>
    <x v="1"/>
  </r>
  <r>
    <n v="2420"/>
    <x v="2419"/>
    <n v="6.1111111111111109E-2"/>
    <n v="3781"/>
    <n v="116"/>
    <n v="27.251388888888886"/>
    <x v="2"/>
    <x v="3"/>
    <n v="0.75069444444444444"/>
    <s v="Fast"/>
    <x v="2"/>
    <n v="0"/>
    <x v="1"/>
    <x v="1"/>
  </r>
  <r>
    <n v="2421"/>
    <x v="2420"/>
    <n v="5.7638888888888885E-2"/>
    <n v="3679"/>
    <n v="168"/>
    <n v="82.33819444444444"/>
    <x v="1"/>
    <x v="2"/>
    <n v="0.29583333333333334"/>
    <s v="Fast"/>
    <x v="0"/>
    <n v="0"/>
    <x v="1"/>
    <x v="1"/>
  </r>
  <r>
    <n v="2422"/>
    <x v="2421"/>
    <n v="4.6527777777777779E-2"/>
    <n v="2023"/>
    <n v="403"/>
    <n v="46.960416666666667"/>
    <x v="3"/>
    <x v="3"/>
    <n v="2.5444444444444447"/>
    <s v="Slow"/>
    <x v="2"/>
    <n v="0"/>
    <x v="1"/>
    <x v="1"/>
  </r>
  <r>
    <n v="2423"/>
    <x v="2422"/>
    <n v="4.1666666666666666E-3"/>
    <n v="4737"/>
    <n v="108"/>
    <n v="16.336111111111112"/>
    <x v="0"/>
    <x v="1"/>
    <n v="0.67013888888888884"/>
    <s v="Fast"/>
    <x v="2"/>
    <n v="0"/>
    <x v="1"/>
    <x v="1"/>
  </r>
  <r>
    <n v="2424"/>
    <x v="2423"/>
    <n v="4.7916666666666663E-2"/>
    <n v="1272"/>
    <n v="363"/>
    <n v="26.208333333333332"/>
    <x v="2"/>
    <x v="1"/>
    <n v="0.71319444444444446"/>
    <s v="Fast"/>
    <x v="0"/>
    <n v="1"/>
    <x v="0"/>
    <x v="2"/>
  </r>
  <r>
    <n v="2425"/>
    <x v="2424"/>
    <n v="5.9027777777777783E-2"/>
    <n v="2662"/>
    <n v="462"/>
    <n v="69.836805555555557"/>
    <x v="2"/>
    <x v="1"/>
    <n v="2.6256944444444446"/>
    <s v="Slow"/>
    <x v="2"/>
    <n v="0"/>
    <x v="1"/>
    <x v="1"/>
  </r>
  <r>
    <n v="2426"/>
    <x v="2425"/>
    <n v="5.1388888888888894E-2"/>
    <n v="703"/>
    <n v="396"/>
    <n v="6.4638888888888886"/>
    <x v="1"/>
    <x v="1"/>
    <n v="2.9194444444444443"/>
    <s v="Slow"/>
    <x v="0"/>
    <n v="1"/>
    <x v="0"/>
    <x v="2"/>
  </r>
  <r>
    <n v="2427"/>
    <x v="2426"/>
    <n v="5.9722222222222225E-2"/>
    <n v="1260"/>
    <n v="276"/>
    <n v="21.754166666666666"/>
    <x v="0"/>
    <x v="2"/>
    <n v="2.1312500000000001"/>
    <s v="Slow"/>
    <x v="1"/>
    <n v="0"/>
    <x v="1"/>
    <x v="1"/>
  </r>
  <r>
    <n v="2428"/>
    <x v="2427"/>
    <n v="4.5833333333333337E-2"/>
    <n v="4716"/>
    <n v="316"/>
    <n v="21.458333333333332"/>
    <x v="1"/>
    <x v="2"/>
    <n v="1.3763888888888889"/>
    <s v="Fast"/>
    <x v="2"/>
    <n v="0"/>
    <x v="1"/>
    <x v="1"/>
  </r>
  <r>
    <n v="2429"/>
    <x v="2428"/>
    <n v="5.9722222222222225E-2"/>
    <n v="3816"/>
    <n v="182"/>
    <n v="19.460416666666667"/>
    <x v="1"/>
    <x v="3"/>
    <n v="0.25277777777777777"/>
    <s v="Fast"/>
    <x v="0"/>
    <n v="0"/>
    <x v="1"/>
    <x v="1"/>
  </r>
  <r>
    <n v="2430"/>
    <x v="2429"/>
    <n v="4.4444444444444446E-2"/>
    <n v="1129"/>
    <n v="174"/>
    <n v="33.088888888888889"/>
    <x v="0"/>
    <x v="0"/>
    <n v="2.0430555555555556"/>
    <s v="Slow"/>
    <x v="1"/>
    <n v="0"/>
    <x v="1"/>
    <x v="1"/>
  </r>
  <r>
    <n v="2431"/>
    <x v="2430"/>
    <n v="6.6666666666666666E-2"/>
    <n v="492"/>
    <n v="217"/>
    <n v="70.876388888888883"/>
    <x v="1"/>
    <x v="0"/>
    <n v="2.4222222222222221"/>
    <s v="Slow"/>
    <x v="2"/>
    <n v="0"/>
    <x v="1"/>
    <x v="1"/>
  </r>
  <r>
    <n v="2432"/>
    <x v="2431"/>
    <n v="4.8611111111111112E-3"/>
    <n v="1743"/>
    <n v="365"/>
    <n v="56.666666666666664"/>
    <x v="2"/>
    <x v="3"/>
    <n v="1.2548611111111112"/>
    <s v="Fast"/>
    <x v="1"/>
    <n v="1"/>
    <x v="0"/>
    <x v="0"/>
  </r>
  <r>
    <n v="2433"/>
    <x v="2432"/>
    <n v="4.1666666666666666E-3"/>
    <n v="2408"/>
    <n v="349"/>
    <n v="76.25277777777778"/>
    <x v="0"/>
    <x v="0"/>
    <n v="0.25486111111111109"/>
    <s v="Fast"/>
    <x v="0"/>
    <n v="0"/>
    <x v="1"/>
    <x v="1"/>
  </r>
  <r>
    <n v="2434"/>
    <x v="2433"/>
    <n v="6.3888888888888898E-2"/>
    <n v="4251"/>
    <n v="30"/>
    <n v="40.875"/>
    <x v="1"/>
    <x v="2"/>
    <n v="1.3333333333333333"/>
    <s v="Fast"/>
    <x v="2"/>
    <n v="0"/>
    <x v="1"/>
    <x v="1"/>
  </r>
  <r>
    <n v="2435"/>
    <x v="2434"/>
    <n v="5.0694444444444438E-2"/>
    <n v="872"/>
    <n v="393"/>
    <n v="62.043749999999996"/>
    <x v="1"/>
    <x v="3"/>
    <n v="0.25069444444444444"/>
    <s v="Fast"/>
    <x v="0"/>
    <n v="0"/>
    <x v="1"/>
    <x v="1"/>
  </r>
  <r>
    <n v="2436"/>
    <x v="2435"/>
    <n v="5.2777777777777778E-2"/>
    <n v="2982"/>
    <n v="127"/>
    <n v="54.422916666666673"/>
    <x v="1"/>
    <x v="3"/>
    <n v="0.46319444444444446"/>
    <s v="Fast"/>
    <x v="1"/>
    <n v="0"/>
    <x v="1"/>
    <x v="1"/>
  </r>
  <r>
    <n v="2437"/>
    <x v="2436"/>
    <n v="4.5833333333333337E-2"/>
    <n v="400"/>
    <n v="159"/>
    <n v="24.293749999999999"/>
    <x v="1"/>
    <x v="0"/>
    <n v="0.71180555555555547"/>
    <s v="Fast"/>
    <x v="0"/>
    <n v="0"/>
    <x v="1"/>
    <x v="1"/>
  </r>
  <r>
    <n v="2438"/>
    <x v="2437"/>
    <n v="4.7222222222222221E-2"/>
    <n v="3667"/>
    <n v="198"/>
    <n v="83.131250000000009"/>
    <x v="2"/>
    <x v="3"/>
    <n v="2.0034722222222223"/>
    <s v="Slow"/>
    <x v="2"/>
    <n v="0"/>
    <x v="1"/>
    <x v="1"/>
  </r>
  <r>
    <n v="2439"/>
    <x v="2438"/>
    <n v="5.2777777777777778E-2"/>
    <n v="4678"/>
    <n v="229"/>
    <n v="65.583333333333329"/>
    <x v="2"/>
    <x v="2"/>
    <n v="1.3805555555555555"/>
    <s v="Fast"/>
    <x v="2"/>
    <n v="0"/>
    <x v="1"/>
    <x v="1"/>
  </r>
  <r>
    <n v="2440"/>
    <x v="2439"/>
    <n v="4.9999999999999996E-2"/>
    <n v="2874"/>
    <n v="83"/>
    <n v="2.3805555555555555"/>
    <x v="0"/>
    <x v="1"/>
    <n v="2.2097222222222221"/>
    <s v="Slow"/>
    <x v="0"/>
    <n v="1"/>
    <x v="0"/>
    <x v="2"/>
  </r>
  <r>
    <n v="2441"/>
    <x v="2440"/>
    <n v="5.5555555555555558E-3"/>
    <n v="468"/>
    <n v="139"/>
    <n v="80.378472222222214"/>
    <x v="3"/>
    <x v="3"/>
    <n v="2.4215277777777779"/>
    <s v="Slow"/>
    <x v="0"/>
    <n v="0"/>
    <x v="1"/>
    <x v="1"/>
  </r>
  <r>
    <n v="2442"/>
    <x v="2441"/>
    <n v="4.9305555555555554E-2"/>
    <n v="2747"/>
    <n v="422"/>
    <n v="31.089583333333334"/>
    <x v="0"/>
    <x v="0"/>
    <n v="2.0861111111111112"/>
    <s v="Slow"/>
    <x v="1"/>
    <n v="0"/>
    <x v="1"/>
    <x v="1"/>
  </r>
  <r>
    <n v="2443"/>
    <x v="2442"/>
    <n v="5.3472222222222227E-2"/>
    <n v="3231"/>
    <n v="40"/>
    <n v="41.212499999999999"/>
    <x v="1"/>
    <x v="0"/>
    <n v="0.7090277777777777"/>
    <s v="Fast"/>
    <x v="2"/>
    <n v="0"/>
    <x v="1"/>
    <x v="1"/>
  </r>
  <r>
    <n v="2444"/>
    <x v="2443"/>
    <n v="4.2361111111111106E-2"/>
    <n v="2815"/>
    <n v="422"/>
    <n v="22.542361111111109"/>
    <x v="3"/>
    <x v="1"/>
    <n v="1.375"/>
    <s v="Fast"/>
    <x v="0"/>
    <n v="0"/>
    <x v="1"/>
    <x v="1"/>
  </r>
  <r>
    <n v="2445"/>
    <x v="2444"/>
    <n v="5.5555555555555558E-3"/>
    <n v="3452"/>
    <n v="330"/>
    <n v="21.797222222222221"/>
    <x v="0"/>
    <x v="2"/>
    <n v="2.5062500000000001"/>
    <s v="Slow"/>
    <x v="2"/>
    <n v="1"/>
    <x v="0"/>
    <x v="0"/>
  </r>
  <r>
    <n v="2446"/>
    <x v="2445"/>
    <n v="5.8333333333333327E-2"/>
    <n v="1755"/>
    <n v="314"/>
    <n v="61.168749999999996"/>
    <x v="3"/>
    <x v="3"/>
    <n v="0.1673611111111111"/>
    <s v="Fast"/>
    <x v="2"/>
    <n v="0"/>
    <x v="1"/>
    <x v="1"/>
  </r>
  <r>
    <n v="2447"/>
    <x v="2446"/>
    <n v="6.6666666666666666E-2"/>
    <n v="4586"/>
    <n v="376"/>
    <n v="6.6305555555555555"/>
    <x v="3"/>
    <x v="2"/>
    <n v="1.8756944444444443"/>
    <s v="Slow"/>
    <x v="0"/>
    <n v="0"/>
    <x v="1"/>
    <x v="1"/>
  </r>
  <r>
    <n v="2448"/>
    <x v="2447"/>
    <n v="6.1805555555555558E-2"/>
    <n v="4311"/>
    <n v="5"/>
    <n v="70.712499999999991"/>
    <x v="3"/>
    <x v="2"/>
    <n v="0.29375000000000001"/>
    <s v="Fast"/>
    <x v="0"/>
    <n v="0"/>
    <x v="1"/>
    <x v="1"/>
  </r>
  <r>
    <n v="2449"/>
    <x v="2448"/>
    <n v="4.3750000000000004E-2"/>
    <n v="476"/>
    <n v="47"/>
    <n v="3.0041666666666664"/>
    <x v="1"/>
    <x v="0"/>
    <n v="2.379861111111111"/>
    <s v="Slow"/>
    <x v="0"/>
    <n v="1"/>
    <x v="0"/>
    <x v="0"/>
  </r>
  <r>
    <n v="2450"/>
    <x v="2449"/>
    <n v="5.2083333333333336E-2"/>
    <n v="3757"/>
    <n v="444"/>
    <n v="6.667361111111112"/>
    <x v="1"/>
    <x v="0"/>
    <n v="0.13055555555555556"/>
    <s v="Fast"/>
    <x v="2"/>
    <n v="0"/>
    <x v="1"/>
    <x v="1"/>
  </r>
  <r>
    <n v="2451"/>
    <x v="2450"/>
    <n v="6.2499999999999995E-3"/>
    <n v="2748"/>
    <n v="343"/>
    <n v="11.547916666666666"/>
    <x v="2"/>
    <x v="1"/>
    <n v="2.0881944444444445"/>
    <s v="Slow"/>
    <x v="2"/>
    <n v="0"/>
    <x v="1"/>
    <x v="1"/>
  </r>
  <r>
    <n v="2452"/>
    <x v="2451"/>
    <n v="6.1805555555555558E-2"/>
    <n v="2713"/>
    <n v="130"/>
    <n v="30.668055555555554"/>
    <x v="2"/>
    <x v="2"/>
    <n v="0.58472222222222225"/>
    <s v="Fast"/>
    <x v="2"/>
    <n v="0"/>
    <x v="1"/>
    <x v="1"/>
  </r>
  <r>
    <n v="2453"/>
    <x v="2452"/>
    <n v="4.3055555555555562E-2"/>
    <n v="2245"/>
    <n v="466"/>
    <n v="30.295833333333334"/>
    <x v="2"/>
    <x v="0"/>
    <n v="0.42083333333333334"/>
    <s v="Fast"/>
    <x v="1"/>
    <n v="0"/>
    <x v="1"/>
    <x v="1"/>
  </r>
  <r>
    <n v="2454"/>
    <x v="2453"/>
    <n v="4.2361111111111106E-2"/>
    <n v="2740"/>
    <n v="304"/>
    <n v="55.045833333333327"/>
    <x v="0"/>
    <x v="0"/>
    <n v="1.8333333333333333"/>
    <s v="Slow"/>
    <x v="2"/>
    <n v="0"/>
    <x v="1"/>
    <x v="1"/>
  </r>
  <r>
    <n v="2455"/>
    <x v="2454"/>
    <n v="5.5555555555555558E-3"/>
    <n v="4780"/>
    <n v="477"/>
    <n v="52.25555555555556"/>
    <x v="0"/>
    <x v="0"/>
    <n v="1.9625000000000001"/>
    <s v="Slow"/>
    <x v="0"/>
    <n v="0"/>
    <x v="1"/>
    <x v="1"/>
  </r>
  <r>
    <n v="2456"/>
    <x v="2455"/>
    <n v="5.4166666666666669E-2"/>
    <n v="421"/>
    <n v="363"/>
    <n v="46.545833333333327"/>
    <x v="2"/>
    <x v="0"/>
    <n v="1.1284722222222221"/>
    <s v="Fast"/>
    <x v="2"/>
    <n v="0"/>
    <x v="1"/>
    <x v="1"/>
  </r>
  <r>
    <n v="2457"/>
    <x v="2456"/>
    <n v="4.5138888888888888E-2"/>
    <n v="4135"/>
    <n v="369"/>
    <n v="14.670833333333334"/>
    <x v="3"/>
    <x v="0"/>
    <n v="0.38125000000000003"/>
    <s v="Fast"/>
    <x v="2"/>
    <n v="1"/>
    <x v="0"/>
    <x v="0"/>
  </r>
  <r>
    <n v="2458"/>
    <x v="2457"/>
    <n v="4.9305555555555554E-2"/>
    <n v="1701"/>
    <n v="216"/>
    <n v="20.630555555555556"/>
    <x v="1"/>
    <x v="3"/>
    <n v="1.0479166666666666"/>
    <s v="Fast"/>
    <x v="0"/>
    <n v="0"/>
    <x v="1"/>
    <x v="1"/>
  </r>
  <r>
    <n v="2459"/>
    <x v="2458"/>
    <n v="5.1388888888888894E-2"/>
    <n v="3270"/>
    <n v="294"/>
    <n v="60.586111111111109"/>
    <x v="1"/>
    <x v="2"/>
    <n v="1.6694444444444445"/>
    <s v="Slow"/>
    <x v="1"/>
    <n v="1"/>
    <x v="0"/>
    <x v="0"/>
  </r>
  <r>
    <n v="2460"/>
    <x v="2459"/>
    <n v="6.3194444444444442E-2"/>
    <n v="1557"/>
    <n v="147"/>
    <n v="58.459722222222219"/>
    <x v="3"/>
    <x v="3"/>
    <n v="0.79375000000000007"/>
    <s v="Fast"/>
    <x v="2"/>
    <n v="1"/>
    <x v="0"/>
    <x v="0"/>
  </r>
  <r>
    <n v="2461"/>
    <x v="2460"/>
    <n v="4.8611111111111112E-3"/>
    <n v="4371"/>
    <n v="285"/>
    <n v="75.087499999999991"/>
    <x v="0"/>
    <x v="3"/>
    <n v="0.62638888888888888"/>
    <s v="Fast"/>
    <x v="1"/>
    <n v="0"/>
    <x v="1"/>
    <x v="1"/>
  </r>
  <r>
    <n v="2462"/>
    <x v="2461"/>
    <n v="6.3888888888888898E-2"/>
    <n v="3631"/>
    <n v="418"/>
    <n v="35.125"/>
    <x v="2"/>
    <x v="0"/>
    <n v="1.1680555555555556"/>
    <s v="Fast"/>
    <x v="2"/>
    <n v="1"/>
    <x v="0"/>
    <x v="0"/>
  </r>
  <r>
    <n v="2463"/>
    <x v="2462"/>
    <n v="6.5277777777777782E-2"/>
    <n v="1158"/>
    <n v="286"/>
    <n v="63.166666666666664"/>
    <x v="2"/>
    <x v="0"/>
    <n v="1.3756944444444443"/>
    <s v="Fast"/>
    <x v="0"/>
    <n v="1"/>
    <x v="0"/>
    <x v="0"/>
  </r>
  <r>
    <n v="2464"/>
    <x v="2463"/>
    <n v="4.8611111111111112E-3"/>
    <n v="109"/>
    <n v="79"/>
    <n v="54.583333333333336"/>
    <x v="1"/>
    <x v="3"/>
    <n v="2.7083333333333335"/>
    <s v="Slow"/>
    <x v="2"/>
    <n v="0"/>
    <x v="1"/>
    <x v="1"/>
  </r>
  <r>
    <n v="2465"/>
    <x v="2464"/>
    <n v="6.5277777777777782E-2"/>
    <n v="4177"/>
    <n v="400"/>
    <n v="24.464583333333334"/>
    <x v="1"/>
    <x v="3"/>
    <n v="2.5465277777777779"/>
    <s v="Slow"/>
    <x v="1"/>
    <n v="1"/>
    <x v="0"/>
    <x v="0"/>
  </r>
  <r>
    <n v="2466"/>
    <x v="2465"/>
    <n v="4.3750000000000004E-2"/>
    <n v="1899"/>
    <n v="289"/>
    <n v="28.380555555555556"/>
    <x v="0"/>
    <x v="3"/>
    <n v="0.37777777777777777"/>
    <s v="Fast"/>
    <x v="1"/>
    <n v="0"/>
    <x v="1"/>
    <x v="1"/>
  </r>
  <r>
    <n v="2467"/>
    <x v="2466"/>
    <n v="5.2083333333333336E-2"/>
    <n v="382"/>
    <n v="202"/>
    <n v="69.131250000000009"/>
    <x v="0"/>
    <x v="1"/>
    <n v="1.6270833333333332"/>
    <s v="Slow"/>
    <x v="1"/>
    <n v="1"/>
    <x v="0"/>
    <x v="2"/>
  </r>
  <r>
    <n v="2468"/>
    <x v="2467"/>
    <n v="4.4444444444444446E-2"/>
    <n v="301"/>
    <n v="355"/>
    <n v="58.585416666666667"/>
    <x v="1"/>
    <x v="0"/>
    <n v="1.0868055555555556"/>
    <s v="Fast"/>
    <x v="2"/>
    <n v="1"/>
    <x v="0"/>
    <x v="0"/>
  </r>
  <r>
    <n v="2469"/>
    <x v="2468"/>
    <n v="5.0694444444444438E-2"/>
    <n v="1507"/>
    <n v="43"/>
    <n v="65.209722222222226"/>
    <x v="2"/>
    <x v="1"/>
    <n v="2.6715277777777775"/>
    <s v="Slow"/>
    <x v="2"/>
    <n v="0"/>
    <x v="1"/>
    <x v="1"/>
  </r>
  <r>
    <n v="2470"/>
    <x v="2469"/>
    <n v="4.9305555555555554E-2"/>
    <n v="2002"/>
    <n v="93"/>
    <n v="76.795138888888886"/>
    <x v="2"/>
    <x v="0"/>
    <n v="0.75277777777777777"/>
    <s v="Fast"/>
    <x v="1"/>
    <n v="0"/>
    <x v="1"/>
    <x v="1"/>
  </r>
  <r>
    <n v="2471"/>
    <x v="2470"/>
    <n v="6.2499999999999995E-3"/>
    <n v="3586"/>
    <n v="132"/>
    <n v="42.791666666666664"/>
    <x v="3"/>
    <x v="2"/>
    <n v="0.29236111111111113"/>
    <s v="Fast"/>
    <x v="1"/>
    <n v="1"/>
    <x v="0"/>
    <x v="0"/>
  </r>
  <r>
    <n v="2472"/>
    <x v="2471"/>
    <n v="6.458333333333334E-2"/>
    <n v="4628"/>
    <n v="284"/>
    <n v="25.588194444444444"/>
    <x v="2"/>
    <x v="0"/>
    <n v="1.0034722222222221"/>
    <s v="Fast"/>
    <x v="0"/>
    <n v="0"/>
    <x v="1"/>
    <x v="1"/>
  </r>
  <r>
    <n v="2473"/>
    <x v="2472"/>
    <n v="5.0694444444444438E-2"/>
    <n v="3949"/>
    <n v="141"/>
    <n v="49.50138888888889"/>
    <x v="1"/>
    <x v="2"/>
    <n v="2.5430555555555556"/>
    <s v="Slow"/>
    <x v="1"/>
    <n v="0"/>
    <x v="1"/>
    <x v="1"/>
  </r>
  <r>
    <n v="2474"/>
    <x v="2473"/>
    <n v="5.1388888888888894E-2"/>
    <n v="996"/>
    <n v="69"/>
    <n v="51.458333333333336"/>
    <x v="2"/>
    <x v="2"/>
    <n v="0.46249999999999997"/>
    <s v="Fast"/>
    <x v="1"/>
    <n v="0"/>
    <x v="1"/>
    <x v="1"/>
  </r>
  <r>
    <n v="2475"/>
    <x v="2474"/>
    <n v="6.8749999999999992E-2"/>
    <n v="1739"/>
    <n v="454"/>
    <n v="8.7083333333333339"/>
    <x v="1"/>
    <x v="2"/>
    <n v="0.13125000000000001"/>
    <s v="Fast"/>
    <x v="0"/>
    <n v="0"/>
    <x v="1"/>
    <x v="1"/>
  </r>
  <r>
    <n v="2476"/>
    <x v="2475"/>
    <n v="4.5833333333333337E-2"/>
    <n v="4570"/>
    <n v="483"/>
    <n v="15.671527777777778"/>
    <x v="3"/>
    <x v="3"/>
    <n v="2.9229166666666671"/>
    <s v="Slow"/>
    <x v="0"/>
    <n v="1"/>
    <x v="0"/>
    <x v="0"/>
  </r>
  <r>
    <n v="2477"/>
    <x v="2476"/>
    <n v="5.486111111111111E-2"/>
    <n v="1034"/>
    <n v="392"/>
    <n v="72.795138888888886"/>
    <x v="0"/>
    <x v="2"/>
    <n v="2.5861111111111112"/>
    <s v="Slow"/>
    <x v="1"/>
    <n v="0"/>
    <x v="1"/>
    <x v="1"/>
  </r>
  <r>
    <n v="2478"/>
    <x v="2477"/>
    <n v="5.8333333333333327E-2"/>
    <n v="3992"/>
    <n v="497"/>
    <n v="54.793055555555554"/>
    <x v="2"/>
    <x v="0"/>
    <n v="2.0479166666666666"/>
    <s v="Slow"/>
    <x v="0"/>
    <n v="0"/>
    <x v="1"/>
    <x v="1"/>
  </r>
  <r>
    <n v="2479"/>
    <x v="2478"/>
    <n v="5.9722222222222225E-2"/>
    <n v="3852"/>
    <n v="333"/>
    <n v="42.96319444444444"/>
    <x v="1"/>
    <x v="3"/>
    <n v="2.004861111111111"/>
    <s v="Slow"/>
    <x v="0"/>
    <n v="0"/>
    <x v="1"/>
    <x v="1"/>
  </r>
  <r>
    <n v="2480"/>
    <x v="2479"/>
    <n v="4.5833333333333337E-2"/>
    <n v="1359"/>
    <n v="62"/>
    <n v="46.37638888888889"/>
    <x v="1"/>
    <x v="0"/>
    <n v="2.629861111111111"/>
    <s v="Slow"/>
    <x v="0"/>
    <n v="0"/>
    <x v="1"/>
    <x v="1"/>
  </r>
  <r>
    <n v="2481"/>
    <x v="2480"/>
    <n v="5.0694444444444438E-2"/>
    <n v="530"/>
    <n v="337"/>
    <n v="57.959722222222219"/>
    <x v="0"/>
    <x v="1"/>
    <n v="2.8763888888888887"/>
    <s v="Slow"/>
    <x v="0"/>
    <n v="0"/>
    <x v="1"/>
    <x v="1"/>
  </r>
  <r>
    <n v="2482"/>
    <x v="2481"/>
    <n v="4.5833333333333337E-2"/>
    <n v="3544"/>
    <n v="467"/>
    <n v="31.255555555555556"/>
    <x v="0"/>
    <x v="2"/>
    <n v="1.1270833333333334"/>
    <s v="Fast"/>
    <x v="2"/>
    <n v="0"/>
    <x v="1"/>
    <x v="1"/>
  </r>
  <r>
    <n v="2483"/>
    <x v="2482"/>
    <n v="6.2499999999999995E-3"/>
    <n v="1167"/>
    <n v="463"/>
    <n v="79.379861111111111"/>
    <x v="3"/>
    <x v="2"/>
    <n v="1.7090277777777778"/>
    <s v="Slow"/>
    <x v="1"/>
    <n v="0"/>
    <x v="1"/>
    <x v="1"/>
  </r>
  <r>
    <n v="2484"/>
    <x v="2483"/>
    <n v="6.1805555555555558E-2"/>
    <n v="2559"/>
    <n v="47"/>
    <n v="10.333333333333334"/>
    <x v="1"/>
    <x v="0"/>
    <n v="1.6666666666666667"/>
    <s v="Slow"/>
    <x v="0"/>
    <n v="0"/>
    <x v="1"/>
    <x v="1"/>
  </r>
  <r>
    <n v="2485"/>
    <x v="2484"/>
    <n v="6.458333333333334E-2"/>
    <n v="4852"/>
    <n v="32"/>
    <n v="19.208333333333332"/>
    <x v="2"/>
    <x v="1"/>
    <n v="1.7111111111111112"/>
    <s v="Slow"/>
    <x v="2"/>
    <n v="1"/>
    <x v="0"/>
    <x v="2"/>
  </r>
  <r>
    <n v="2486"/>
    <x v="2485"/>
    <n v="5.3472222222222227E-2"/>
    <n v="4641"/>
    <n v="83"/>
    <n v="46.087499999999999"/>
    <x v="1"/>
    <x v="2"/>
    <n v="2.5027777777777778"/>
    <s v="Slow"/>
    <x v="2"/>
    <n v="0"/>
    <x v="1"/>
    <x v="1"/>
  </r>
  <r>
    <n v="2487"/>
    <x v="2486"/>
    <n v="4.2361111111111106E-2"/>
    <n v="403"/>
    <n v="343"/>
    <n v="16.255555555555556"/>
    <x v="0"/>
    <x v="3"/>
    <n v="2.2118055555555558"/>
    <s v="Slow"/>
    <x v="1"/>
    <n v="0"/>
    <x v="1"/>
    <x v="1"/>
  </r>
  <r>
    <n v="2488"/>
    <x v="2487"/>
    <n v="6.6666666666666666E-2"/>
    <n v="523"/>
    <n v="53"/>
    <n v="20.75138888888889"/>
    <x v="2"/>
    <x v="1"/>
    <n v="0.83333333333333337"/>
    <s v="Fast"/>
    <x v="2"/>
    <n v="1"/>
    <x v="0"/>
    <x v="2"/>
  </r>
  <r>
    <n v="2489"/>
    <x v="2488"/>
    <n v="4.4444444444444446E-2"/>
    <n v="1055"/>
    <n v="376"/>
    <n v="63.712499999999999"/>
    <x v="1"/>
    <x v="1"/>
    <n v="1.7104166666666665"/>
    <s v="Slow"/>
    <x v="0"/>
    <n v="0"/>
    <x v="1"/>
    <x v="1"/>
  </r>
  <r>
    <n v="2490"/>
    <x v="2489"/>
    <n v="4.7916666666666663E-2"/>
    <n v="1059"/>
    <n v="159"/>
    <n v="76.088888888888889"/>
    <x v="0"/>
    <x v="1"/>
    <n v="0.13055555555555556"/>
    <s v="Fast"/>
    <x v="2"/>
    <n v="0"/>
    <x v="1"/>
    <x v="1"/>
  </r>
  <r>
    <n v="2491"/>
    <x v="2490"/>
    <n v="4.2361111111111106E-2"/>
    <n v="3659"/>
    <n v="315"/>
    <n v="38.295138888888893"/>
    <x v="0"/>
    <x v="1"/>
    <n v="0.71388888888888891"/>
    <s v="Fast"/>
    <x v="0"/>
    <n v="1"/>
    <x v="0"/>
    <x v="2"/>
  </r>
  <r>
    <n v="2492"/>
    <x v="2491"/>
    <n v="5.2777777777777778E-2"/>
    <n v="1164"/>
    <n v="378"/>
    <n v="10.709027777777777"/>
    <x v="2"/>
    <x v="3"/>
    <n v="2.7520833333333332"/>
    <s v="Slow"/>
    <x v="1"/>
    <n v="0"/>
    <x v="1"/>
    <x v="1"/>
  </r>
  <r>
    <n v="2493"/>
    <x v="2492"/>
    <n v="6.1111111111111109E-2"/>
    <n v="1885"/>
    <n v="84"/>
    <n v="10.877777777777778"/>
    <x v="0"/>
    <x v="3"/>
    <n v="1.0041666666666667"/>
    <s v="Fast"/>
    <x v="0"/>
    <n v="0"/>
    <x v="1"/>
    <x v="1"/>
  </r>
  <r>
    <n v="2494"/>
    <x v="2493"/>
    <n v="6.7361111111111108E-2"/>
    <n v="3739"/>
    <n v="147"/>
    <n v="39.458333333333336"/>
    <x v="2"/>
    <x v="0"/>
    <n v="1.7090277777777778"/>
    <s v="Slow"/>
    <x v="1"/>
    <n v="0"/>
    <x v="1"/>
    <x v="1"/>
  </r>
  <r>
    <n v="2495"/>
    <x v="2494"/>
    <n v="5.6944444444444443E-2"/>
    <n v="2072"/>
    <n v="45"/>
    <n v="5.8395833333333336"/>
    <x v="1"/>
    <x v="0"/>
    <n v="1.5833333333333333"/>
    <s v="Slow"/>
    <x v="1"/>
    <n v="0"/>
    <x v="1"/>
    <x v="1"/>
  </r>
  <r>
    <n v="2496"/>
    <x v="2495"/>
    <n v="4.3750000000000004E-2"/>
    <n v="1474"/>
    <n v="199"/>
    <n v="64.75277777777778"/>
    <x v="0"/>
    <x v="2"/>
    <n v="2.7520833333333332"/>
    <s v="Slow"/>
    <x v="2"/>
    <n v="0"/>
    <x v="1"/>
    <x v="1"/>
  </r>
  <r>
    <n v="2497"/>
    <x v="2496"/>
    <n v="6.5972222222222224E-2"/>
    <n v="714"/>
    <n v="310"/>
    <n v="47.672222222222224"/>
    <x v="0"/>
    <x v="3"/>
    <n v="2.9604166666666667"/>
    <s v="Slow"/>
    <x v="0"/>
    <n v="1"/>
    <x v="0"/>
    <x v="0"/>
  </r>
  <r>
    <n v="2498"/>
    <x v="2497"/>
    <n v="4.4444444444444446E-2"/>
    <n v="2002"/>
    <n v="168"/>
    <n v="50.25555555555556"/>
    <x v="0"/>
    <x v="1"/>
    <n v="0.87916666666666676"/>
    <s v="Fast"/>
    <x v="1"/>
    <n v="0"/>
    <x v="1"/>
    <x v="1"/>
  </r>
  <r>
    <n v="2499"/>
    <x v="2498"/>
    <n v="4.7222222222222221E-2"/>
    <n v="489"/>
    <n v="97"/>
    <n v="3.0840277777777776"/>
    <x v="0"/>
    <x v="2"/>
    <n v="0.33611111111111108"/>
    <s v="Fast"/>
    <x v="0"/>
    <n v="1"/>
    <x v="0"/>
    <x v="0"/>
  </r>
  <r>
    <n v="2500"/>
    <x v="2499"/>
    <n v="4.7916666666666663E-2"/>
    <n v="3811"/>
    <n v="415"/>
    <n v="37.505555555555553"/>
    <x v="1"/>
    <x v="0"/>
    <n v="2.2506944444444446"/>
    <s v="Slow"/>
    <x v="1"/>
    <n v="0"/>
    <x v="1"/>
    <x v="1"/>
  </r>
  <r>
    <n v="2501"/>
    <x v="2500"/>
    <n v="6.5972222222222224E-2"/>
    <n v="4735"/>
    <n v="491"/>
    <n v="75.041666666666671"/>
    <x v="1"/>
    <x v="3"/>
    <n v="1.9625000000000001"/>
    <s v="Slow"/>
    <x v="2"/>
    <n v="0"/>
    <x v="1"/>
    <x v="1"/>
  </r>
  <r>
    <n v="2502"/>
    <x v="2501"/>
    <n v="5.2777777777777778E-2"/>
    <n v="4337"/>
    <n v="424"/>
    <n v="72.046527777777769"/>
    <x v="3"/>
    <x v="3"/>
    <n v="0.58958333333333335"/>
    <s v="Fast"/>
    <x v="2"/>
    <n v="1"/>
    <x v="0"/>
    <x v="0"/>
  </r>
  <r>
    <n v="2503"/>
    <x v="2502"/>
    <n v="6.5277777777777782E-2"/>
    <n v="3806"/>
    <n v="339"/>
    <n v="52.627777777777773"/>
    <x v="2"/>
    <x v="3"/>
    <n v="0.91666666666666663"/>
    <s v="Fast"/>
    <x v="2"/>
    <n v="0"/>
    <x v="1"/>
    <x v="1"/>
  </r>
  <r>
    <n v="2504"/>
    <x v="2503"/>
    <n v="5.6944444444444443E-2"/>
    <n v="4710"/>
    <n v="54"/>
    <n v="31.547222222222221"/>
    <x v="0"/>
    <x v="1"/>
    <n v="2.7562500000000001"/>
    <s v="Slow"/>
    <x v="0"/>
    <n v="0"/>
    <x v="1"/>
    <x v="1"/>
  </r>
  <r>
    <n v="2505"/>
    <x v="2504"/>
    <n v="5.486111111111111E-2"/>
    <n v="3250"/>
    <n v="320"/>
    <n v="36.50277777777778"/>
    <x v="1"/>
    <x v="0"/>
    <n v="2.5041666666666669"/>
    <s v="Slow"/>
    <x v="0"/>
    <n v="0"/>
    <x v="1"/>
    <x v="1"/>
  </r>
  <r>
    <n v="2506"/>
    <x v="2505"/>
    <n v="6.3194444444444442E-2"/>
    <n v="3639"/>
    <n v="14"/>
    <n v="44.838888888888896"/>
    <x v="3"/>
    <x v="3"/>
    <n v="0.25555555555555559"/>
    <s v="Fast"/>
    <x v="0"/>
    <n v="0"/>
    <x v="1"/>
    <x v="1"/>
  </r>
  <r>
    <n v="2507"/>
    <x v="2506"/>
    <n v="4.7222222222222221E-2"/>
    <n v="810"/>
    <n v="163"/>
    <n v="14.377777777777778"/>
    <x v="0"/>
    <x v="3"/>
    <n v="2.6701388888888888"/>
    <s v="Slow"/>
    <x v="2"/>
    <n v="0"/>
    <x v="1"/>
    <x v="1"/>
  </r>
  <r>
    <n v="2508"/>
    <x v="2507"/>
    <n v="4.9305555555555554E-2"/>
    <n v="3691"/>
    <n v="314"/>
    <n v="57.416666666666664"/>
    <x v="0"/>
    <x v="0"/>
    <n v="2.6312500000000001"/>
    <s v="Slow"/>
    <x v="0"/>
    <n v="0"/>
    <x v="1"/>
    <x v="1"/>
  </r>
  <r>
    <n v="2509"/>
    <x v="2508"/>
    <n v="6.6666666666666666E-2"/>
    <n v="4312"/>
    <n v="296"/>
    <n v="53.793055555555554"/>
    <x v="3"/>
    <x v="3"/>
    <n v="1.4625000000000001"/>
    <s v="Fast"/>
    <x v="0"/>
    <n v="1"/>
    <x v="0"/>
    <x v="0"/>
  </r>
  <r>
    <n v="2510"/>
    <x v="2509"/>
    <n v="5.8333333333333327E-2"/>
    <n v="3518"/>
    <n v="129"/>
    <n v="18.541666666666668"/>
    <x v="2"/>
    <x v="2"/>
    <n v="0.50555555555555554"/>
    <s v="Fast"/>
    <x v="1"/>
    <n v="0"/>
    <x v="1"/>
    <x v="1"/>
  </r>
  <r>
    <n v="2511"/>
    <x v="2510"/>
    <n v="5.2083333333333336E-2"/>
    <n v="522"/>
    <n v="169"/>
    <n v="1.6256944444444443"/>
    <x v="0"/>
    <x v="0"/>
    <n v="0.41875000000000001"/>
    <s v="Fast"/>
    <x v="1"/>
    <n v="0"/>
    <x v="1"/>
    <x v="1"/>
  </r>
  <r>
    <n v="2512"/>
    <x v="2511"/>
    <n v="5.9027777777777783E-2"/>
    <n v="3090"/>
    <n v="127"/>
    <n v="3.3784722222222219"/>
    <x v="3"/>
    <x v="0"/>
    <n v="0.25347222222222221"/>
    <s v="Fast"/>
    <x v="2"/>
    <n v="0"/>
    <x v="1"/>
    <x v="1"/>
  </r>
  <r>
    <n v="2513"/>
    <x v="2512"/>
    <n v="6.2499999999999995E-3"/>
    <n v="1287"/>
    <n v="230"/>
    <n v="74.751388888888883"/>
    <x v="2"/>
    <x v="1"/>
    <n v="1.625"/>
    <s v="Slow"/>
    <x v="2"/>
    <n v="1"/>
    <x v="0"/>
    <x v="2"/>
  </r>
  <r>
    <n v="2514"/>
    <x v="2513"/>
    <n v="6.1111111111111109E-2"/>
    <n v="1615"/>
    <n v="348"/>
    <n v="46.297916666666673"/>
    <x v="3"/>
    <x v="0"/>
    <n v="2.9201388888888888"/>
    <s v="Slow"/>
    <x v="2"/>
    <n v="1"/>
    <x v="0"/>
    <x v="0"/>
  </r>
  <r>
    <n v="2515"/>
    <x v="2514"/>
    <n v="5.5555555555555558E-3"/>
    <n v="1258"/>
    <n v="223"/>
    <n v="54.129861111111104"/>
    <x v="1"/>
    <x v="2"/>
    <n v="0.79583333333333339"/>
    <s v="Fast"/>
    <x v="2"/>
    <n v="1"/>
    <x v="0"/>
    <x v="0"/>
  </r>
  <r>
    <n v="2516"/>
    <x v="2515"/>
    <n v="5.9027777777777783E-2"/>
    <n v="1599"/>
    <n v="476"/>
    <n v="80.172916666666666"/>
    <x v="3"/>
    <x v="1"/>
    <n v="1.375"/>
    <s v="Fast"/>
    <x v="2"/>
    <n v="0"/>
    <x v="1"/>
    <x v="1"/>
  </r>
  <r>
    <n v="2517"/>
    <x v="2516"/>
    <n v="4.7916666666666663E-2"/>
    <n v="1809"/>
    <n v="244"/>
    <n v="32.379861111111111"/>
    <x v="1"/>
    <x v="0"/>
    <n v="0.4604166666666667"/>
    <s v="Fast"/>
    <x v="2"/>
    <n v="1"/>
    <x v="0"/>
    <x v="0"/>
  </r>
  <r>
    <n v="2518"/>
    <x v="2517"/>
    <n v="5.486111111111111E-2"/>
    <n v="661"/>
    <n v="194"/>
    <n v="55.877083333333331"/>
    <x v="2"/>
    <x v="0"/>
    <n v="1.2506944444444443"/>
    <s v="Fast"/>
    <x v="0"/>
    <n v="0"/>
    <x v="1"/>
    <x v="1"/>
  </r>
  <r>
    <n v="2519"/>
    <x v="2518"/>
    <n v="6.5972222222222224E-2"/>
    <n v="2608"/>
    <n v="471"/>
    <n v="82.545833333333334"/>
    <x v="2"/>
    <x v="1"/>
    <n v="0.45833333333333331"/>
    <s v="Fast"/>
    <x v="1"/>
    <n v="0"/>
    <x v="1"/>
    <x v="1"/>
  </r>
  <r>
    <n v="2520"/>
    <x v="2519"/>
    <n v="6.7361111111111108E-2"/>
    <n v="1801"/>
    <n v="447"/>
    <n v="36.710416666666667"/>
    <x v="1"/>
    <x v="3"/>
    <n v="1.4625000000000001"/>
    <s v="Fast"/>
    <x v="1"/>
    <n v="0"/>
    <x v="1"/>
    <x v="1"/>
  </r>
  <r>
    <n v="2521"/>
    <x v="2520"/>
    <n v="4.2361111111111106E-2"/>
    <n v="1189"/>
    <n v="451"/>
    <n v="49.418749999999996"/>
    <x v="3"/>
    <x v="0"/>
    <n v="1.1305555555555555"/>
    <s v="Fast"/>
    <x v="0"/>
    <n v="1"/>
    <x v="0"/>
    <x v="0"/>
  </r>
  <r>
    <n v="2522"/>
    <x v="2521"/>
    <n v="4.8611111111111112E-3"/>
    <n v="2082"/>
    <n v="99"/>
    <n v="82.58819444444444"/>
    <x v="0"/>
    <x v="0"/>
    <n v="2.8374999999999999"/>
    <s v="Slow"/>
    <x v="1"/>
    <n v="0"/>
    <x v="1"/>
    <x v="1"/>
  </r>
  <r>
    <n v="2523"/>
    <x v="2522"/>
    <n v="4.8611111111111112E-3"/>
    <n v="1693"/>
    <n v="433"/>
    <n v="37.547916666666666"/>
    <x v="2"/>
    <x v="2"/>
    <n v="1.0458333333333334"/>
    <s v="Fast"/>
    <x v="1"/>
    <n v="0"/>
    <x v="1"/>
    <x v="1"/>
  </r>
  <r>
    <n v="2524"/>
    <x v="2523"/>
    <n v="5.0694444444444438E-2"/>
    <n v="3860"/>
    <n v="334"/>
    <n v="22.547916666666666"/>
    <x v="2"/>
    <x v="1"/>
    <n v="1.7118055555555556"/>
    <s v="Slow"/>
    <x v="0"/>
    <n v="1"/>
    <x v="0"/>
    <x v="2"/>
  </r>
  <r>
    <n v="2525"/>
    <x v="2524"/>
    <n v="4.9999999999999996E-2"/>
    <n v="222"/>
    <n v="294"/>
    <n v="62.127777777777773"/>
    <x v="3"/>
    <x v="1"/>
    <n v="1.5472222222222223"/>
    <s v="Slow"/>
    <x v="1"/>
    <n v="1"/>
    <x v="0"/>
    <x v="2"/>
  </r>
  <r>
    <n v="2526"/>
    <x v="2525"/>
    <n v="4.9305555555555554E-2"/>
    <n v="3911"/>
    <n v="247"/>
    <n v="3.2972222222222225"/>
    <x v="0"/>
    <x v="2"/>
    <n v="0.17083333333333331"/>
    <s v="Fast"/>
    <x v="0"/>
    <n v="0"/>
    <x v="1"/>
    <x v="1"/>
  </r>
  <r>
    <n v="2527"/>
    <x v="2526"/>
    <n v="5.486111111111111E-2"/>
    <n v="2488"/>
    <n v="333"/>
    <n v="31.669444444444448"/>
    <x v="2"/>
    <x v="2"/>
    <n v="2.1694444444444447"/>
    <s v="Slow"/>
    <x v="0"/>
    <n v="0"/>
    <x v="1"/>
    <x v="1"/>
  </r>
  <r>
    <n v="2528"/>
    <x v="2527"/>
    <n v="4.8611111111111112E-3"/>
    <n v="3615"/>
    <n v="211"/>
    <n v="21.087500000000002"/>
    <x v="1"/>
    <x v="3"/>
    <n v="2.3374999999999999"/>
    <s v="Slow"/>
    <x v="2"/>
    <n v="0"/>
    <x v="1"/>
    <x v="1"/>
  </r>
  <r>
    <n v="2529"/>
    <x v="2528"/>
    <n v="6.1805555555555558E-2"/>
    <n v="3417"/>
    <n v="249"/>
    <n v="73.875694444444449"/>
    <x v="3"/>
    <x v="2"/>
    <n v="0.96388888888888891"/>
    <s v="Fast"/>
    <x v="1"/>
    <n v="0"/>
    <x v="1"/>
    <x v="1"/>
  </r>
  <r>
    <n v="2530"/>
    <x v="2529"/>
    <n v="4.2361111111111106E-2"/>
    <n v="3785"/>
    <n v="20"/>
    <n v="11.418055555555556"/>
    <x v="2"/>
    <x v="0"/>
    <n v="1.1708333333333334"/>
    <s v="Fast"/>
    <x v="0"/>
    <n v="0"/>
    <x v="1"/>
    <x v="1"/>
  </r>
  <r>
    <n v="2531"/>
    <x v="2530"/>
    <n v="6.8749999999999992E-2"/>
    <n v="3583"/>
    <n v="327"/>
    <n v="12.125"/>
    <x v="2"/>
    <x v="0"/>
    <n v="2.8333333333333335"/>
    <s v="Slow"/>
    <x v="2"/>
    <n v="0"/>
    <x v="1"/>
    <x v="1"/>
  </r>
  <r>
    <n v="2532"/>
    <x v="2531"/>
    <n v="4.7222222222222221E-2"/>
    <n v="3994"/>
    <n v="299"/>
    <n v="77.252083333333331"/>
    <x v="1"/>
    <x v="1"/>
    <n v="1.2562499999999999"/>
    <s v="Fast"/>
    <x v="0"/>
    <n v="0"/>
    <x v="1"/>
    <x v="1"/>
  </r>
  <r>
    <n v="2533"/>
    <x v="2532"/>
    <n v="6.6666666666666666E-2"/>
    <n v="4415"/>
    <n v="255"/>
    <n v="48.209722222222219"/>
    <x v="0"/>
    <x v="0"/>
    <n v="0.12638888888888888"/>
    <s v="Fast"/>
    <x v="2"/>
    <n v="1"/>
    <x v="0"/>
    <x v="0"/>
  </r>
  <r>
    <n v="2534"/>
    <x v="2533"/>
    <n v="6.0416666666666667E-2"/>
    <n v="1653"/>
    <n v="261"/>
    <n v="50.337499999999999"/>
    <x v="0"/>
    <x v="3"/>
    <n v="8.5416666666666655E-2"/>
    <s v="Fast"/>
    <x v="2"/>
    <n v="0"/>
    <x v="1"/>
    <x v="1"/>
  </r>
  <r>
    <n v="2535"/>
    <x v="2534"/>
    <n v="6.5972222222222224E-2"/>
    <n v="4132"/>
    <n v="163"/>
    <n v="47.381250000000001"/>
    <x v="2"/>
    <x v="3"/>
    <n v="1.8770833333333332"/>
    <s v="Slow"/>
    <x v="2"/>
    <n v="0"/>
    <x v="1"/>
    <x v="1"/>
  </r>
  <r>
    <n v="2536"/>
    <x v="2535"/>
    <n v="5.3472222222222227E-2"/>
    <n v="3484"/>
    <n v="87"/>
    <n v="10.961805555555555"/>
    <x v="3"/>
    <x v="2"/>
    <n v="1.0888888888888888"/>
    <s v="Fast"/>
    <x v="2"/>
    <n v="1"/>
    <x v="0"/>
    <x v="0"/>
  </r>
  <r>
    <n v="2537"/>
    <x v="2536"/>
    <n v="5.0694444444444438E-2"/>
    <n v="3323"/>
    <n v="149"/>
    <n v="69.834722222222226"/>
    <x v="3"/>
    <x v="3"/>
    <n v="1.9208333333333334"/>
    <s v="Slow"/>
    <x v="1"/>
    <n v="1"/>
    <x v="0"/>
    <x v="0"/>
  </r>
  <r>
    <n v="2538"/>
    <x v="2537"/>
    <n v="5.8333333333333327E-2"/>
    <n v="3258"/>
    <n v="58"/>
    <n v="17.336805555555554"/>
    <x v="3"/>
    <x v="0"/>
    <n v="0.25486111111111109"/>
    <s v="Fast"/>
    <x v="2"/>
    <n v="0"/>
    <x v="1"/>
    <x v="1"/>
  </r>
  <r>
    <n v="2539"/>
    <x v="2538"/>
    <n v="4.7222222222222221E-2"/>
    <n v="2838"/>
    <n v="219"/>
    <n v="75.170833333333334"/>
    <x v="1"/>
    <x v="0"/>
    <n v="2.755555555555556"/>
    <s v="Slow"/>
    <x v="1"/>
    <n v="0"/>
    <x v="1"/>
    <x v="1"/>
  </r>
  <r>
    <n v="2540"/>
    <x v="2539"/>
    <n v="5.3472222222222227E-2"/>
    <n v="4472"/>
    <n v="473"/>
    <n v="75.541666666666671"/>
    <x v="0"/>
    <x v="0"/>
    <n v="1.627777777777778"/>
    <s v="Slow"/>
    <x v="0"/>
    <n v="0"/>
    <x v="1"/>
    <x v="1"/>
  </r>
  <r>
    <n v="2541"/>
    <x v="2540"/>
    <n v="5.6944444444444443E-2"/>
    <n v="3991"/>
    <n v="235"/>
    <n v="11.005555555555555"/>
    <x v="3"/>
    <x v="2"/>
    <n v="1.5847222222222221"/>
    <s v="Slow"/>
    <x v="2"/>
    <n v="0"/>
    <x v="1"/>
    <x v="1"/>
  </r>
  <r>
    <n v="2542"/>
    <x v="2541"/>
    <n v="4.5138888888888888E-2"/>
    <n v="3120"/>
    <n v="85"/>
    <n v="3.3395833333333336"/>
    <x v="3"/>
    <x v="2"/>
    <n v="2.6277777777777778"/>
    <s v="Slow"/>
    <x v="0"/>
    <n v="0"/>
    <x v="1"/>
    <x v="1"/>
  </r>
  <r>
    <n v="2543"/>
    <x v="2542"/>
    <n v="6.3888888888888898E-2"/>
    <n v="762"/>
    <n v="180"/>
    <n v="0.75069444444444444"/>
    <x v="1"/>
    <x v="1"/>
    <n v="2.5861111111111112"/>
    <s v="Slow"/>
    <x v="2"/>
    <n v="1"/>
    <x v="0"/>
    <x v="2"/>
  </r>
  <r>
    <n v="2544"/>
    <x v="2543"/>
    <n v="5.4166666666666669E-2"/>
    <n v="4493"/>
    <n v="300"/>
    <n v="55.420138888888886"/>
    <x v="0"/>
    <x v="0"/>
    <n v="2.213888888888889"/>
    <s v="Slow"/>
    <x v="1"/>
    <n v="0"/>
    <x v="1"/>
    <x v="1"/>
  </r>
  <r>
    <n v="2545"/>
    <x v="2544"/>
    <n v="5.6250000000000001E-2"/>
    <n v="1918"/>
    <n v="413"/>
    <n v="53.834027777777777"/>
    <x v="3"/>
    <x v="2"/>
    <n v="1.2506944444444443"/>
    <s v="Fast"/>
    <x v="0"/>
    <n v="1"/>
    <x v="0"/>
    <x v="0"/>
  </r>
  <r>
    <n v="2546"/>
    <x v="2545"/>
    <n v="6.0416666666666667E-2"/>
    <n v="2319"/>
    <n v="388"/>
    <n v="6.2562500000000005"/>
    <x v="3"/>
    <x v="2"/>
    <n v="1.1263888888888889"/>
    <s v="Fast"/>
    <x v="1"/>
    <n v="0"/>
    <x v="1"/>
    <x v="1"/>
  </r>
  <r>
    <n v="2547"/>
    <x v="2546"/>
    <n v="6.6666666666666666E-2"/>
    <n v="4767"/>
    <n v="227"/>
    <n v="43.797222222222224"/>
    <x v="1"/>
    <x v="0"/>
    <n v="2.9583333333333335"/>
    <s v="Slow"/>
    <x v="2"/>
    <n v="0"/>
    <x v="1"/>
    <x v="1"/>
  </r>
  <r>
    <n v="2548"/>
    <x v="2547"/>
    <n v="4.5138888888888888E-2"/>
    <n v="1911"/>
    <n v="150"/>
    <n v="50.795833333333327"/>
    <x v="3"/>
    <x v="2"/>
    <n v="2.3777777777777778"/>
    <s v="Slow"/>
    <x v="0"/>
    <n v="0"/>
    <x v="1"/>
    <x v="1"/>
  </r>
  <r>
    <n v="2549"/>
    <x v="2548"/>
    <n v="4.7222222222222221E-2"/>
    <n v="633"/>
    <n v="48"/>
    <n v="56.084722222222219"/>
    <x v="0"/>
    <x v="0"/>
    <n v="1.0881944444444445"/>
    <s v="Fast"/>
    <x v="1"/>
    <n v="1"/>
    <x v="0"/>
    <x v="0"/>
  </r>
  <r>
    <n v="2550"/>
    <x v="2549"/>
    <n v="4.5138888888888888E-2"/>
    <n v="1614"/>
    <n v="356"/>
    <n v="1.0833333333333333"/>
    <x v="2"/>
    <x v="0"/>
    <n v="2.6291666666666669"/>
    <s v="Slow"/>
    <x v="2"/>
    <n v="0"/>
    <x v="1"/>
    <x v="1"/>
  </r>
  <r>
    <n v="2551"/>
    <x v="2550"/>
    <n v="6.8749999999999992E-2"/>
    <n v="2217"/>
    <n v="486"/>
    <n v="55.502083333333331"/>
    <x v="1"/>
    <x v="3"/>
    <n v="1.3375000000000001"/>
    <s v="Fast"/>
    <x v="2"/>
    <n v="0"/>
    <x v="1"/>
    <x v="1"/>
  </r>
  <r>
    <n v="2552"/>
    <x v="2551"/>
    <n v="5.3472222222222227E-2"/>
    <n v="3532"/>
    <n v="138"/>
    <n v="38.003472222222221"/>
    <x v="3"/>
    <x v="3"/>
    <n v="0.46111111111111108"/>
    <s v="Fast"/>
    <x v="2"/>
    <n v="0"/>
    <x v="1"/>
    <x v="1"/>
  </r>
  <r>
    <n v="2553"/>
    <x v="2552"/>
    <n v="6.1805555555555558E-2"/>
    <n v="3900"/>
    <n v="73"/>
    <n v="33.543749999999996"/>
    <x v="2"/>
    <x v="2"/>
    <n v="4.2361111111111106E-2"/>
    <s v="Fast"/>
    <x v="0"/>
    <n v="0"/>
    <x v="1"/>
    <x v="1"/>
  </r>
  <r>
    <n v="2554"/>
    <x v="2553"/>
    <n v="4.6527777777777779E-2"/>
    <n v="3767"/>
    <n v="245"/>
    <n v="53.252777777777773"/>
    <x v="0"/>
    <x v="3"/>
    <n v="2.1680555555555556"/>
    <s v="Slow"/>
    <x v="0"/>
    <n v="0"/>
    <x v="1"/>
    <x v="1"/>
  </r>
  <r>
    <n v="2555"/>
    <x v="2554"/>
    <n v="6.7361111111111108E-2"/>
    <n v="593"/>
    <n v="432"/>
    <n v="63.170138888888886"/>
    <x v="1"/>
    <x v="2"/>
    <n v="2.3374999999999999"/>
    <s v="Slow"/>
    <x v="2"/>
    <n v="1"/>
    <x v="0"/>
    <x v="0"/>
  </r>
  <r>
    <n v="2556"/>
    <x v="2555"/>
    <n v="4.5138888888888888E-2"/>
    <n v="675"/>
    <n v="88"/>
    <n v="23.12777777777778"/>
    <x v="1"/>
    <x v="3"/>
    <n v="1.8361111111111112"/>
    <s v="Slow"/>
    <x v="0"/>
    <n v="0"/>
    <x v="1"/>
    <x v="1"/>
  </r>
  <r>
    <n v="2557"/>
    <x v="2556"/>
    <n v="6.0416666666666667E-2"/>
    <n v="2025"/>
    <n v="62"/>
    <n v="56.000694444444441"/>
    <x v="2"/>
    <x v="1"/>
    <n v="1.7923611111111111"/>
    <s v="Slow"/>
    <x v="2"/>
    <n v="1"/>
    <x v="0"/>
    <x v="2"/>
  </r>
  <r>
    <n v="2558"/>
    <x v="2557"/>
    <n v="4.2361111111111106E-2"/>
    <n v="1752"/>
    <n v="345"/>
    <n v="8.2097222222222221"/>
    <x v="1"/>
    <x v="2"/>
    <n v="4.7222222222222221E-2"/>
    <s v="Fast"/>
    <x v="2"/>
    <n v="0"/>
    <x v="1"/>
    <x v="1"/>
  </r>
  <r>
    <n v="2559"/>
    <x v="2558"/>
    <n v="6.5972222222222224E-2"/>
    <n v="3568"/>
    <n v="371"/>
    <n v="11.084722222222224"/>
    <x v="0"/>
    <x v="3"/>
    <n v="1.2541666666666667"/>
    <s v="Fast"/>
    <x v="2"/>
    <n v="1"/>
    <x v="0"/>
    <x v="0"/>
  </r>
  <r>
    <n v="2560"/>
    <x v="2559"/>
    <n v="5.2777777777777778E-2"/>
    <n v="1037"/>
    <n v="10"/>
    <n v="38.87916666666667"/>
    <x v="2"/>
    <x v="3"/>
    <n v="0.12569444444444444"/>
    <s v="Fast"/>
    <x v="2"/>
    <n v="0"/>
    <x v="1"/>
    <x v="1"/>
  </r>
  <r>
    <n v="2561"/>
    <x v="2560"/>
    <n v="5.9027777777777783E-2"/>
    <n v="319"/>
    <n v="398"/>
    <n v="12.169444444444444"/>
    <x v="1"/>
    <x v="0"/>
    <n v="8.6805555555555566E-2"/>
    <s v="Fast"/>
    <x v="1"/>
    <n v="1"/>
    <x v="0"/>
    <x v="0"/>
  </r>
  <r>
    <n v="2562"/>
    <x v="2561"/>
    <n v="5.8333333333333327E-2"/>
    <n v="1586"/>
    <n v="199"/>
    <n v="50.170138888888886"/>
    <x v="2"/>
    <x v="3"/>
    <n v="2.2923611111111111"/>
    <s v="Slow"/>
    <x v="1"/>
    <n v="0"/>
    <x v="1"/>
    <x v="1"/>
  </r>
  <r>
    <n v="2563"/>
    <x v="2562"/>
    <n v="4.7222222222222221E-2"/>
    <n v="3940"/>
    <n v="381"/>
    <n v="42.125"/>
    <x v="0"/>
    <x v="1"/>
    <n v="0.41666666666666669"/>
    <s v="Fast"/>
    <x v="1"/>
    <n v="0"/>
    <x v="1"/>
    <x v="1"/>
  </r>
  <r>
    <n v="2564"/>
    <x v="2563"/>
    <n v="5.4166666666666669E-2"/>
    <n v="1181"/>
    <n v="242"/>
    <n v="74.917361111111106"/>
    <x v="1"/>
    <x v="2"/>
    <n v="0.37916666666666665"/>
    <s v="Fast"/>
    <x v="1"/>
    <n v="0"/>
    <x v="1"/>
    <x v="1"/>
  </r>
  <r>
    <n v="2565"/>
    <x v="2564"/>
    <n v="4.1666666666666666E-3"/>
    <n v="4655"/>
    <n v="476"/>
    <n v="58.547916666666673"/>
    <x v="3"/>
    <x v="2"/>
    <n v="2.0055555555555555"/>
    <s v="Slow"/>
    <x v="2"/>
    <n v="1"/>
    <x v="0"/>
    <x v="0"/>
  </r>
  <r>
    <n v="2566"/>
    <x v="2565"/>
    <n v="6.3194444444444442E-2"/>
    <n v="1763"/>
    <n v="153"/>
    <n v="21.835416666666664"/>
    <x v="0"/>
    <x v="2"/>
    <n v="0.5444444444444444"/>
    <s v="Fast"/>
    <x v="2"/>
    <n v="0"/>
    <x v="1"/>
    <x v="1"/>
  </r>
  <r>
    <n v="2567"/>
    <x v="2566"/>
    <n v="5.4166666666666669E-2"/>
    <n v="605"/>
    <n v="76"/>
    <n v="79.921527777777769"/>
    <x v="1"/>
    <x v="0"/>
    <n v="0.79236111111111107"/>
    <s v="Fast"/>
    <x v="1"/>
    <n v="1"/>
    <x v="0"/>
    <x v="0"/>
  </r>
  <r>
    <n v="2568"/>
    <x v="2567"/>
    <n v="4.9305555555555554E-2"/>
    <n v="3883"/>
    <n v="332"/>
    <n v="67.793055555555554"/>
    <x v="1"/>
    <x v="1"/>
    <n v="1.5020833333333332"/>
    <s v="Slow"/>
    <x v="2"/>
    <n v="0"/>
    <x v="1"/>
    <x v="1"/>
  </r>
  <r>
    <n v="2569"/>
    <x v="2568"/>
    <n v="5.2777777777777778E-2"/>
    <n v="2136"/>
    <n v="253"/>
    <n v="21.458333333333332"/>
    <x v="1"/>
    <x v="2"/>
    <n v="2.2083333333333335"/>
    <s v="Slow"/>
    <x v="1"/>
    <n v="0"/>
    <x v="1"/>
    <x v="1"/>
  </r>
  <r>
    <n v="2570"/>
    <x v="2569"/>
    <n v="5.2777777777777778E-2"/>
    <n v="4677"/>
    <n v="338"/>
    <n v="77.921527777777769"/>
    <x v="1"/>
    <x v="1"/>
    <n v="1.6708333333333334"/>
    <s v="Slow"/>
    <x v="2"/>
    <n v="0"/>
    <x v="1"/>
    <x v="1"/>
  </r>
  <r>
    <n v="2571"/>
    <x v="2570"/>
    <n v="4.5833333333333337E-2"/>
    <n v="4848"/>
    <n v="185"/>
    <n v="78.462499999999991"/>
    <x v="3"/>
    <x v="0"/>
    <n v="0.33958333333333335"/>
    <s v="Fast"/>
    <x v="2"/>
    <n v="0"/>
    <x v="1"/>
    <x v="1"/>
  </r>
  <r>
    <n v="2572"/>
    <x v="2571"/>
    <n v="5.2083333333333336E-2"/>
    <n v="2657"/>
    <n v="298"/>
    <n v="9.0881944444444454"/>
    <x v="3"/>
    <x v="3"/>
    <n v="1.2965277777777777"/>
    <s v="Fast"/>
    <x v="2"/>
    <n v="0"/>
    <x v="1"/>
    <x v="1"/>
  </r>
  <r>
    <n v="2573"/>
    <x v="2572"/>
    <n v="6.0416666666666667E-2"/>
    <n v="4902"/>
    <n v="227"/>
    <n v="57.38055555555556"/>
    <x v="3"/>
    <x v="0"/>
    <n v="2.1680555555555556"/>
    <s v="Slow"/>
    <x v="1"/>
    <n v="0"/>
    <x v="1"/>
    <x v="1"/>
  </r>
  <r>
    <n v="2574"/>
    <x v="2573"/>
    <n v="5.6944444444444443E-2"/>
    <n v="552"/>
    <n v="87"/>
    <n v="51.21180555555555"/>
    <x v="1"/>
    <x v="1"/>
    <n v="1.9180555555555554"/>
    <s v="Slow"/>
    <x v="1"/>
    <n v="0"/>
    <x v="1"/>
    <x v="1"/>
  </r>
  <r>
    <n v="2575"/>
    <x v="2574"/>
    <n v="4.1666666666666664E-2"/>
    <n v="256"/>
    <n v="336"/>
    <n v="82.547222222222231"/>
    <x v="2"/>
    <x v="1"/>
    <n v="0.125"/>
    <s v="Fast"/>
    <x v="0"/>
    <n v="0"/>
    <x v="1"/>
    <x v="1"/>
  </r>
  <r>
    <n v="2576"/>
    <x v="2575"/>
    <n v="6.2499999999999995E-3"/>
    <n v="2819"/>
    <n v="97"/>
    <n v="78.004166666666663"/>
    <x v="0"/>
    <x v="3"/>
    <n v="2.6270833333333332"/>
    <s v="Slow"/>
    <x v="1"/>
    <n v="1"/>
    <x v="0"/>
    <x v="0"/>
  </r>
  <r>
    <n v="2577"/>
    <x v="2576"/>
    <n v="6.458333333333334E-2"/>
    <n v="1450"/>
    <n v="310"/>
    <n v="60.417361111111113"/>
    <x v="3"/>
    <x v="3"/>
    <n v="1.8812499999999999"/>
    <s v="Slow"/>
    <x v="2"/>
    <n v="0"/>
    <x v="1"/>
    <x v="1"/>
  </r>
  <r>
    <n v="2578"/>
    <x v="2577"/>
    <n v="4.5833333333333337E-2"/>
    <n v="2848"/>
    <n v="124"/>
    <n v="66.208333333333329"/>
    <x v="3"/>
    <x v="0"/>
    <n v="2.754861111111111"/>
    <s v="Slow"/>
    <x v="0"/>
    <n v="0"/>
    <x v="1"/>
    <x v="1"/>
  </r>
  <r>
    <n v="2579"/>
    <x v="2578"/>
    <n v="5.6250000000000001E-2"/>
    <n v="3162"/>
    <n v="296"/>
    <n v="43.920138888888886"/>
    <x v="0"/>
    <x v="0"/>
    <n v="0.21180555555555555"/>
    <s v="Fast"/>
    <x v="2"/>
    <n v="1"/>
    <x v="0"/>
    <x v="0"/>
  </r>
  <r>
    <n v="2580"/>
    <x v="2579"/>
    <n v="4.8611111111111112E-3"/>
    <n v="1120"/>
    <n v="21"/>
    <n v="78.958333333333329"/>
    <x v="1"/>
    <x v="2"/>
    <n v="8.4722222222222213E-2"/>
    <s v="Fast"/>
    <x v="0"/>
    <n v="1"/>
    <x v="0"/>
    <x v="0"/>
  </r>
  <r>
    <n v="2581"/>
    <x v="2580"/>
    <n v="4.8611111111111112E-3"/>
    <n v="3550"/>
    <n v="331"/>
    <n v="56.003472222222221"/>
    <x v="3"/>
    <x v="3"/>
    <n v="0.79583333333333339"/>
    <s v="Fast"/>
    <x v="1"/>
    <n v="0"/>
    <x v="1"/>
    <x v="1"/>
  </r>
  <r>
    <n v="2582"/>
    <x v="2581"/>
    <n v="5.0694444444444438E-2"/>
    <n v="2519"/>
    <n v="226"/>
    <n v="23.670138888888889"/>
    <x v="0"/>
    <x v="1"/>
    <n v="0.37916666666666665"/>
    <s v="Fast"/>
    <x v="1"/>
    <n v="0"/>
    <x v="1"/>
    <x v="1"/>
  </r>
  <r>
    <n v="2583"/>
    <x v="2582"/>
    <n v="5.7638888888888885E-2"/>
    <n v="4635"/>
    <n v="150"/>
    <n v="74.714583333333337"/>
    <x v="2"/>
    <x v="3"/>
    <n v="1.4631944444444445"/>
    <s v="Fast"/>
    <x v="1"/>
    <n v="1"/>
    <x v="0"/>
    <x v="0"/>
  </r>
  <r>
    <n v="2584"/>
    <x v="2583"/>
    <n v="5.3472222222222227E-2"/>
    <n v="2868"/>
    <n v="169"/>
    <n v="83"/>
    <x v="1"/>
    <x v="3"/>
    <n v="2.7506944444444446"/>
    <s v="Slow"/>
    <x v="1"/>
    <n v="1"/>
    <x v="0"/>
    <x v="0"/>
  </r>
  <r>
    <n v="2585"/>
    <x v="2584"/>
    <n v="5.2777777777777778E-2"/>
    <n v="2101"/>
    <n v="67"/>
    <n v="28.666666666666668"/>
    <x v="0"/>
    <x v="3"/>
    <n v="1.4194444444444445"/>
    <s v="Fast"/>
    <x v="2"/>
    <n v="0"/>
    <x v="1"/>
    <x v="1"/>
  </r>
  <r>
    <n v="2586"/>
    <x v="2585"/>
    <n v="5.2083333333333336E-2"/>
    <n v="1232"/>
    <n v="222"/>
    <n v="30.880555555555556"/>
    <x v="3"/>
    <x v="2"/>
    <n v="2.0423611111111111"/>
    <s v="Slow"/>
    <x v="2"/>
    <n v="0"/>
    <x v="1"/>
    <x v="1"/>
  </r>
  <r>
    <n v="2587"/>
    <x v="2586"/>
    <n v="6.8749999999999992E-2"/>
    <n v="2082"/>
    <n v="377"/>
    <n v="36.12777777777778"/>
    <x v="2"/>
    <x v="3"/>
    <n v="1.7138888888888888"/>
    <s v="Slow"/>
    <x v="1"/>
    <n v="0"/>
    <x v="1"/>
    <x v="1"/>
  </r>
  <r>
    <n v="2588"/>
    <x v="2587"/>
    <n v="5.3472222222222227E-2"/>
    <n v="3619"/>
    <n v="101"/>
    <n v="73.793055555555554"/>
    <x v="0"/>
    <x v="2"/>
    <n v="0.96458333333333324"/>
    <s v="Fast"/>
    <x v="1"/>
    <n v="1"/>
    <x v="0"/>
    <x v="0"/>
  </r>
  <r>
    <n v="2589"/>
    <x v="2588"/>
    <n v="6.7361111111111108E-2"/>
    <n v="423"/>
    <n v="33"/>
    <n v="38.33958333333333"/>
    <x v="0"/>
    <x v="0"/>
    <n v="2.2965277777777779"/>
    <s v="Slow"/>
    <x v="0"/>
    <n v="1"/>
    <x v="0"/>
    <x v="0"/>
  </r>
  <r>
    <n v="2590"/>
    <x v="2589"/>
    <n v="4.1666666666666664E-2"/>
    <n v="420"/>
    <n v="276"/>
    <n v="24.584722222222222"/>
    <x v="3"/>
    <x v="1"/>
    <n v="2.4611111111111112"/>
    <s v="Slow"/>
    <x v="2"/>
    <n v="0"/>
    <x v="1"/>
    <x v="1"/>
  </r>
  <r>
    <n v="2591"/>
    <x v="2590"/>
    <n v="5.9027777777777783E-2"/>
    <n v="4932"/>
    <n v="290"/>
    <n v="56.379166666666663"/>
    <x v="0"/>
    <x v="0"/>
    <n v="0.25"/>
    <s v="Fast"/>
    <x v="1"/>
    <n v="1"/>
    <x v="0"/>
    <x v="0"/>
  </r>
  <r>
    <n v="2592"/>
    <x v="2591"/>
    <n v="6.8749999999999992E-2"/>
    <n v="1027"/>
    <n v="437"/>
    <n v="0.62708333333333333"/>
    <x v="1"/>
    <x v="2"/>
    <n v="2.9590277777777776"/>
    <s v="Slow"/>
    <x v="0"/>
    <n v="0"/>
    <x v="1"/>
    <x v="1"/>
  </r>
  <r>
    <n v="2593"/>
    <x v="2592"/>
    <n v="4.1666666666666664E-2"/>
    <n v="616"/>
    <n v="411"/>
    <n v="52.169444444444444"/>
    <x v="3"/>
    <x v="2"/>
    <n v="0.92291666666666661"/>
    <s v="Fast"/>
    <x v="0"/>
    <n v="0"/>
    <x v="1"/>
    <x v="1"/>
  </r>
  <r>
    <n v="2594"/>
    <x v="2593"/>
    <n v="6.458333333333334E-2"/>
    <n v="3742"/>
    <n v="325"/>
    <n v="39.670833333333334"/>
    <x v="2"/>
    <x v="0"/>
    <n v="2.4194444444444447"/>
    <s v="Slow"/>
    <x v="1"/>
    <n v="0"/>
    <x v="1"/>
    <x v="1"/>
  </r>
  <r>
    <n v="2595"/>
    <x v="2594"/>
    <n v="6.1805555555555558E-2"/>
    <n v="1014"/>
    <n v="99"/>
    <n v="61.502083333333331"/>
    <x v="0"/>
    <x v="3"/>
    <n v="1.7916666666666667"/>
    <s v="Slow"/>
    <x v="1"/>
    <n v="0"/>
    <x v="1"/>
    <x v="1"/>
  </r>
  <r>
    <n v="2596"/>
    <x v="2595"/>
    <n v="4.7916666666666663E-2"/>
    <n v="3746"/>
    <n v="329"/>
    <n v="73.750694444444449"/>
    <x v="2"/>
    <x v="0"/>
    <n v="1.877777777777778"/>
    <s v="Slow"/>
    <x v="0"/>
    <n v="0"/>
    <x v="1"/>
    <x v="1"/>
  </r>
  <r>
    <n v="2597"/>
    <x v="2596"/>
    <n v="4.6527777777777779E-2"/>
    <n v="4234"/>
    <n v="216"/>
    <n v="27.297916666666666"/>
    <x v="2"/>
    <x v="0"/>
    <n v="2.7104166666666667"/>
    <s v="Slow"/>
    <x v="0"/>
    <n v="1"/>
    <x v="0"/>
    <x v="0"/>
  </r>
  <r>
    <n v="2598"/>
    <x v="2597"/>
    <n v="4.3055555555555562E-2"/>
    <n v="4326"/>
    <n v="282"/>
    <n v="2.9645833333333336"/>
    <x v="1"/>
    <x v="2"/>
    <n v="2.5874999999999999"/>
    <s v="Slow"/>
    <x v="0"/>
    <n v="1"/>
    <x v="0"/>
    <x v="0"/>
  </r>
  <r>
    <n v="2599"/>
    <x v="2598"/>
    <n v="4.7916666666666663E-2"/>
    <n v="3561"/>
    <n v="294"/>
    <n v="9.4194444444444443"/>
    <x v="2"/>
    <x v="2"/>
    <n v="2.3354166666666667"/>
    <s v="Slow"/>
    <x v="0"/>
    <n v="0"/>
    <x v="1"/>
    <x v="1"/>
  </r>
  <r>
    <n v="2600"/>
    <x v="2599"/>
    <n v="5.6250000000000001E-2"/>
    <n v="469"/>
    <n v="336"/>
    <n v="12.713194444444445"/>
    <x v="0"/>
    <x v="0"/>
    <n v="0.9194444444444444"/>
    <s v="Fast"/>
    <x v="0"/>
    <n v="0"/>
    <x v="1"/>
    <x v="1"/>
  </r>
  <r>
    <n v="2601"/>
    <x v="2600"/>
    <n v="5.3472222222222227E-2"/>
    <n v="4236"/>
    <n v="376"/>
    <n v="77.5"/>
    <x v="0"/>
    <x v="1"/>
    <n v="0.67222222222222217"/>
    <s v="Fast"/>
    <x v="1"/>
    <n v="0"/>
    <x v="1"/>
    <x v="1"/>
  </r>
  <r>
    <n v="2602"/>
    <x v="2601"/>
    <n v="6.2499999999999995E-3"/>
    <n v="2254"/>
    <n v="206"/>
    <n v="71.959722222222226"/>
    <x v="0"/>
    <x v="0"/>
    <n v="2.1277777777777778"/>
    <s v="Slow"/>
    <x v="1"/>
    <n v="0"/>
    <x v="1"/>
    <x v="1"/>
  </r>
  <r>
    <n v="2603"/>
    <x v="2602"/>
    <n v="4.9999999999999996E-2"/>
    <n v="2697"/>
    <n v="483"/>
    <n v="21.417361111111109"/>
    <x v="0"/>
    <x v="0"/>
    <n v="0.21041666666666667"/>
    <s v="Fast"/>
    <x v="2"/>
    <n v="0"/>
    <x v="1"/>
    <x v="1"/>
  </r>
  <r>
    <n v="2604"/>
    <x v="2603"/>
    <n v="5.9027777777777783E-2"/>
    <n v="1077"/>
    <n v="49"/>
    <n v="52.129861111111104"/>
    <x v="3"/>
    <x v="1"/>
    <n v="1.8791666666666667"/>
    <s v="Slow"/>
    <x v="2"/>
    <n v="0"/>
    <x v="1"/>
    <x v="1"/>
  </r>
  <r>
    <n v="2605"/>
    <x v="2604"/>
    <n v="5.1388888888888894E-2"/>
    <n v="2010"/>
    <n v="310"/>
    <n v="35.877083333333331"/>
    <x v="0"/>
    <x v="0"/>
    <n v="2.2930555555555556"/>
    <s v="Slow"/>
    <x v="0"/>
    <n v="0"/>
    <x v="1"/>
    <x v="1"/>
  </r>
  <r>
    <n v="2606"/>
    <x v="2605"/>
    <n v="4.7916666666666663E-2"/>
    <n v="4505"/>
    <n v="282"/>
    <n v="39.293055555555554"/>
    <x v="1"/>
    <x v="3"/>
    <n v="1.2951388888888888"/>
    <s v="Fast"/>
    <x v="1"/>
    <n v="0"/>
    <x v="1"/>
    <x v="1"/>
  </r>
  <r>
    <n v="2607"/>
    <x v="2606"/>
    <n v="6.3194444444444442E-2"/>
    <n v="2948"/>
    <n v="126"/>
    <n v="67.13055555555556"/>
    <x v="0"/>
    <x v="1"/>
    <n v="2"/>
    <s v="Slow"/>
    <x v="0"/>
    <n v="0"/>
    <x v="1"/>
    <x v="1"/>
  </r>
  <r>
    <n v="2608"/>
    <x v="2607"/>
    <n v="4.9999999999999996E-2"/>
    <n v="220"/>
    <n v="1"/>
    <n v="17.462500000000002"/>
    <x v="3"/>
    <x v="2"/>
    <n v="1.7145833333333333"/>
    <s v="Slow"/>
    <x v="0"/>
    <n v="0"/>
    <x v="1"/>
    <x v="1"/>
  </r>
  <r>
    <n v="2609"/>
    <x v="2608"/>
    <n v="5.6250000000000001E-2"/>
    <n v="3831"/>
    <n v="320"/>
    <n v="81.834027777777777"/>
    <x v="3"/>
    <x v="2"/>
    <n v="2.0854166666666667"/>
    <s v="Slow"/>
    <x v="1"/>
    <n v="0"/>
    <x v="1"/>
    <x v="1"/>
  </r>
  <r>
    <n v="2610"/>
    <x v="2609"/>
    <n v="4.8611111111111112E-3"/>
    <n v="3900"/>
    <n v="73"/>
    <n v="37.459027777777777"/>
    <x v="0"/>
    <x v="3"/>
    <n v="2.5430555555555556"/>
    <s v="Slow"/>
    <x v="1"/>
    <n v="0"/>
    <x v="1"/>
    <x v="1"/>
  </r>
  <r>
    <n v="2611"/>
    <x v="2610"/>
    <n v="5.9722222222222225E-2"/>
    <n v="1631"/>
    <n v="349"/>
    <n v="70.375694444444449"/>
    <x v="2"/>
    <x v="0"/>
    <n v="1.1673611111111111"/>
    <s v="Fast"/>
    <x v="2"/>
    <n v="0"/>
    <x v="1"/>
    <x v="1"/>
  </r>
  <r>
    <n v="2612"/>
    <x v="2611"/>
    <n v="4.6527777777777779E-2"/>
    <n v="1644"/>
    <n v="363"/>
    <n v="27.293749999999999"/>
    <x v="0"/>
    <x v="0"/>
    <n v="8.5416666666666655E-2"/>
    <s v="Fast"/>
    <x v="0"/>
    <n v="0"/>
    <x v="1"/>
    <x v="1"/>
  </r>
  <r>
    <n v="2613"/>
    <x v="2612"/>
    <n v="4.3750000000000004E-2"/>
    <n v="3448"/>
    <n v="18"/>
    <n v="46.922916666666673"/>
    <x v="1"/>
    <x v="3"/>
    <n v="1.2965277777777777"/>
    <s v="Fast"/>
    <x v="1"/>
    <n v="1"/>
    <x v="0"/>
    <x v="0"/>
  </r>
  <r>
    <n v="2614"/>
    <x v="2613"/>
    <n v="5.9027777777777783E-2"/>
    <n v="2538"/>
    <n v="390"/>
    <n v="7.3368055555555562"/>
    <x v="1"/>
    <x v="0"/>
    <n v="0.42222222222222222"/>
    <s v="Fast"/>
    <x v="0"/>
    <n v="0"/>
    <x v="1"/>
    <x v="1"/>
  </r>
  <r>
    <n v="2615"/>
    <x v="2614"/>
    <n v="5.5555555555555558E-3"/>
    <n v="700"/>
    <n v="496"/>
    <n v="40.87777777777778"/>
    <x v="0"/>
    <x v="2"/>
    <n v="1.8361111111111112"/>
    <s v="Slow"/>
    <x v="0"/>
    <n v="0"/>
    <x v="1"/>
    <x v="1"/>
  </r>
  <r>
    <n v="2616"/>
    <x v="2615"/>
    <n v="5.9722222222222225E-2"/>
    <n v="3721"/>
    <n v="444"/>
    <n v="24.547222222222221"/>
    <x v="0"/>
    <x v="3"/>
    <n v="1.1284722222222221"/>
    <s v="Fast"/>
    <x v="2"/>
    <n v="1"/>
    <x v="0"/>
    <x v="0"/>
  </r>
  <r>
    <n v="2617"/>
    <x v="2616"/>
    <n v="4.3750000000000004E-2"/>
    <n v="2114"/>
    <n v="399"/>
    <n v="31.75277777777778"/>
    <x v="0"/>
    <x v="2"/>
    <n v="0.41875000000000001"/>
    <s v="Fast"/>
    <x v="1"/>
    <n v="0"/>
    <x v="1"/>
    <x v="1"/>
  </r>
  <r>
    <n v="2618"/>
    <x v="2617"/>
    <n v="6.3194444444444442E-2"/>
    <n v="3645"/>
    <n v="54"/>
    <n v="70.209722222222226"/>
    <x v="1"/>
    <x v="0"/>
    <n v="2.2124999999999999"/>
    <s v="Slow"/>
    <x v="2"/>
    <n v="1"/>
    <x v="0"/>
    <x v="0"/>
  </r>
  <r>
    <n v="2619"/>
    <x v="2618"/>
    <n v="4.3055555555555562E-2"/>
    <n v="700"/>
    <n v="452"/>
    <n v="80.042361111111106"/>
    <x v="2"/>
    <x v="2"/>
    <n v="2.5847222222222221"/>
    <s v="Slow"/>
    <x v="0"/>
    <n v="0"/>
    <x v="1"/>
    <x v="1"/>
  </r>
  <r>
    <n v="2620"/>
    <x v="2619"/>
    <n v="6.805555555555555E-2"/>
    <n v="1251"/>
    <n v="167"/>
    <n v="13.628472222222221"/>
    <x v="2"/>
    <x v="1"/>
    <n v="0.67152777777777783"/>
    <s v="Fast"/>
    <x v="2"/>
    <n v="1"/>
    <x v="0"/>
    <x v="2"/>
  </r>
  <r>
    <n v="2621"/>
    <x v="2620"/>
    <n v="6.805555555555555E-2"/>
    <n v="4363"/>
    <n v="447"/>
    <n v="67.500694444444449"/>
    <x v="0"/>
    <x v="2"/>
    <n v="2.3812500000000001"/>
    <s v="Slow"/>
    <x v="2"/>
    <n v="0"/>
    <x v="1"/>
    <x v="1"/>
  </r>
  <r>
    <n v="2622"/>
    <x v="2621"/>
    <n v="6.3888888888888898E-2"/>
    <n v="3671"/>
    <n v="293"/>
    <n v="70.919444444444437"/>
    <x v="1"/>
    <x v="3"/>
    <n v="0.75416666666666676"/>
    <s v="Fast"/>
    <x v="1"/>
    <n v="0"/>
    <x v="1"/>
    <x v="1"/>
  </r>
  <r>
    <n v="2623"/>
    <x v="2622"/>
    <n v="5.0694444444444438E-2"/>
    <n v="1386"/>
    <n v="457"/>
    <n v="54.339583333333337"/>
    <x v="3"/>
    <x v="2"/>
    <n v="0.3354166666666667"/>
    <s v="Fast"/>
    <x v="0"/>
    <n v="0"/>
    <x v="1"/>
    <x v="1"/>
  </r>
  <r>
    <n v="2624"/>
    <x v="2623"/>
    <n v="5.9722222222222225E-2"/>
    <n v="3681"/>
    <n v="497"/>
    <n v="30.045138888888889"/>
    <x v="2"/>
    <x v="0"/>
    <n v="0.83680555555555547"/>
    <s v="Fast"/>
    <x v="1"/>
    <n v="0"/>
    <x v="1"/>
    <x v="1"/>
  </r>
  <r>
    <n v="2625"/>
    <x v="2624"/>
    <n v="4.1666666666666664E-2"/>
    <n v="4038"/>
    <n v="272"/>
    <n v="61.045138888888886"/>
    <x v="1"/>
    <x v="3"/>
    <n v="0.62986111111111109"/>
    <s v="Fast"/>
    <x v="1"/>
    <n v="0"/>
    <x v="1"/>
    <x v="1"/>
  </r>
  <r>
    <n v="2626"/>
    <x v="2625"/>
    <n v="6.1805555555555558E-2"/>
    <n v="2794"/>
    <n v="72"/>
    <n v="0.66805555555555562"/>
    <x v="3"/>
    <x v="0"/>
    <n v="2.254861111111111"/>
    <s v="Slow"/>
    <x v="1"/>
    <n v="1"/>
    <x v="0"/>
    <x v="0"/>
  </r>
  <r>
    <n v="2627"/>
    <x v="2626"/>
    <n v="5.9722222222222225E-2"/>
    <n v="3240"/>
    <n v="319"/>
    <n v="1.3388888888888888"/>
    <x v="0"/>
    <x v="3"/>
    <n v="2.1277777777777778"/>
    <s v="Slow"/>
    <x v="1"/>
    <n v="0"/>
    <x v="1"/>
    <x v="1"/>
  </r>
  <r>
    <n v="2628"/>
    <x v="2627"/>
    <n v="4.2361111111111106E-2"/>
    <n v="1480"/>
    <n v="55"/>
    <n v="12.002083333333333"/>
    <x v="0"/>
    <x v="3"/>
    <n v="1.3791666666666667"/>
    <s v="Fast"/>
    <x v="2"/>
    <n v="1"/>
    <x v="0"/>
    <x v="0"/>
  </r>
  <r>
    <n v="2629"/>
    <x v="2628"/>
    <n v="4.2361111111111106E-2"/>
    <n v="4618"/>
    <n v="430"/>
    <n v="78.38055555555556"/>
    <x v="1"/>
    <x v="3"/>
    <n v="0.79722222222222217"/>
    <s v="Fast"/>
    <x v="1"/>
    <n v="0"/>
    <x v="1"/>
    <x v="1"/>
  </r>
  <r>
    <n v="2630"/>
    <x v="2629"/>
    <n v="5.9027777777777783E-2"/>
    <n v="1102"/>
    <n v="493"/>
    <n v="8.7083333333333339"/>
    <x v="2"/>
    <x v="2"/>
    <n v="0.50208333333333333"/>
    <s v="Fast"/>
    <x v="2"/>
    <n v="1"/>
    <x v="0"/>
    <x v="0"/>
  </r>
  <r>
    <n v="2631"/>
    <x v="2630"/>
    <n v="5.486111111111111E-2"/>
    <n v="4012"/>
    <n v="408"/>
    <n v="35.75416666666667"/>
    <x v="0"/>
    <x v="3"/>
    <n v="1.1729166666666666"/>
    <s v="Fast"/>
    <x v="1"/>
    <n v="0"/>
    <x v="1"/>
    <x v="1"/>
  </r>
  <r>
    <n v="2632"/>
    <x v="2631"/>
    <n v="5.5555555555555558E-3"/>
    <n v="2003"/>
    <n v="376"/>
    <n v="26.505555555555556"/>
    <x v="2"/>
    <x v="0"/>
    <n v="0.58958333333333335"/>
    <s v="Fast"/>
    <x v="2"/>
    <n v="0"/>
    <x v="1"/>
    <x v="1"/>
  </r>
  <r>
    <n v="2633"/>
    <x v="2632"/>
    <n v="4.7222222222222221E-2"/>
    <n v="1400"/>
    <n v="369"/>
    <n v="81.879861111111111"/>
    <x v="0"/>
    <x v="3"/>
    <n v="0.92222222222222217"/>
    <s v="Fast"/>
    <x v="0"/>
    <n v="0"/>
    <x v="1"/>
    <x v="1"/>
  </r>
  <r>
    <n v="2634"/>
    <x v="2633"/>
    <n v="4.9999999999999996E-2"/>
    <n v="3716"/>
    <n v="359"/>
    <n v="10.088888888888889"/>
    <x v="2"/>
    <x v="1"/>
    <n v="0.83819444444444446"/>
    <s v="Fast"/>
    <x v="1"/>
    <n v="0"/>
    <x v="1"/>
    <x v="1"/>
  </r>
  <r>
    <n v="2635"/>
    <x v="2634"/>
    <n v="6.6666666666666666E-2"/>
    <n v="1382"/>
    <n v="384"/>
    <n v="62.377777777777773"/>
    <x v="3"/>
    <x v="3"/>
    <n v="1.7131944444444445"/>
    <s v="Slow"/>
    <x v="1"/>
    <n v="1"/>
    <x v="0"/>
    <x v="0"/>
  </r>
  <r>
    <n v="2636"/>
    <x v="2635"/>
    <n v="5.2083333333333336E-2"/>
    <n v="2052"/>
    <n v="158"/>
    <n v="31.796527777777779"/>
    <x v="2"/>
    <x v="2"/>
    <n v="1.5423611111111111"/>
    <s v="Slow"/>
    <x v="0"/>
    <n v="1"/>
    <x v="0"/>
    <x v="0"/>
  </r>
  <r>
    <n v="2637"/>
    <x v="2636"/>
    <n v="6.8749999999999992E-2"/>
    <n v="2368"/>
    <n v="379"/>
    <n v="72.711111111111109"/>
    <x v="0"/>
    <x v="1"/>
    <n v="1.7944444444444445"/>
    <s v="Slow"/>
    <x v="2"/>
    <n v="0"/>
    <x v="1"/>
    <x v="1"/>
  </r>
  <r>
    <n v="2638"/>
    <x v="2637"/>
    <n v="4.6527777777777779E-2"/>
    <n v="1005"/>
    <n v="364"/>
    <n v="41.503472222222221"/>
    <x v="2"/>
    <x v="3"/>
    <n v="1.1694444444444445"/>
    <s v="Fast"/>
    <x v="1"/>
    <n v="0"/>
    <x v="1"/>
    <x v="1"/>
  </r>
  <r>
    <n v="2639"/>
    <x v="2638"/>
    <n v="5.6250000000000001E-2"/>
    <n v="2487"/>
    <n v="391"/>
    <n v="28.127083333333331"/>
    <x v="0"/>
    <x v="0"/>
    <n v="1.0888888888888888"/>
    <s v="Fast"/>
    <x v="2"/>
    <n v="0"/>
    <x v="1"/>
    <x v="1"/>
  </r>
  <r>
    <n v="2640"/>
    <x v="2639"/>
    <n v="5.9722222222222225E-2"/>
    <n v="1553"/>
    <n v="166"/>
    <n v="77.502083333333331"/>
    <x v="1"/>
    <x v="3"/>
    <n v="0.20902777777777778"/>
    <s v="Fast"/>
    <x v="2"/>
    <n v="0"/>
    <x v="1"/>
    <x v="1"/>
  </r>
  <r>
    <n v="2641"/>
    <x v="2640"/>
    <n v="6.0416666666666667E-2"/>
    <n v="4568"/>
    <n v="276"/>
    <n v="80.33541666666666"/>
    <x v="0"/>
    <x v="2"/>
    <n v="1.4180555555555554"/>
    <s v="Fast"/>
    <x v="2"/>
    <n v="1"/>
    <x v="0"/>
    <x v="0"/>
  </r>
  <r>
    <n v="2642"/>
    <x v="2641"/>
    <n v="6.3888888888888898E-2"/>
    <n v="2677"/>
    <n v="80"/>
    <n v="56.213888888888896"/>
    <x v="2"/>
    <x v="1"/>
    <n v="2.7506944444444446"/>
    <s v="Slow"/>
    <x v="1"/>
    <n v="0"/>
    <x v="1"/>
    <x v="1"/>
  </r>
  <r>
    <n v="2643"/>
    <x v="2642"/>
    <n v="6.2499999999999995E-3"/>
    <n v="1497"/>
    <n v="380"/>
    <n v="57.961111111111109"/>
    <x v="0"/>
    <x v="3"/>
    <n v="1.5048611111111112"/>
    <s v="Slow"/>
    <x v="1"/>
    <n v="1"/>
    <x v="0"/>
    <x v="0"/>
  </r>
  <r>
    <n v="2644"/>
    <x v="2643"/>
    <n v="6.458333333333334E-2"/>
    <n v="3277"/>
    <n v="420"/>
    <n v="15.170138888888888"/>
    <x v="3"/>
    <x v="0"/>
    <n v="1.0416666666666667"/>
    <s v="Fast"/>
    <x v="1"/>
    <n v="0"/>
    <x v="1"/>
    <x v="1"/>
  </r>
  <r>
    <n v="2645"/>
    <x v="2644"/>
    <n v="4.3055555555555562E-2"/>
    <n v="3055"/>
    <n v="269"/>
    <n v="5.3784722222222223"/>
    <x v="0"/>
    <x v="0"/>
    <n v="1.8368055555555556"/>
    <s v="Slow"/>
    <x v="1"/>
    <n v="1"/>
    <x v="0"/>
    <x v="0"/>
  </r>
  <r>
    <n v="2646"/>
    <x v="2645"/>
    <n v="4.3750000000000004E-2"/>
    <n v="2063"/>
    <n v="20"/>
    <n v="52.794444444444444"/>
    <x v="3"/>
    <x v="1"/>
    <n v="1.8805555555555555"/>
    <s v="Slow"/>
    <x v="2"/>
    <n v="0"/>
    <x v="1"/>
    <x v="1"/>
  </r>
  <r>
    <n v="2647"/>
    <x v="2646"/>
    <n v="4.5138888888888888E-2"/>
    <n v="1570"/>
    <n v="487"/>
    <n v="34.835416666666667"/>
    <x v="0"/>
    <x v="1"/>
    <n v="0.21388888888888891"/>
    <s v="Fast"/>
    <x v="0"/>
    <n v="0"/>
    <x v="1"/>
    <x v="1"/>
  </r>
  <r>
    <n v="2648"/>
    <x v="2647"/>
    <n v="4.7222222222222221E-2"/>
    <n v="3628"/>
    <n v="316"/>
    <n v="41.71458333333333"/>
    <x v="0"/>
    <x v="1"/>
    <n v="1.9604166666666665"/>
    <s v="Slow"/>
    <x v="2"/>
    <n v="1"/>
    <x v="0"/>
    <x v="2"/>
  </r>
  <r>
    <n v="2649"/>
    <x v="2648"/>
    <n v="6.1805555555555558E-2"/>
    <n v="2971"/>
    <n v="332"/>
    <n v="68.836805555555557"/>
    <x v="1"/>
    <x v="2"/>
    <n v="0.63055555555555554"/>
    <s v="Fast"/>
    <x v="0"/>
    <n v="1"/>
    <x v="0"/>
    <x v="0"/>
  </r>
  <r>
    <n v="2650"/>
    <x v="2649"/>
    <n v="5.6944444444444443E-2"/>
    <n v="682"/>
    <n v="496"/>
    <n v="39.12916666666667"/>
    <x v="3"/>
    <x v="1"/>
    <n v="0.66666666666666663"/>
    <s v="Fast"/>
    <x v="0"/>
    <n v="0"/>
    <x v="1"/>
    <x v="1"/>
  </r>
  <r>
    <n v="2651"/>
    <x v="2650"/>
    <n v="6.1111111111111109E-2"/>
    <n v="1052"/>
    <n v="211"/>
    <n v="71.711805555555557"/>
    <x v="2"/>
    <x v="1"/>
    <n v="2.7124999999999999"/>
    <s v="Slow"/>
    <x v="2"/>
    <n v="0"/>
    <x v="1"/>
    <x v="1"/>
  </r>
  <r>
    <n v="2652"/>
    <x v="2651"/>
    <n v="5.8333333333333327E-2"/>
    <n v="1088"/>
    <n v="445"/>
    <n v="32.833333333333336"/>
    <x v="2"/>
    <x v="0"/>
    <n v="2.0479166666666666"/>
    <s v="Slow"/>
    <x v="1"/>
    <n v="0"/>
    <x v="1"/>
    <x v="1"/>
  </r>
  <r>
    <n v="2653"/>
    <x v="2652"/>
    <n v="5.6944444444444443E-2"/>
    <n v="2562"/>
    <n v="213"/>
    <n v="75.922222222222231"/>
    <x v="3"/>
    <x v="2"/>
    <n v="1.7944444444444445"/>
    <s v="Slow"/>
    <x v="2"/>
    <n v="0"/>
    <x v="1"/>
    <x v="1"/>
  </r>
  <r>
    <n v="2654"/>
    <x v="2653"/>
    <n v="4.6527777777777779E-2"/>
    <n v="3820"/>
    <n v="43"/>
    <n v="42.377083333333331"/>
    <x v="1"/>
    <x v="0"/>
    <n v="2.2534722222222223"/>
    <s v="Slow"/>
    <x v="1"/>
    <n v="1"/>
    <x v="0"/>
    <x v="0"/>
  </r>
  <r>
    <n v="2655"/>
    <x v="2654"/>
    <n v="6.5277777777777782E-2"/>
    <n v="2482"/>
    <n v="71"/>
    <n v="22.378472222222225"/>
    <x v="3"/>
    <x v="2"/>
    <n v="1.6305555555555555"/>
    <s v="Slow"/>
    <x v="2"/>
    <n v="0"/>
    <x v="1"/>
    <x v="1"/>
  </r>
  <r>
    <n v="2656"/>
    <x v="2655"/>
    <n v="6.3194444444444442E-2"/>
    <n v="3763"/>
    <n v="65"/>
    <n v="17.129861111111111"/>
    <x v="2"/>
    <x v="2"/>
    <n v="1.9645833333333333"/>
    <s v="Slow"/>
    <x v="0"/>
    <n v="0"/>
    <x v="1"/>
    <x v="1"/>
  </r>
  <r>
    <n v="2657"/>
    <x v="2656"/>
    <n v="6.2499999999999995E-3"/>
    <n v="3978"/>
    <n v="351"/>
    <n v="6.834027777777778"/>
    <x v="1"/>
    <x v="2"/>
    <n v="0.58819444444444446"/>
    <s v="Fast"/>
    <x v="1"/>
    <n v="1"/>
    <x v="0"/>
    <x v="0"/>
  </r>
  <r>
    <n v="2658"/>
    <x v="2657"/>
    <n v="6.7361111111111108E-2"/>
    <n v="53"/>
    <n v="222"/>
    <n v="58.709722222222219"/>
    <x v="1"/>
    <x v="0"/>
    <n v="2.2090277777777776"/>
    <s v="Slow"/>
    <x v="0"/>
    <n v="0"/>
    <x v="1"/>
    <x v="1"/>
  </r>
  <r>
    <n v="2659"/>
    <x v="2658"/>
    <n v="5.2777777777777778E-2"/>
    <n v="3395"/>
    <n v="168"/>
    <n v="26.838888888888889"/>
    <x v="2"/>
    <x v="0"/>
    <n v="2.129861111111111"/>
    <s v="Slow"/>
    <x v="2"/>
    <n v="1"/>
    <x v="0"/>
    <x v="0"/>
  </r>
  <r>
    <n v="2660"/>
    <x v="2659"/>
    <n v="5.3472222222222227E-2"/>
    <n v="2905"/>
    <n v="306"/>
    <n v="28.710416666666664"/>
    <x v="0"/>
    <x v="2"/>
    <n v="1.5416666666666667"/>
    <s v="Slow"/>
    <x v="2"/>
    <n v="0"/>
    <x v="1"/>
    <x v="1"/>
  </r>
  <r>
    <n v="2661"/>
    <x v="2660"/>
    <n v="5.486111111111111E-2"/>
    <n v="4381"/>
    <n v="100"/>
    <n v="54.750694444444441"/>
    <x v="2"/>
    <x v="2"/>
    <n v="2.1312500000000001"/>
    <s v="Slow"/>
    <x v="2"/>
    <n v="1"/>
    <x v="0"/>
    <x v="0"/>
  </r>
  <r>
    <n v="2662"/>
    <x v="2661"/>
    <n v="5.1388888888888894E-2"/>
    <n v="1309"/>
    <n v="427"/>
    <n v="82.208333333333329"/>
    <x v="0"/>
    <x v="2"/>
    <n v="1.1666666666666667"/>
    <s v="Fast"/>
    <x v="1"/>
    <n v="0"/>
    <x v="1"/>
    <x v="1"/>
  </r>
  <r>
    <n v="2663"/>
    <x v="2662"/>
    <n v="5.5555555555555558E-3"/>
    <n v="1255"/>
    <n v="437"/>
    <n v="35.088194444444447"/>
    <x v="2"/>
    <x v="3"/>
    <n v="0.29375000000000001"/>
    <s v="Fast"/>
    <x v="1"/>
    <n v="0"/>
    <x v="1"/>
    <x v="1"/>
  </r>
  <r>
    <n v="2664"/>
    <x v="2663"/>
    <n v="5.9027777777777783E-2"/>
    <n v="2125"/>
    <n v="64"/>
    <n v="27.544444444444448"/>
    <x v="2"/>
    <x v="0"/>
    <n v="2.8777777777777778"/>
    <s v="Slow"/>
    <x v="1"/>
    <n v="1"/>
    <x v="0"/>
    <x v="0"/>
  </r>
  <r>
    <n v="2665"/>
    <x v="2664"/>
    <n v="5.7638888888888885E-2"/>
    <n v="4261"/>
    <n v="283"/>
    <n v="43.464583333333337"/>
    <x v="3"/>
    <x v="1"/>
    <n v="2.2951388888888888"/>
    <s v="Slow"/>
    <x v="1"/>
    <n v="0"/>
    <x v="1"/>
    <x v="1"/>
  </r>
  <r>
    <n v="2666"/>
    <x v="2665"/>
    <n v="4.6527777777777779E-2"/>
    <n v="1396"/>
    <n v="201"/>
    <n v="14.878472222222221"/>
    <x v="3"/>
    <x v="0"/>
    <n v="2.3812500000000001"/>
    <s v="Slow"/>
    <x v="0"/>
    <n v="0"/>
    <x v="1"/>
    <x v="1"/>
  </r>
  <r>
    <n v="2667"/>
    <x v="2666"/>
    <n v="6.1805555555555558E-2"/>
    <n v="4971"/>
    <n v="297"/>
    <n v="43.333333333333336"/>
    <x v="0"/>
    <x v="3"/>
    <n v="2.6722222222222225"/>
    <s v="Slow"/>
    <x v="0"/>
    <n v="0"/>
    <x v="1"/>
    <x v="1"/>
  </r>
  <r>
    <n v="2668"/>
    <x v="2667"/>
    <n v="4.3750000000000004E-2"/>
    <n v="1605"/>
    <n v="9"/>
    <n v="71.212499999999991"/>
    <x v="1"/>
    <x v="0"/>
    <n v="1.1729166666666666"/>
    <s v="Fast"/>
    <x v="1"/>
    <n v="1"/>
    <x v="0"/>
    <x v="0"/>
  </r>
  <r>
    <n v="2669"/>
    <x v="2668"/>
    <n v="4.7222222222222221E-2"/>
    <n v="2768"/>
    <n v="499"/>
    <n v="9.1298611111111114"/>
    <x v="1"/>
    <x v="3"/>
    <n v="1.2145833333333333"/>
    <s v="Fast"/>
    <x v="1"/>
    <n v="0"/>
    <x v="1"/>
    <x v="1"/>
  </r>
  <r>
    <n v="2670"/>
    <x v="2669"/>
    <n v="5.2777777777777778E-2"/>
    <n v="256"/>
    <n v="426"/>
    <n v="17.711111111111112"/>
    <x v="0"/>
    <x v="1"/>
    <n v="1.0881944444444445"/>
    <s v="Fast"/>
    <x v="1"/>
    <n v="0"/>
    <x v="1"/>
    <x v="1"/>
  </r>
  <r>
    <n v="2671"/>
    <x v="2670"/>
    <n v="6.458333333333334E-2"/>
    <n v="2299"/>
    <n v="167"/>
    <n v="29.918749999999999"/>
    <x v="2"/>
    <x v="2"/>
    <n v="2.5840277777777776"/>
    <s v="Slow"/>
    <x v="2"/>
    <n v="1"/>
    <x v="0"/>
    <x v="0"/>
  </r>
  <r>
    <n v="2672"/>
    <x v="2671"/>
    <n v="4.8611111111111112E-3"/>
    <n v="1487"/>
    <n v="267"/>
    <n v="28.670138888888889"/>
    <x v="3"/>
    <x v="2"/>
    <n v="1.3805555555555555"/>
    <s v="Fast"/>
    <x v="1"/>
    <n v="1"/>
    <x v="0"/>
    <x v="0"/>
  </r>
  <r>
    <n v="2673"/>
    <x v="2672"/>
    <n v="6.458333333333334E-2"/>
    <n v="4753"/>
    <n v="73"/>
    <n v="28.876388888888886"/>
    <x v="0"/>
    <x v="2"/>
    <n v="2.2111111111111112"/>
    <s v="Slow"/>
    <x v="2"/>
    <n v="0"/>
    <x v="1"/>
    <x v="1"/>
  </r>
  <r>
    <n v="2674"/>
    <x v="2673"/>
    <n v="5.7638888888888885E-2"/>
    <n v="367"/>
    <n v="410"/>
    <n v="21.708333333333332"/>
    <x v="2"/>
    <x v="0"/>
    <n v="2.875"/>
    <s v="Slow"/>
    <x v="0"/>
    <n v="1"/>
    <x v="0"/>
    <x v="0"/>
  </r>
  <r>
    <n v="2675"/>
    <x v="2674"/>
    <n v="6.1111111111111109E-2"/>
    <n v="2451"/>
    <n v="52"/>
    <n v="78.334722222222226"/>
    <x v="3"/>
    <x v="0"/>
    <n v="2.6277777777777778"/>
    <s v="Slow"/>
    <x v="2"/>
    <n v="0"/>
    <x v="1"/>
    <x v="1"/>
  </r>
  <r>
    <n v="2676"/>
    <x v="2675"/>
    <n v="4.9999999999999996E-2"/>
    <n v="236"/>
    <n v="468"/>
    <n v="6.0472222222222216"/>
    <x v="0"/>
    <x v="0"/>
    <n v="1.3388888888888888"/>
    <s v="Fast"/>
    <x v="0"/>
    <n v="0"/>
    <x v="1"/>
    <x v="1"/>
  </r>
  <r>
    <n v="2677"/>
    <x v="2676"/>
    <n v="6.8749999999999992E-2"/>
    <n v="2642"/>
    <n v="279"/>
    <n v="44.959722222222219"/>
    <x v="2"/>
    <x v="3"/>
    <n v="2.6312500000000001"/>
    <s v="Slow"/>
    <x v="0"/>
    <n v="0"/>
    <x v="1"/>
    <x v="1"/>
  </r>
  <r>
    <n v="2678"/>
    <x v="2677"/>
    <n v="5.9722222222222225E-2"/>
    <n v="2406"/>
    <n v="75"/>
    <n v="32.293749999999996"/>
    <x v="0"/>
    <x v="3"/>
    <n v="1.0444444444444445"/>
    <s v="Fast"/>
    <x v="2"/>
    <n v="0"/>
    <x v="1"/>
    <x v="1"/>
  </r>
  <r>
    <n v="2679"/>
    <x v="2678"/>
    <n v="4.3750000000000004E-2"/>
    <n v="1540"/>
    <n v="373"/>
    <n v="65.006250000000009"/>
    <x v="1"/>
    <x v="1"/>
    <n v="1.3333333333333333"/>
    <s v="Fast"/>
    <x v="0"/>
    <n v="0"/>
    <x v="1"/>
    <x v="1"/>
  </r>
  <r>
    <n v="2680"/>
    <x v="2679"/>
    <n v="6.3888888888888898E-2"/>
    <n v="964"/>
    <n v="156"/>
    <n v="40.293749999999996"/>
    <x v="2"/>
    <x v="3"/>
    <n v="2.7951388888888888"/>
    <s v="Slow"/>
    <x v="0"/>
    <n v="0"/>
    <x v="1"/>
    <x v="1"/>
  </r>
  <r>
    <n v="2681"/>
    <x v="2680"/>
    <n v="5.486111111111111E-2"/>
    <n v="308"/>
    <n v="63"/>
    <n v="55.919444444444444"/>
    <x v="1"/>
    <x v="2"/>
    <n v="2.6701388888888888"/>
    <s v="Slow"/>
    <x v="0"/>
    <n v="1"/>
    <x v="0"/>
    <x v="0"/>
  </r>
  <r>
    <n v="2682"/>
    <x v="2681"/>
    <n v="6.458333333333334E-2"/>
    <n v="2960"/>
    <n v="153"/>
    <n v="59.796527777777776"/>
    <x v="2"/>
    <x v="0"/>
    <n v="2.3368055555555558"/>
    <s v="Slow"/>
    <x v="1"/>
    <n v="1"/>
    <x v="0"/>
    <x v="0"/>
  </r>
  <r>
    <n v="2683"/>
    <x v="2682"/>
    <n v="6.1111111111111109E-2"/>
    <n v="891"/>
    <n v="119"/>
    <n v="12.420833333333334"/>
    <x v="2"/>
    <x v="2"/>
    <n v="1.9229166666666666"/>
    <s v="Slow"/>
    <x v="0"/>
    <n v="1"/>
    <x v="0"/>
    <x v="0"/>
  </r>
  <r>
    <n v="2684"/>
    <x v="2683"/>
    <n v="6.8749999999999992E-2"/>
    <n v="539"/>
    <n v="295"/>
    <n v="77.422222222222231"/>
    <x v="2"/>
    <x v="2"/>
    <n v="1.7138888888888888"/>
    <s v="Slow"/>
    <x v="1"/>
    <n v="0"/>
    <x v="1"/>
    <x v="1"/>
  </r>
  <r>
    <n v="2685"/>
    <x v="2684"/>
    <n v="6.6666666666666666E-2"/>
    <n v="3946"/>
    <n v="492"/>
    <n v="56.083333333333336"/>
    <x v="3"/>
    <x v="2"/>
    <n v="0.33749999999999997"/>
    <s v="Fast"/>
    <x v="0"/>
    <n v="0"/>
    <x v="1"/>
    <x v="1"/>
  </r>
  <r>
    <n v="2686"/>
    <x v="2685"/>
    <n v="6.0416666666666667E-2"/>
    <n v="4137"/>
    <n v="2"/>
    <n v="24.416666666666668"/>
    <x v="3"/>
    <x v="1"/>
    <n v="1.875"/>
    <s v="Slow"/>
    <x v="0"/>
    <n v="0"/>
    <x v="1"/>
    <x v="1"/>
  </r>
  <r>
    <n v="2687"/>
    <x v="2686"/>
    <n v="6.3194444444444442E-2"/>
    <n v="1901"/>
    <n v="363"/>
    <n v="16.629861111111111"/>
    <x v="3"/>
    <x v="1"/>
    <n v="1.9194444444444445"/>
    <s v="Slow"/>
    <x v="2"/>
    <n v="1"/>
    <x v="0"/>
    <x v="2"/>
  </r>
  <r>
    <n v="2688"/>
    <x v="2687"/>
    <n v="4.3055555555555562E-2"/>
    <n v="1299"/>
    <n v="139"/>
    <n v="22.213194444444444"/>
    <x v="3"/>
    <x v="1"/>
    <n v="1.2513888888888889"/>
    <s v="Fast"/>
    <x v="2"/>
    <n v="0"/>
    <x v="1"/>
    <x v="1"/>
  </r>
  <r>
    <n v="2689"/>
    <x v="2688"/>
    <n v="6.3888888888888898E-2"/>
    <n v="4069"/>
    <n v="355"/>
    <n v="31.50277777777778"/>
    <x v="3"/>
    <x v="3"/>
    <n v="0.50624999999999998"/>
    <s v="Fast"/>
    <x v="0"/>
    <n v="0"/>
    <x v="1"/>
    <x v="1"/>
  </r>
  <r>
    <n v="2690"/>
    <x v="2689"/>
    <n v="6.1805555555555558E-2"/>
    <n v="4939"/>
    <n v="277"/>
    <n v="77.422222222222231"/>
    <x v="0"/>
    <x v="2"/>
    <n v="2.9590277777777776"/>
    <s v="Slow"/>
    <x v="2"/>
    <n v="0"/>
    <x v="1"/>
    <x v="1"/>
  </r>
  <r>
    <n v="2691"/>
    <x v="2690"/>
    <n v="6.805555555555555E-2"/>
    <n v="3691"/>
    <n v="450"/>
    <n v="25.086111111111112"/>
    <x v="3"/>
    <x v="0"/>
    <n v="2.6312500000000001"/>
    <s v="Slow"/>
    <x v="1"/>
    <n v="0"/>
    <x v="1"/>
    <x v="1"/>
  </r>
  <r>
    <n v="2692"/>
    <x v="2691"/>
    <n v="6.2499999999999995E-3"/>
    <n v="1151"/>
    <n v="335"/>
    <n v="77.541666666666671"/>
    <x v="0"/>
    <x v="2"/>
    <n v="1.3340277777777778"/>
    <s v="Fast"/>
    <x v="1"/>
    <n v="1"/>
    <x v="0"/>
    <x v="0"/>
  </r>
  <r>
    <n v="2693"/>
    <x v="2692"/>
    <n v="5.9027777777777783E-2"/>
    <n v="2669"/>
    <n v="40"/>
    <n v="38.209722222222219"/>
    <x v="1"/>
    <x v="2"/>
    <n v="2.0840277777777776"/>
    <s v="Slow"/>
    <x v="1"/>
    <n v="0"/>
    <x v="1"/>
    <x v="1"/>
  </r>
  <r>
    <n v="2694"/>
    <x v="2693"/>
    <n v="6.3194444444444442E-2"/>
    <n v="2241"/>
    <n v="477"/>
    <n v="46.500694444444441"/>
    <x v="1"/>
    <x v="0"/>
    <n v="1.8784722222222223"/>
    <s v="Slow"/>
    <x v="1"/>
    <n v="0"/>
    <x v="1"/>
    <x v="1"/>
  </r>
  <r>
    <n v="2695"/>
    <x v="2694"/>
    <n v="5.8333333333333327E-2"/>
    <n v="834"/>
    <n v="341"/>
    <n v="12.96111111111111"/>
    <x v="2"/>
    <x v="2"/>
    <n v="0.54166666666666663"/>
    <s v="Fast"/>
    <x v="0"/>
    <n v="0"/>
    <x v="1"/>
    <x v="1"/>
  </r>
  <r>
    <n v="2696"/>
    <x v="2695"/>
    <n v="5.486111111111111E-2"/>
    <n v="344"/>
    <n v="470"/>
    <n v="80.000694444444449"/>
    <x v="2"/>
    <x v="0"/>
    <n v="1.1277777777777778"/>
    <s v="Fast"/>
    <x v="0"/>
    <n v="0"/>
    <x v="1"/>
    <x v="1"/>
  </r>
  <r>
    <n v="2697"/>
    <x v="2696"/>
    <n v="6.8749999999999992E-2"/>
    <n v="941"/>
    <n v="330"/>
    <n v="3.6666666666666665"/>
    <x v="0"/>
    <x v="0"/>
    <n v="2.75"/>
    <s v="Slow"/>
    <x v="1"/>
    <n v="0"/>
    <x v="1"/>
    <x v="1"/>
  </r>
  <r>
    <n v="2698"/>
    <x v="2697"/>
    <n v="5.5555555555555558E-3"/>
    <n v="739"/>
    <n v="80"/>
    <n v="59.547222222222224"/>
    <x v="3"/>
    <x v="3"/>
    <n v="2.1680555555555556"/>
    <s v="Slow"/>
    <x v="1"/>
    <n v="0"/>
    <x v="1"/>
    <x v="1"/>
  </r>
  <r>
    <n v="2699"/>
    <x v="2698"/>
    <n v="4.4444444444444446E-2"/>
    <n v="2921"/>
    <n v="378"/>
    <n v="61.547916666666673"/>
    <x v="2"/>
    <x v="0"/>
    <n v="2.2145833333333331"/>
    <s v="Slow"/>
    <x v="2"/>
    <n v="1"/>
    <x v="0"/>
    <x v="0"/>
  </r>
  <r>
    <n v="2700"/>
    <x v="2699"/>
    <n v="4.3055555555555562E-2"/>
    <n v="3845"/>
    <n v="369"/>
    <n v="14.172916666666666"/>
    <x v="1"/>
    <x v="2"/>
    <n v="8.6111111111111124E-2"/>
    <s v="Fast"/>
    <x v="0"/>
    <n v="1"/>
    <x v="0"/>
    <x v="0"/>
  </r>
  <r>
    <n v="2701"/>
    <x v="2700"/>
    <n v="5.2083333333333336E-2"/>
    <n v="3279"/>
    <n v="402"/>
    <n v="77.583333333333329"/>
    <x v="1"/>
    <x v="2"/>
    <n v="0.375"/>
    <s v="Fast"/>
    <x v="1"/>
    <n v="1"/>
    <x v="0"/>
    <x v="0"/>
  </r>
  <r>
    <n v="2702"/>
    <x v="2701"/>
    <n v="5.4166666666666669E-2"/>
    <n v="2337"/>
    <n v="138"/>
    <n v="40.128472222222221"/>
    <x v="1"/>
    <x v="1"/>
    <n v="0.29166666666666669"/>
    <s v="Fast"/>
    <x v="2"/>
    <n v="1"/>
    <x v="0"/>
    <x v="2"/>
  </r>
  <r>
    <n v="2703"/>
    <x v="2702"/>
    <n v="5.6944444444444443E-2"/>
    <n v="1846"/>
    <n v="127"/>
    <n v="4.2513888888888891"/>
    <x v="3"/>
    <x v="0"/>
    <n v="1.0062499999999999"/>
    <s v="Fast"/>
    <x v="0"/>
    <n v="0"/>
    <x v="1"/>
    <x v="1"/>
  </r>
  <r>
    <n v="2704"/>
    <x v="2703"/>
    <n v="4.3750000000000004E-2"/>
    <n v="3084"/>
    <n v="284"/>
    <n v="21.333333333333332"/>
    <x v="3"/>
    <x v="0"/>
    <n v="2.9624999999999999"/>
    <s v="Slow"/>
    <x v="0"/>
    <n v="1"/>
    <x v="0"/>
    <x v="0"/>
  </r>
  <r>
    <n v="2705"/>
    <x v="2704"/>
    <n v="5.6944444444444443E-2"/>
    <n v="2701"/>
    <n v="87"/>
    <n v="82.044444444444437"/>
    <x v="3"/>
    <x v="1"/>
    <n v="2.8756944444444446"/>
    <s v="Slow"/>
    <x v="1"/>
    <n v="0"/>
    <x v="1"/>
    <x v="1"/>
  </r>
  <r>
    <n v="2706"/>
    <x v="2705"/>
    <n v="6.805555555555555E-2"/>
    <n v="4834"/>
    <n v="353"/>
    <n v="15.459722222222224"/>
    <x v="3"/>
    <x v="2"/>
    <n v="2.0430555555555556"/>
    <s v="Slow"/>
    <x v="0"/>
    <n v="0"/>
    <x v="1"/>
    <x v="1"/>
  </r>
  <r>
    <n v="2707"/>
    <x v="2706"/>
    <n v="6.2499999999999995E-3"/>
    <n v="1196"/>
    <n v="382"/>
    <n v="2.0444444444444447"/>
    <x v="2"/>
    <x v="0"/>
    <n v="1.2138888888888888"/>
    <s v="Fast"/>
    <x v="2"/>
    <n v="1"/>
    <x v="0"/>
    <x v="0"/>
  </r>
  <r>
    <n v="2708"/>
    <x v="2707"/>
    <n v="6.1111111111111109E-2"/>
    <n v="2401"/>
    <n v="226"/>
    <n v="35.37777777777778"/>
    <x v="1"/>
    <x v="2"/>
    <n v="1.2541666666666667"/>
    <s v="Fast"/>
    <x v="0"/>
    <n v="0"/>
    <x v="1"/>
    <x v="1"/>
  </r>
  <r>
    <n v="2709"/>
    <x v="2708"/>
    <n v="5.6250000000000001E-2"/>
    <n v="2092"/>
    <n v="475"/>
    <n v="79.33819444444444"/>
    <x v="2"/>
    <x v="3"/>
    <n v="2.7979166666666671"/>
    <s v="Slow"/>
    <x v="1"/>
    <n v="0"/>
    <x v="1"/>
    <x v="1"/>
  </r>
  <r>
    <n v="2710"/>
    <x v="2709"/>
    <n v="6.5972222222222224E-2"/>
    <n v="1126"/>
    <n v="34"/>
    <n v="19.379166666666666"/>
    <x v="0"/>
    <x v="1"/>
    <n v="0.5"/>
    <s v="Fast"/>
    <x v="2"/>
    <n v="0"/>
    <x v="1"/>
    <x v="1"/>
  </r>
  <r>
    <n v="2711"/>
    <x v="2710"/>
    <n v="4.4444444444444446E-2"/>
    <n v="2381"/>
    <n v="125"/>
    <n v="81.547222222222231"/>
    <x v="3"/>
    <x v="3"/>
    <n v="2.5895833333333331"/>
    <s v="Slow"/>
    <x v="1"/>
    <n v="0"/>
    <x v="1"/>
    <x v="1"/>
  </r>
  <r>
    <n v="2712"/>
    <x v="2711"/>
    <n v="6.3194444444444442E-2"/>
    <n v="3869"/>
    <n v="440"/>
    <n v="72.876388888888883"/>
    <x v="0"/>
    <x v="1"/>
    <n v="0.46319444444444446"/>
    <s v="Fast"/>
    <x v="0"/>
    <n v="0"/>
    <x v="1"/>
    <x v="1"/>
  </r>
  <r>
    <n v="2713"/>
    <x v="2712"/>
    <n v="6.1805555555555558E-2"/>
    <n v="2326"/>
    <n v="440"/>
    <n v="71.75"/>
    <x v="2"/>
    <x v="3"/>
    <n v="0.46111111111111108"/>
    <s v="Fast"/>
    <x v="2"/>
    <n v="0"/>
    <x v="1"/>
    <x v="1"/>
  </r>
  <r>
    <n v="2714"/>
    <x v="2713"/>
    <n v="5.2083333333333336E-2"/>
    <n v="674"/>
    <n v="30"/>
    <n v="48.83680555555555"/>
    <x v="2"/>
    <x v="0"/>
    <n v="0.12916666666666668"/>
    <s v="Fast"/>
    <x v="2"/>
    <n v="1"/>
    <x v="0"/>
    <x v="0"/>
  </r>
  <r>
    <n v="2715"/>
    <x v="2714"/>
    <n v="5.5555555555555558E-3"/>
    <n v="649"/>
    <n v="399"/>
    <n v="23.500694444444445"/>
    <x v="3"/>
    <x v="0"/>
    <n v="0.12569444444444444"/>
    <s v="Fast"/>
    <x v="2"/>
    <n v="0"/>
    <x v="1"/>
    <x v="1"/>
  </r>
  <r>
    <n v="2716"/>
    <x v="2715"/>
    <n v="4.5833333333333337E-2"/>
    <n v="4277"/>
    <n v="84"/>
    <n v="49.834722222222219"/>
    <x v="0"/>
    <x v="1"/>
    <n v="2"/>
    <s v="Slow"/>
    <x v="0"/>
    <n v="0"/>
    <x v="1"/>
    <x v="1"/>
  </r>
  <r>
    <n v="2717"/>
    <x v="2716"/>
    <n v="4.1666666666666666E-3"/>
    <n v="1450"/>
    <n v="85"/>
    <n v="73.795833333333334"/>
    <x v="2"/>
    <x v="1"/>
    <n v="2.2527777777777778"/>
    <s v="Slow"/>
    <x v="0"/>
    <n v="1"/>
    <x v="0"/>
    <x v="2"/>
  </r>
  <r>
    <n v="2718"/>
    <x v="2717"/>
    <n v="5.0694444444444438E-2"/>
    <n v="4971"/>
    <n v="466"/>
    <n v="29.836805555555557"/>
    <x v="2"/>
    <x v="0"/>
    <n v="2.2090277777777776"/>
    <s v="Slow"/>
    <x v="0"/>
    <n v="0"/>
    <x v="1"/>
    <x v="1"/>
  </r>
  <r>
    <n v="2719"/>
    <x v="2718"/>
    <n v="5.1388888888888894E-2"/>
    <n v="644"/>
    <n v="471"/>
    <n v="33.75"/>
    <x v="0"/>
    <x v="3"/>
    <n v="1.2562499999999999"/>
    <s v="Fast"/>
    <x v="1"/>
    <n v="1"/>
    <x v="0"/>
    <x v="0"/>
  </r>
  <r>
    <n v="2720"/>
    <x v="2719"/>
    <n v="5.6250000000000001E-2"/>
    <n v="1156"/>
    <n v="450"/>
    <n v="30.709722222222222"/>
    <x v="1"/>
    <x v="3"/>
    <n v="1.91875"/>
    <s v="Slow"/>
    <x v="2"/>
    <n v="0"/>
    <x v="1"/>
    <x v="1"/>
  </r>
  <r>
    <n v="2721"/>
    <x v="2720"/>
    <n v="5.1388888888888894E-2"/>
    <n v="842"/>
    <n v="473"/>
    <n v="5.6270833333333341"/>
    <x v="3"/>
    <x v="3"/>
    <n v="0.12916666666666668"/>
    <s v="Fast"/>
    <x v="1"/>
    <n v="1"/>
    <x v="0"/>
    <x v="0"/>
  </r>
  <r>
    <n v="2722"/>
    <x v="2721"/>
    <n v="6.6666666666666666E-2"/>
    <n v="4095"/>
    <n v="93"/>
    <n v="64.837499999999991"/>
    <x v="0"/>
    <x v="1"/>
    <n v="1.8388888888888888"/>
    <s v="Slow"/>
    <x v="2"/>
    <n v="0"/>
    <x v="1"/>
    <x v="1"/>
  </r>
  <r>
    <n v="2723"/>
    <x v="2722"/>
    <n v="4.5833333333333337E-2"/>
    <n v="915"/>
    <n v="172"/>
    <n v="13.129861111111111"/>
    <x v="0"/>
    <x v="2"/>
    <n v="1.1708333333333334"/>
    <s v="Fast"/>
    <x v="1"/>
    <n v="0"/>
    <x v="1"/>
    <x v="1"/>
  </r>
  <r>
    <n v="2724"/>
    <x v="2723"/>
    <n v="6.458333333333334E-2"/>
    <n v="2463"/>
    <n v="173"/>
    <n v="39.922916666666666"/>
    <x v="3"/>
    <x v="3"/>
    <n v="1.3381944444444445"/>
    <s v="Fast"/>
    <x v="2"/>
    <n v="1"/>
    <x v="0"/>
    <x v="0"/>
  </r>
  <r>
    <n v="2725"/>
    <x v="2724"/>
    <n v="5.6944444444444443E-2"/>
    <n v="4695"/>
    <n v="436"/>
    <n v="61.500694444444441"/>
    <x v="0"/>
    <x v="0"/>
    <n v="1.9597222222222221"/>
    <s v="Slow"/>
    <x v="2"/>
    <n v="1"/>
    <x v="0"/>
    <x v="0"/>
  </r>
  <r>
    <n v="2726"/>
    <x v="2725"/>
    <n v="4.7916666666666663E-2"/>
    <n v="4669"/>
    <n v="100"/>
    <n v="62.127777777777773"/>
    <x v="2"/>
    <x v="3"/>
    <n v="2.5"/>
    <s v="Slow"/>
    <x v="1"/>
    <n v="1"/>
    <x v="0"/>
    <x v="0"/>
  </r>
  <r>
    <n v="2727"/>
    <x v="2726"/>
    <n v="6.5972222222222224E-2"/>
    <n v="343"/>
    <n v="251"/>
    <n v="72.71319444444444"/>
    <x v="0"/>
    <x v="1"/>
    <n v="2.5034722222222223"/>
    <s v="Slow"/>
    <x v="2"/>
    <n v="0"/>
    <x v="1"/>
    <x v="1"/>
  </r>
  <r>
    <n v="2728"/>
    <x v="2727"/>
    <n v="5.6944444444444443E-2"/>
    <n v="1453"/>
    <n v="17"/>
    <n v="57.254861111111104"/>
    <x v="3"/>
    <x v="3"/>
    <n v="1.4625000000000001"/>
    <s v="Fast"/>
    <x v="1"/>
    <n v="0"/>
    <x v="1"/>
    <x v="1"/>
  </r>
  <r>
    <n v="2729"/>
    <x v="2728"/>
    <n v="4.4444444444444446E-2"/>
    <n v="3904"/>
    <n v="261"/>
    <n v="70.042361111111106"/>
    <x v="3"/>
    <x v="0"/>
    <n v="0.12986111111111112"/>
    <s v="Fast"/>
    <x v="0"/>
    <n v="0"/>
    <x v="1"/>
    <x v="1"/>
  </r>
  <r>
    <n v="2730"/>
    <x v="2729"/>
    <n v="6.5972222222222224E-2"/>
    <n v="4114"/>
    <n v="152"/>
    <n v="10.208333333333334"/>
    <x v="1"/>
    <x v="1"/>
    <n v="2.5444444444444447"/>
    <s v="Slow"/>
    <x v="0"/>
    <n v="1"/>
    <x v="0"/>
    <x v="2"/>
  </r>
  <r>
    <n v="2731"/>
    <x v="2730"/>
    <n v="4.9305555555555554E-2"/>
    <n v="1110"/>
    <n v="201"/>
    <n v="27.755555555555556"/>
    <x v="2"/>
    <x v="0"/>
    <n v="0.20972222222222223"/>
    <s v="Fast"/>
    <x v="1"/>
    <n v="0"/>
    <x v="1"/>
    <x v="1"/>
  </r>
  <r>
    <n v="2732"/>
    <x v="2731"/>
    <n v="5.7638888888888885E-2"/>
    <n v="676"/>
    <n v="391"/>
    <n v="11.879166666666668"/>
    <x v="2"/>
    <x v="0"/>
    <n v="1.7145833333333333"/>
    <s v="Slow"/>
    <x v="1"/>
    <n v="0"/>
    <x v="1"/>
    <x v="1"/>
  </r>
  <r>
    <n v="2733"/>
    <x v="2732"/>
    <n v="6.0416666666666667E-2"/>
    <n v="1564"/>
    <n v="466"/>
    <n v="26.045833333333334"/>
    <x v="1"/>
    <x v="3"/>
    <n v="0.25416666666666665"/>
    <s v="Fast"/>
    <x v="1"/>
    <n v="0"/>
    <x v="1"/>
    <x v="1"/>
  </r>
  <r>
    <n v="2734"/>
    <x v="2733"/>
    <n v="6.2499999999999995E-3"/>
    <n v="302"/>
    <n v="140"/>
    <n v="2.088888888888889"/>
    <x v="1"/>
    <x v="0"/>
    <n v="1.5034722222222223"/>
    <s v="Slow"/>
    <x v="0"/>
    <n v="0"/>
    <x v="1"/>
    <x v="1"/>
  </r>
  <r>
    <n v="2735"/>
    <x v="2734"/>
    <n v="6.1805555555555558E-2"/>
    <n v="2720"/>
    <n v="97"/>
    <n v="27.709027777777777"/>
    <x v="2"/>
    <x v="2"/>
    <n v="2.5020833333333332"/>
    <s v="Slow"/>
    <x v="2"/>
    <n v="1"/>
    <x v="0"/>
    <x v="0"/>
  </r>
  <r>
    <n v="2736"/>
    <x v="2735"/>
    <n v="6.458333333333334E-2"/>
    <n v="3113"/>
    <n v="156"/>
    <n v="66.756250000000009"/>
    <x v="1"/>
    <x v="1"/>
    <n v="1.8333333333333333"/>
    <s v="Slow"/>
    <x v="0"/>
    <n v="0"/>
    <x v="1"/>
    <x v="1"/>
  </r>
  <r>
    <n v="2737"/>
    <x v="2736"/>
    <n v="6.3194444444444442E-2"/>
    <n v="2731"/>
    <n v="73"/>
    <n v="49.418749999999996"/>
    <x v="3"/>
    <x v="0"/>
    <n v="0.58333333333333337"/>
    <s v="Fast"/>
    <x v="1"/>
    <n v="0"/>
    <x v="1"/>
    <x v="1"/>
  </r>
  <r>
    <n v="2738"/>
    <x v="2737"/>
    <n v="4.7222222222222221E-2"/>
    <n v="1323"/>
    <n v="493"/>
    <n v="17.291666666666668"/>
    <x v="1"/>
    <x v="2"/>
    <n v="2.125"/>
    <s v="Slow"/>
    <x v="2"/>
    <n v="0"/>
    <x v="1"/>
    <x v="1"/>
  </r>
  <r>
    <n v="2739"/>
    <x v="2738"/>
    <n v="5.6944444444444443E-2"/>
    <n v="397"/>
    <n v="285"/>
    <n v="53.629861111111104"/>
    <x v="2"/>
    <x v="3"/>
    <n v="2.625"/>
    <s v="Slow"/>
    <x v="1"/>
    <n v="1"/>
    <x v="0"/>
    <x v="0"/>
  </r>
  <r>
    <n v="2740"/>
    <x v="2739"/>
    <n v="5.5555555555555558E-3"/>
    <n v="4118"/>
    <n v="31"/>
    <n v="53.918055555555554"/>
    <x v="1"/>
    <x v="3"/>
    <n v="2.2520833333333332"/>
    <s v="Slow"/>
    <x v="2"/>
    <n v="0"/>
    <x v="1"/>
    <x v="1"/>
  </r>
  <r>
    <n v="2741"/>
    <x v="2740"/>
    <n v="4.5138888888888888E-2"/>
    <n v="4923"/>
    <n v="495"/>
    <n v="42.211805555555557"/>
    <x v="2"/>
    <x v="3"/>
    <n v="1.2090277777777778"/>
    <s v="Fast"/>
    <x v="1"/>
    <n v="1"/>
    <x v="0"/>
    <x v="0"/>
  </r>
  <r>
    <n v="2742"/>
    <x v="2741"/>
    <n v="5.3472222222222227E-2"/>
    <n v="2971"/>
    <n v="210"/>
    <n v="46.045138888888886"/>
    <x v="2"/>
    <x v="2"/>
    <n v="2.75"/>
    <s v="Slow"/>
    <x v="1"/>
    <n v="0"/>
    <x v="1"/>
    <x v="1"/>
  </r>
  <r>
    <n v="2743"/>
    <x v="2742"/>
    <n v="6.3194444444444442E-2"/>
    <n v="4960"/>
    <n v="154"/>
    <n v="1.2555555555555555"/>
    <x v="0"/>
    <x v="2"/>
    <n v="2.2111111111111112"/>
    <s v="Slow"/>
    <x v="0"/>
    <n v="1"/>
    <x v="0"/>
    <x v="0"/>
  </r>
  <r>
    <n v="2744"/>
    <x v="2743"/>
    <n v="5.4166666666666669E-2"/>
    <n v="813"/>
    <n v="148"/>
    <n v="57.584722222222219"/>
    <x v="3"/>
    <x v="3"/>
    <n v="1.5013888888888889"/>
    <s v="Slow"/>
    <x v="2"/>
    <n v="0"/>
    <x v="1"/>
    <x v="1"/>
  </r>
  <r>
    <n v="2745"/>
    <x v="2744"/>
    <n v="5.2777777777777778E-2"/>
    <n v="1988"/>
    <n v="261"/>
    <n v="76.00555555555556"/>
    <x v="3"/>
    <x v="3"/>
    <n v="0.50555555555555554"/>
    <s v="Fast"/>
    <x v="1"/>
    <n v="1"/>
    <x v="0"/>
    <x v="0"/>
  </r>
  <r>
    <n v="2746"/>
    <x v="2745"/>
    <n v="5.486111111111111E-2"/>
    <n v="1038"/>
    <n v="344"/>
    <n v="33.333333333333336"/>
    <x v="2"/>
    <x v="0"/>
    <n v="2.5854166666666667"/>
    <s v="Slow"/>
    <x v="2"/>
    <n v="1"/>
    <x v="0"/>
    <x v="0"/>
  </r>
  <r>
    <n v="2747"/>
    <x v="2746"/>
    <n v="5.7638888888888885E-2"/>
    <n v="2077"/>
    <n v="461"/>
    <n v="52.920138888888886"/>
    <x v="0"/>
    <x v="1"/>
    <n v="2.963888888888889"/>
    <s v="Slow"/>
    <x v="1"/>
    <n v="0"/>
    <x v="1"/>
    <x v="1"/>
  </r>
  <r>
    <n v="2748"/>
    <x v="2747"/>
    <n v="6.3194444444444442E-2"/>
    <n v="2769"/>
    <n v="339"/>
    <n v="80.922222222222231"/>
    <x v="0"/>
    <x v="0"/>
    <n v="4.3055555555555562E-2"/>
    <s v="Fast"/>
    <x v="2"/>
    <n v="0"/>
    <x v="1"/>
    <x v="1"/>
  </r>
  <r>
    <n v="2749"/>
    <x v="2748"/>
    <n v="6.5277777777777782E-2"/>
    <n v="2850"/>
    <n v="377"/>
    <n v="70.463888888888889"/>
    <x v="0"/>
    <x v="2"/>
    <n v="2.0055555555555555"/>
    <s v="Slow"/>
    <x v="0"/>
    <n v="1"/>
    <x v="0"/>
    <x v="0"/>
  </r>
  <r>
    <n v="2750"/>
    <x v="2749"/>
    <n v="4.9999999999999996E-2"/>
    <n v="3674"/>
    <n v="78"/>
    <n v="12.544444444444444"/>
    <x v="0"/>
    <x v="0"/>
    <n v="1.3388888888888888"/>
    <s v="Fast"/>
    <x v="0"/>
    <n v="1"/>
    <x v="0"/>
    <x v="0"/>
  </r>
  <r>
    <n v="2751"/>
    <x v="2750"/>
    <n v="4.9305555555555554E-2"/>
    <n v="3823"/>
    <n v="444"/>
    <n v="8.9180555555555561"/>
    <x v="1"/>
    <x v="3"/>
    <n v="1.2527777777777778"/>
    <s v="Fast"/>
    <x v="0"/>
    <n v="0"/>
    <x v="1"/>
    <x v="1"/>
  </r>
  <r>
    <n v="2752"/>
    <x v="2751"/>
    <n v="5.0694444444444438E-2"/>
    <n v="3331"/>
    <n v="182"/>
    <n v="16.209027777777777"/>
    <x v="1"/>
    <x v="3"/>
    <n v="2.7541666666666664"/>
    <s v="Slow"/>
    <x v="2"/>
    <n v="0"/>
    <x v="1"/>
    <x v="1"/>
  </r>
  <r>
    <n v="2753"/>
    <x v="2752"/>
    <n v="6.5972222222222224E-2"/>
    <n v="4374"/>
    <n v="490"/>
    <n v="62.089583333333337"/>
    <x v="2"/>
    <x v="2"/>
    <n v="2.7527777777777778"/>
    <s v="Slow"/>
    <x v="1"/>
    <n v="1"/>
    <x v="0"/>
    <x v="0"/>
  </r>
  <r>
    <n v="2754"/>
    <x v="2753"/>
    <n v="6.6666666666666666E-2"/>
    <n v="746"/>
    <n v="124"/>
    <n v="77.172916666666666"/>
    <x v="2"/>
    <x v="1"/>
    <n v="0.25"/>
    <s v="Fast"/>
    <x v="2"/>
    <n v="1"/>
    <x v="0"/>
    <x v="2"/>
  </r>
  <r>
    <n v="2755"/>
    <x v="2754"/>
    <n v="5.1388888888888894E-2"/>
    <n v="1391"/>
    <n v="26"/>
    <n v="29.084027777777777"/>
    <x v="2"/>
    <x v="2"/>
    <n v="1"/>
    <s v="Fast"/>
    <x v="1"/>
    <n v="0"/>
    <x v="1"/>
    <x v="1"/>
  </r>
  <r>
    <n v="2756"/>
    <x v="2755"/>
    <n v="6.458333333333334E-2"/>
    <n v="4217"/>
    <n v="42"/>
    <n v="48.254166666666663"/>
    <x v="3"/>
    <x v="3"/>
    <n v="1.9645833333333333"/>
    <s v="Slow"/>
    <x v="0"/>
    <n v="0"/>
    <x v="1"/>
    <x v="1"/>
  </r>
  <r>
    <n v="2757"/>
    <x v="2756"/>
    <n v="5.6944444444444443E-2"/>
    <n v="2628"/>
    <n v="350"/>
    <n v="35.625"/>
    <x v="3"/>
    <x v="0"/>
    <n v="1.5840277777777778"/>
    <s v="Slow"/>
    <x v="2"/>
    <n v="0"/>
    <x v="1"/>
    <x v="1"/>
  </r>
  <r>
    <n v="2758"/>
    <x v="2757"/>
    <n v="6.805555555555555E-2"/>
    <n v="361"/>
    <n v="364"/>
    <n v="79.209027777777777"/>
    <x v="2"/>
    <x v="1"/>
    <n v="0.79583333333333339"/>
    <s v="Fast"/>
    <x v="2"/>
    <n v="1"/>
    <x v="0"/>
    <x v="2"/>
  </r>
  <r>
    <n v="2759"/>
    <x v="2758"/>
    <n v="5.7638888888888885E-2"/>
    <n v="3092"/>
    <n v="18"/>
    <n v="50.709722222222219"/>
    <x v="0"/>
    <x v="2"/>
    <n v="1.2972222222222223"/>
    <s v="Fast"/>
    <x v="2"/>
    <n v="0"/>
    <x v="1"/>
    <x v="1"/>
  </r>
  <r>
    <n v="2760"/>
    <x v="2759"/>
    <n v="6.6666666666666666E-2"/>
    <n v="1082"/>
    <n v="264"/>
    <n v="42.337499999999999"/>
    <x v="2"/>
    <x v="0"/>
    <n v="2.1701388888888888"/>
    <s v="Slow"/>
    <x v="1"/>
    <n v="0"/>
    <x v="1"/>
    <x v="1"/>
  </r>
  <r>
    <n v="2761"/>
    <x v="2760"/>
    <n v="5.6944444444444443E-2"/>
    <n v="2031"/>
    <n v="204"/>
    <n v="21.922916666666666"/>
    <x v="0"/>
    <x v="3"/>
    <n v="2.880555555555556"/>
    <s v="Slow"/>
    <x v="2"/>
    <n v="0"/>
    <x v="1"/>
    <x v="1"/>
  </r>
  <r>
    <n v="2762"/>
    <x v="2761"/>
    <n v="5.1388888888888894E-2"/>
    <n v="1035"/>
    <n v="118"/>
    <n v="59.420833333333327"/>
    <x v="1"/>
    <x v="1"/>
    <n v="0.21041666666666667"/>
    <s v="Fast"/>
    <x v="2"/>
    <n v="0"/>
    <x v="1"/>
    <x v="1"/>
  </r>
  <r>
    <n v="2763"/>
    <x v="2762"/>
    <n v="6.5277777777777782E-2"/>
    <n v="1076"/>
    <n v="216"/>
    <n v="57.63055555555556"/>
    <x v="3"/>
    <x v="2"/>
    <n v="1.79375"/>
    <s v="Slow"/>
    <x v="0"/>
    <n v="0"/>
    <x v="1"/>
    <x v="1"/>
  </r>
  <r>
    <n v="2764"/>
    <x v="2763"/>
    <n v="5.0694444444444438E-2"/>
    <n v="4972"/>
    <n v="95"/>
    <n v="0.8354166666666667"/>
    <x v="1"/>
    <x v="0"/>
    <n v="0.20833333333333334"/>
    <s v="Fast"/>
    <x v="2"/>
    <n v="1"/>
    <x v="0"/>
    <x v="0"/>
  </r>
  <r>
    <n v="2765"/>
    <x v="2764"/>
    <n v="6.3888888888888898E-2"/>
    <n v="1094"/>
    <n v="481"/>
    <n v="48.962499999999999"/>
    <x v="2"/>
    <x v="1"/>
    <n v="1.4631944444444445"/>
    <s v="Fast"/>
    <x v="1"/>
    <n v="1"/>
    <x v="0"/>
    <x v="2"/>
  </r>
  <r>
    <n v="2766"/>
    <x v="2765"/>
    <n v="5.6250000000000001E-2"/>
    <n v="4476"/>
    <n v="416"/>
    <n v="69.212499999999991"/>
    <x v="0"/>
    <x v="0"/>
    <n v="1.5416666666666667"/>
    <s v="Slow"/>
    <x v="0"/>
    <n v="1"/>
    <x v="0"/>
    <x v="0"/>
  </r>
  <r>
    <n v="2767"/>
    <x v="2766"/>
    <n v="5.0694444444444438E-2"/>
    <n v="1530"/>
    <n v="363"/>
    <n v="66.253472222222214"/>
    <x v="2"/>
    <x v="2"/>
    <n v="0.3756944444444445"/>
    <s v="Fast"/>
    <x v="2"/>
    <n v="0"/>
    <x v="1"/>
    <x v="1"/>
  </r>
  <r>
    <n v="2768"/>
    <x v="2767"/>
    <n v="5.486111111111111E-2"/>
    <n v="1660"/>
    <n v="376"/>
    <n v="22.546527777777779"/>
    <x v="3"/>
    <x v="0"/>
    <n v="2.588888888888889"/>
    <s v="Slow"/>
    <x v="0"/>
    <n v="0"/>
    <x v="1"/>
    <x v="1"/>
  </r>
  <r>
    <n v="2769"/>
    <x v="2768"/>
    <n v="6.6666666666666666E-2"/>
    <n v="2937"/>
    <n v="135"/>
    <n v="81.001388888888883"/>
    <x v="0"/>
    <x v="3"/>
    <n v="2.0451388888888888"/>
    <s v="Slow"/>
    <x v="0"/>
    <n v="0"/>
    <x v="1"/>
    <x v="1"/>
  </r>
  <r>
    <n v="2770"/>
    <x v="2769"/>
    <n v="4.9999999999999996E-2"/>
    <n v="1451"/>
    <n v="37"/>
    <n v="40.045138888888893"/>
    <x v="2"/>
    <x v="0"/>
    <n v="0.20833333333333334"/>
    <s v="Fast"/>
    <x v="0"/>
    <n v="0"/>
    <x v="1"/>
    <x v="1"/>
  </r>
  <r>
    <n v="2771"/>
    <x v="2770"/>
    <n v="4.3750000000000004E-2"/>
    <n v="3185"/>
    <n v="105"/>
    <n v="58.584027777777777"/>
    <x v="3"/>
    <x v="2"/>
    <n v="0.25208333333333333"/>
    <s v="Fast"/>
    <x v="2"/>
    <n v="1"/>
    <x v="0"/>
    <x v="0"/>
  </r>
  <r>
    <n v="2772"/>
    <x v="2771"/>
    <n v="6.6666666666666666E-2"/>
    <n v="481"/>
    <n v="117"/>
    <n v="56.797916666666673"/>
    <x v="3"/>
    <x v="2"/>
    <n v="1.4222222222222223"/>
    <s v="Fast"/>
    <x v="0"/>
    <n v="0"/>
    <x v="1"/>
    <x v="1"/>
  </r>
  <r>
    <n v="2773"/>
    <x v="2772"/>
    <n v="4.5138888888888888E-2"/>
    <n v="4996"/>
    <n v="492"/>
    <n v="29.256249999999998"/>
    <x v="0"/>
    <x v="0"/>
    <n v="2.5055555555555555"/>
    <s v="Slow"/>
    <x v="1"/>
    <n v="1"/>
    <x v="0"/>
    <x v="0"/>
  </r>
  <r>
    <n v="2774"/>
    <x v="2773"/>
    <n v="4.7916666666666663E-2"/>
    <n v="2364"/>
    <n v="169"/>
    <n v="25.211111111111112"/>
    <x v="3"/>
    <x v="1"/>
    <n v="2.004861111111111"/>
    <s v="Slow"/>
    <x v="0"/>
    <n v="1"/>
    <x v="0"/>
    <x v="2"/>
  </r>
  <r>
    <n v="2775"/>
    <x v="2774"/>
    <n v="5.486111111111111E-2"/>
    <n v="3150"/>
    <n v="276"/>
    <n v="80.959722222222226"/>
    <x v="0"/>
    <x v="0"/>
    <n v="2.2951388888888888"/>
    <s v="Slow"/>
    <x v="0"/>
    <n v="1"/>
    <x v="0"/>
    <x v="0"/>
  </r>
  <r>
    <n v="2776"/>
    <x v="2775"/>
    <n v="6.3194444444444442E-2"/>
    <n v="2908"/>
    <n v="96"/>
    <n v="64.797222222222231"/>
    <x v="0"/>
    <x v="0"/>
    <n v="1.7930555555555554"/>
    <s v="Slow"/>
    <x v="2"/>
    <n v="0"/>
    <x v="1"/>
    <x v="1"/>
  </r>
  <r>
    <n v="2777"/>
    <x v="2776"/>
    <n v="6.8749999999999992E-2"/>
    <n v="2262"/>
    <n v="168"/>
    <n v="35.58958333333333"/>
    <x v="1"/>
    <x v="0"/>
    <n v="2.7124999999999999"/>
    <s v="Slow"/>
    <x v="0"/>
    <n v="0"/>
    <x v="1"/>
    <x v="1"/>
  </r>
  <r>
    <n v="2778"/>
    <x v="2777"/>
    <n v="4.6527777777777779E-2"/>
    <n v="2037"/>
    <n v="147"/>
    <n v="23.922916666666666"/>
    <x v="1"/>
    <x v="0"/>
    <n v="0.29791666666666666"/>
    <s v="Fast"/>
    <x v="0"/>
    <n v="0"/>
    <x v="1"/>
    <x v="1"/>
  </r>
  <r>
    <n v="2779"/>
    <x v="2778"/>
    <n v="4.7916666666666663E-2"/>
    <n v="3162"/>
    <n v="342"/>
    <n v="76.918055555555554"/>
    <x v="0"/>
    <x v="1"/>
    <n v="0.58402777777777781"/>
    <s v="Fast"/>
    <x v="1"/>
    <n v="1"/>
    <x v="0"/>
    <x v="2"/>
  </r>
  <r>
    <n v="2780"/>
    <x v="2779"/>
    <n v="4.1666666666666664E-2"/>
    <n v="66"/>
    <n v="339"/>
    <n v="34.75416666666667"/>
    <x v="1"/>
    <x v="0"/>
    <n v="2.5062500000000001"/>
    <s v="Slow"/>
    <x v="0"/>
    <n v="1"/>
    <x v="0"/>
    <x v="0"/>
  </r>
  <r>
    <n v="2781"/>
    <x v="2780"/>
    <n v="5.7638888888888885E-2"/>
    <n v="2492"/>
    <n v="22"/>
    <n v="6.125694444444445"/>
    <x v="3"/>
    <x v="3"/>
    <n v="0.96388888888888891"/>
    <s v="Fast"/>
    <x v="2"/>
    <n v="1"/>
    <x v="0"/>
    <x v="0"/>
  </r>
  <r>
    <n v="2782"/>
    <x v="2781"/>
    <n v="6.5277777777777782E-2"/>
    <n v="1506"/>
    <n v="334"/>
    <n v="47.920138888888886"/>
    <x v="1"/>
    <x v="2"/>
    <n v="2.2090277777777776"/>
    <s v="Slow"/>
    <x v="0"/>
    <n v="0"/>
    <x v="1"/>
    <x v="1"/>
  </r>
  <r>
    <n v="2783"/>
    <x v="2782"/>
    <n v="5.2083333333333336E-2"/>
    <n v="1476"/>
    <n v="367"/>
    <n v="57.296527777777776"/>
    <x v="3"/>
    <x v="3"/>
    <n v="1.7930555555555554"/>
    <s v="Slow"/>
    <x v="2"/>
    <n v="0"/>
    <x v="1"/>
    <x v="1"/>
  </r>
  <r>
    <n v="2784"/>
    <x v="2783"/>
    <n v="4.9999999999999996E-2"/>
    <n v="4941"/>
    <n v="416"/>
    <n v="18.500694444444445"/>
    <x v="3"/>
    <x v="1"/>
    <n v="2.963888888888889"/>
    <s v="Slow"/>
    <x v="0"/>
    <n v="0"/>
    <x v="1"/>
    <x v="1"/>
  </r>
  <r>
    <n v="2785"/>
    <x v="2784"/>
    <n v="6.5972222222222224E-2"/>
    <n v="3120"/>
    <n v="281"/>
    <n v="5.5444444444444443"/>
    <x v="0"/>
    <x v="1"/>
    <n v="2.2527777777777778"/>
    <s v="Slow"/>
    <x v="2"/>
    <n v="0"/>
    <x v="1"/>
    <x v="1"/>
  </r>
  <r>
    <n v="2786"/>
    <x v="2785"/>
    <n v="4.7222222222222221E-2"/>
    <n v="2075"/>
    <n v="474"/>
    <n v="4.7923611111111111"/>
    <x v="1"/>
    <x v="0"/>
    <n v="2.8347222222222221"/>
    <s v="Slow"/>
    <x v="2"/>
    <n v="0"/>
    <x v="1"/>
    <x v="1"/>
  </r>
  <r>
    <n v="2787"/>
    <x v="2786"/>
    <n v="4.9305555555555554E-2"/>
    <n v="3992"/>
    <n v="226"/>
    <n v="72.668055555555554"/>
    <x v="0"/>
    <x v="0"/>
    <n v="1.2555555555555555"/>
    <s v="Fast"/>
    <x v="1"/>
    <n v="1"/>
    <x v="0"/>
    <x v="0"/>
  </r>
  <r>
    <n v="2788"/>
    <x v="2787"/>
    <n v="5.2083333333333336E-2"/>
    <n v="3613"/>
    <n v="19"/>
    <n v="47.211111111111109"/>
    <x v="0"/>
    <x v="3"/>
    <n v="1.2118055555555556"/>
    <s v="Fast"/>
    <x v="0"/>
    <n v="0"/>
    <x v="1"/>
    <x v="1"/>
  </r>
  <r>
    <n v="2789"/>
    <x v="2788"/>
    <n v="5.0694444444444438E-2"/>
    <n v="2355"/>
    <n v="481"/>
    <n v="11.210416666666667"/>
    <x v="1"/>
    <x v="1"/>
    <n v="1.5006944444444443"/>
    <s v="Slow"/>
    <x v="1"/>
    <n v="0"/>
    <x v="1"/>
    <x v="1"/>
  </r>
  <r>
    <n v="2790"/>
    <x v="2789"/>
    <n v="4.6527777777777779E-2"/>
    <n v="1235"/>
    <n v="207"/>
    <n v="47.834722222222219"/>
    <x v="3"/>
    <x v="0"/>
    <n v="1.9583333333333333"/>
    <s v="Slow"/>
    <x v="0"/>
    <n v="1"/>
    <x v="0"/>
    <x v="0"/>
  </r>
  <r>
    <n v="2791"/>
    <x v="2790"/>
    <n v="4.9999999999999996E-2"/>
    <n v="1574"/>
    <n v="331"/>
    <n v="53.87638888888889"/>
    <x v="3"/>
    <x v="3"/>
    <n v="1.0833333333333333"/>
    <s v="Fast"/>
    <x v="2"/>
    <n v="0"/>
    <x v="1"/>
    <x v="1"/>
  </r>
  <r>
    <n v="2792"/>
    <x v="2791"/>
    <n v="4.6527777777777779E-2"/>
    <n v="4401"/>
    <n v="378"/>
    <n v="77.167361111111106"/>
    <x v="1"/>
    <x v="0"/>
    <n v="0.12847222222222224"/>
    <s v="Fast"/>
    <x v="2"/>
    <n v="1"/>
    <x v="0"/>
    <x v="0"/>
  </r>
  <r>
    <n v="2793"/>
    <x v="2792"/>
    <n v="5.6250000000000001E-2"/>
    <n v="2274"/>
    <n v="346"/>
    <n v="23.168749999999999"/>
    <x v="1"/>
    <x v="1"/>
    <n v="1.1263888888888889"/>
    <s v="Fast"/>
    <x v="1"/>
    <n v="0"/>
    <x v="1"/>
    <x v="1"/>
  </r>
  <r>
    <n v="2794"/>
    <x v="2793"/>
    <n v="6.1111111111111109E-2"/>
    <n v="1583"/>
    <n v="232"/>
    <n v="77.547222222222231"/>
    <x v="0"/>
    <x v="0"/>
    <n v="1.5055555555555555"/>
    <s v="Slow"/>
    <x v="2"/>
    <n v="0"/>
    <x v="1"/>
    <x v="1"/>
  </r>
  <r>
    <n v="2795"/>
    <x v="2794"/>
    <n v="5.6250000000000001E-2"/>
    <n v="2532"/>
    <n v="216"/>
    <n v="75.000694444444449"/>
    <x v="2"/>
    <x v="3"/>
    <n v="1.1277777777777778"/>
    <s v="Fast"/>
    <x v="1"/>
    <n v="0"/>
    <x v="1"/>
    <x v="1"/>
  </r>
  <r>
    <n v="2796"/>
    <x v="2795"/>
    <n v="4.3750000000000004E-2"/>
    <n v="2772"/>
    <n v="326"/>
    <n v="43.420833333333327"/>
    <x v="2"/>
    <x v="1"/>
    <n v="1.2145833333333333"/>
    <s v="Fast"/>
    <x v="1"/>
    <n v="1"/>
    <x v="0"/>
    <x v="2"/>
  </r>
  <r>
    <n v="2797"/>
    <x v="2796"/>
    <n v="5.8333333333333327E-2"/>
    <n v="1221"/>
    <n v="224"/>
    <n v="81.542361111111106"/>
    <x v="2"/>
    <x v="2"/>
    <n v="1.8375000000000001"/>
    <s v="Slow"/>
    <x v="0"/>
    <n v="0"/>
    <x v="1"/>
    <x v="1"/>
  </r>
  <r>
    <n v="2798"/>
    <x v="2797"/>
    <n v="6.1805555555555558E-2"/>
    <n v="2561"/>
    <n v="2"/>
    <n v="31.960416666666664"/>
    <x v="1"/>
    <x v="2"/>
    <n v="2.7090277777777776"/>
    <s v="Slow"/>
    <x v="0"/>
    <n v="0"/>
    <x v="1"/>
    <x v="1"/>
  </r>
  <r>
    <n v="2799"/>
    <x v="2798"/>
    <n v="4.6527777777777779E-2"/>
    <n v="3526"/>
    <n v="469"/>
    <n v="30.834722222222222"/>
    <x v="1"/>
    <x v="2"/>
    <n v="0.83611111111111114"/>
    <s v="Fast"/>
    <x v="1"/>
    <n v="1"/>
    <x v="0"/>
    <x v="0"/>
  </r>
  <r>
    <n v="2800"/>
    <x v="2799"/>
    <n v="5.486111111111111E-2"/>
    <n v="274"/>
    <n v="408"/>
    <n v="37.795833333333334"/>
    <x v="2"/>
    <x v="1"/>
    <n v="1.54375"/>
    <s v="Slow"/>
    <x v="2"/>
    <n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9" applyNumberFormats="0" applyBorderFormats="0" applyFontFormats="0" applyPatternFormats="0" applyAlignmentFormats="0" applyWidthHeightFormats="1" dataCaption="Values" updatedVersion="5" minRefreshableVersion="5" useAutoFormatting="1" itemPrintTitles="1" createdVersion="5" indent="0" compact="0" compactData="0" multipleFieldFilters="0" chartFormat="7">
  <location ref="A31:C34" firstHeaderRow="0" firstDataRow="1" firstDataCol="1"/>
  <pivotFields count="14">
    <pivotField compact="0" outline="0" showAll="0"/>
    <pivotField compact="0" numFmtId="14" outline="0" showAll="0">
      <items count="2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t="default"/>
      </items>
    </pivotField>
    <pivotField dataField="1" compact="0" numFmtId="2" outline="0" showAll="0"/>
    <pivotField compact="0" numFmtId="1" outline="0" showAll="0"/>
    <pivotField compact="0" numFmtId="1" outline="0" showAll="0"/>
    <pivotField dataField="1" compact="0" numFmtId="2" outline="0" showAll="0"/>
    <pivotField compact="0" outline="0" showAll="0">
      <items count="5">
        <item h="1" x="3"/>
        <item h="1" x="2"/>
        <item h="1" x="1"/>
        <item x="0"/>
        <item t="default"/>
      </items>
    </pivotField>
    <pivotField compact="0" outline="0" showAll="0">
      <items count="5">
        <item x="3"/>
        <item x="0"/>
        <item x="2"/>
        <item x="1"/>
        <item t="default"/>
      </items>
    </pivotField>
    <pivotField compact="0" numFmtId="2" outline="0" showAll="0"/>
    <pivotField compact="0" outline="0" showAll="0"/>
    <pivotField compact="0" outline="0" showAll="0">
      <items count="4">
        <item x="1"/>
        <item x="0"/>
        <item x="2"/>
        <item t="default"/>
      </items>
    </pivotField>
    <pivotField compact="0" numFmtId="1" outline="0" showAll="0"/>
    <pivotField axis="axisRow" compact="0" outline="0" showAll="0">
      <items count="3">
        <item x="0"/>
        <item x="1"/>
        <item t="default"/>
      </items>
    </pivotField>
    <pivotField compact="0" outline="0" showAll="0">
      <items count="4">
        <item x="2"/>
        <item x="1"/>
        <item x="0"/>
        <item t="default"/>
      </items>
    </pivotField>
  </pivotFields>
  <rowFields count="1">
    <field x="12"/>
  </rowFields>
  <rowItems count="3">
    <i>
      <x/>
    </i>
    <i>
      <x v="1"/>
    </i>
    <i t="grand">
      <x/>
    </i>
  </rowItems>
  <colFields count="1">
    <field x="-2"/>
  </colFields>
  <colItems count="2">
    <i>
      <x/>
    </i>
    <i i="1">
      <x v="1"/>
    </i>
  </colItems>
  <dataFields count="2">
    <dataField name="Average of supplier_reliability_score" fld="2" subtotal="average" baseField="12" baseItem="0"/>
    <dataField name="Average of shipping_distance_km" fld="5" subtotal="average" baseField="12" baseItem="0"/>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9" applyNumberFormats="0" applyBorderFormats="0" applyFontFormats="0" applyPatternFormats="0" applyAlignmentFormats="0" applyWidthHeightFormats="1" dataCaption="Values" missingCaption="0" updatedVersion="5" minRefreshableVersion="5" useAutoFormatting="1" itemPrintTitles="1" createdVersion="5" indent="0" outline="1" outlineData="1" multipleFieldFilters="0" chartFormat="6">
  <location ref="A17:E23" firstHeaderRow="1" firstDataRow="2" firstDataCol="1"/>
  <pivotFields count="14">
    <pivotField dataField="1" showAll="0"/>
    <pivotField numFmtId="14" showAll="0">
      <items count="2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t="default"/>
      </items>
    </pivotField>
    <pivotField numFmtId="2" showAll="0"/>
    <pivotField numFmtId="1" showAll="0"/>
    <pivotField numFmtId="1" showAll="0"/>
    <pivotField numFmtId="2" showAll="0"/>
    <pivotField showAll="0">
      <items count="5">
        <item h="1" x="3"/>
        <item h="1" x="2"/>
        <item h="1" x="1"/>
        <item x="0"/>
        <item t="default"/>
      </items>
    </pivotField>
    <pivotField axis="axisRow" showAll="0">
      <items count="5">
        <item x="3"/>
        <item x="0"/>
        <item x="2"/>
        <item x="1"/>
        <item t="default"/>
      </items>
    </pivotField>
    <pivotField numFmtId="2" showAll="0"/>
    <pivotField showAll="0"/>
    <pivotField showAll="0">
      <items count="4">
        <item x="1"/>
        <item x="0"/>
        <item x="2"/>
        <item t="default"/>
      </items>
    </pivotField>
    <pivotField numFmtId="1" showAll="0"/>
    <pivotField showAll="0"/>
    <pivotField axis="axisCol" showAll="0">
      <items count="4">
        <item x="2"/>
        <item x="1"/>
        <item x="0"/>
        <item t="default"/>
      </items>
    </pivotField>
  </pivotFields>
  <rowFields count="1">
    <field x="7"/>
  </rowFields>
  <rowItems count="5">
    <i>
      <x/>
    </i>
    <i>
      <x v="1"/>
    </i>
    <i>
      <x v="2"/>
    </i>
    <i>
      <x v="3"/>
    </i>
    <i t="grand">
      <x/>
    </i>
  </rowItems>
  <colFields count="1">
    <field x="13"/>
  </colFields>
  <colItems count="4">
    <i>
      <x/>
    </i>
    <i>
      <x v="1"/>
    </i>
    <i>
      <x v="2"/>
    </i>
    <i t="grand">
      <x/>
    </i>
  </colItems>
  <dataFields count="1">
    <dataField name="Pengaruh Cuaca" fld="0" subtotal="count" baseField="7"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2"/>
          </reference>
        </references>
      </pivotArea>
    </chartFormat>
    <chartFormat chart="3"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5" minRefreshableVersion="5" useAutoFormatting="1" itemPrintTitles="1" createdVersion="5" indent="0" compact="0" compactData="0" multipleFieldFilters="0" chartFormat="7">
  <location ref="A3:E6" firstHeaderRow="1" firstDataRow="2" firstDataCol="1"/>
  <pivotFields count="14">
    <pivotField compact="0" outline="0" showAll="0"/>
    <pivotField compact="0" numFmtId="14" outline="0" showAll="0">
      <items count="2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t="default"/>
      </items>
    </pivotField>
    <pivotField compact="0" numFmtId="2" outline="0" showAll="0"/>
    <pivotField compact="0" numFmtId="1" outline="0" showAll="0"/>
    <pivotField compact="0" numFmtId="1" outline="0" showAll="0"/>
    <pivotField compact="0" numFmtId="2" outline="0" showAll="0"/>
    <pivotField axis="axisRow" compact="0" outline="0" showAll="0">
      <items count="5">
        <item h="1" x="3"/>
        <item h="1" x="2"/>
        <item h="1" x="1"/>
        <item x="0"/>
        <item t="default"/>
      </items>
    </pivotField>
    <pivotField compact="0" outline="0" showAll="0">
      <items count="5">
        <item x="3"/>
        <item x="0"/>
        <item x="2"/>
        <item x="1"/>
        <item t="default"/>
      </items>
    </pivotField>
    <pivotField compact="0" numFmtId="2" outline="0" showAll="0"/>
    <pivotField compact="0" outline="0" showAll="0"/>
    <pivotField axis="axisCol" compact="0" outline="0" showAll="0">
      <items count="4">
        <item x="1"/>
        <item x="0"/>
        <item x="2"/>
        <item t="default"/>
      </items>
    </pivotField>
    <pivotField dataField="1" compact="0" numFmtId="1" outline="0" showAll="0"/>
    <pivotField compact="0" outline="0" showAll="0"/>
    <pivotField compact="0" outline="0" showAll="0"/>
  </pivotFields>
  <rowFields count="1">
    <field x="6"/>
  </rowFields>
  <rowItems count="2">
    <i>
      <x v="3"/>
    </i>
    <i t="grand">
      <x/>
    </i>
  </rowItems>
  <colFields count="1">
    <field x="10"/>
  </colFields>
  <colItems count="4">
    <i>
      <x/>
    </i>
    <i>
      <x v="1"/>
    </i>
    <i>
      <x v="2"/>
    </i>
    <i t="grand">
      <x/>
    </i>
  </colItems>
  <dataFields count="1">
    <dataField name="Count of delayed" fld="11" subtotal="count" baseField="6" baseItem="0"/>
  </dataFields>
  <chartFormats count="8">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4" format="6" series="1">
      <pivotArea type="data" outline="0" fieldPosition="0">
        <references count="2">
          <reference field="4294967294" count="1" selected="0">
            <x v="0"/>
          </reference>
          <reference field="10" count="1" selected="0">
            <x v="0"/>
          </reference>
        </references>
      </pivotArea>
    </chartFormat>
    <chartFormat chart="4" format="7" series="1">
      <pivotArea type="data" outline="0" fieldPosition="0">
        <references count="2">
          <reference field="4294967294" count="1" selected="0">
            <x v="0"/>
          </reference>
          <reference field="10" count="1" selected="0">
            <x v="1"/>
          </reference>
        </references>
      </pivotArea>
    </chartFormat>
    <chartFormat chart="4" format="8" series="1">
      <pivotArea type="data" outline="0" fieldPosition="0">
        <references count="2">
          <reference field="4294967294" count="1" selected="0">
            <x v="0"/>
          </reference>
          <reference field="10" count="1" selected="0">
            <x v="2"/>
          </reference>
        </references>
      </pivotArea>
    </chartFormat>
    <chartFormat chart="4"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hipping_method" sourceName="shipping_method">
  <pivotTables>
    <pivotTable tabId="5" name="PivotTable3"/>
    <pivotTable tabId="5" name="PivotTable1"/>
    <pivotTable tabId="5" name="PivotTable4"/>
  </pivotTables>
  <data>
    <tabular pivotCacheId="1">
      <items count="4">
        <i x="3"/>
        <i x="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weather_condition" sourceName="weather_condition">
  <pivotTables>
    <pivotTable tabId="5" name="PivotTable3"/>
    <pivotTable tabId="5" name="PivotTable1"/>
    <pivotTable tabId="5" name="PivotTable4"/>
  </pivotTables>
  <data>
    <tabular pivotCacheId="1">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hipping_method" cache="Slicer_shipping_method" caption="shipping_method" style="SlicerStyleDark2" rowHeight="241300"/>
  <slicer name="weather_condition" cache="Slicer_weather_condition" caption="weather_condition" style="SlicerStyleDark2" rowHeight="241300"/>
</slicers>
</file>

<file path=xl/tables/table1.xml><?xml version="1.0" encoding="utf-8"?>
<table xmlns="http://schemas.openxmlformats.org/spreadsheetml/2006/main" id="1" name="Table1" displayName="Table1" ref="A1:N2801" totalsRowShown="0">
  <autoFilter ref="A1:N2801"/>
  <tableColumns count="14">
    <tableColumn id="1" name="order_id"/>
    <tableColumn id="2" name="order_date" dataDxfId="10"/>
    <tableColumn id="3" name="supplier_reliability_score" dataDxfId="9"/>
    <tableColumn id="4" name="warehouse_inventory_level" dataDxfId="8"/>
    <tableColumn id="5" name="order_quantity" dataDxfId="7"/>
    <tableColumn id="6" name="shipping_distance_km" dataDxfId="6"/>
    <tableColumn id="7" name="shipping_method"/>
    <tableColumn id="8" name="weather_condition"/>
    <tableColumn id="9" name="processing_time_hours" dataDxfId="2"/>
    <tableColumn id="15" name="processing_benchmark" dataDxfId="1">
      <calculatedColumnFormula>IF(Table1[[#This Row],[processing_time_hours]]&gt;1.5,"Slow", "Fast")</calculatedColumnFormula>
    </tableColumn>
    <tableColumn id="10" name="order_priority"/>
    <tableColumn id="11" name="delayed" dataDxfId="5"/>
    <tableColumn id="13" name="delayed_status" dataDxfId="4">
      <calculatedColumnFormula>IF(Table1[[#This Row],[delayed]]=1,"Delayed","On Time")</calculatedColumnFormula>
    </tableColumn>
    <tableColumn id="14" name="risk_category" dataDxfId="3">
      <calculatedColumnFormula>IF(AND(Table1[[#This Row],[delayed]]=1,Table1[[#This Row],[weather_condition]]="Storm"),"High Risk", IF(Table1[[#This Row],[delayed]]=1,"Medium Risk","Low Risk"))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_date">
  <pivotTables>
    <pivotTable tabId="5" name="PivotTable3"/>
    <pivotTable tabId="5" name="PivotTable1"/>
    <pivotTable tabId="5" name="PivotTable4"/>
  </pivotTables>
  <state minimalRefreshVersion="6" lastRefreshVersion="6" pivotCacheId="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_date" cache="NativeTimeline_order_date" caption="order_date" level="2" selectionLevel="2" scrollPosition="2023-05-28T00:00:00" style="TimeSlicerStyleDark2"/>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801"/>
  <sheetViews>
    <sheetView workbookViewId="0">
      <selection activeCell="K10" sqref="A1:XFD1048576"/>
    </sheetView>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row r="29" spans="1:1" x14ac:dyDescent="0.35">
      <c r="A29" t="s">
        <v>28</v>
      </c>
    </row>
    <row r="30" spans="1:1" x14ac:dyDescent="0.35">
      <c r="A30" t="s">
        <v>29</v>
      </c>
    </row>
    <row r="31" spans="1:1" x14ac:dyDescent="0.35">
      <c r="A31" t="s">
        <v>30</v>
      </c>
    </row>
    <row r="32" spans="1:1" x14ac:dyDescent="0.35">
      <c r="A32" t="s">
        <v>31</v>
      </c>
    </row>
    <row r="33" spans="1:1" x14ac:dyDescent="0.35">
      <c r="A33" t="s">
        <v>32</v>
      </c>
    </row>
    <row r="34" spans="1:1" x14ac:dyDescent="0.35">
      <c r="A34" t="s">
        <v>33</v>
      </c>
    </row>
    <row r="35" spans="1:1" x14ac:dyDescent="0.35">
      <c r="A35" t="s">
        <v>34</v>
      </c>
    </row>
    <row r="36" spans="1:1" x14ac:dyDescent="0.35">
      <c r="A36" t="s">
        <v>35</v>
      </c>
    </row>
    <row r="37" spans="1:1" x14ac:dyDescent="0.35">
      <c r="A37" t="s">
        <v>36</v>
      </c>
    </row>
    <row r="38" spans="1:1" x14ac:dyDescent="0.35">
      <c r="A38" t="s">
        <v>37</v>
      </c>
    </row>
    <row r="39" spans="1:1" x14ac:dyDescent="0.35">
      <c r="A39" t="s">
        <v>38</v>
      </c>
    </row>
    <row r="40" spans="1:1" x14ac:dyDescent="0.35">
      <c r="A40" t="s">
        <v>39</v>
      </c>
    </row>
    <row r="41" spans="1:1" x14ac:dyDescent="0.35">
      <c r="A41" t="s">
        <v>40</v>
      </c>
    </row>
    <row r="42" spans="1:1" x14ac:dyDescent="0.35">
      <c r="A42" t="s">
        <v>41</v>
      </c>
    </row>
    <row r="43" spans="1:1" x14ac:dyDescent="0.35">
      <c r="A43" t="s">
        <v>42</v>
      </c>
    </row>
    <row r="44" spans="1:1" x14ac:dyDescent="0.35">
      <c r="A44" t="s">
        <v>43</v>
      </c>
    </row>
    <row r="45" spans="1:1" x14ac:dyDescent="0.35">
      <c r="A45" t="s">
        <v>44</v>
      </c>
    </row>
    <row r="46" spans="1:1" x14ac:dyDescent="0.35">
      <c r="A46" t="s">
        <v>45</v>
      </c>
    </row>
    <row r="47" spans="1:1" x14ac:dyDescent="0.35">
      <c r="A47" t="s">
        <v>46</v>
      </c>
    </row>
    <row r="48" spans="1:1" x14ac:dyDescent="0.35">
      <c r="A48" t="s">
        <v>47</v>
      </c>
    </row>
    <row r="49" spans="1:1" x14ac:dyDescent="0.35">
      <c r="A49" t="s">
        <v>48</v>
      </c>
    </row>
    <row r="50" spans="1:1" x14ac:dyDescent="0.35">
      <c r="A50" t="s">
        <v>49</v>
      </c>
    </row>
    <row r="51" spans="1:1" x14ac:dyDescent="0.35">
      <c r="A51" t="s">
        <v>50</v>
      </c>
    </row>
    <row r="52" spans="1:1" x14ac:dyDescent="0.35">
      <c r="A52" t="s">
        <v>51</v>
      </c>
    </row>
    <row r="53" spans="1:1" x14ac:dyDescent="0.35">
      <c r="A53" t="s">
        <v>52</v>
      </c>
    </row>
    <row r="54" spans="1:1" x14ac:dyDescent="0.35">
      <c r="A54" t="s">
        <v>53</v>
      </c>
    </row>
    <row r="55" spans="1:1" x14ac:dyDescent="0.35">
      <c r="A55" t="s">
        <v>54</v>
      </c>
    </row>
    <row r="56" spans="1:1" x14ac:dyDescent="0.35">
      <c r="A56" t="s">
        <v>55</v>
      </c>
    </row>
    <row r="57" spans="1:1" x14ac:dyDescent="0.35">
      <c r="A57" t="s">
        <v>56</v>
      </c>
    </row>
    <row r="58" spans="1:1" x14ac:dyDescent="0.35">
      <c r="A58" t="s">
        <v>57</v>
      </c>
    </row>
    <row r="59" spans="1:1" x14ac:dyDescent="0.35">
      <c r="A59" t="s">
        <v>58</v>
      </c>
    </row>
    <row r="60" spans="1:1" x14ac:dyDescent="0.35">
      <c r="A60" t="s">
        <v>59</v>
      </c>
    </row>
    <row r="61" spans="1:1" x14ac:dyDescent="0.35">
      <c r="A61" t="s">
        <v>60</v>
      </c>
    </row>
    <row r="62" spans="1:1" x14ac:dyDescent="0.35">
      <c r="A62" t="s">
        <v>61</v>
      </c>
    </row>
    <row r="63" spans="1:1" x14ac:dyDescent="0.35">
      <c r="A63" t="s">
        <v>62</v>
      </c>
    </row>
    <row r="64" spans="1:1" x14ac:dyDescent="0.35">
      <c r="A64" t="s">
        <v>63</v>
      </c>
    </row>
    <row r="65" spans="1:1" x14ac:dyDescent="0.35">
      <c r="A65" t="s">
        <v>64</v>
      </c>
    </row>
    <row r="66" spans="1:1" x14ac:dyDescent="0.35">
      <c r="A66" t="s">
        <v>65</v>
      </c>
    </row>
    <row r="67" spans="1:1" x14ac:dyDescent="0.35">
      <c r="A67" t="s">
        <v>66</v>
      </c>
    </row>
    <row r="68" spans="1:1" x14ac:dyDescent="0.35">
      <c r="A68" t="s">
        <v>67</v>
      </c>
    </row>
    <row r="69" spans="1:1" x14ac:dyDescent="0.35">
      <c r="A69" t="s">
        <v>68</v>
      </c>
    </row>
    <row r="70" spans="1:1" x14ac:dyDescent="0.35">
      <c r="A70" t="s">
        <v>69</v>
      </c>
    </row>
    <row r="71" spans="1:1" x14ac:dyDescent="0.35">
      <c r="A71" t="s">
        <v>70</v>
      </c>
    </row>
    <row r="72" spans="1:1" x14ac:dyDescent="0.35">
      <c r="A72" t="s">
        <v>71</v>
      </c>
    </row>
    <row r="73" spans="1:1" x14ac:dyDescent="0.35">
      <c r="A73" t="s">
        <v>72</v>
      </c>
    </row>
    <row r="74" spans="1:1" x14ac:dyDescent="0.35">
      <c r="A74" t="s">
        <v>73</v>
      </c>
    </row>
    <row r="75" spans="1:1" x14ac:dyDescent="0.35">
      <c r="A75" t="s">
        <v>74</v>
      </c>
    </row>
    <row r="76" spans="1:1" x14ac:dyDescent="0.35">
      <c r="A76" t="s">
        <v>75</v>
      </c>
    </row>
    <row r="77" spans="1:1" x14ac:dyDescent="0.35">
      <c r="A77" t="s">
        <v>76</v>
      </c>
    </row>
    <row r="78" spans="1:1" x14ac:dyDescent="0.35">
      <c r="A78" t="s">
        <v>77</v>
      </c>
    </row>
    <row r="79" spans="1:1" x14ac:dyDescent="0.35">
      <c r="A79" t="s">
        <v>78</v>
      </c>
    </row>
    <row r="80" spans="1:1" x14ac:dyDescent="0.35">
      <c r="A80" t="s">
        <v>79</v>
      </c>
    </row>
    <row r="81" spans="1:1" x14ac:dyDescent="0.35">
      <c r="A81" t="s">
        <v>80</v>
      </c>
    </row>
    <row r="82" spans="1:1" x14ac:dyDescent="0.35">
      <c r="A82" t="s">
        <v>81</v>
      </c>
    </row>
    <row r="83" spans="1:1" x14ac:dyDescent="0.35">
      <c r="A83" t="s">
        <v>82</v>
      </c>
    </row>
    <row r="84" spans="1:1" x14ac:dyDescent="0.35">
      <c r="A84" t="s">
        <v>83</v>
      </c>
    </row>
    <row r="85" spans="1:1" x14ac:dyDescent="0.35">
      <c r="A85" t="s">
        <v>84</v>
      </c>
    </row>
    <row r="86" spans="1:1" x14ac:dyDescent="0.35">
      <c r="A86" t="s">
        <v>85</v>
      </c>
    </row>
    <row r="87" spans="1:1" x14ac:dyDescent="0.35">
      <c r="A87" t="s">
        <v>86</v>
      </c>
    </row>
    <row r="88" spans="1:1" x14ac:dyDescent="0.35">
      <c r="A88" t="s">
        <v>87</v>
      </c>
    </row>
    <row r="89" spans="1:1" x14ac:dyDescent="0.35">
      <c r="A89" t="s">
        <v>88</v>
      </c>
    </row>
    <row r="90" spans="1:1" x14ac:dyDescent="0.35">
      <c r="A90" t="s">
        <v>89</v>
      </c>
    </row>
    <row r="91" spans="1:1" x14ac:dyDescent="0.35">
      <c r="A91" t="s">
        <v>90</v>
      </c>
    </row>
    <row r="92" spans="1:1" x14ac:dyDescent="0.35">
      <c r="A92" t="s">
        <v>91</v>
      </c>
    </row>
    <row r="93" spans="1:1" x14ac:dyDescent="0.35">
      <c r="A93" t="s">
        <v>92</v>
      </c>
    </row>
    <row r="94" spans="1:1" x14ac:dyDescent="0.35">
      <c r="A94" t="s">
        <v>93</v>
      </c>
    </row>
    <row r="95" spans="1:1" x14ac:dyDescent="0.35">
      <c r="A95" t="s">
        <v>94</v>
      </c>
    </row>
    <row r="96" spans="1:1" x14ac:dyDescent="0.35">
      <c r="A96" t="s">
        <v>95</v>
      </c>
    </row>
    <row r="97" spans="1:1" x14ac:dyDescent="0.35">
      <c r="A97" t="s">
        <v>96</v>
      </c>
    </row>
    <row r="98" spans="1:1" x14ac:dyDescent="0.35">
      <c r="A98" t="s">
        <v>97</v>
      </c>
    </row>
    <row r="99" spans="1:1" x14ac:dyDescent="0.35">
      <c r="A99" t="s">
        <v>98</v>
      </c>
    </row>
    <row r="100" spans="1:1" x14ac:dyDescent="0.35">
      <c r="A100" t="s">
        <v>99</v>
      </c>
    </row>
    <row r="101" spans="1:1" x14ac:dyDescent="0.35">
      <c r="A101" t="s">
        <v>100</v>
      </c>
    </row>
    <row r="102" spans="1:1" x14ac:dyDescent="0.35">
      <c r="A102" t="s">
        <v>101</v>
      </c>
    </row>
    <row r="103" spans="1:1" x14ac:dyDescent="0.35">
      <c r="A103" t="s">
        <v>102</v>
      </c>
    </row>
    <row r="104" spans="1:1" x14ac:dyDescent="0.35">
      <c r="A104" t="s">
        <v>103</v>
      </c>
    </row>
    <row r="105" spans="1:1" x14ac:dyDescent="0.35">
      <c r="A105" t="s">
        <v>104</v>
      </c>
    </row>
    <row r="106" spans="1:1" x14ac:dyDescent="0.35">
      <c r="A106" t="s">
        <v>105</v>
      </c>
    </row>
    <row r="107" spans="1:1" x14ac:dyDescent="0.35">
      <c r="A107" t="s">
        <v>106</v>
      </c>
    </row>
    <row r="108" spans="1:1" x14ac:dyDescent="0.35">
      <c r="A108" t="s">
        <v>107</v>
      </c>
    </row>
    <row r="109" spans="1:1" x14ac:dyDescent="0.35">
      <c r="A109" t="s">
        <v>108</v>
      </c>
    </row>
    <row r="110" spans="1:1" x14ac:dyDescent="0.35">
      <c r="A110" t="s">
        <v>109</v>
      </c>
    </row>
    <row r="111" spans="1:1" x14ac:dyDescent="0.35">
      <c r="A111" t="s">
        <v>110</v>
      </c>
    </row>
    <row r="112" spans="1:1" x14ac:dyDescent="0.35">
      <c r="A112" t="s">
        <v>111</v>
      </c>
    </row>
    <row r="113" spans="1:1" x14ac:dyDescent="0.35">
      <c r="A113" t="s">
        <v>112</v>
      </c>
    </row>
    <row r="114" spans="1:1" x14ac:dyDescent="0.35">
      <c r="A114" t="s">
        <v>113</v>
      </c>
    </row>
    <row r="115" spans="1:1" x14ac:dyDescent="0.35">
      <c r="A115" t="s">
        <v>114</v>
      </c>
    </row>
    <row r="116" spans="1:1" x14ac:dyDescent="0.35">
      <c r="A116" t="s">
        <v>115</v>
      </c>
    </row>
    <row r="117" spans="1:1" x14ac:dyDescent="0.35">
      <c r="A117" t="s">
        <v>116</v>
      </c>
    </row>
    <row r="118" spans="1:1" x14ac:dyDescent="0.35">
      <c r="A118" t="s">
        <v>117</v>
      </c>
    </row>
    <row r="119" spans="1:1" x14ac:dyDescent="0.35">
      <c r="A119" t="s">
        <v>118</v>
      </c>
    </row>
    <row r="120" spans="1:1" x14ac:dyDescent="0.35">
      <c r="A120" t="s">
        <v>119</v>
      </c>
    </row>
    <row r="121" spans="1:1" x14ac:dyDescent="0.35">
      <c r="A121" t="s">
        <v>120</v>
      </c>
    </row>
    <row r="122" spans="1:1" x14ac:dyDescent="0.35">
      <c r="A122" t="s">
        <v>121</v>
      </c>
    </row>
    <row r="123" spans="1:1" x14ac:dyDescent="0.35">
      <c r="A123" t="s">
        <v>122</v>
      </c>
    </row>
    <row r="124" spans="1:1" x14ac:dyDescent="0.35">
      <c r="A124" t="s">
        <v>123</v>
      </c>
    </row>
    <row r="125" spans="1:1" x14ac:dyDescent="0.35">
      <c r="A125" t="s">
        <v>124</v>
      </c>
    </row>
    <row r="126" spans="1:1" x14ac:dyDescent="0.35">
      <c r="A126" t="s">
        <v>125</v>
      </c>
    </row>
    <row r="127" spans="1:1" x14ac:dyDescent="0.35">
      <c r="A127" t="s">
        <v>126</v>
      </c>
    </row>
    <row r="128" spans="1:1" x14ac:dyDescent="0.35">
      <c r="A128" t="s">
        <v>127</v>
      </c>
    </row>
    <row r="129" spans="1:1" x14ac:dyDescent="0.35">
      <c r="A129" t="s">
        <v>128</v>
      </c>
    </row>
    <row r="130" spans="1:1" x14ac:dyDescent="0.35">
      <c r="A130" t="s">
        <v>129</v>
      </c>
    </row>
    <row r="131" spans="1:1" x14ac:dyDescent="0.35">
      <c r="A131" t="s">
        <v>130</v>
      </c>
    </row>
    <row r="132" spans="1:1" x14ac:dyDescent="0.35">
      <c r="A132" t="s">
        <v>131</v>
      </c>
    </row>
    <row r="133" spans="1:1" x14ac:dyDescent="0.35">
      <c r="A133" t="s">
        <v>132</v>
      </c>
    </row>
    <row r="134" spans="1:1" x14ac:dyDescent="0.35">
      <c r="A134" t="s">
        <v>133</v>
      </c>
    </row>
    <row r="135" spans="1:1" x14ac:dyDescent="0.35">
      <c r="A135" t="s">
        <v>134</v>
      </c>
    </row>
    <row r="136" spans="1:1" x14ac:dyDescent="0.35">
      <c r="A136" t="s">
        <v>135</v>
      </c>
    </row>
    <row r="137" spans="1:1" x14ac:dyDescent="0.35">
      <c r="A137" t="s">
        <v>136</v>
      </c>
    </row>
    <row r="138" spans="1:1" x14ac:dyDescent="0.35">
      <c r="A138" t="s">
        <v>137</v>
      </c>
    </row>
    <row r="139" spans="1:1" x14ac:dyDescent="0.35">
      <c r="A139" t="s">
        <v>138</v>
      </c>
    </row>
    <row r="140" spans="1:1" x14ac:dyDescent="0.35">
      <c r="A140" t="s">
        <v>139</v>
      </c>
    </row>
    <row r="141" spans="1:1" x14ac:dyDescent="0.35">
      <c r="A141" t="s">
        <v>140</v>
      </c>
    </row>
    <row r="142" spans="1:1" x14ac:dyDescent="0.35">
      <c r="A142" t="s">
        <v>141</v>
      </c>
    </row>
    <row r="143" spans="1:1" x14ac:dyDescent="0.35">
      <c r="A143" t="s">
        <v>142</v>
      </c>
    </row>
    <row r="144" spans="1:1" x14ac:dyDescent="0.35">
      <c r="A144" t="s">
        <v>143</v>
      </c>
    </row>
    <row r="145" spans="1:1" x14ac:dyDescent="0.35">
      <c r="A145" t="s">
        <v>144</v>
      </c>
    </row>
    <row r="146" spans="1:1" x14ac:dyDescent="0.35">
      <c r="A146" t="s">
        <v>145</v>
      </c>
    </row>
    <row r="147" spans="1:1" x14ac:dyDescent="0.35">
      <c r="A147" t="s">
        <v>146</v>
      </c>
    </row>
    <row r="148" spans="1:1" x14ac:dyDescent="0.35">
      <c r="A148" t="s">
        <v>147</v>
      </c>
    </row>
    <row r="149" spans="1:1" x14ac:dyDescent="0.35">
      <c r="A149" t="s">
        <v>148</v>
      </c>
    </row>
    <row r="150" spans="1:1" x14ac:dyDescent="0.35">
      <c r="A150" t="s">
        <v>149</v>
      </c>
    </row>
    <row r="151" spans="1:1" x14ac:dyDescent="0.35">
      <c r="A151" t="s">
        <v>150</v>
      </c>
    </row>
    <row r="152" spans="1:1" x14ac:dyDescent="0.35">
      <c r="A152" t="s">
        <v>151</v>
      </c>
    </row>
    <row r="153" spans="1:1" x14ac:dyDescent="0.35">
      <c r="A153" t="s">
        <v>152</v>
      </c>
    </row>
    <row r="154" spans="1:1" x14ac:dyDescent="0.35">
      <c r="A154" t="s">
        <v>153</v>
      </c>
    </row>
    <row r="155" spans="1:1" x14ac:dyDescent="0.35">
      <c r="A155" t="s">
        <v>154</v>
      </c>
    </row>
    <row r="156" spans="1:1" x14ac:dyDescent="0.35">
      <c r="A156" t="s">
        <v>155</v>
      </c>
    </row>
    <row r="157" spans="1:1" x14ac:dyDescent="0.35">
      <c r="A157" t="s">
        <v>156</v>
      </c>
    </row>
    <row r="158" spans="1:1" x14ac:dyDescent="0.35">
      <c r="A158" t="s">
        <v>157</v>
      </c>
    </row>
    <row r="159" spans="1:1" x14ac:dyDescent="0.35">
      <c r="A159" t="s">
        <v>158</v>
      </c>
    </row>
    <row r="160" spans="1:1" x14ac:dyDescent="0.35">
      <c r="A160" t="s">
        <v>159</v>
      </c>
    </row>
    <row r="161" spans="1:1" x14ac:dyDescent="0.35">
      <c r="A161" t="s">
        <v>160</v>
      </c>
    </row>
    <row r="162" spans="1:1" x14ac:dyDescent="0.35">
      <c r="A162" t="s">
        <v>161</v>
      </c>
    </row>
    <row r="163" spans="1:1" x14ac:dyDescent="0.35">
      <c r="A163" t="s">
        <v>162</v>
      </c>
    </row>
    <row r="164" spans="1:1" x14ac:dyDescent="0.35">
      <c r="A164" t="s">
        <v>163</v>
      </c>
    </row>
    <row r="165" spans="1:1" x14ac:dyDescent="0.35">
      <c r="A165" t="s">
        <v>164</v>
      </c>
    </row>
    <row r="166" spans="1:1" x14ac:dyDescent="0.35">
      <c r="A166" t="s">
        <v>165</v>
      </c>
    </row>
    <row r="167" spans="1:1" x14ac:dyDescent="0.35">
      <c r="A167" t="s">
        <v>166</v>
      </c>
    </row>
    <row r="168" spans="1:1" x14ac:dyDescent="0.35">
      <c r="A168" t="s">
        <v>167</v>
      </c>
    </row>
    <row r="169" spans="1:1" x14ac:dyDescent="0.35">
      <c r="A169" t="s">
        <v>168</v>
      </c>
    </row>
    <row r="170" spans="1:1" x14ac:dyDescent="0.35">
      <c r="A170" t="s">
        <v>169</v>
      </c>
    </row>
    <row r="171" spans="1:1" x14ac:dyDescent="0.35">
      <c r="A171" t="s">
        <v>170</v>
      </c>
    </row>
    <row r="172" spans="1:1" x14ac:dyDescent="0.35">
      <c r="A172" t="s">
        <v>171</v>
      </c>
    </row>
    <row r="173" spans="1:1" x14ac:dyDescent="0.35">
      <c r="A173" t="s">
        <v>172</v>
      </c>
    </row>
    <row r="174" spans="1:1" x14ac:dyDescent="0.35">
      <c r="A174" t="s">
        <v>173</v>
      </c>
    </row>
    <row r="175" spans="1:1" x14ac:dyDescent="0.35">
      <c r="A175" t="s">
        <v>174</v>
      </c>
    </row>
    <row r="176" spans="1:1" x14ac:dyDescent="0.35">
      <c r="A176" t="s">
        <v>175</v>
      </c>
    </row>
    <row r="177" spans="1:1" x14ac:dyDescent="0.35">
      <c r="A177" t="s">
        <v>176</v>
      </c>
    </row>
    <row r="178" spans="1:1" x14ac:dyDescent="0.35">
      <c r="A178" t="s">
        <v>177</v>
      </c>
    </row>
    <row r="179" spans="1:1" x14ac:dyDescent="0.35">
      <c r="A179" t="s">
        <v>178</v>
      </c>
    </row>
    <row r="180" spans="1:1" x14ac:dyDescent="0.35">
      <c r="A180" t="s">
        <v>179</v>
      </c>
    </row>
    <row r="181" spans="1:1" x14ac:dyDescent="0.35">
      <c r="A181" t="s">
        <v>180</v>
      </c>
    </row>
    <row r="182" spans="1:1" x14ac:dyDescent="0.35">
      <c r="A182" t="s">
        <v>181</v>
      </c>
    </row>
    <row r="183" spans="1:1" x14ac:dyDescent="0.35">
      <c r="A183" t="s">
        <v>182</v>
      </c>
    </row>
    <row r="184" spans="1:1" x14ac:dyDescent="0.35">
      <c r="A184" t="s">
        <v>183</v>
      </c>
    </row>
    <row r="185" spans="1:1" x14ac:dyDescent="0.35">
      <c r="A185" t="s">
        <v>184</v>
      </c>
    </row>
    <row r="186" spans="1:1" x14ac:dyDescent="0.35">
      <c r="A186" t="s">
        <v>185</v>
      </c>
    </row>
    <row r="187" spans="1:1" x14ac:dyDescent="0.35">
      <c r="A187" t="s">
        <v>186</v>
      </c>
    </row>
    <row r="188" spans="1:1" x14ac:dyDescent="0.35">
      <c r="A188" t="s">
        <v>187</v>
      </c>
    </row>
    <row r="189" spans="1:1" x14ac:dyDescent="0.35">
      <c r="A189" t="s">
        <v>188</v>
      </c>
    </row>
    <row r="190" spans="1:1" x14ac:dyDescent="0.35">
      <c r="A190" t="s">
        <v>189</v>
      </c>
    </row>
    <row r="191" spans="1:1" x14ac:dyDescent="0.35">
      <c r="A191" t="s">
        <v>190</v>
      </c>
    </row>
    <row r="192" spans="1:1" x14ac:dyDescent="0.35">
      <c r="A192" t="s">
        <v>191</v>
      </c>
    </row>
    <row r="193" spans="1:1" x14ac:dyDescent="0.35">
      <c r="A193" t="s">
        <v>192</v>
      </c>
    </row>
    <row r="194" spans="1:1" x14ac:dyDescent="0.35">
      <c r="A194" t="s">
        <v>193</v>
      </c>
    </row>
    <row r="195" spans="1:1" x14ac:dyDescent="0.35">
      <c r="A195" t="s">
        <v>194</v>
      </c>
    </row>
    <row r="196" spans="1:1" x14ac:dyDescent="0.35">
      <c r="A196" t="s">
        <v>195</v>
      </c>
    </row>
    <row r="197" spans="1:1" x14ac:dyDescent="0.35">
      <c r="A197" t="s">
        <v>196</v>
      </c>
    </row>
    <row r="198" spans="1:1" x14ac:dyDescent="0.35">
      <c r="A198" t="s">
        <v>197</v>
      </c>
    </row>
    <row r="199" spans="1:1" x14ac:dyDescent="0.35">
      <c r="A199" t="s">
        <v>198</v>
      </c>
    </row>
    <row r="200" spans="1:1" x14ac:dyDescent="0.35">
      <c r="A200" t="s">
        <v>199</v>
      </c>
    </row>
    <row r="201" spans="1:1" x14ac:dyDescent="0.35">
      <c r="A201" t="s">
        <v>200</v>
      </c>
    </row>
    <row r="202" spans="1:1" x14ac:dyDescent="0.35">
      <c r="A202" t="s">
        <v>201</v>
      </c>
    </row>
    <row r="203" spans="1:1" x14ac:dyDescent="0.35">
      <c r="A203" t="s">
        <v>202</v>
      </c>
    </row>
    <row r="204" spans="1:1" x14ac:dyDescent="0.35">
      <c r="A204" t="s">
        <v>203</v>
      </c>
    </row>
    <row r="205" spans="1:1" x14ac:dyDescent="0.35">
      <c r="A205" t="s">
        <v>204</v>
      </c>
    </row>
    <row r="206" spans="1:1" x14ac:dyDescent="0.35">
      <c r="A206" t="s">
        <v>205</v>
      </c>
    </row>
    <row r="207" spans="1:1" x14ac:dyDescent="0.35">
      <c r="A207" t="s">
        <v>206</v>
      </c>
    </row>
    <row r="208" spans="1:1" x14ac:dyDescent="0.35">
      <c r="A208" t="s">
        <v>207</v>
      </c>
    </row>
    <row r="209" spans="1:1" x14ac:dyDescent="0.35">
      <c r="A209" t="s">
        <v>208</v>
      </c>
    </row>
    <row r="210" spans="1:1" x14ac:dyDescent="0.35">
      <c r="A210" t="s">
        <v>209</v>
      </c>
    </row>
    <row r="211" spans="1:1" x14ac:dyDescent="0.35">
      <c r="A211" t="s">
        <v>210</v>
      </c>
    </row>
    <row r="212" spans="1:1" x14ac:dyDescent="0.35">
      <c r="A212" t="s">
        <v>211</v>
      </c>
    </row>
    <row r="213" spans="1:1" x14ac:dyDescent="0.35">
      <c r="A213" t="s">
        <v>212</v>
      </c>
    </row>
    <row r="214" spans="1:1" x14ac:dyDescent="0.35">
      <c r="A214" t="s">
        <v>213</v>
      </c>
    </row>
    <row r="215" spans="1:1" x14ac:dyDescent="0.35">
      <c r="A215" t="s">
        <v>214</v>
      </c>
    </row>
    <row r="216" spans="1:1" x14ac:dyDescent="0.35">
      <c r="A216" t="s">
        <v>215</v>
      </c>
    </row>
    <row r="217" spans="1:1" x14ac:dyDescent="0.35">
      <c r="A217" t="s">
        <v>216</v>
      </c>
    </row>
    <row r="218" spans="1:1" x14ac:dyDescent="0.35">
      <c r="A218" t="s">
        <v>217</v>
      </c>
    </row>
    <row r="219" spans="1:1" x14ac:dyDescent="0.35">
      <c r="A219" t="s">
        <v>218</v>
      </c>
    </row>
    <row r="220" spans="1:1" x14ac:dyDescent="0.35">
      <c r="A220" t="s">
        <v>219</v>
      </c>
    </row>
    <row r="221" spans="1:1" x14ac:dyDescent="0.35">
      <c r="A221" t="s">
        <v>220</v>
      </c>
    </row>
    <row r="222" spans="1:1" x14ac:dyDescent="0.35">
      <c r="A222" t="s">
        <v>221</v>
      </c>
    </row>
    <row r="223" spans="1:1" x14ac:dyDescent="0.35">
      <c r="A223" t="s">
        <v>222</v>
      </c>
    </row>
    <row r="224" spans="1:1" x14ac:dyDescent="0.35">
      <c r="A224" t="s">
        <v>223</v>
      </c>
    </row>
    <row r="225" spans="1:1" x14ac:dyDescent="0.35">
      <c r="A225" t="s">
        <v>224</v>
      </c>
    </row>
    <row r="226" spans="1:1" x14ac:dyDescent="0.35">
      <c r="A226" t="s">
        <v>225</v>
      </c>
    </row>
    <row r="227" spans="1:1" x14ac:dyDescent="0.35">
      <c r="A227" t="s">
        <v>226</v>
      </c>
    </row>
    <row r="228" spans="1:1" x14ac:dyDescent="0.35">
      <c r="A228" t="s">
        <v>227</v>
      </c>
    </row>
    <row r="229" spans="1:1" x14ac:dyDescent="0.35">
      <c r="A229" t="s">
        <v>228</v>
      </c>
    </row>
    <row r="230" spans="1:1" x14ac:dyDescent="0.35">
      <c r="A230" t="s">
        <v>229</v>
      </c>
    </row>
    <row r="231" spans="1:1" x14ac:dyDescent="0.35">
      <c r="A231" t="s">
        <v>230</v>
      </c>
    </row>
    <row r="232" spans="1:1" x14ac:dyDescent="0.35">
      <c r="A232" t="s">
        <v>231</v>
      </c>
    </row>
    <row r="233" spans="1:1" x14ac:dyDescent="0.35">
      <c r="A233" t="s">
        <v>232</v>
      </c>
    </row>
    <row r="234" spans="1:1" x14ac:dyDescent="0.35">
      <c r="A234" t="s">
        <v>233</v>
      </c>
    </row>
    <row r="235" spans="1:1" x14ac:dyDescent="0.35">
      <c r="A235" t="s">
        <v>234</v>
      </c>
    </row>
    <row r="236" spans="1:1" x14ac:dyDescent="0.35">
      <c r="A236" t="s">
        <v>235</v>
      </c>
    </row>
    <row r="237" spans="1:1" x14ac:dyDescent="0.35">
      <c r="A237" t="s">
        <v>236</v>
      </c>
    </row>
    <row r="238" spans="1:1" x14ac:dyDescent="0.35">
      <c r="A238" t="s">
        <v>237</v>
      </c>
    </row>
    <row r="239" spans="1:1" x14ac:dyDescent="0.35">
      <c r="A239" t="s">
        <v>238</v>
      </c>
    </row>
    <row r="240" spans="1:1" x14ac:dyDescent="0.35">
      <c r="A240" t="s">
        <v>239</v>
      </c>
    </row>
    <row r="241" spans="1:1" x14ac:dyDescent="0.35">
      <c r="A241" t="s">
        <v>240</v>
      </c>
    </row>
    <row r="242" spans="1:1" x14ac:dyDescent="0.35">
      <c r="A242" t="s">
        <v>241</v>
      </c>
    </row>
    <row r="243" spans="1:1" x14ac:dyDescent="0.35">
      <c r="A243" t="s">
        <v>242</v>
      </c>
    </row>
    <row r="244" spans="1:1" x14ac:dyDescent="0.35">
      <c r="A244" t="s">
        <v>243</v>
      </c>
    </row>
    <row r="245" spans="1:1" x14ac:dyDescent="0.35">
      <c r="A245" t="s">
        <v>244</v>
      </c>
    </row>
    <row r="246" spans="1:1" x14ac:dyDescent="0.35">
      <c r="A246" t="s">
        <v>245</v>
      </c>
    </row>
    <row r="247" spans="1:1" x14ac:dyDescent="0.35">
      <c r="A247" t="s">
        <v>246</v>
      </c>
    </row>
    <row r="248" spans="1:1" x14ac:dyDescent="0.35">
      <c r="A248" t="s">
        <v>247</v>
      </c>
    </row>
    <row r="249" spans="1:1" x14ac:dyDescent="0.35">
      <c r="A249" t="s">
        <v>248</v>
      </c>
    </row>
    <row r="250" spans="1:1" x14ac:dyDescent="0.35">
      <c r="A250" t="s">
        <v>249</v>
      </c>
    </row>
    <row r="251" spans="1:1" x14ac:dyDescent="0.35">
      <c r="A251" t="s">
        <v>250</v>
      </c>
    </row>
    <row r="252" spans="1:1" x14ac:dyDescent="0.35">
      <c r="A252" t="s">
        <v>251</v>
      </c>
    </row>
    <row r="253" spans="1:1" x14ac:dyDescent="0.35">
      <c r="A253" t="s">
        <v>252</v>
      </c>
    </row>
    <row r="254" spans="1:1" x14ac:dyDescent="0.35">
      <c r="A254" t="s">
        <v>253</v>
      </c>
    </row>
    <row r="255" spans="1:1" x14ac:dyDescent="0.35">
      <c r="A255" t="s">
        <v>254</v>
      </c>
    </row>
    <row r="256" spans="1:1" x14ac:dyDescent="0.35">
      <c r="A256" t="s">
        <v>255</v>
      </c>
    </row>
    <row r="257" spans="1:1" x14ac:dyDescent="0.35">
      <c r="A257" t="s">
        <v>256</v>
      </c>
    </row>
    <row r="258" spans="1:1" x14ac:dyDescent="0.35">
      <c r="A258" t="s">
        <v>257</v>
      </c>
    </row>
    <row r="259" spans="1:1" x14ac:dyDescent="0.35">
      <c r="A259" t="s">
        <v>258</v>
      </c>
    </row>
    <row r="260" spans="1:1" x14ac:dyDescent="0.35">
      <c r="A260" t="s">
        <v>259</v>
      </c>
    </row>
    <row r="261" spans="1:1" x14ac:dyDescent="0.35">
      <c r="A261" t="s">
        <v>260</v>
      </c>
    </row>
    <row r="262" spans="1:1" x14ac:dyDescent="0.35">
      <c r="A262" t="s">
        <v>261</v>
      </c>
    </row>
    <row r="263" spans="1:1" x14ac:dyDescent="0.35">
      <c r="A263" t="s">
        <v>262</v>
      </c>
    </row>
    <row r="264" spans="1:1" x14ac:dyDescent="0.35">
      <c r="A264" t="s">
        <v>263</v>
      </c>
    </row>
    <row r="265" spans="1:1" x14ac:dyDescent="0.35">
      <c r="A265" t="s">
        <v>264</v>
      </c>
    </row>
    <row r="266" spans="1:1" x14ac:dyDescent="0.35">
      <c r="A266" t="s">
        <v>265</v>
      </c>
    </row>
    <row r="267" spans="1:1" x14ac:dyDescent="0.35">
      <c r="A267" t="s">
        <v>266</v>
      </c>
    </row>
    <row r="268" spans="1:1" x14ac:dyDescent="0.35">
      <c r="A268" t="s">
        <v>267</v>
      </c>
    </row>
    <row r="269" spans="1:1" x14ac:dyDescent="0.35">
      <c r="A269" t="s">
        <v>268</v>
      </c>
    </row>
    <row r="270" spans="1:1" x14ac:dyDescent="0.35">
      <c r="A270" t="s">
        <v>269</v>
      </c>
    </row>
    <row r="271" spans="1:1" x14ac:dyDescent="0.35">
      <c r="A271" t="s">
        <v>270</v>
      </c>
    </row>
    <row r="272" spans="1:1" x14ac:dyDescent="0.35">
      <c r="A272" t="s">
        <v>271</v>
      </c>
    </row>
    <row r="273" spans="1:1" x14ac:dyDescent="0.35">
      <c r="A273" t="s">
        <v>272</v>
      </c>
    </row>
    <row r="274" spans="1:1" x14ac:dyDescent="0.35">
      <c r="A274" t="s">
        <v>273</v>
      </c>
    </row>
    <row r="275" spans="1:1" x14ac:dyDescent="0.35">
      <c r="A275" t="s">
        <v>274</v>
      </c>
    </row>
    <row r="276" spans="1:1" x14ac:dyDescent="0.35">
      <c r="A276" t="s">
        <v>275</v>
      </c>
    </row>
    <row r="277" spans="1:1" x14ac:dyDescent="0.35">
      <c r="A277" t="s">
        <v>276</v>
      </c>
    </row>
    <row r="278" spans="1:1" x14ac:dyDescent="0.35">
      <c r="A278" t="s">
        <v>277</v>
      </c>
    </row>
    <row r="279" spans="1:1" x14ac:dyDescent="0.35">
      <c r="A279" t="s">
        <v>278</v>
      </c>
    </row>
    <row r="280" spans="1:1" x14ac:dyDescent="0.35">
      <c r="A280" t="s">
        <v>279</v>
      </c>
    </row>
    <row r="281" spans="1:1" x14ac:dyDescent="0.35">
      <c r="A281" t="s">
        <v>280</v>
      </c>
    </row>
    <row r="282" spans="1:1" x14ac:dyDescent="0.35">
      <c r="A282" t="s">
        <v>281</v>
      </c>
    </row>
    <row r="283" spans="1:1" x14ac:dyDescent="0.35">
      <c r="A283" t="s">
        <v>282</v>
      </c>
    </row>
    <row r="284" spans="1:1" x14ac:dyDescent="0.35">
      <c r="A284" t="s">
        <v>283</v>
      </c>
    </row>
    <row r="285" spans="1:1" x14ac:dyDescent="0.35">
      <c r="A285" t="s">
        <v>284</v>
      </c>
    </row>
    <row r="286" spans="1:1" x14ac:dyDescent="0.35">
      <c r="A286" t="s">
        <v>285</v>
      </c>
    </row>
    <row r="287" spans="1:1" x14ac:dyDescent="0.35">
      <c r="A287" t="s">
        <v>286</v>
      </c>
    </row>
    <row r="288" spans="1:1" x14ac:dyDescent="0.35">
      <c r="A288" t="s">
        <v>287</v>
      </c>
    </row>
    <row r="289" spans="1:1" x14ac:dyDescent="0.35">
      <c r="A289" t="s">
        <v>288</v>
      </c>
    </row>
    <row r="290" spans="1:1" x14ac:dyDescent="0.35">
      <c r="A290" t="s">
        <v>289</v>
      </c>
    </row>
    <row r="291" spans="1:1" x14ac:dyDescent="0.35">
      <c r="A291" t="s">
        <v>290</v>
      </c>
    </row>
    <row r="292" spans="1:1" x14ac:dyDescent="0.35">
      <c r="A292" t="s">
        <v>291</v>
      </c>
    </row>
    <row r="293" spans="1:1" x14ac:dyDescent="0.35">
      <c r="A293" t="s">
        <v>292</v>
      </c>
    </row>
    <row r="294" spans="1:1" x14ac:dyDescent="0.35">
      <c r="A294" t="s">
        <v>293</v>
      </c>
    </row>
    <row r="295" spans="1:1" x14ac:dyDescent="0.35">
      <c r="A295" t="s">
        <v>294</v>
      </c>
    </row>
    <row r="296" spans="1:1" x14ac:dyDescent="0.35">
      <c r="A296" t="s">
        <v>295</v>
      </c>
    </row>
    <row r="297" spans="1:1" x14ac:dyDescent="0.35">
      <c r="A297" t="s">
        <v>296</v>
      </c>
    </row>
    <row r="298" spans="1:1" x14ac:dyDescent="0.35">
      <c r="A298" t="s">
        <v>297</v>
      </c>
    </row>
    <row r="299" spans="1:1" x14ac:dyDescent="0.35">
      <c r="A299" t="s">
        <v>298</v>
      </c>
    </row>
    <row r="300" spans="1:1" x14ac:dyDescent="0.35">
      <c r="A300" t="s">
        <v>299</v>
      </c>
    </row>
    <row r="301" spans="1:1" x14ac:dyDescent="0.35">
      <c r="A301" t="s">
        <v>300</v>
      </c>
    </row>
    <row r="302" spans="1:1" x14ac:dyDescent="0.35">
      <c r="A302" t="s">
        <v>301</v>
      </c>
    </row>
    <row r="303" spans="1:1" x14ac:dyDescent="0.35">
      <c r="A303" t="s">
        <v>302</v>
      </c>
    </row>
    <row r="304" spans="1:1" x14ac:dyDescent="0.35">
      <c r="A304" t="s">
        <v>303</v>
      </c>
    </row>
    <row r="305" spans="1:1" x14ac:dyDescent="0.35">
      <c r="A305" t="s">
        <v>304</v>
      </c>
    </row>
    <row r="306" spans="1:1" x14ac:dyDescent="0.35">
      <c r="A306" t="s">
        <v>305</v>
      </c>
    </row>
    <row r="307" spans="1:1" x14ac:dyDescent="0.35">
      <c r="A307" t="s">
        <v>306</v>
      </c>
    </row>
    <row r="308" spans="1:1" x14ac:dyDescent="0.35">
      <c r="A308" t="s">
        <v>307</v>
      </c>
    </row>
    <row r="309" spans="1:1" x14ac:dyDescent="0.35">
      <c r="A309" t="s">
        <v>308</v>
      </c>
    </row>
    <row r="310" spans="1:1" x14ac:dyDescent="0.35">
      <c r="A310" t="s">
        <v>309</v>
      </c>
    </row>
    <row r="311" spans="1:1" x14ac:dyDescent="0.35">
      <c r="A311" t="s">
        <v>310</v>
      </c>
    </row>
    <row r="312" spans="1:1" x14ac:dyDescent="0.35">
      <c r="A312" t="s">
        <v>311</v>
      </c>
    </row>
    <row r="313" spans="1:1" x14ac:dyDescent="0.35">
      <c r="A313" t="s">
        <v>312</v>
      </c>
    </row>
    <row r="314" spans="1:1" x14ac:dyDescent="0.35">
      <c r="A314" t="s">
        <v>313</v>
      </c>
    </row>
    <row r="315" spans="1:1" x14ac:dyDescent="0.35">
      <c r="A315" t="s">
        <v>314</v>
      </c>
    </row>
    <row r="316" spans="1:1" x14ac:dyDescent="0.35">
      <c r="A316" t="s">
        <v>315</v>
      </c>
    </row>
    <row r="317" spans="1:1" x14ac:dyDescent="0.35">
      <c r="A317" t="s">
        <v>316</v>
      </c>
    </row>
    <row r="318" spans="1:1" x14ac:dyDescent="0.35">
      <c r="A318" t="s">
        <v>317</v>
      </c>
    </row>
    <row r="319" spans="1:1" x14ac:dyDescent="0.35">
      <c r="A319" t="s">
        <v>318</v>
      </c>
    </row>
    <row r="320" spans="1:1" x14ac:dyDescent="0.35">
      <c r="A320" t="s">
        <v>319</v>
      </c>
    </row>
    <row r="321" spans="1:1" x14ac:dyDescent="0.35">
      <c r="A321" t="s">
        <v>320</v>
      </c>
    </row>
    <row r="322" spans="1:1" x14ac:dyDescent="0.35">
      <c r="A322" t="s">
        <v>321</v>
      </c>
    </row>
    <row r="323" spans="1:1" x14ac:dyDescent="0.35">
      <c r="A323" t="s">
        <v>322</v>
      </c>
    </row>
    <row r="324" spans="1:1" x14ac:dyDescent="0.35">
      <c r="A324" t="s">
        <v>323</v>
      </c>
    </row>
    <row r="325" spans="1:1" x14ac:dyDescent="0.35">
      <c r="A325" t="s">
        <v>324</v>
      </c>
    </row>
    <row r="326" spans="1:1" x14ac:dyDescent="0.35">
      <c r="A326" t="s">
        <v>325</v>
      </c>
    </row>
    <row r="327" spans="1:1" x14ac:dyDescent="0.35">
      <c r="A327" t="s">
        <v>326</v>
      </c>
    </row>
    <row r="328" spans="1:1" x14ac:dyDescent="0.35">
      <c r="A328" t="s">
        <v>327</v>
      </c>
    </row>
    <row r="329" spans="1:1" x14ac:dyDescent="0.35">
      <c r="A329" t="s">
        <v>328</v>
      </c>
    </row>
    <row r="330" spans="1:1" x14ac:dyDescent="0.35">
      <c r="A330" t="s">
        <v>329</v>
      </c>
    </row>
    <row r="331" spans="1:1" x14ac:dyDescent="0.35">
      <c r="A331" t="s">
        <v>330</v>
      </c>
    </row>
    <row r="332" spans="1:1" x14ac:dyDescent="0.35">
      <c r="A332" t="s">
        <v>331</v>
      </c>
    </row>
    <row r="333" spans="1:1" x14ac:dyDescent="0.35">
      <c r="A333" t="s">
        <v>332</v>
      </c>
    </row>
    <row r="334" spans="1:1" x14ac:dyDescent="0.35">
      <c r="A334" t="s">
        <v>333</v>
      </c>
    </row>
    <row r="335" spans="1:1" x14ac:dyDescent="0.35">
      <c r="A335" t="s">
        <v>334</v>
      </c>
    </row>
    <row r="336" spans="1:1" x14ac:dyDescent="0.35">
      <c r="A336" t="s">
        <v>335</v>
      </c>
    </row>
    <row r="337" spans="1:1" x14ac:dyDescent="0.35">
      <c r="A337" t="s">
        <v>336</v>
      </c>
    </row>
    <row r="338" spans="1:1" x14ac:dyDescent="0.35">
      <c r="A338" t="s">
        <v>337</v>
      </c>
    </row>
    <row r="339" spans="1:1" x14ac:dyDescent="0.35">
      <c r="A339" t="s">
        <v>338</v>
      </c>
    </row>
    <row r="340" spans="1:1" x14ac:dyDescent="0.35">
      <c r="A340" t="s">
        <v>339</v>
      </c>
    </row>
    <row r="341" spans="1:1" x14ac:dyDescent="0.35">
      <c r="A341" t="s">
        <v>340</v>
      </c>
    </row>
    <row r="342" spans="1:1" x14ac:dyDescent="0.35">
      <c r="A342" t="s">
        <v>341</v>
      </c>
    </row>
    <row r="343" spans="1:1" x14ac:dyDescent="0.35">
      <c r="A343" t="s">
        <v>342</v>
      </c>
    </row>
    <row r="344" spans="1:1" x14ac:dyDescent="0.35">
      <c r="A344" t="s">
        <v>343</v>
      </c>
    </row>
    <row r="345" spans="1:1" x14ac:dyDescent="0.35">
      <c r="A345" t="s">
        <v>344</v>
      </c>
    </row>
    <row r="346" spans="1:1" x14ac:dyDescent="0.35">
      <c r="A346" t="s">
        <v>345</v>
      </c>
    </row>
    <row r="347" spans="1:1" x14ac:dyDescent="0.35">
      <c r="A347" t="s">
        <v>346</v>
      </c>
    </row>
    <row r="348" spans="1:1" x14ac:dyDescent="0.35">
      <c r="A348" t="s">
        <v>347</v>
      </c>
    </row>
    <row r="349" spans="1:1" x14ac:dyDescent="0.35">
      <c r="A349" t="s">
        <v>348</v>
      </c>
    </row>
    <row r="350" spans="1:1" x14ac:dyDescent="0.35">
      <c r="A350" t="s">
        <v>349</v>
      </c>
    </row>
    <row r="351" spans="1:1" x14ac:dyDescent="0.35">
      <c r="A351" t="s">
        <v>350</v>
      </c>
    </row>
    <row r="352" spans="1:1" x14ac:dyDescent="0.35">
      <c r="A352" t="s">
        <v>351</v>
      </c>
    </row>
    <row r="353" spans="1:1" x14ac:dyDescent="0.35">
      <c r="A353" t="s">
        <v>352</v>
      </c>
    </row>
    <row r="354" spans="1:1" x14ac:dyDescent="0.35">
      <c r="A354" t="s">
        <v>353</v>
      </c>
    </row>
    <row r="355" spans="1:1" x14ac:dyDescent="0.35">
      <c r="A355" t="s">
        <v>354</v>
      </c>
    </row>
    <row r="356" spans="1:1" x14ac:dyDescent="0.35">
      <c r="A356" t="s">
        <v>355</v>
      </c>
    </row>
    <row r="357" spans="1:1" x14ac:dyDescent="0.35">
      <c r="A357" t="s">
        <v>356</v>
      </c>
    </row>
    <row r="358" spans="1:1" x14ac:dyDescent="0.35">
      <c r="A358" t="s">
        <v>357</v>
      </c>
    </row>
    <row r="359" spans="1:1" x14ac:dyDescent="0.35">
      <c r="A359" t="s">
        <v>358</v>
      </c>
    </row>
    <row r="360" spans="1:1" x14ac:dyDescent="0.35">
      <c r="A360" t="s">
        <v>359</v>
      </c>
    </row>
    <row r="361" spans="1:1" x14ac:dyDescent="0.35">
      <c r="A361" t="s">
        <v>360</v>
      </c>
    </row>
    <row r="362" spans="1:1" x14ac:dyDescent="0.35">
      <c r="A362" t="s">
        <v>361</v>
      </c>
    </row>
    <row r="363" spans="1:1" x14ac:dyDescent="0.35">
      <c r="A363" t="s">
        <v>362</v>
      </c>
    </row>
    <row r="364" spans="1:1" x14ac:dyDescent="0.35">
      <c r="A364" t="s">
        <v>363</v>
      </c>
    </row>
    <row r="365" spans="1:1" x14ac:dyDescent="0.35">
      <c r="A365" t="s">
        <v>364</v>
      </c>
    </row>
    <row r="366" spans="1:1" x14ac:dyDescent="0.35">
      <c r="A366" t="s">
        <v>365</v>
      </c>
    </row>
    <row r="367" spans="1:1" x14ac:dyDescent="0.35">
      <c r="A367" t="s">
        <v>366</v>
      </c>
    </row>
    <row r="368" spans="1:1" x14ac:dyDescent="0.35">
      <c r="A368" t="s">
        <v>367</v>
      </c>
    </row>
    <row r="369" spans="1:1" x14ac:dyDescent="0.35">
      <c r="A369" t="s">
        <v>368</v>
      </c>
    </row>
    <row r="370" spans="1:1" x14ac:dyDescent="0.35">
      <c r="A370" t="s">
        <v>369</v>
      </c>
    </row>
    <row r="371" spans="1:1" x14ac:dyDescent="0.35">
      <c r="A371" t="s">
        <v>370</v>
      </c>
    </row>
    <row r="372" spans="1:1" x14ac:dyDescent="0.35">
      <c r="A372" t="s">
        <v>371</v>
      </c>
    </row>
    <row r="373" spans="1:1" x14ac:dyDescent="0.35">
      <c r="A373" t="s">
        <v>372</v>
      </c>
    </row>
    <row r="374" spans="1:1" x14ac:dyDescent="0.35">
      <c r="A374" t="s">
        <v>373</v>
      </c>
    </row>
    <row r="375" spans="1:1" x14ac:dyDescent="0.35">
      <c r="A375" t="s">
        <v>374</v>
      </c>
    </row>
    <row r="376" spans="1:1" x14ac:dyDescent="0.35">
      <c r="A376" t="s">
        <v>375</v>
      </c>
    </row>
    <row r="377" spans="1:1" x14ac:dyDescent="0.35">
      <c r="A377" t="s">
        <v>376</v>
      </c>
    </row>
    <row r="378" spans="1:1" x14ac:dyDescent="0.35">
      <c r="A378" t="s">
        <v>377</v>
      </c>
    </row>
    <row r="379" spans="1:1" x14ac:dyDescent="0.35">
      <c r="A379" t="s">
        <v>378</v>
      </c>
    </row>
    <row r="380" spans="1:1" x14ac:dyDescent="0.35">
      <c r="A380" t="s">
        <v>379</v>
      </c>
    </row>
    <row r="381" spans="1:1" x14ac:dyDescent="0.35">
      <c r="A381" t="s">
        <v>380</v>
      </c>
    </row>
    <row r="382" spans="1:1" x14ac:dyDescent="0.35">
      <c r="A382" t="s">
        <v>381</v>
      </c>
    </row>
    <row r="383" spans="1:1" x14ac:dyDescent="0.35">
      <c r="A383" t="s">
        <v>382</v>
      </c>
    </row>
    <row r="384" spans="1:1" x14ac:dyDescent="0.35">
      <c r="A384" t="s">
        <v>383</v>
      </c>
    </row>
    <row r="385" spans="1:1" x14ac:dyDescent="0.35">
      <c r="A385" t="s">
        <v>384</v>
      </c>
    </row>
    <row r="386" spans="1:1" x14ac:dyDescent="0.35">
      <c r="A386" t="s">
        <v>385</v>
      </c>
    </row>
    <row r="387" spans="1:1" x14ac:dyDescent="0.35">
      <c r="A387" t="s">
        <v>386</v>
      </c>
    </row>
    <row r="388" spans="1:1" x14ac:dyDescent="0.35">
      <c r="A388" t="s">
        <v>387</v>
      </c>
    </row>
    <row r="389" spans="1:1" x14ac:dyDescent="0.35">
      <c r="A389" t="s">
        <v>388</v>
      </c>
    </row>
    <row r="390" spans="1:1" x14ac:dyDescent="0.35">
      <c r="A390" t="s">
        <v>389</v>
      </c>
    </row>
    <row r="391" spans="1:1" x14ac:dyDescent="0.35">
      <c r="A391" t="s">
        <v>390</v>
      </c>
    </row>
    <row r="392" spans="1:1" x14ac:dyDescent="0.35">
      <c r="A392" t="s">
        <v>391</v>
      </c>
    </row>
    <row r="393" spans="1:1" x14ac:dyDescent="0.35">
      <c r="A393" t="s">
        <v>392</v>
      </c>
    </row>
    <row r="394" spans="1:1" x14ac:dyDescent="0.35">
      <c r="A394" t="s">
        <v>393</v>
      </c>
    </row>
    <row r="395" spans="1:1" x14ac:dyDescent="0.35">
      <c r="A395" t="s">
        <v>394</v>
      </c>
    </row>
    <row r="396" spans="1:1" x14ac:dyDescent="0.35">
      <c r="A396" t="s">
        <v>395</v>
      </c>
    </row>
    <row r="397" spans="1:1" x14ac:dyDescent="0.35">
      <c r="A397" t="s">
        <v>396</v>
      </c>
    </row>
    <row r="398" spans="1:1" x14ac:dyDescent="0.35">
      <c r="A398" t="s">
        <v>397</v>
      </c>
    </row>
    <row r="399" spans="1:1" x14ac:dyDescent="0.35">
      <c r="A399" t="s">
        <v>398</v>
      </c>
    </row>
    <row r="400" spans="1:1" x14ac:dyDescent="0.35">
      <c r="A400" t="s">
        <v>399</v>
      </c>
    </row>
    <row r="401" spans="1:1" x14ac:dyDescent="0.35">
      <c r="A401" t="s">
        <v>400</v>
      </c>
    </row>
    <row r="402" spans="1:1" x14ac:dyDescent="0.35">
      <c r="A402" t="s">
        <v>401</v>
      </c>
    </row>
    <row r="403" spans="1:1" x14ac:dyDescent="0.35">
      <c r="A403" t="s">
        <v>402</v>
      </c>
    </row>
    <row r="404" spans="1:1" x14ac:dyDescent="0.35">
      <c r="A404" t="s">
        <v>403</v>
      </c>
    </row>
    <row r="405" spans="1:1" x14ac:dyDescent="0.35">
      <c r="A405" t="s">
        <v>404</v>
      </c>
    </row>
    <row r="406" spans="1:1" x14ac:dyDescent="0.35">
      <c r="A406" t="s">
        <v>405</v>
      </c>
    </row>
    <row r="407" spans="1:1" x14ac:dyDescent="0.35">
      <c r="A407" t="s">
        <v>406</v>
      </c>
    </row>
    <row r="408" spans="1:1" x14ac:dyDescent="0.35">
      <c r="A408" t="s">
        <v>407</v>
      </c>
    </row>
    <row r="409" spans="1:1" x14ac:dyDescent="0.35">
      <c r="A409" t="s">
        <v>408</v>
      </c>
    </row>
    <row r="410" spans="1:1" x14ac:dyDescent="0.35">
      <c r="A410" t="s">
        <v>409</v>
      </c>
    </row>
    <row r="411" spans="1:1" x14ac:dyDescent="0.35">
      <c r="A411" t="s">
        <v>410</v>
      </c>
    </row>
    <row r="412" spans="1:1" x14ac:dyDescent="0.35">
      <c r="A412" t="s">
        <v>411</v>
      </c>
    </row>
    <row r="413" spans="1:1" x14ac:dyDescent="0.35">
      <c r="A413" t="s">
        <v>412</v>
      </c>
    </row>
    <row r="414" spans="1:1" x14ac:dyDescent="0.35">
      <c r="A414" t="s">
        <v>413</v>
      </c>
    </row>
    <row r="415" spans="1:1" x14ac:dyDescent="0.35">
      <c r="A415" t="s">
        <v>414</v>
      </c>
    </row>
    <row r="416" spans="1:1" x14ac:dyDescent="0.35">
      <c r="A416" t="s">
        <v>415</v>
      </c>
    </row>
    <row r="417" spans="1:1" x14ac:dyDescent="0.35">
      <c r="A417" t="s">
        <v>416</v>
      </c>
    </row>
    <row r="418" spans="1:1" x14ac:dyDescent="0.35">
      <c r="A418" t="s">
        <v>417</v>
      </c>
    </row>
    <row r="419" spans="1:1" x14ac:dyDescent="0.35">
      <c r="A419" t="s">
        <v>418</v>
      </c>
    </row>
    <row r="420" spans="1:1" x14ac:dyDescent="0.35">
      <c r="A420" t="s">
        <v>419</v>
      </c>
    </row>
    <row r="421" spans="1:1" x14ac:dyDescent="0.35">
      <c r="A421" t="s">
        <v>420</v>
      </c>
    </row>
    <row r="422" spans="1:1" x14ac:dyDescent="0.35">
      <c r="A422" t="s">
        <v>421</v>
      </c>
    </row>
    <row r="423" spans="1:1" x14ac:dyDescent="0.35">
      <c r="A423" t="s">
        <v>422</v>
      </c>
    </row>
    <row r="424" spans="1:1" x14ac:dyDescent="0.35">
      <c r="A424" t="s">
        <v>423</v>
      </c>
    </row>
    <row r="425" spans="1:1" x14ac:dyDescent="0.35">
      <c r="A425" t="s">
        <v>424</v>
      </c>
    </row>
    <row r="426" spans="1:1" x14ac:dyDescent="0.35">
      <c r="A426" t="s">
        <v>425</v>
      </c>
    </row>
    <row r="427" spans="1:1" x14ac:dyDescent="0.35">
      <c r="A427" t="s">
        <v>426</v>
      </c>
    </row>
    <row r="428" spans="1:1" x14ac:dyDescent="0.35">
      <c r="A428" t="s">
        <v>427</v>
      </c>
    </row>
    <row r="429" spans="1:1" x14ac:dyDescent="0.35">
      <c r="A429" t="s">
        <v>428</v>
      </c>
    </row>
    <row r="430" spans="1:1" x14ac:dyDescent="0.35">
      <c r="A430" t="s">
        <v>429</v>
      </c>
    </row>
    <row r="431" spans="1:1" x14ac:dyDescent="0.35">
      <c r="A431" t="s">
        <v>430</v>
      </c>
    </row>
    <row r="432" spans="1:1" x14ac:dyDescent="0.35">
      <c r="A432" t="s">
        <v>431</v>
      </c>
    </row>
    <row r="433" spans="1:1" x14ac:dyDescent="0.35">
      <c r="A433" t="s">
        <v>432</v>
      </c>
    </row>
    <row r="434" spans="1:1" x14ac:dyDescent="0.35">
      <c r="A434" t="s">
        <v>433</v>
      </c>
    </row>
    <row r="435" spans="1:1" x14ac:dyDescent="0.35">
      <c r="A435" t="s">
        <v>434</v>
      </c>
    </row>
    <row r="436" spans="1:1" x14ac:dyDescent="0.35">
      <c r="A436" t="s">
        <v>435</v>
      </c>
    </row>
    <row r="437" spans="1:1" x14ac:dyDescent="0.35">
      <c r="A437" t="s">
        <v>436</v>
      </c>
    </row>
    <row r="438" spans="1:1" x14ac:dyDescent="0.35">
      <c r="A438" t="s">
        <v>437</v>
      </c>
    </row>
    <row r="439" spans="1:1" x14ac:dyDescent="0.35">
      <c r="A439" t="s">
        <v>438</v>
      </c>
    </row>
    <row r="440" spans="1:1" x14ac:dyDescent="0.35">
      <c r="A440" t="s">
        <v>439</v>
      </c>
    </row>
    <row r="441" spans="1:1" x14ac:dyDescent="0.35">
      <c r="A441" t="s">
        <v>440</v>
      </c>
    </row>
    <row r="442" spans="1:1" x14ac:dyDescent="0.35">
      <c r="A442" t="s">
        <v>441</v>
      </c>
    </row>
    <row r="443" spans="1:1" x14ac:dyDescent="0.35">
      <c r="A443" t="s">
        <v>442</v>
      </c>
    </row>
    <row r="444" spans="1:1" x14ac:dyDescent="0.35">
      <c r="A444" t="s">
        <v>443</v>
      </c>
    </row>
    <row r="445" spans="1:1" x14ac:dyDescent="0.35">
      <c r="A445" t="s">
        <v>444</v>
      </c>
    </row>
    <row r="446" spans="1:1" x14ac:dyDescent="0.35">
      <c r="A446" t="s">
        <v>445</v>
      </c>
    </row>
    <row r="447" spans="1:1" x14ac:dyDescent="0.35">
      <c r="A447" t="s">
        <v>446</v>
      </c>
    </row>
    <row r="448" spans="1:1" x14ac:dyDescent="0.35">
      <c r="A448" t="s">
        <v>447</v>
      </c>
    </row>
    <row r="449" spans="1:1" x14ac:dyDescent="0.35">
      <c r="A449" t="s">
        <v>448</v>
      </c>
    </row>
    <row r="450" spans="1:1" x14ac:dyDescent="0.35">
      <c r="A450" t="s">
        <v>449</v>
      </c>
    </row>
    <row r="451" spans="1:1" x14ac:dyDescent="0.35">
      <c r="A451" t="s">
        <v>450</v>
      </c>
    </row>
    <row r="452" spans="1:1" x14ac:dyDescent="0.35">
      <c r="A452" t="s">
        <v>451</v>
      </c>
    </row>
    <row r="453" spans="1:1" x14ac:dyDescent="0.35">
      <c r="A453" t="s">
        <v>452</v>
      </c>
    </row>
    <row r="454" spans="1:1" x14ac:dyDescent="0.35">
      <c r="A454" t="s">
        <v>453</v>
      </c>
    </row>
    <row r="455" spans="1:1" x14ac:dyDescent="0.35">
      <c r="A455" t="s">
        <v>454</v>
      </c>
    </row>
    <row r="456" spans="1:1" x14ac:dyDescent="0.35">
      <c r="A456" t="s">
        <v>455</v>
      </c>
    </row>
    <row r="457" spans="1:1" x14ac:dyDescent="0.35">
      <c r="A457" t="s">
        <v>456</v>
      </c>
    </row>
    <row r="458" spans="1:1" x14ac:dyDescent="0.35">
      <c r="A458" t="s">
        <v>457</v>
      </c>
    </row>
    <row r="459" spans="1:1" x14ac:dyDescent="0.35">
      <c r="A459" t="s">
        <v>458</v>
      </c>
    </row>
    <row r="460" spans="1:1" x14ac:dyDescent="0.35">
      <c r="A460" t="s">
        <v>459</v>
      </c>
    </row>
    <row r="461" spans="1:1" x14ac:dyDescent="0.35">
      <c r="A461" t="s">
        <v>460</v>
      </c>
    </row>
    <row r="462" spans="1:1" x14ac:dyDescent="0.35">
      <c r="A462" t="s">
        <v>461</v>
      </c>
    </row>
    <row r="463" spans="1:1" x14ac:dyDescent="0.35">
      <c r="A463" t="s">
        <v>462</v>
      </c>
    </row>
    <row r="464" spans="1:1" x14ac:dyDescent="0.35">
      <c r="A464" t="s">
        <v>463</v>
      </c>
    </row>
    <row r="465" spans="1:1" x14ac:dyDescent="0.35">
      <c r="A465" t="s">
        <v>464</v>
      </c>
    </row>
    <row r="466" spans="1:1" x14ac:dyDescent="0.35">
      <c r="A466" t="s">
        <v>465</v>
      </c>
    </row>
    <row r="467" spans="1:1" x14ac:dyDescent="0.35">
      <c r="A467" t="s">
        <v>466</v>
      </c>
    </row>
    <row r="468" spans="1:1" x14ac:dyDescent="0.35">
      <c r="A468" t="s">
        <v>467</v>
      </c>
    </row>
    <row r="469" spans="1:1" x14ac:dyDescent="0.35">
      <c r="A469" t="s">
        <v>468</v>
      </c>
    </row>
    <row r="470" spans="1:1" x14ac:dyDescent="0.35">
      <c r="A470" t="s">
        <v>469</v>
      </c>
    </row>
    <row r="471" spans="1:1" x14ac:dyDescent="0.35">
      <c r="A471" t="s">
        <v>470</v>
      </c>
    </row>
    <row r="472" spans="1:1" x14ac:dyDescent="0.35">
      <c r="A472" t="s">
        <v>471</v>
      </c>
    </row>
    <row r="473" spans="1:1" x14ac:dyDescent="0.35">
      <c r="A473" t="s">
        <v>472</v>
      </c>
    </row>
    <row r="474" spans="1:1" x14ac:dyDescent="0.35">
      <c r="A474" t="s">
        <v>473</v>
      </c>
    </row>
    <row r="475" spans="1:1" x14ac:dyDescent="0.35">
      <c r="A475" t="s">
        <v>474</v>
      </c>
    </row>
    <row r="476" spans="1:1" x14ac:dyDescent="0.35">
      <c r="A476" t="s">
        <v>475</v>
      </c>
    </row>
    <row r="477" spans="1:1" x14ac:dyDescent="0.35">
      <c r="A477" t="s">
        <v>476</v>
      </c>
    </row>
    <row r="478" spans="1:1" x14ac:dyDescent="0.35">
      <c r="A478" t="s">
        <v>477</v>
      </c>
    </row>
    <row r="479" spans="1:1" x14ac:dyDescent="0.35">
      <c r="A479" t="s">
        <v>478</v>
      </c>
    </row>
    <row r="480" spans="1:1" x14ac:dyDescent="0.35">
      <c r="A480" t="s">
        <v>479</v>
      </c>
    </row>
    <row r="481" spans="1:1" x14ac:dyDescent="0.35">
      <c r="A481" t="s">
        <v>480</v>
      </c>
    </row>
    <row r="482" spans="1:1" x14ac:dyDescent="0.35">
      <c r="A482" t="s">
        <v>481</v>
      </c>
    </row>
    <row r="483" spans="1:1" x14ac:dyDescent="0.35">
      <c r="A483" t="s">
        <v>482</v>
      </c>
    </row>
    <row r="484" spans="1:1" x14ac:dyDescent="0.35">
      <c r="A484" t="s">
        <v>483</v>
      </c>
    </row>
    <row r="485" spans="1:1" x14ac:dyDescent="0.35">
      <c r="A485" t="s">
        <v>484</v>
      </c>
    </row>
    <row r="486" spans="1:1" x14ac:dyDescent="0.35">
      <c r="A486" t="s">
        <v>485</v>
      </c>
    </row>
    <row r="487" spans="1:1" x14ac:dyDescent="0.35">
      <c r="A487" t="s">
        <v>486</v>
      </c>
    </row>
    <row r="488" spans="1:1" x14ac:dyDescent="0.35">
      <c r="A488" t="s">
        <v>487</v>
      </c>
    </row>
    <row r="489" spans="1:1" x14ac:dyDescent="0.35">
      <c r="A489" t="s">
        <v>488</v>
      </c>
    </row>
    <row r="490" spans="1:1" x14ac:dyDescent="0.35">
      <c r="A490" t="s">
        <v>489</v>
      </c>
    </row>
    <row r="491" spans="1:1" x14ac:dyDescent="0.35">
      <c r="A491" t="s">
        <v>490</v>
      </c>
    </row>
    <row r="492" spans="1:1" x14ac:dyDescent="0.35">
      <c r="A492" t="s">
        <v>491</v>
      </c>
    </row>
    <row r="493" spans="1:1" x14ac:dyDescent="0.35">
      <c r="A493" t="s">
        <v>492</v>
      </c>
    </row>
    <row r="494" spans="1:1" x14ac:dyDescent="0.35">
      <c r="A494" t="s">
        <v>493</v>
      </c>
    </row>
    <row r="495" spans="1:1" x14ac:dyDescent="0.35">
      <c r="A495" t="s">
        <v>494</v>
      </c>
    </row>
    <row r="496" spans="1:1" x14ac:dyDescent="0.35">
      <c r="A496" t="s">
        <v>495</v>
      </c>
    </row>
    <row r="497" spans="1:1" x14ac:dyDescent="0.35">
      <c r="A497" t="s">
        <v>496</v>
      </c>
    </row>
    <row r="498" spans="1:1" x14ac:dyDescent="0.35">
      <c r="A498" t="s">
        <v>497</v>
      </c>
    </row>
    <row r="499" spans="1:1" x14ac:dyDescent="0.35">
      <c r="A499" t="s">
        <v>498</v>
      </c>
    </row>
    <row r="500" spans="1:1" x14ac:dyDescent="0.35">
      <c r="A500" t="s">
        <v>499</v>
      </c>
    </row>
    <row r="501" spans="1:1" x14ac:dyDescent="0.35">
      <c r="A501" t="s">
        <v>500</v>
      </c>
    </row>
    <row r="502" spans="1:1" x14ac:dyDescent="0.35">
      <c r="A502" t="s">
        <v>501</v>
      </c>
    </row>
    <row r="503" spans="1:1" x14ac:dyDescent="0.35">
      <c r="A503" t="s">
        <v>502</v>
      </c>
    </row>
    <row r="504" spans="1:1" x14ac:dyDescent="0.35">
      <c r="A504" t="s">
        <v>503</v>
      </c>
    </row>
    <row r="505" spans="1:1" x14ac:dyDescent="0.35">
      <c r="A505" t="s">
        <v>504</v>
      </c>
    </row>
    <row r="506" spans="1:1" x14ac:dyDescent="0.35">
      <c r="A506" t="s">
        <v>505</v>
      </c>
    </row>
    <row r="507" spans="1:1" x14ac:dyDescent="0.35">
      <c r="A507" t="s">
        <v>506</v>
      </c>
    </row>
    <row r="508" spans="1:1" x14ac:dyDescent="0.35">
      <c r="A508" t="s">
        <v>507</v>
      </c>
    </row>
    <row r="509" spans="1:1" x14ac:dyDescent="0.35">
      <c r="A509" t="s">
        <v>508</v>
      </c>
    </row>
    <row r="510" spans="1:1" x14ac:dyDescent="0.35">
      <c r="A510" t="s">
        <v>509</v>
      </c>
    </row>
    <row r="511" spans="1:1" x14ac:dyDescent="0.35">
      <c r="A511" t="s">
        <v>510</v>
      </c>
    </row>
    <row r="512" spans="1:1" x14ac:dyDescent="0.35">
      <c r="A512" t="s">
        <v>511</v>
      </c>
    </row>
    <row r="513" spans="1:1" x14ac:dyDescent="0.35">
      <c r="A513" t="s">
        <v>512</v>
      </c>
    </row>
    <row r="514" spans="1:1" x14ac:dyDescent="0.35">
      <c r="A514" t="s">
        <v>513</v>
      </c>
    </row>
    <row r="515" spans="1:1" x14ac:dyDescent="0.35">
      <c r="A515" t="s">
        <v>514</v>
      </c>
    </row>
    <row r="516" spans="1:1" x14ac:dyDescent="0.35">
      <c r="A516" t="s">
        <v>515</v>
      </c>
    </row>
    <row r="517" spans="1:1" x14ac:dyDescent="0.35">
      <c r="A517" t="s">
        <v>516</v>
      </c>
    </row>
    <row r="518" spans="1:1" x14ac:dyDescent="0.35">
      <c r="A518" t="s">
        <v>517</v>
      </c>
    </row>
    <row r="519" spans="1:1" x14ac:dyDescent="0.35">
      <c r="A519" t="s">
        <v>518</v>
      </c>
    </row>
    <row r="520" spans="1:1" x14ac:dyDescent="0.35">
      <c r="A520" t="s">
        <v>519</v>
      </c>
    </row>
    <row r="521" spans="1:1" x14ac:dyDescent="0.35">
      <c r="A521" t="s">
        <v>520</v>
      </c>
    </row>
    <row r="522" spans="1:1" x14ac:dyDescent="0.35">
      <c r="A522" t="s">
        <v>521</v>
      </c>
    </row>
    <row r="523" spans="1:1" x14ac:dyDescent="0.35">
      <c r="A523" t="s">
        <v>522</v>
      </c>
    </row>
    <row r="524" spans="1:1" x14ac:dyDescent="0.35">
      <c r="A524" t="s">
        <v>523</v>
      </c>
    </row>
    <row r="525" spans="1:1" x14ac:dyDescent="0.35">
      <c r="A525" t="s">
        <v>524</v>
      </c>
    </row>
    <row r="526" spans="1:1" x14ac:dyDescent="0.35">
      <c r="A526" t="s">
        <v>525</v>
      </c>
    </row>
    <row r="527" spans="1:1" x14ac:dyDescent="0.35">
      <c r="A527" t="s">
        <v>526</v>
      </c>
    </row>
    <row r="528" spans="1:1" x14ac:dyDescent="0.35">
      <c r="A528" t="s">
        <v>527</v>
      </c>
    </row>
    <row r="529" spans="1:1" x14ac:dyDescent="0.35">
      <c r="A529" t="s">
        <v>528</v>
      </c>
    </row>
    <row r="530" spans="1:1" x14ac:dyDescent="0.35">
      <c r="A530" t="s">
        <v>529</v>
      </c>
    </row>
    <row r="531" spans="1:1" x14ac:dyDescent="0.35">
      <c r="A531" t="s">
        <v>530</v>
      </c>
    </row>
    <row r="532" spans="1:1" x14ac:dyDescent="0.35">
      <c r="A532" t="s">
        <v>531</v>
      </c>
    </row>
    <row r="533" spans="1:1" x14ac:dyDescent="0.35">
      <c r="A533" t="s">
        <v>532</v>
      </c>
    </row>
    <row r="534" spans="1:1" x14ac:dyDescent="0.35">
      <c r="A534" t="s">
        <v>533</v>
      </c>
    </row>
    <row r="535" spans="1:1" x14ac:dyDescent="0.35">
      <c r="A535" t="s">
        <v>534</v>
      </c>
    </row>
    <row r="536" spans="1:1" x14ac:dyDescent="0.35">
      <c r="A536" t="s">
        <v>535</v>
      </c>
    </row>
    <row r="537" spans="1:1" x14ac:dyDescent="0.35">
      <c r="A537" t="s">
        <v>536</v>
      </c>
    </row>
    <row r="538" spans="1:1" x14ac:dyDescent="0.35">
      <c r="A538" t="s">
        <v>537</v>
      </c>
    </row>
    <row r="539" spans="1:1" x14ac:dyDescent="0.35">
      <c r="A539" t="s">
        <v>538</v>
      </c>
    </row>
    <row r="540" spans="1:1" x14ac:dyDescent="0.35">
      <c r="A540" t="s">
        <v>539</v>
      </c>
    </row>
    <row r="541" spans="1:1" x14ac:dyDescent="0.35">
      <c r="A541" t="s">
        <v>540</v>
      </c>
    </row>
    <row r="542" spans="1:1" x14ac:dyDescent="0.35">
      <c r="A542" t="s">
        <v>541</v>
      </c>
    </row>
    <row r="543" spans="1:1" x14ac:dyDescent="0.35">
      <c r="A543" t="s">
        <v>542</v>
      </c>
    </row>
    <row r="544" spans="1:1" x14ac:dyDescent="0.35">
      <c r="A544" t="s">
        <v>543</v>
      </c>
    </row>
    <row r="545" spans="1:1" x14ac:dyDescent="0.35">
      <c r="A545" t="s">
        <v>544</v>
      </c>
    </row>
    <row r="546" spans="1:1" x14ac:dyDescent="0.35">
      <c r="A546" t="s">
        <v>545</v>
      </c>
    </row>
    <row r="547" spans="1:1" x14ac:dyDescent="0.35">
      <c r="A547" t="s">
        <v>546</v>
      </c>
    </row>
    <row r="548" spans="1:1" x14ac:dyDescent="0.35">
      <c r="A548" t="s">
        <v>547</v>
      </c>
    </row>
    <row r="549" spans="1:1" x14ac:dyDescent="0.35">
      <c r="A549" t="s">
        <v>548</v>
      </c>
    </row>
    <row r="550" spans="1:1" x14ac:dyDescent="0.35">
      <c r="A550" t="s">
        <v>549</v>
      </c>
    </row>
    <row r="551" spans="1:1" x14ac:dyDescent="0.35">
      <c r="A551" t="s">
        <v>550</v>
      </c>
    </row>
    <row r="552" spans="1:1" x14ac:dyDescent="0.35">
      <c r="A552" t="s">
        <v>551</v>
      </c>
    </row>
    <row r="553" spans="1:1" x14ac:dyDescent="0.35">
      <c r="A553" t="s">
        <v>552</v>
      </c>
    </row>
    <row r="554" spans="1:1" x14ac:dyDescent="0.35">
      <c r="A554" t="s">
        <v>553</v>
      </c>
    </row>
    <row r="555" spans="1:1" x14ac:dyDescent="0.35">
      <c r="A555" t="s">
        <v>554</v>
      </c>
    </row>
    <row r="556" spans="1:1" x14ac:dyDescent="0.35">
      <c r="A556" t="s">
        <v>555</v>
      </c>
    </row>
    <row r="557" spans="1:1" x14ac:dyDescent="0.35">
      <c r="A557" t="s">
        <v>556</v>
      </c>
    </row>
    <row r="558" spans="1:1" x14ac:dyDescent="0.35">
      <c r="A558" t="s">
        <v>557</v>
      </c>
    </row>
    <row r="559" spans="1:1" x14ac:dyDescent="0.35">
      <c r="A559" t="s">
        <v>558</v>
      </c>
    </row>
    <row r="560" spans="1:1" x14ac:dyDescent="0.35">
      <c r="A560" t="s">
        <v>559</v>
      </c>
    </row>
    <row r="561" spans="1:1" x14ac:dyDescent="0.35">
      <c r="A561" t="s">
        <v>560</v>
      </c>
    </row>
    <row r="562" spans="1:1" x14ac:dyDescent="0.35">
      <c r="A562" t="s">
        <v>561</v>
      </c>
    </row>
    <row r="563" spans="1:1" x14ac:dyDescent="0.35">
      <c r="A563" t="s">
        <v>562</v>
      </c>
    </row>
    <row r="564" spans="1:1" x14ac:dyDescent="0.35">
      <c r="A564" t="s">
        <v>563</v>
      </c>
    </row>
    <row r="565" spans="1:1" x14ac:dyDescent="0.35">
      <c r="A565" t="s">
        <v>564</v>
      </c>
    </row>
    <row r="566" spans="1:1" x14ac:dyDescent="0.35">
      <c r="A566" t="s">
        <v>565</v>
      </c>
    </row>
    <row r="567" spans="1:1" x14ac:dyDescent="0.35">
      <c r="A567" t="s">
        <v>566</v>
      </c>
    </row>
    <row r="568" spans="1:1" x14ac:dyDescent="0.35">
      <c r="A568" t="s">
        <v>567</v>
      </c>
    </row>
    <row r="569" spans="1:1" x14ac:dyDescent="0.35">
      <c r="A569" t="s">
        <v>568</v>
      </c>
    </row>
    <row r="570" spans="1:1" x14ac:dyDescent="0.35">
      <c r="A570" t="s">
        <v>569</v>
      </c>
    </row>
    <row r="571" spans="1:1" x14ac:dyDescent="0.35">
      <c r="A571" t="s">
        <v>570</v>
      </c>
    </row>
    <row r="572" spans="1:1" x14ac:dyDescent="0.35">
      <c r="A572" t="s">
        <v>571</v>
      </c>
    </row>
    <row r="573" spans="1:1" x14ac:dyDescent="0.35">
      <c r="A573" t="s">
        <v>572</v>
      </c>
    </row>
    <row r="574" spans="1:1" x14ac:dyDescent="0.35">
      <c r="A574" t="s">
        <v>573</v>
      </c>
    </row>
    <row r="575" spans="1:1" x14ac:dyDescent="0.35">
      <c r="A575" t="s">
        <v>574</v>
      </c>
    </row>
    <row r="576" spans="1:1" x14ac:dyDescent="0.35">
      <c r="A576" t="s">
        <v>575</v>
      </c>
    </row>
    <row r="577" spans="1:1" x14ac:dyDescent="0.35">
      <c r="A577" t="s">
        <v>576</v>
      </c>
    </row>
    <row r="578" spans="1:1" x14ac:dyDescent="0.35">
      <c r="A578" t="s">
        <v>577</v>
      </c>
    </row>
    <row r="579" spans="1:1" x14ac:dyDescent="0.35">
      <c r="A579" t="s">
        <v>578</v>
      </c>
    </row>
    <row r="580" spans="1:1" x14ac:dyDescent="0.35">
      <c r="A580" t="s">
        <v>579</v>
      </c>
    </row>
    <row r="581" spans="1:1" x14ac:dyDescent="0.35">
      <c r="A581" t="s">
        <v>580</v>
      </c>
    </row>
    <row r="582" spans="1:1" x14ac:dyDescent="0.35">
      <c r="A582" t="s">
        <v>581</v>
      </c>
    </row>
    <row r="583" spans="1:1" x14ac:dyDescent="0.35">
      <c r="A583" t="s">
        <v>582</v>
      </c>
    </row>
    <row r="584" spans="1:1" x14ac:dyDescent="0.35">
      <c r="A584" t="s">
        <v>583</v>
      </c>
    </row>
    <row r="585" spans="1:1" x14ac:dyDescent="0.35">
      <c r="A585" t="s">
        <v>584</v>
      </c>
    </row>
    <row r="586" spans="1:1" x14ac:dyDescent="0.35">
      <c r="A586" t="s">
        <v>585</v>
      </c>
    </row>
    <row r="587" spans="1:1" x14ac:dyDescent="0.35">
      <c r="A587" t="s">
        <v>586</v>
      </c>
    </row>
    <row r="588" spans="1:1" x14ac:dyDescent="0.35">
      <c r="A588" t="s">
        <v>587</v>
      </c>
    </row>
    <row r="589" spans="1:1" x14ac:dyDescent="0.35">
      <c r="A589" t="s">
        <v>588</v>
      </c>
    </row>
    <row r="590" spans="1:1" x14ac:dyDescent="0.35">
      <c r="A590" t="s">
        <v>589</v>
      </c>
    </row>
    <row r="591" spans="1:1" x14ac:dyDescent="0.35">
      <c r="A591" t="s">
        <v>590</v>
      </c>
    </row>
    <row r="592" spans="1:1" x14ac:dyDescent="0.35">
      <c r="A592" t="s">
        <v>591</v>
      </c>
    </row>
    <row r="593" spans="1:1" x14ac:dyDescent="0.35">
      <c r="A593" t="s">
        <v>592</v>
      </c>
    </row>
    <row r="594" spans="1:1" x14ac:dyDescent="0.35">
      <c r="A594" t="s">
        <v>593</v>
      </c>
    </row>
    <row r="595" spans="1:1" x14ac:dyDescent="0.35">
      <c r="A595" t="s">
        <v>594</v>
      </c>
    </row>
    <row r="596" spans="1:1" x14ac:dyDescent="0.35">
      <c r="A596" t="s">
        <v>595</v>
      </c>
    </row>
    <row r="597" spans="1:1" x14ac:dyDescent="0.35">
      <c r="A597" t="s">
        <v>596</v>
      </c>
    </row>
    <row r="598" spans="1:1" x14ac:dyDescent="0.35">
      <c r="A598" t="s">
        <v>597</v>
      </c>
    </row>
    <row r="599" spans="1:1" x14ac:dyDescent="0.35">
      <c r="A599" t="s">
        <v>598</v>
      </c>
    </row>
    <row r="600" spans="1:1" x14ac:dyDescent="0.35">
      <c r="A600" t="s">
        <v>599</v>
      </c>
    </row>
    <row r="601" spans="1:1" x14ac:dyDescent="0.35">
      <c r="A601" t="s">
        <v>600</v>
      </c>
    </row>
    <row r="602" spans="1:1" x14ac:dyDescent="0.35">
      <c r="A602" t="s">
        <v>601</v>
      </c>
    </row>
    <row r="603" spans="1:1" x14ac:dyDescent="0.35">
      <c r="A603" t="s">
        <v>602</v>
      </c>
    </row>
    <row r="604" spans="1:1" x14ac:dyDescent="0.35">
      <c r="A604" t="s">
        <v>603</v>
      </c>
    </row>
    <row r="605" spans="1:1" x14ac:dyDescent="0.35">
      <c r="A605" t="s">
        <v>604</v>
      </c>
    </row>
    <row r="606" spans="1:1" x14ac:dyDescent="0.35">
      <c r="A606" t="s">
        <v>605</v>
      </c>
    </row>
    <row r="607" spans="1:1" x14ac:dyDescent="0.35">
      <c r="A607" t="s">
        <v>606</v>
      </c>
    </row>
    <row r="608" spans="1:1" x14ac:dyDescent="0.35">
      <c r="A608" t="s">
        <v>607</v>
      </c>
    </row>
    <row r="609" spans="1:1" x14ac:dyDescent="0.35">
      <c r="A609" t="s">
        <v>608</v>
      </c>
    </row>
    <row r="610" spans="1:1" x14ac:dyDescent="0.35">
      <c r="A610" t="s">
        <v>609</v>
      </c>
    </row>
    <row r="611" spans="1:1" x14ac:dyDescent="0.35">
      <c r="A611" t="s">
        <v>610</v>
      </c>
    </row>
    <row r="612" spans="1:1" x14ac:dyDescent="0.35">
      <c r="A612" t="s">
        <v>611</v>
      </c>
    </row>
    <row r="613" spans="1:1" x14ac:dyDescent="0.35">
      <c r="A613" t="s">
        <v>612</v>
      </c>
    </row>
    <row r="614" spans="1:1" x14ac:dyDescent="0.35">
      <c r="A614" t="s">
        <v>613</v>
      </c>
    </row>
    <row r="615" spans="1:1" x14ac:dyDescent="0.35">
      <c r="A615" t="s">
        <v>614</v>
      </c>
    </row>
    <row r="616" spans="1:1" x14ac:dyDescent="0.35">
      <c r="A616" t="s">
        <v>615</v>
      </c>
    </row>
    <row r="617" spans="1:1" x14ac:dyDescent="0.35">
      <c r="A617" t="s">
        <v>616</v>
      </c>
    </row>
    <row r="618" spans="1:1" x14ac:dyDescent="0.35">
      <c r="A618" t="s">
        <v>617</v>
      </c>
    </row>
    <row r="619" spans="1:1" x14ac:dyDescent="0.35">
      <c r="A619" t="s">
        <v>618</v>
      </c>
    </row>
    <row r="620" spans="1:1" x14ac:dyDescent="0.35">
      <c r="A620" t="s">
        <v>619</v>
      </c>
    </row>
    <row r="621" spans="1:1" x14ac:dyDescent="0.35">
      <c r="A621" t="s">
        <v>620</v>
      </c>
    </row>
    <row r="622" spans="1:1" x14ac:dyDescent="0.35">
      <c r="A622" t="s">
        <v>621</v>
      </c>
    </row>
    <row r="623" spans="1:1" x14ac:dyDescent="0.35">
      <c r="A623" t="s">
        <v>622</v>
      </c>
    </row>
    <row r="624" spans="1:1" x14ac:dyDescent="0.35">
      <c r="A624" t="s">
        <v>623</v>
      </c>
    </row>
    <row r="625" spans="1:1" x14ac:dyDescent="0.35">
      <c r="A625" t="s">
        <v>624</v>
      </c>
    </row>
    <row r="626" spans="1:1" x14ac:dyDescent="0.35">
      <c r="A626" t="s">
        <v>625</v>
      </c>
    </row>
    <row r="627" spans="1:1" x14ac:dyDescent="0.35">
      <c r="A627" t="s">
        <v>626</v>
      </c>
    </row>
    <row r="628" spans="1:1" x14ac:dyDescent="0.35">
      <c r="A628" t="s">
        <v>627</v>
      </c>
    </row>
    <row r="629" spans="1:1" x14ac:dyDescent="0.35">
      <c r="A629" t="s">
        <v>628</v>
      </c>
    </row>
    <row r="630" spans="1:1" x14ac:dyDescent="0.35">
      <c r="A630" t="s">
        <v>629</v>
      </c>
    </row>
    <row r="631" spans="1:1" x14ac:dyDescent="0.35">
      <c r="A631" t="s">
        <v>630</v>
      </c>
    </row>
    <row r="632" spans="1:1" x14ac:dyDescent="0.35">
      <c r="A632" t="s">
        <v>631</v>
      </c>
    </row>
    <row r="633" spans="1:1" x14ac:dyDescent="0.35">
      <c r="A633" t="s">
        <v>632</v>
      </c>
    </row>
    <row r="634" spans="1:1" x14ac:dyDescent="0.35">
      <c r="A634" t="s">
        <v>633</v>
      </c>
    </row>
    <row r="635" spans="1:1" x14ac:dyDescent="0.35">
      <c r="A635" t="s">
        <v>634</v>
      </c>
    </row>
    <row r="636" spans="1:1" x14ac:dyDescent="0.35">
      <c r="A636" t="s">
        <v>635</v>
      </c>
    </row>
    <row r="637" spans="1:1" x14ac:dyDescent="0.35">
      <c r="A637" t="s">
        <v>636</v>
      </c>
    </row>
    <row r="638" spans="1:1" x14ac:dyDescent="0.35">
      <c r="A638" t="s">
        <v>637</v>
      </c>
    </row>
    <row r="639" spans="1:1" x14ac:dyDescent="0.35">
      <c r="A639" t="s">
        <v>638</v>
      </c>
    </row>
    <row r="640" spans="1:1" x14ac:dyDescent="0.35">
      <c r="A640" t="s">
        <v>639</v>
      </c>
    </row>
    <row r="641" spans="1:1" x14ac:dyDescent="0.35">
      <c r="A641" t="s">
        <v>640</v>
      </c>
    </row>
    <row r="642" spans="1:1" x14ac:dyDescent="0.35">
      <c r="A642" t="s">
        <v>641</v>
      </c>
    </row>
    <row r="643" spans="1:1" x14ac:dyDescent="0.35">
      <c r="A643" t="s">
        <v>642</v>
      </c>
    </row>
    <row r="644" spans="1:1" x14ac:dyDescent="0.35">
      <c r="A644" t="s">
        <v>643</v>
      </c>
    </row>
    <row r="645" spans="1:1" x14ac:dyDescent="0.35">
      <c r="A645" t="s">
        <v>644</v>
      </c>
    </row>
    <row r="646" spans="1:1" x14ac:dyDescent="0.35">
      <c r="A646" t="s">
        <v>645</v>
      </c>
    </row>
    <row r="647" spans="1:1" x14ac:dyDescent="0.35">
      <c r="A647" t="s">
        <v>646</v>
      </c>
    </row>
    <row r="648" spans="1:1" x14ac:dyDescent="0.35">
      <c r="A648" t="s">
        <v>647</v>
      </c>
    </row>
    <row r="649" spans="1:1" x14ac:dyDescent="0.35">
      <c r="A649" t="s">
        <v>648</v>
      </c>
    </row>
    <row r="650" spans="1:1" x14ac:dyDescent="0.35">
      <c r="A650" t="s">
        <v>649</v>
      </c>
    </row>
    <row r="651" spans="1:1" x14ac:dyDescent="0.35">
      <c r="A651" t="s">
        <v>650</v>
      </c>
    </row>
    <row r="652" spans="1:1" x14ac:dyDescent="0.35">
      <c r="A652" t="s">
        <v>651</v>
      </c>
    </row>
    <row r="653" spans="1:1" x14ac:dyDescent="0.35">
      <c r="A653" t="s">
        <v>652</v>
      </c>
    </row>
    <row r="654" spans="1:1" x14ac:dyDescent="0.35">
      <c r="A654" t="s">
        <v>653</v>
      </c>
    </row>
    <row r="655" spans="1:1" x14ac:dyDescent="0.35">
      <c r="A655" t="s">
        <v>654</v>
      </c>
    </row>
    <row r="656" spans="1:1" x14ac:dyDescent="0.35">
      <c r="A656" t="s">
        <v>655</v>
      </c>
    </row>
    <row r="657" spans="1:1" x14ac:dyDescent="0.35">
      <c r="A657" t="s">
        <v>656</v>
      </c>
    </row>
    <row r="658" spans="1:1" x14ac:dyDescent="0.35">
      <c r="A658" t="s">
        <v>657</v>
      </c>
    </row>
    <row r="659" spans="1:1" x14ac:dyDescent="0.35">
      <c r="A659" t="s">
        <v>658</v>
      </c>
    </row>
    <row r="660" spans="1:1" x14ac:dyDescent="0.35">
      <c r="A660" t="s">
        <v>659</v>
      </c>
    </row>
    <row r="661" spans="1:1" x14ac:dyDescent="0.35">
      <c r="A661" t="s">
        <v>660</v>
      </c>
    </row>
    <row r="662" spans="1:1" x14ac:dyDescent="0.35">
      <c r="A662" t="s">
        <v>661</v>
      </c>
    </row>
    <row r="663" spans="1:1" x14ac:dyDescent="0.35">
      <c r="A663" t="s">
        <v>662</v>
      </c>
    </row>
    <row r="664" spans="1:1" x14ac:dyDescent="0.35">
      <c r="A664" t="s">
        <v>663</v>
      </c>
    </row>
    <row r="665" spans="1:1" x14ac:dyDescent="0.35">
      <c r="A665" t="s">
        <v>664</v>
      </c>
    </row>
    <row r="666" spans="1:1" x14ac:dyDescent="0.35">
      <c r="A666" t="s">
        <v>665</v>
      </c>
    </row>
    <row r="667" spans="1:1" x14ac:dyDescent="0.35">
      <c r="A667" t="s">
        <v>666</v>
      </c>
    </row>
    <row r="668" spans="1:1" x14ac:dyDescent="0.35">
      <c r="A668" t="s">
        <v>667</v>
      </c>
    </row>
    <row r="669" spans="1:1" x14ac:dyDescent="0.35">
      <c r="A669" t="s">
        <v>668</v>
      </c>
    </row>
    <row r="670" spans="1:1" x14ac:dyDescent="0.35">
      <c r="A670" t="s">
        <v>669</v>
      </c>
    </row>
    <row r="671" spans="1:1" x14ac:dyDescent="0.35">
      <c r="A671" t="s">
        <v>670</v>
      </c>
    </row>
    <row r="672" spans="1:1" x14ac:dyDescent="0.35">
      <c r="A672" t="s">
        <v>671</v>
      </c>
    </row>
    <row r="673" spans="1:1" x14ac:dyDescent="0.35">
      <c r="A673" t="s">
        <v>672</v>
      </c>
    </row>
    <row r="674" spans="1:1" x14ac:dyDescent="0.35">
      <c r="A674" t="s">
        <v>673</v>
      </c>
    </row>
    <row r="675" spans="1:1" x14ac:dyDescent="0.35">
      <c r="A675" t="s">
        <v>674</v>
      </c>
    </row>
    <row r="676" spans="1:1" x14ac:dyDescent="0.35">
      <c r="A676" t="s">
        <v>675</v>
      </c>
    </row>
    <row r="677" spans="1:1" x14ac:dyDescent="0.35">
      <c r="A677" t="s">
        <v>676</v>
      </c>
    </row>
    <row r="678" spans="1:1" x14ac:dyDescent="0.35">
      <c r="A678" t="s">
        <v>677</v>
      </c>
    </row>
    <row r="679" spans="1:1" x14ac:dyDescent="0.35">
      <c r="A679" t="s">
        <v>678</v>
      </c>
    </row>
    <row r="680" spans="1:1" x14ac:dyDescent="0.35">
      <c r="A680" t="s">
        <v>679</v>
      </c>
    </row>
    <row r="681" spans="1:1" x14ac:dyDescent="0.35">
      <c r="A681" t="s">
        <v>680</v>
      </c>
    </row>
    <row r="682" spans="1:1" x14ac:dyDescent="0.35">
      <c r="A682" t="s">
        <v>681</v>
      </c>
    </row>
    <row r="683" spans="1:1" x14ac:dyDescent="0.35">
      <c r="A683" t="s">
        <v>682</v>
      </c>
    </row>
    <row r="684" spans="1:1" x14ac:dyDescent="0.35">
      <c r="A684" t="s">
        <v>683</v>
      </c>
    </row>
    <row r="685" spans="1:1" x14ac:dyDescent="0.35">
      <c r="A685" t="s">
        <v>684</v>
      </c>
    </row>
    <row r="686" spans="1:1" x14ac:dyDescent="0.35">
      <c r="A686" t="s">
        <v>685</v>
      </c>
    </row>
    <row r="687" spans="1:1" x14ac:dyDescent="0.35">
      <c r="A687" t="s">
        <v>686</v>
      </c>
    </row>
    <row r="688" spans="1:1" x14ac:dyDescent="0.35">
      <c r="A688" t="s">
        <v>687</v>
      </c>
    </row>
    <row r="689" spans="1:1" x14ac:dyDescent="0.35">
      <c r="A689" t="s">
        <v>688</v>
      </c>
    </row>
    <row r="690" spans="1:1" x14ac:dyDescent="0.35">
      <c r="A690" t="s">
        <v>689</v>
      </c>
    </row>
    <row r="691" spans="1:1" x14ac:dyDescent="0.35">
      <c r="A691" t="s">
        <v>690</v>
      </c>
    </row>
    <row r="692" spans="1:1" x14ac:dyDescent="0.35">
      <c r="A692" t="s">
        <v>691</v>
      </c>
    </row>
    <row r="693" spans="1:1" x14ac:dyDescent="0.35">
      <c r="A693" t="s">
        <v>692</v>
      </c>
    </row>
    <row r="694" spans="1:1" x14ac:dyDescent="0.35">
      <c r="A694" t="s">
        <v>693</v>
      </c>
    </row>
    <row r="695" spans="1:1" x14ac:dyDescent="0.35">
      <c r="A695" t="s">
        <v>694</v>
      </c>
    </row>
    <row r="696" spans="1:1" x14ac:dyDescent="0.35">
      <c r="A696" t="s">
        <v>695</v>
      </c>
    </row>
    <row r="697" spans="1:1" x14ac:dyDescent="0.35">
      <c r="A697" t="s">
        <v>696</v>
      </c>
    </row>
    <row r="698" spans="1:1" x14ac:dyDescent="0.35">
      <c r="A698" t="s">
        <v>697</v>
      </c>
    </row>
    <row r="699" spans="1:1" x14ac:dyDescent="0.35">
      <c r="A699" t="s">
        <v>698</v>
      </c>
    </row>
    <row r="700" spans="1:1" x14ac:dyDescent="0.35">
      <c r="A700" t="s">
        <v>699</v>
      </c>
    </row>
    <row r="701" spans="1:1" x14ac:dyDescent="0.35">
      <c r="A701" t="s">
        <v>700</v>
      </c>
    </row>
    <row r="702" spans="1:1" x14ac:dyDescent="0.35">
      <c r="A702" t="s">
        <v>701</v>
      </c>
    </row>
    <row r="703" spans="1:1" x14ac:dyDescent="0.35">
      <c r="A703" t="s">
        <v>702</v>
      </c>
    </row>
    <row r="704" spans="1:1" x14ac:dyDescent="0.35">
      <c r="A704" t="s">
        <v>703</v>
      </c>
    </row>
    <row r="705" spans="1:1" x14ac:dyDescent="0.35">
      <c r="A705" t="s">
        <v>704</v>
      </c>
    </row>
    <row r="706" spans="1:1" x14ac:dyDescent="0.35">
      <c r="A706" t="s">
        <v>705</v>
      </c>
    </row>
    <row r="707" spans="1:1" x14ac:dyDescent="0.35">
      <c r="A707" t="s">
        <v>706</v>
      </c>
    </row>
    <row r="708" spans="1:1" x14ac:dyDescent="0.35">
      <c r="A708" t="s">
        <v>707</v>
      </c>
    </row>
    <row r="709" spans="1:1" x14ac:dyDescent="0.35">
      <c r="A709" t="s">
        <v>708</v>
      </c>
    </row>
    <row r="710" spans="1:1" x14ac:dyDescent="0.35">
      <c r="A710" t="s">
        <v>709</v>
      </c>
    </row>
    <row r="711" spans="1:1" x14ac:dyDescent="0.35">
      <c r="A711" t="s">
        <v>710</v>
      </c>
    </row>
    <row r="712" spans="1:1" x14ac:dyDescent="0.35">
      <c r="A712" t="s">
        <v>711</v>
      </c>
    </row>
    <row r="713" spans="1:1" x14ac:dyDescent="0.35">
      <c r="A713" t="s">
        <v>712</v>
      </c>
    </row>
    <row r="714" spans="1:1" x14ac:dyDescent="0.35">
      <c r="A714" t="s">
        <v>713</v>
      </c>
    </row>
    <row r="715" spans="1:1" x14ac:dyDescent="0.35">
      <c r="A715" t="s">
        <v>714</v>
      </c>
    </row>
    <row r="716" spans="1:1" x14ac:dyDescent="0.35">
      <c r="A716" t="s">
        <v>715</v>
      </c>
    </row>
    <row r="717" spans="1:1" x14ac:dyDescent="0.35">
      <c r="A717" t="s">
        <v>716</v>
      </c>
    </row>
    <row r="718" spans="1:1" x14ac:dyDescent="0.35">
      <c r="A718" t="s">
        <v>717</v>
      </c>
    </row>
    <row r="719" spans="1:1" x14ac:dyDescent="0.35">
      <c r="A719" t="s">
        <v>718</v>
      </c>
    </row>
    <row r="720" spans="1:1" x14ac:dyDescent="0.35">
      <c r="A720" t="s">
        <v>719</v>
      </c>
    </row>
    <row r="721" spans="1:1" x14ac:dyDescent="0.35">
      <c r="A721" t="s">
        <v>720</v>
      </c>
    </row>
    <row r="722" spans="1:1" x14ac:dyDescent="0.35">
      <c r="A722" t="s">
        <v>721</v>
      </c>
    </row>
    <row r="723" spans="1:1" x14ac:dyDescent="0.35">
      <c r="A723" t="s">
        <v>722</v>
      </c>
    </row>
    <row r="724" spans="1:1" x14ac:dyDescent="0.35">
      <c r="A724" t="s">
        <v>723</v>
      </c>
    </row>
    <row r="725" spans="1:1" x14ac:dyDescent="0.35">
      <c r="A725" t="s">
        <v>724</v>
      </c>
    </row>
    <row r="726" spans="1:1" x14ac:dyDescent="0.35">
      <c r="A726" t="s">
        <v>725</v>
      </c>
    </row>
    <row r="727" spans="1:1" x14ac:dyDescent="0.35">
      <c r="A727" t="s">
        <v>726</v>
      </c>
    </row>
    <row r="728" spans="1:1" x14ac:dyDescent="0.35">
      <c r="A728" t="s">
        <v>727</v>
      </c>
    </row>
    <row r="729" spans="1:1" x14ac:dyDescent="0.35">
      <c r="A729" t="s">
        <v>728</v>
      </c>
    </row>
    <row r="730" spans="1:1" x14ac:dyDescent="0.35">
      <c r="A730" t="s">
        <v>729</v>
      </c>
    </row>
    <row r="731" spans="1:1" x14ac:dyDescent="0.35">
      <c r="A731" t="s">
        <v>730</v>
      </c>
    </row>
    <row r="732" spans="1:1" x14ac:dyDescent="0.35">
      <c r="A732" t="s">
        <v>731</v>
      </c>
    </row>
    <row r="733" spans="1:1" x14ac:dyDescent="0.35">
      <c r="A733" t="s">
        <v>732</v>
      </c>
    </row>
    <row r="734" spans="1:1" x14ac:dyDescent="0.35">
      <c r="A734" t="s">
        <v>733</v>
      </c>
    </row>
    <row r="735" spans="1:1" x14ac:dyDescent="0.35">
      <c r="A735" t="s">
        <v>734</v>
      </c>
    </row>
    <row r="736" spans="1:1" x14ac:dyDescent="0.35">
      <c r="A736" t="s">
        <v>735</v>
      </c>
    </row>
    <row r="737" spans="1:1" x14ac:dyDescent="0.35">
      <c r="A737" t="s">
        <v>736</v>
      </c>
    </row>
    <row r="738" spans="1:1" x14ac:dyDescent="0.35">
      <c r="A738" t="s">
        <v>737</v>
      </c>
    </row>
    <row r="739" spans="1:1" x14ac:dyDescent="0.35">
      <c r="A739" t="s">
        <v>738</v>
      </c>
    </row>
    <row r="740" spans="1:1" x14ac:dyDescent="0.35">
      <c r="A740" t="s">
        <v>739</v>
      </c>
    </row>
    <row r="741" spans="1:1" x14ac:dyDescent="0.35">
      <c r="A741" t="s">
        <v>740</v>
      </c>
    </row>
    <row r="742" spans="1:1" x14ac:dyDescent="0.35">
      <c r="A742" t="s">
        <v>741</v>
      </c>
    </row>
    <row r="743" spans="1:1" x14ac:dyDescent="0.35">
      <c r="A743" t="s">
        <v>742</v>
      </c>
    </row>
    <row r="744" spans="1:1" x14ac:dyDescent="0.35">
      <c r="A744" t="s">
        <v>743</v>
      </c>
    </row>
    <row r="745" spans="1:1" x14ac:dyDescent="0.35">
      <c r="A745" t="s">
        <v>744</v>
      </c>
    </row>
    <row r="746" spans="1:1" x14ac:dyDescent="0.35">
      <c r="A746" t="s">
        <v>745</v>
      </c>
    </row>
    <row r="747" spans="1:1" x14ac:dyDescent="0.35">
      <c r="A747" t="s">
        <v>746</v>
      </c>
    </row>
    <row r="748" spans="1:1" x14ac:dyDescent="0.35">
      <c r="A748" t="s">
        <v>747</v>
      </c>
    </row>
    <row r="749" spans="1:1" x14ac:dyDescent="0.35">
      <c r="A749" t="s">
        <v>748</v>
      </c>
    </row>
    <row r="750" spans="1:1" x14ac:dyDescent="0.35">
      <c r="A750" t="s">
        <v>749</v>
      </c>
    </row>
    <row r="751" spans="1:1" x14ac:dyDescent="0.35">
      <c r="A751" t="s">
        <v>750</v>
      </c>
    </row>
    <row r="752" spans="1:1" x14ac:dyDescent="0.35">
      <c r="A752" t="s">
        <v>751</v>
      </c>
    </row>
    <row r="753" spans="1:1" x14ac:dyDescent="0.35">
      <c r="A753" t="s">
        <v>752</v>
      </c>
    </row>
    <row r="754" spans="1:1" x14ac:dyDescent="0.35">
      <c r="A754" t="s">
        <v>753</v>
      </c>
    </row>
    <row r="755" spans="1:1" x14ac:dyDescent="0.35">
      <c r="A755" t="s">
        <v>754</v>
      </c>
    </row>
    <row r="756" spans="1:1" x14ac:dyDescent="0.35">
      <c r="A756" t="s">
        <v>755</v>
      </c>
    </row>
    <row r="757" spans="1:1" x14ac:dyDescent="0.35">
      <c r="A757" t="s">
        <v>756</v>
      </c>
    </row>
    <row r="758" spans="1:1" x14ac:dyDescent="0.35">
      <c r="A758" t="s">
        <v>757</v>
      </c>
    </row>
    <row r="759" spans="1:1" x14ac:dyDescent="0.35">
      <c r="A759" t="s">
        <v>758</v>
      </c>
    </row>
    <row r="760" spans="1:1" x14ac:dyDescent="0.35">
      <c r="A760" t="s">
        <v>759</v>
      </c>
    </row>
    <row r="761" spans="1:1" x14ac:dyDescent="0.35">
      <c r="A761" t="s">
        <v>760</v>
      </c>
    </row>
    <row r="762" spans="1:1" x14ac:dyDescent="0.35">
      <c r="A762" t="s">
        <v>761</v>
      </c>
    </row>
    <row r="763" spans="1:1" x14ac:dyDescent="0.35">
      <c r="A763" t="s">
        <v>762</v>
      </c>
    </row>
    <row r="764" spans="1:1" x14ac:dyDescent="0.35">
      <c r="A764" t="s">
        <v>763</v>
      </c>
    </row>
    <row r="765" spans="1:1" x14ac:dyDescent="0.35">
      <c r="A765" t="s">
        <v>764</v>
      </c>
    </row>
    <row r="766" spans="1:1" x14ac:dyDescent="0.35">
      <c r="A766" t="s">
        <v>765</v>
      </c>
    </row>
    <row r="767" spans="1:1" x14ac:dyDescent="0.35">
      <c r="A767" t="s">
        <v>766</v>
      </c>
    </row>
    <row r="768" spans="1:1" x14ac:dyDescent="0.35">
      <c r="A768" t="s">
        <v>767</v>
      </c>
    </row>
    <row r="769" spans="1:1" x14ac:dyDescent="0.35">
      <c r="A769" t="s">
        <v>768</v>
      </c>
    </row>
    <row r="770" spans="1:1" x14ac:dyDescent="0.35">
      <c r="A770" t="s">
        <v>769</v>
      </c>
    </row>
    <row r="771" spans="1:1" x14ac:dyDescent="0.35">
      <c r="A771" t="s">
        <v>770</v>
      </c>
    </row>
    <row r="772" spans="1:1" x14ac:dyDescent="0.35">
      <c r="A772" t="s">
        <v>771</v>
      </c>
    </row>
    <row r="773" spans="1:1" x14ac:dyDescent="0.35">
      <c r="A773" t="s">
        <v>772</v>
      </c>
    </row>
    <row r="774" spans="1:1" x14ac:dyDescent="0.35">
      <c r="A774" t="s">
        <v>773</v>
      </c>
    </row>
    <row r="775" spans="1:1" x14ac:dyDescent="0.35">
      <c r="A775" t="s">
        <v>774</v>
      </c>
    </row>
    <row r="776" spans="1:1" x14ac:dyDescent="0.35">
      <c r="A776" t="s">
        <v>775</v>
      </c>
    </row>
    <row r="777" spans="1:1" x14ac:dyDescent="0.35">
      <c r="A777" t="s">
        <v>776</v>
      </c>
    </row>
    <row r="778" spans="1:1" x14ac:dyDescent="0.35">
      <c r="A778" t="s">
        <v>777</v>
      </c>
    </row>
    <row r="779" spans="1:1" x14ac:dyDescent="0.35">
      <c r="A779" t="s">
        <v>778</v>
      </c>
    </row>
    <row r="780" spans="1:1" x14ac:dyDescent="0.35">
      <c r="A780" t="s">
        <v>779</v>
      </c>
    </row>
    <row r="781" spans="1:1" x14ac:dyDescent="0.35">
      <c r="A781" t="s">
        <v>780</v>
      </c>
    </row>
    <row r="782" spans="1:1" x14ac:dyDescent="0.35">
      <c r="A782" t="s">
        <v>781</v>
      </c>
    </row>
    <row r="783" spans="1:1" x14ac:dyDescent="0.35">
      <c r="A783" t="s">
        <v>782</v>
      </c>
    </row>
    <row r="784" spans="1:1" x14ac:dyDescent="0.35">
      <c r="A784" t="s">
        <v>783</v>
      </c>
    </row>
    <row r="785" spans="1:1" x14ac:dyDescent="0.35">
      <c r="A785" t="s">
        <v>784</v>
      </c>
    </row>
    <row r="786" spans="1:1" x14ac:dyDescent="0.35">
      <c r="A786" t="s">
        <v>785</v>
      </c>
    </row>
    <row r="787" spans="1:1" x14ac:dyDescent="0.35">
      <c r="A787" t="s">
        <v>786</v>
      </c>
    </row>
    <row r="788" spans="1:1" x14ac:dyDescent="0.35">
      <c r="A788" t="s">
        <v>787</v>
      </c>
    </row>
    <row r="789" spans="1:1" x14ac:dyDescent="0.35">
      <c r="A789" t="s">
        <v>788</v>
      </c>
    </row>
    <row r="790" spans="1:1" x14ac:dyDescent="0.35">
      <c r="A790" t="s">
        <v>789</v>
      </c>
    </row>
    <row r="791" spans="1:1" x14ac:dyDescent="0.35">
      <c r="A791" t="s">
        <v>790</v>
      </c>
    </row>
    <row r="792" spans="1:1" x14ac:dyDescent="0.35">
      <c r="A792" t="s">
        <v>791</v>
      </c>
    </row>
    <row r="793" spans="1:1" x14ac:dyDescent="0.35">
      <c r="A793" t="s">
        <v>792</v>
      </c>
    </row>
    <row r="794" spans="1:1" x14ac:dyDescent="0.35">
      <c r="A794" t="s">
        <v>793</v>
      </c>
    </row>
    <row r="795" spans="1:1" x14ac:dyDescent="0.35">
      <c r="A795" t="s">
        <v>794</v>
      </c>
    </row>
    <row r="796" spans="1:1" x14ac:dyDescent="0.35">
      <c r="A796" t="s">
        <v>795</v>
      </c>
    </row>
    <row r="797" spans="1:1" x14ac:dyDescent="0.35">
      <c r="A797" t="s">
        <v>796</v>
      </c>
    </row>
    <row r="798" spans="1:1" x14ac:dyDescent="0.35">
      <c r="A798" t="s">
        <v>797</v>
      </c>
    </row>
    <row r="799" spans="1:1" x14ac:dyDescent="0.35">
      <c r="A799" t="s">
        <v>798</v>
      </c>
    </row>
    <row r="800" spans="1:1" x14ac:dyDescent="0.35">
      <c r="A800" t="s">
        <v>799</v>
      </c>
    </row>
    <row r="801" spans="1:1" x14ac:dyDescent="0.35">
      <c r="A801" t="s">
        <v>800</v>
      </c>
    </row>
    <row r="802" spans="1:1" x14ac:dyDescent="0.35">
      <c r="A802" t="s">
        <v>801</v>
      </c>
    </row>
    <row r="803" spans="1:1" x14ac:dyDescent="0.35">
      <c r="A803" t="s">
        <v>802</v>
      </c>
    </row>
    <row r="804" spans="1:1" x14ac:dyDescent="0.35">
      <c r="A804" t="s">
        <v>803</v>
      </c>
    </row>
    <row r="805" spans="1:1" x14ac:dyDescent="0.35">
      <c r="A805" t="s">
        <v>804</v>
      </c>
    </row>
    <row r="806" spans="1:1" x14ac:dyDescent="0.35">
      <c r="A806" t="s">
        <v>805</v>
      </c>
    </row>
    <row r="807" spans="1:1" x14ac:dyDescent="0.35">
      <c r="A807" t="s">
        <v>806</v>
      </c>
    </row>
    <row r="808" spans="1:1" x14ac:dyDescent="0.35">
      <c r="A808" t="s">
        <v>807</v>
      </c>
    </row>
    <row r="809" spans="1:1" x14ac:dyDescent="0.35">
      <c r="A809" t="s">
        <v>808</v>
      </c>
    </row>
    <row r="810" spans="1:1" x14ac:dyDescent="0.35">
      <c r="A810" t="s">
        <v>809</v>
      </c>
    </row>
    <row r="811" spans="1:1" x14ac:dyDescent="0.35">
      <c r="A811" t="s">
        <v>810</v>
      </c>
    </row>
    <row r="812" spans="1:1" x14ac:dyDescent="0.35">
      <c r="A812" t="s">
        <v>811</v>
      </c>
    </row>
    <row r="813" spans="1:1" x14ac:dyDescent="0.35">
      <c r="A813" t="s">
        <v>812</v>
      </c>
    </row>
    <row r="814" spans="1:1" x14ac:dyDescent="0.35">
      <c r="A814" t="s">
        <v>813</v>
      </c>
    </row>
    <row r="815" spans="1:1" x14ac:dyDescent="0.35">
      <c r="A815" t="s">
        <v>814</v>
      </c>
    </row>
    <row r="816" spans="1:1" x14ac:dyDescent="0.35">
      <c r="A816" t="s">
        <v>815</v>
      </c>
    </row>
    <row r="817" spans="1:1" x14ac:dyDescent="0.35">
      <c r="A817" t="s">
        <v>816</v>
      </c>
    </row>
    <row r="818" spans="1:1" x14ac:dyDescent="0.35">
      <c r="A818" t="s">
        <v>817</v>
      </c>
    </row>
    <row r="819" spans="1:1" x14ac:dyDescent="0.35">
      <c r="A819" t="s">
        <v>818</v>
      </c>
    </row>
    <row r="820" spans="1:1" x14ac:dyDescent="0.35">
      <c r="A820" t="s">
        <v>819</v>
      </c>
    </row>
    <row r="821" spans="1:1" x14ac:dyDescent="0.35">
      <c r="A821" t="s">
        <v>820</v>
      </c>
    </row>
    <row r="822" spans="1:1" x14ac:dyDescent="0.35">
      <c r="A822" t="s">
        <v>821</v>
      </c>
    </row>
    <row r="823" spans="1:1" x14ac:dyDescent="0.35">
      <c r="A823" t="s">
        <v>822</v>
      </c>
    </row>
    <row r="824" spans="1:1" x14ac:dyDescent="0.35">
      <c r="A824" t="s">
        <v>823</v>
      </c>
    </row>
    <row r="825" spans="1:1" x14ac:dyDescent="0.35">
      <c r="A825" t="s">
        <v>824</v>
      </c>
    </row>
    <row r="826" spans="1:1" x14ac:dyDescent="0.35">
      <c r="A826" t="s">
        <v>825</v>
      </c>
    </row>
    <row r="827" spans="1:1" x14ac:dyDescent="0.35">
      <c r="A827" t="s">
        <v>826</v>
      </c>
    </row>
    <row r="828" spans="1:1" x14ac:dyDescent="0.35">
      <c r="A828" t="s">
        <v>827</v>
      </c>
    </row>
    <row r="829" spans="1:1" x14ac:dyDescent="0.35">
      <c r="A829" t="s">
        <v>828</v>
      </c>
    </row>
    <row r="830" spans="1:1" x14ac:dyDescent="0.35">
      <c r="A830" t="s">
        <v>829</v>
      </c>
    </row>
    <row r="831" spans="1:1" x14ac:dyDescent="0.35">
      <c r="A831" t="s">
        <v>830</v>
      </c>
    </row>
    <row r="832" spans="1:1" x14ac:dyDescent="0.35">
      <c r="A832" t="s">
        <v>831</v>
      </c>
    </row>
    <row r="833" spans="1:1" x14ac:dyDescent="0.35">
      <c r="A833" t="s">
        <v>832</v>
      </c>
    </row>
    <row r="834" spans="1:1" x14ac:dyDescent="0.35">
      <c r="A834" t="s">
        <v>833</v>
      </c>
    </row>
    <row r="835" spans="1:1" x14ac:dyDescent="0.35">
      <c r="A835" t="s">
        <v>834</v>
      </c>
    </row>
    <row r="836" spans="1:1" x14ac:dyDescent="0.35">
      <c r="A836" t="s">
        <v>835</v>
      </c>
    </row>
    <row r="837" spans="1:1" x14ac:dyDescent="0.35">
      <c r="A837" t="s">
        <v>836</v>
      </c>
    </row>
    <row r="838" spans="1:1" x14ac:dyDescent="0.35">
      <c r="A838" t="s">
        <v>837</v>
      </c>
    </row>
    <row r="839" spans="1:1" x14ac:dyDescent="0.35">
      <c r="A839" t="s">
        <v>838</v>
      </c>
    </row>
    <row r="840" spans="1:1" x14ac:dyDescent="0.35">
      <c r="A840" t="s">
        <v>839</v>
      </c>
    </row>
    <row r="841" spans="1:1" x14ac:dyDescent="0.35">
      <c r="A841" t="s">
        <v>840</v>
      </c>
    </row>
    <row r="842" spans="1:1" x14ac:dyDescent="0.35">
      <c r="A842" t="s">
        <v>841</v>
      </c>
    </row>
    <row r="843" spans="1:1" x14ac:dyDescent="0.35">
      <c r="A843" t="s">
        <v>842</v>
      </c>
    </row>
    <row r="844" spans="1:1" x14ac:dyDescent="0.35">
      <c r="A844" t="s">
        <v>843</v>
      </c>
    </row>
    <row r="845" spans="1:1" x14ac:dyDescent="0.35">
      <c r="A845" t="s">
        <v>844</v>
      </c>
    </row>
    <row r="846" spans="1:1" x14ac:dyDescent="0.35">
      <c r="A846" t="s">
        <v>845</v>
      </c>
    </row>
    <row r="847" spans="1:1" x14ac:dyDescent="0.35">
      <c r="A847" t="s">
        <v>846</v>
      </c>
    </row>
    <row r="848" spans="1:1" x14ac:dyDescent="0.35">
      <c r="A848" t="s">
        <v>847</v>
      </c>
    </row>
    <row r="849" spans="1:1" x14ac:dyDescent="0.35">
      <c r="A849" t="s">
        <v>848</v>
      </c>
    </row>
    <row r="850" spans="1:1" x14ac:dyDescent="0.35">
      <c r="A850" t="s">
        <v>849</v>
      </c>
    </row>
    <row r="851" spans="1:1" x14ac:dyDescent="0.35">
      <c r="A851" t="s">
        <v>850</v>
      </c>
    </row>
    <row r="852" spans="1:1" x14ac:dyDescent="0.35">
      <c r="A852" t="s">
        <v>851</v>
      </c>
    </row>
    <row r="853" spans="1:1" x14ac:dyDescent="0.35">
      <c r="A853" t="s">
        <v>852</v>
      </c>
    </row>
    <row r="854" spans="1:1" x14ac:dyDescent="0.35">
      <c r="A854" t="s">
        <v>853</v>
      </c>
    </row>
    <row r="855" spans="1:1" x14ac:dyDescent="0.35">
      <c r="A855" t="s">
        <v>854</v>
      </c>
    </row>
    <row r="856" spans="1:1" x14ac:dyDescent="0.35">
      <c r="A856" t="s">
        <v>855</v>
      </c>
    </row>
    <row r="857" spans="1:1" x14ac:dyDescent="0.35">
      <c r="A857" t="s">
        <v>856</v>
      </c>
    </row>
    <row r="858" spans="1:1" x14ac:dyDescent="0.35">
      <c r="A858" t="s">
        <v>857</v>
      </c>
    </row>
    <row r="859" spans="1:1" x14ac:dyDescent="0.35">
      <c r="A859" t="s">
        <v>858</v>
      </c>
    </row>
    <row r="860" spans="1:1" x14ac:dyDescent="0.35">
      <c r="A860" t="s">
        <v>859</v>
      </c>
    </row>
    <row r="861" spans="1:1" x14ac:dyDescent="0.35">
      <c r="A861" t="s">
        <v>860</v>
      </c>
    </row>
    <row r="862" spans="1:1" x14ac:dyDescent="0.35">
      <c r="A862" t="s">
        <v>861</v>
      </c>
    </row>
    <row r="863" spans="1:1" x14ac:dyDescent="0.35">
      <c r="A863" t="s">
        <v>862</v>
      </c>
    </row>
    <row r="864" spans="1:1" x14ac:dyDescent="0.35">
      <c r="A864" t="s">
        <v>863</v>
      </c>
    </row>
    <row r="865" spans="1:1" x14ac:dyDescent="0.35">
      <c r="A865" t="s">
        <v>864</v>
      </c>
    </row>
    <row r="866" spans="1:1" x14ac:dyDescent="0.35">
      <c r="A866" t="s">
        <v>865</v>
      </c>
    </row>
    <row r="867" spans="1:1" x14ac:dyDescent="0.35">
      <c r="A867" t="s">
        <v>866</v>
      </c>
    </row>
    <row r="868" spans="1:1" x14ac:dyDescent="0.35">
      <c r="A868" t="s">
        <v>867</v>
      </c>
    </row>
    <row r="869" spans="1:1" x14ac:dyDescent="0.35">
      <c r="A869" t="s">
        <v>868</v>
      </c>
    </row>
    <row r="870" spans="1:1" x14ac:dyDescent="0.35">
      <c r="A870" t="s">
        <v>869</v>
      </c>
    </row>
    <row r="871" spans="1:1" x14ac:dyDescent="0.35">
      <c r="A871" t="s">
        <v>870</v>
      </c>
    </row>
    <row r="872" spans="1:1" x14ac:dyDescent="0.35">
      <c r="A872" t="s">
        <v>871</v>
      </c>
    </row>
    <row r="873" spans="1:1" x14ac:dyDescent="0.35">
      <c r="A873" t="s">
        <v>872</v>
      </c>
    </row>
    <row r="874" spans="1:1" x14ac:dyDescent="0.35">
      <c r="A874" t="s">
        <v>873</v>
      </c>
    </row>
    <row r="875" spans="1:1" x14ac:dyDescent="0.35">
      <c r="A875" t="s">
        <v>874</v>
      </c>
    </row>
    <row r="876" spans="1:1" x14ac:dyDescent="0.35">
      <c r="A876" t="s">
        <v>875</v>
      </c>
    </row>
    <row r="877" spans="1:1" x14ac:dyDescent="0.35">
      <c r="A877" t="s">
        <v>876</v>
      </c>
    </row>
    <row r="878" spans="1:1" x14ac:dyDescent="0.35">
      <c r="A878" t="s">
        <v>877</v>
      </c>
    </row>
    <row r="879" spans="1:1" x14ac:dyDescent="0.35">
      <c r="A879" t="s">
        <v>878</v>
      </c>
    </row>
    <row r="880" spans="1:1" x14ac:dyDescent="0.35">
      <c r="A880" t="s">
        <v>879</v>
      </c>
    </row>
    <row r="881" spans="1:1" x14ac:dyDescent="0.35">
      <c r="A881" t="s">
        <v>880</v>
      </c>
    </row>
    <row r="882" spans="1:1" x14ac:dyDescent="0.35">
      <c r="A882" t="s">
        <v>881</v>
      </c>
    </row>
    <row r="883" spans="1:1" x14ac:dyDescent="0.35">
      <c r="A883" t="s">
        <v>882</v>
      </c>
    </row>
    <row r="884" spans="1:1" x14ac:dyDescent="0.35">
      <c r="A884" t="s">
        <v>883</v>
      </c>
    </row>
    <row r="885" spans="1:1" x14ac:dyDescent="0.35">
      <c r="A885" t="s">
        <v>884</v>
      </c>
    </row>
    <row r="886" spans="1:1" x14ac:dyDescent="0.35">
      <c r="A886" t="s">
        <v>885</v>
      </c>
    </row>
    <row r="887" spans="1:1" x14ac:dyDescent="0.35">
      <c r="A887" t="s">
        <v>886</v>
      </c>
    </row>
    <row r="888" spans="1:1" x14ac:dyDescent="0.35">
      <c r="A888" t="s">
        <v>887</v>
      </c>
    </row>
    <row r="889" spans="1:1" x14ac:dyDescent="0.35">
      <c r="A889" t="s">
        <v>888</v>
      </c>
    </row>
    <row r="890" spans="1:1" x14ac:dyDescent="0.35">
      <c r="A890" t="s">
        <v>889</v>
      </c>
    </row>
    <row r="891" spans="1:1" x14ac:dyDescent="0.35">
      <c r="A891" t="s">
        <v>890</v>
      </c>
    </row>
    <row r="892" spans="1:1" x14ac:dyDescent="0.35">
      <c r="A892" t="s">
        <v>891</v>
      </c>
    </row>
    <row r="893" spans="1:1" x14ac:dyDescent="0.35">
      <c r="A893" t="s">
        <v>892</v>
      </c>
    </row>
    <row r="894" spans="1:1" x14ac:dyDescent="0.35">
      <c r="A894" t="s">
        <v>893</v>
      </c>
    </row>
    <row r="895" spans="1:1" x14ac:dyDescent="0.35">
      <c r="A895" t="s">
        <v>894</v>
      </c>
    </row>
    <row r="896" spans="1:1" x14ac:dyDescent="0.35">
      <c r="A896" t="s">
        <v>895</v>
      </c>
    </row>
    <row r="897" spans="1:1" x14ac:dyDescent="0.35">
      <c r="A897" t="s">
        <v>896</v>
      </c>
    </row>
    <row r="898" spans="1:1" x14ac:dyDescent="0.35">
      <c r="A898" t="s">
        <v>897</v>
      </c>
    </row>
    <row r="899" spans="1:1" x14ac:dyDescent="0.35">
      <c r="A899" t="s">
        <v>898</v>
      </c>
    </row>
    <row r="900" spans="1:1" x14ac:dyDescent="0.35">
      <c r="A900" t="s">
        <v>899</v>
      </c>
    </row>
    <row r="901" spans="1:1" x14ac:dyDescent="0.35">
      <c r="A901" t="s">
        <v>900</v>
      </c>
    </row>
    <row r="902" spans="1:1" x14ac:dyDescent="0.35">
      <c r="A902" t="s">
        <v>901</v>
      </c>
    </row>
    <row r="903" spans="1:1" x14ac:dyDescent="0.35">
      <c r="A903" t="s">
        <v>902</v>
      </c>
    </row>
    <row r="904" spans="1:1" x14ac:dyDescent="0.35">
      <c r="A904" t="s">
        <v>903</v>
      </c>
    </row>
    <row r="905" spans="1:1" x14ac:dyDescent="0.35">
      <c r="A905" t="s">
        <v>904</v>
      </c>
    </row>
    <row r="906" spans="1:1" x14ac:dyDescent="0.35">
      <c r="A906" t="s">
        <v>905</v>
      </c>
    </row>
    <row r="907" spans="1:1" x14ac:dyDescent="0.35">
      <c r="A907" t="s">
        <v>906</v>
      </c>
    </row>
    <row r="908" spans="1:1" x14ac:dyDescent="0.35">
      <c r="A908" t="s">
        <v>907</v>
      </c>
    </row>
    <row r="909" spans="1:1" x14ac:dyDescent="0.35">
      <c r="A909" t="s">
        <v>908</v>
      </c>
    </row>
    <row r="910" spans="1:1" x14ac:dyDescent="0.35">
      <c r="A910" t="s">
        <v>909</v>
      </c>
    </row>
    <row r="911" spans="1:1" x14ac:dyDescent="0.35">
      <c r="A911" t="s">
        <v>910</v>
      </c>
    </row>
    <row r="912" spans="1:1" x14ac:dyDescent="0.35">
      <c r="A912" t="s">
        <v>911</v>
      </c>
    </row>
    <row r="913" spans="1:1" x14ac:dyDescent="0.35">
      <c r="A913" t="s">
        <v>912</v>
      </c>
    </row>
    <row r="914" spans="1:1" x14ac:dyDescent="0.35">
      <c r="A914" t="s">
        <v>913</v>
      </c>
    </row>
    <row r="915" spans="1:1" x14ac:dyDescent="0.35">
      <c r="A915" t="s">
        <v>914</v>
      </c>
    </row>
    <row r="916" spans="1:1" x14ac:dyDescent="0.35">
      <c r="A916" t="s">
        <v>915</v>
      </c>
    </row>
    <row r="917" spans="1:1" x14ac:dyDescent="0.35">
      <c r="A917" t="s">
        <v>916</v>
      </c>
    </row>
    <row r="918" spans="1:1" x14ac:dyDescent="0.35">
      <c r="A918" t="s">
        <v>917</v>
      </c>
    </row>
    <row r="919" spans="1:1" x14ac:dyDescent="0.35">
      <c r="A919" t="s">
        <v>918</v>
      </c>
    </row>
    <row r="920" spans="1:1" x14ac:dyDescent="0.35">
      <c r="A920" t="s">
        <v>919</v>
      </c>
    </row>
    <row r="921" spans="1:1" x14ac:dyDescent="0.35">
      <c r="A921" t="s">
        <v>920</v>
      </c>
    </row>
    <row r="922" spans="1:1" x14ac:dyDescent="0.35">
      <c r="A922" t="s">
        <v>921</v>
      </c>
    </row>
    <row r="923" spans="1:1" x14ac:dyDescent="0.35">
      <c r="A923" t="s">
        <v>922</v>
      </c>
    </row>
    <row r="924" spans="1:1" x14ac:dyDescent="0.35">
      <c r="A924" t="s">
        <v>923</v>
      </c>
    </row>
    <row r="925" spans="1:1" x14ac:dyDescent="0.35">
      <c r="A925" t="s">
        <v>924</v>
      </c>
    </row>
    <row r="926" spans="1:1" x14ac:dyDescent="0.35">
      <c r="A926" t="s">
        <v>925</v>
      </c>
    </row>
    <row r="927" spans="1:1" x14ac:dyDescent="0.35">
      <c r="A927" t="s">
        <v>926</v>
      </c>
    </row>
    <row r="928" spans="1:1" x14ac:dyDescent="0.35">
      <c r="A928" t="s">
        <v>927</v>
      </c>
    </row>
    <row r="929" spans="1:1" x14ac:dyDescent="0.35">
      <c r="A929" t="s">
        <v>928</v>
      </c>
    </row>
    <row r="930" spans="1:1" x14ac:dyDescent="0.35">
      <c r="A930" t="s">
        <v>929</v>
      </c>
    </row>
    <row r="931" spans="1:1" x14ac:dyDescent="0.35">
      <c r="A931" t="s">
        <v>930</v>
      </c>
    </row>
    <row r="932" spans="1:1" x14ac:dyDescent="0.35">
      <c r="A932" t="s">
        <v>931</v>
      </c>
    </row>
    <row r="933" spans="1:1" x14ac:dyDescent="0.35">
      <c r="A933" t="s">
        <v>932</v>
      </c>
    </row>
    <row r="934" spans="1:1" x14ac:dyDescent="0.35">
      <c r="A934" t="s">
        <v>933</v>
      </c>
    </row>
    <row r="935" spans="1:1" x14ac:dyDescent="0.35">
      <c r="A935" t="s">
        <v>934</v>
      </c>
    </row>
    <row r="936" spans="1:1" x14ac:dyDescent="0.35">
      <c r="A936" t="s">
        <v>935</v>
      </c>
    </row>
    <row r="937" spans="1:1" x14ac:dyDescent="0.35">
      <c r="A937" t="s">
        <v>936</v>
      </c>
    </row>
    <row r="938" spans="1:1" x14ac:dyDescent="0.35">
      <c r="A938" t="s">
        <v>937</v>
      </c>
    </row>
    <row r="939" spans="1:1" x14ac:dyDescent="0.35">
      <c r="A939" t="s">
        <v>938</v>
      </c>
    </row>
    <row r="940" spans="1:1" x14ac:dyDescent="0.35">
      <c r="A940" t="s">
        <v>939</v>
      </c>
    </row>
    <row r="941" spans="1:1" x14ac:dyDescent="0.35">
      <c r="A941" t="s">
        <v>940</v>
      </c>
    </row>
    <row r="942" spans="1:1" x14ac:dyDescent="0.35">
      <c r="A942" t="s">
        <v>941</v>
      </c>
    </row>
    <row r="943" spans="1:1" x14ac:dyDescent="0.35">
      <c r="A943" t="s">
        <v>942</v>
      </c>
    </row>
    <row r="944" spans="1:1" x14ac:dyDescent="0.35">
      <c r="A944" t="s">
        <v>943</v>
      </c>
    </row>
    <row r="945" spans="1:1" x14ac:dyDescent="0.35">
      <c r="A945" t="s">
        <v>944</v>
      </c>
    </row>
    <row r="946" spans="1:1" x14ac:dyDescent="0.35">
      <c r="A946" t="s">
        <v>945</v>
      </c>
    </row>
    <row r="947" spans="1:1" x14ac:dyDescent="0.35">
      <c r="A947" t="s">
        <v>946</v>
      </c>
    </row>
    <row r="948" spans="1:1" x14ac:dyDescent="0.35">
      <c r="A948" t="s">
        <v>947</v>
      </c>
    </row>
    <row r="949" spans="1:1" x14ac:dyDescent="0.35">
      <c r="A949" t="s">
        <v>948</v>
      </c>
    </row>
    <row r="950" spans="1:1" x14ac:dyDescent="0.35">
      <c r="A950" t="s">
        <v>949</v>
      </c>
    </row>
    <row r="951" spans="1:1" x14ac:dyDescent="0.35">
      <c r="A951" t="s">
        <v>950</v>
      </c>
    </row>
    <row r="952" spans="1:1" x14ac:dyDescent="0.35">
      <c r="A952" t="s">
        <v>951</v>
      </c>
    </row>
    <row r="953" spans="1:1" x14ac:dyDescent="0.35">
      <c r="A953" t="s">
        <v>952</v>
      </c>
    </row>
    <row r="954" spans="1:1" x14ac:dyDescent="0.35">
      <c r="A954" t="s">
        <v>953</v>
      </c>
    </row>
    <row r="955" spans="1:1" x14ac:dyDescent="0.35">
      <c r="A955" t="s">
        <v>954</v>
      </c>
    </row>
    <row r="956" spans="1:1" x14ac:dyDescent="0.35">
      <c r="A956" t="s">
        <v>955</v>
      </c>
    </row>
    <row r="957" spans="1:1" x14ac:dyDescent="0.35">
      <c r="A957" t="s">
        <v>956</v>
      </c>
    </row>
    <row r="958" spans="1:1" x14ac:dyDescent="0.35">
      <c r="A958" t="s">
        <v>957</v>
      </c>
    </row>
    <row r="959" spans="1:1" x14ac:dyDescent="0.35">
      <c r="A959" t="s">
        <v>958</v>
      </c>
    </row>
    <row r="960" spans="1:1" x14ac:dyDescent="0.35">
      <c r="A960" t="s">
        <v>959</v>
      </c>
    </row>
    <row r="961" spans="1:1" x14ac:dyDescent="0.35">
      <c r="A961" t="s">
        <v>960</v>
      </c>
    </row>
    <row r="962" spans="1:1" x14ac:dyDescent="0.35">
      <c r="A962" t="s">
        <v>961</v>
      </c>
    </row>
    <row r="963" spans="1:1" x14ac:dyDescent="0.35">
      <c r="A963" t="s">
        <v>962</v>
      </c>
    </row>
    <row r="964" spans="1:1" x14ac:dyDescent="0.35">
      <c r="A964" t="s">
        <v>963</v>
      </c>
    </row>
    <row r="965" spans="1:1" x14ac:dyDescent="0.35">
      <c r="A965" t="s">
        <v>964</v>
      </c>
    </row>
    <row r="966" spans="1:1" x14ac:dyDescent="0.35">
      <c r="A966" t="s">
        <v>965</v>
      </c>
    </row>
    <row r="967" spans="1:1" x14ac:dyDescent="0.35">
      <c r="A967" t="s">
        <v>966</v>
      </c>
    </row>
    <row r="968" spans="1:1" x14ac:dyDescent="0.35">
      <c r="A968" t="s">
        <v>967</v>
      </c>
    </row>
    <row r="969" spans="1:1" x14ac:dyDescent="0.35">
      <c r="A969" t="s">
        <v>968</v>
      </c>
    </row>
    <row r="970" spans="1:1" x14ac:dyDescent="0.35">
      <c r="A970" t="s">
        <v>969</v>
      </c>
    </row>
    <row r="971" spans="1:1" x14ac:dyDescent="0.35">
      <c r="A971" t="s">
        <v>970</v>
      </c>
    </row>
    <row r="972" spans="1:1" x14ac:dyDescent="0.35">
      <c r="A972" t="s">
        <v>971</v>
      </c>
    </row>
    <row r="973" spans="1:1" x14ac:dyDescent="0.35">
      <c r="A973" t="s">
        <v>972</v>
      </c>
    </row>
    <row r="974" spans="1:1" x14ac:dyDescent="0.35">
      <c r="A974" t="s">
        <v>973</v>
      </c>
    </row>
    <row r="975" spans="1:1" x14ac:dyDescent="0.35">
      <c r="A975" t="s">
        <v>974</v>
      </c>
    </row>
    <row r="976" spans="1:1" x14ac:dyDescent="0.35">
      <c r="A976" t="s">
        <v>975</v>
      </c>
    </row>
    <row r="977" spans="1:1" x14ac:dyDescent="0.35">
      <c r="A977" t="s">
        <v>976</v>
      </c>
    </row>
    <row r="978" spans="1:1" x14ac:dyDescent="0.35">
      <c r="A978" t="s">
        <v>977</v>
      </c>
    </row>
    <row r="979" spans="1:1" x14ac:dyDescent="0.35">
      <c r="A979" t="s">
        <v>978</v>
      </c>
    </row>
    <row r="980" spans="1:1" x14ac:dyDescent="0.35">
      <c r="A980" t="s">
        <v>979</v>
      </c>
    </row>
    <row r="981" spans="1:1" x14ac:dyDescent="0.35">
      <c r="A981" t="s">
        <v>980</v>
      </c>
    </row>
    <row r="982" spans="1:1" x14ac:dyDescent="0.35">
      <c r="A982" t="s">
        <v>981</v>
      </c>
    </row>
    <row r="983" spans="1:1" x14ac:dyDescent="0.35">
      <c r="A983" t="s">
        <v>982</v>
      </c>
    </row>
    <row r="984" spans="1:1" x14ac:dyDescent="0.35">
      <c r="A984" t="s">
        <v>983</v>
      </c>
    </row>
    <row r="985" spans="1:1" x14ac:dyDescent="0.35">
      <c r="A985" t="s">
        <v>984</v>
      </c>
    </row>
    <row r="986" spans="1:1" x14ac:dyDescent="0.35">
      <c r="A986" t="s">
        <v>985</v>
      </c>
    </row>
    <row r="987" spans="1:1" x14ac:dyDescent="0.35">
      <c r="A987" t="s">
        <v>986</v>
      </c>
    </row>
    <row r="988" spans="1:1" x14ac:dyDescent="0.35">
      <c r="A988" t="s">
        <v>987</v>
      </c>
    </row>
    <row r="989" spans="1:1" x14ac:dyDescent="0.35">
      <c r="A989" t="s">
        <v>988</v>
      </c>
    </row>
    <row r="990" spans="1:1" x14ac:dyDescent="0.35">
      <c r="A990" t="s">
        <v>989</v>
      </c>
    </row>
    <row r="991" spans="1:1" x14ac:dyDescent="0.35">
      <c r="A991" t="s">
        <v>990</v>
      </c>
    </row>
    <row r="992" spans="1:1" x14ac:dyDescent="0.35">
      <c r="A992" t="s">
        <v>991</v>
      </c>
    </row>
    <row r="993" spans="1:1" x14ac:dyDescent="0.35">
      <c r="A993" t="s">
        <v>992</v>
      </c>
    </row>
    <row r="994" spans="1:1" x14ac:dyDescent="0.35">
      <c r="A994" t="s">
        <v>993</v>
      </c>
    </row>
    <row r="995" spans="1:1" x14ac:dyDescent="0.35">
      <c r="A995" t="s">
        <v>994</v>
      </c>
    </row>
    <row r="996" spans="1:1" x14ac:dyDescent="0.35">
      <c r="A996" t="s">
        <v>995</v>
      </c>
    </row>
    <row r="997" spans="1:1" x14ac:dyDescent="0.35">
      <c r="A997" t="s">
        <v>996</v>
      </c>
    </row>
    <row r="998" spans="1:1" x14ac:dyDescent="0.35">
      <c r="A998" t="s">
        <v>997</v>
      </c>
    </row>
    <row r="999" spans="1:1" x14ac:dyDescent="0.35">
      <c r="A999" t="s">
        <v>998</v>
      </c>
    </row>
    <row r="1000" spans="1:1" x14ac:dyDescent="0.35">
      <c r="A1000" t="s">
        <v>999</v>
      </c>
    </row>
    <row r="1001" spans="1:1" x14ac:dyDescent="0.35">
      <c r="A1001" t="s">
        <v>1000</v>
      </c>
    </row>
    <row r="1002" spans="1:1" x14ac:dyDescent="0.35">
      <c r="A1002" t="s">
        <v>1001</v>
      </c>
    </row>
    <row r="1003" spans="1:1" x14ac:dyDescent="0.35">
      <c r="A1003" t="s">
        <v>1002</v>
      </c>
    </row>
    <row r="1004" spans="1:1" x14ac:dyDescent="0.35">
      <c r="A1004" t="s">
        <v>1003</v>
      </c>
    </row>
    <row r="1005" spans="1:1" x14ac:dyDescent="0.35">
      <c r="A1005" t="s">
        <v>1004</v>
      </c>
    </row>
    <row r="1006" spans="1:1" x14ac:dyDescent="0.35">
      <c r="A1006" t="s">
        <v>1005</v>
      </c>
    </row>
    <row r="1007" spans="1:1" x14ac:dyDescent="0.35">
      <c r="A1007" t="s">
        <v>1006</v>
      </c>
    </row>
    <row r="1008" spans="1:1" x14ac:dyDescent="0.35">
      <c r="A1008" t="s">
        <v>1007</v>
      </c>
    </row>
    <row r="1009" spans="1:1" x14ac:dyDescent="0.35">
      <c r="A1009" t="s">
        <v>1008</v>
      </c>
    </row>
    <row r="1010" spans="1:1" x14ac:dyDescent="0.35">
      <c r="A1010" t="s">
        <v>1009</v>
      </c>
    </row>
    <row r="1011" spans="1:1" x14ac:dyDescent="0.35">
      <c r="A1011" t="s">
        <v>1010</v>
      </c>
    </row>
    <row r="1012" spans="1:1" x14ac:dyDescent="0.35">
      <c r="A1012" t="s">
        <v>1011</v>
      </c>
    </row>
    <row r="1013" spans="1:1" x14ac:dyDescent="0.35">
      <c r="A1013" t="s">
        <v>1012</v>
      </c>
    </row>
    <row r="1014" spans="1:1" x14ac:dyDescent="0.35">
      <c r="A1014" t="s">
        <v>1013</v>
      </c>
    </row>
    <row r="1015" spans="1:1" x14ac:dyDescent="0.35">
      <c r="A1015" t="s">
        <v>1014</v>
      </c>
    </row>
    <row r="1016" spans="1:1" x14ac:dyDescent="0.35">
      <c r="A1016" t="s">
        <v>1015</v>
      </c>
    </row>
    <row r="1017" spans="1:1" x14ac:dyDescent="0.35">
      <c r="A1017" t="s">
        <v>1016</v>
      </c>
    </row>
    <row r="1018" spans="1:1" x14ac:dyDescent="0.35">
      <c r="A1018" t="s">
        <v>1017</v>
      </c>
    </row>
    <row r="1019" spans="1:1" x14ac:dyDescent="0.35">
      <c r="A1019" t="s">
        <v>1018</v>
      </c>
    </row>
    <row r="1020" spans="1:1" x14ac:dyDescent="0.35">
      <c r="A1020" t="s">
        <v>1019</v>
      </c>
    </row>
    <row r="1021" spans="1:1" x14ac:dyDescent="0.35">
      <c r="A1021" t="s">
        <v>1020</v>
      </c>
    </row>
    <row r="1022" spans="1:1" x14ac:dyDescent="0.35">
      <c r="A1022" t="s">
        <v>1021</v>
      </c>
    </row>
    <row r="1023" spans="1:1" x14ac:dyDescent="0.35">
      <c r="A1023" t="s">
        <v>1022</v>
      </c>
    </row>
    <row r="1024" spans="1:1" x14ac:dyDescent="0.35">
      <c r="A1024" t="s">
        <v>1023</v>
      </c>
    </row>
    <row r="1025" spans="1:1" x14ac:dyDescent="0.35">
      <c r="A1025" t="s">
        <v>1024</v>
      </c>
    </row>
    <row r="1026" spans="1:1" x14ac:dyDescent="0.35">
      <c r="A1026" t="s">
        <v>1025</v>
      </c>
    </row>
    <row r="1027" spans="1:1" x14ac:dyDescent="0.35">
      <c r="A1027" t="s">
        <v>1026</v>
      </c>
    </row>
    <row r="1028" spans="1:1" x14ac:dyDescent="0.35">
      <c r="A1028" t="s">
        <v>1027</v>
      </c>
    </row>
    <row r="1029" spans="1:1" x14ac:dyDescent="0.35">
      <c r="A1029" t="s">
        <v>1028</v>
      </c>
    </row>
    <row r="1030" spans="1:1" x14ac:dyDescent="0.35">
      <c r="A1030" t="s">
        <v>1029</v>
      </c>
    </row>
    <row r="1031" spans="1:1" x14ac:dyDescent="0.35">
      <c r="A1031" t="s">
        <v>1030</v>
      </c>
    </row>
    <row r="1032" spans="1:1" x14ac:dyDescent="0.35">
      <c r="A1032" t="s">
        <v>1031</v>
      </c>
    </row>
    <row r="1033" spans="1:1" x14ac:dyDescent="0.35">
      <c r="A1033" t="s">
        <v>1032</v>
      </c>
    </row>
    <row r="1034" spans="1:1" x14ac:dyDescent="0.35">
      <c r="A1034" t="s">
        <v>1033</v>
      </c>
    </row>
    <row r="1035" spans="1:1" x14ac:dyDescent="0.35">
      <c r="A1035" t="s">
        <v>1034</v>
      </c>
    </row>
    <row r="1036" spans="1:1" x14ac:dyDescent="0.35">
      <c r="A1036" t="s">
        <v>1035</v>
      </c>
    </row>
    <row r="1037" spans="1:1" x14ac:dyDescent="0.35">
      <c r="A1037" t="s">
        <v>1036</v>
      </c>
    </row>
    <row r="1038" spans="1:1" x14ac:dyDescent="0.35">
      <c r="A1038" t="s">
        <v>1037</v>
      </c>
    </row>
    <row r="1039" spans="1:1" x14ac:dyDescent="0.35">
      <c r="A1039" t="s">
        <v>1038</v>
      </c>
    </row>
    <row r="1040" spans="1:1" x14ac:dyDescent="0.35">
      <c r="A1040" t="s">
        <v>1039</v>
      </c>
    </row>
    <row r="1041" spans="1:1" x14ac:dyDescent="0.35">
      <c r="A1041" t="s">
        <v>1040</v>
      </c>
    </row>
    <row r="1042" spans="1:1" x14ac:dyDescent="0.35">
      <c r="A1042" t="s">
        <v>1041</v>
      </c>
    </row>
    <row r="1043" spans="1:1" x14ac:dyDescent="0.35">
      <c r="A1043" t="s">
        <v>1042</v>
      </c>
    </row>
    <row r="1044" spans="1:1" x14ac:dyDescent="0.35">
      <c r="A1044" t="s">
        <v>1043</v>
      </c>
    </row>
    <row r="1045" spans="1:1" x14ac:dyDescent="0.35">
      <c r="A1045" t="s">
        <v>1044</v>
      </c>
    </row>
    <row r="1046" spans="1:1" x14ac:dyDescent="0.35">
      <c r="A1046" t="s">
        <v>1045</v>
      </c>
    </row>
    <row r="1047" spans="1:1" x14ac:dyDescent="0.35">
      <c r="A1047" t="s">
        <v>1046</v>
      </c>
    </row>
    <row r="1048" spans="1:1" x14ac:dyDescent="0.35">
      <c r="A1048" t="s">
        <v>1047</v>
      </c>
    </row>
    <row r="1049" spans="1:1" x14ac:dyDescent="0.35">
      <c r="A1049" t="s">
        <v>1048</v>
      </c>
    </row>
    <row r="1050" spans="1:1" x14ac:dyDescent="0.35">
      <c r="A1050" t="s">
        <v>1049</v>
      </c>
    </row>
    <row r="1051" spans="1:1" x14ac:dyDescent="0.35">
      <c r="A1051" t="s">
        <v>1050</v>
      </c>
    </row>
    <row r="1052" spans="1:1" x14ac:dyDescent="0.35">
      <c r="A1052" t="s">
        <v>1051</v>
      </c>
    </row>
    <row r="1053" spans="1:1" x14ac:dyDescent="0.35">
      <c r="A1053" t="s">
        <v>1052</v>
      </c>
    </row>
    <row r="1054" spans="1:1" x14ac:dyDescent="0.35">
      <c r="A1054" t="s">
        <v>1053</v>
      </c>
    </row>
    <row r="1055" spans="1:1" x14ac:dyDescent="0.35">
      <c r="A1055" t="s">
        <v>1054</v>
      </c>
    </row>
    <row r="1056" spans="1:1" x14ac:dyDescent="0.35">
      <c r="A1056" t="s">
        <v>1055</v>
      </c>
    </row>
    <row r="1057" spans="1:1" x14ac:dyDescent="0.35">
      <c r="A1057" t="s">
        <v>1056</v>
      </c>
    </row>
    <row r="1058" spans="1:1" x14ac:dyDescent="0.35">
      <c r="A1058" t="s">
        <v>1057</v>
      </c>
    </row>
    <row r="1059" spans="1:1" x14ac:dyDescent="0.35">
      <c r="A1059" t="s">
        <v>1058</v>
      </c>
    </row>
    <row r="1060" spans="1:1" x14ac:dyDescent="0.35">
      <c r="A1060" t="s">
        <v>1059</v>
      </c>
    </row>
    <row r="1061" spans="1:1" x14ac:dyDescent="0.35">
      <c r="A1061" t="s">
        <v>1060</v>
      </c>
    </row>
    <row r="1062" spans="1:1" x14ac:dyDescent="0.35">
      <c r="A1062" t="s">
        <v>1061</v>
      </c>
    </row>
    <row r="1063" spans="1:1" x14ac:dyDescent="0.35">
      <c r="A1063" t="s">
        <v>1062</v>
      </c>
    </row>
    <row r="1064" spans="1:1" x14ac:dyDescent="0.35">
      <c r="A1064" t="s">
        <v>1063</v>
      </c>
    </row>
    <row r="1065" spans="1:1" x14ac:dyDescent="0.35">
      <c r="A1065" t="s">
        <v>1064</v>
      </c>
    </row>
    <row r="1066" spans="1:1" x14ac:dyDescent="0.35">
      <c r="A1066" t="s">
        <v>1065</v>
      </c>
    </row>
    <row r="1067" spans="1:1" x14ac:dyDescent="0.35">
      <c r="A1067" t="s">
        <v>1066</v>
      </c>
    </row>
    <row r="1068" spans="1:1" x14ac:dyDescent="0.35">
      <c r="A1068" t="s">
        <v>1067</v>
      </c>
    </row>
    <row r="1069" spans="1:1" x14ac:dyDescent="0.35">
      <c r="A1069" t="s">
        <v>1068</v>
      </c>
    </row>
    <row r="1070" spans="1:1" x14ac:dyDescent="0.35">
      <c r="A1070" t="s">
        <v>1069</v>
      </c>
    </row>
    <row r="1071" spans="1:1" x14ac:dyDescent="0.35">
      <c r="A1071" t="s">
        <v>1070</v>
      </c>
    </row>
    <row r="1072" spans="1:1" x14ac:dyDescent="0.35">
      <c r="A1072" t="s">
        <v>1071</v>
      </c>
    </row>
    <row r="1073" spans="1:1" x14ac:dyDescent="0.35">
      <c r="A1073" t="s">
        <v>1072</v>
      </c>
    </row>
    <row r="1074" spans="1:1" x14ac:dyDescent="0.35">
      <c r="A1074" t="s">
        <v>1073</v>
      </c>
    </row>
    <row r="1075" spans="1:1" x14ac:dyDescent="0.35">
      <c r="A1075" t="s">
        <v>1074</v>
      </c>
    </row>
    <row r="1076" spans="1:1" x14ac:dyDescent="0.35">
      <c r="A1076" t="s">
        <v>1075</v>
      </c>
    </row>
    <row r="1077" spans="1:1" x14ac:dyDescent="0.35">
      <c r="A1077" t="s">
        <v>1076</v>
      </c>
    </row>
    <row r="1078" spans="1:1" x14ac:dyDescent="0.35">
      <c r="A1078" t="s">
        <v>1077</v>
      </c>
    </row>
    <row r="1079" spans="1:1" x14ac:dyDescent="0.35">
      <c r="A1079" t="s">
        <v>1078</v>
      </c>
    </row>
    <row r="1080" spans="1:1" x14ac:dyDescent="0.35">
      <c r="A1080" t="s">
        <v>1079</v>
      </c>
    </row>
    <row r="1081" spans="1:1" x14ac:dyDescent="0.35">
      <c r="A1081" t="s">
        <v>1080</v>
      </c>
    </row>
    <row r="1082" spans="1:1" x14ac:dyDescent="0.35">
      <c r="A1082" t="s">
        <v>1081</v>
      </c>
    </row>
    <row r="1083" spans="1:1" x14ac:dyDescent="0.35">
      <c r="A1083" t="s">
        <v>1082</v>
      </c>
    </row>
    <row r="1084" spans="1:1" x14ac:dyDescent="0.35">
      <c r="A1084" t="s">
        <v>1083</v>
      </c>
    </row>
    <row r="1085" spans="1:1" x14ac:dyDescent="0.35">
      <c r="A1085" t="s">
        <v>1084</v>
      </c>
    </row>
    <row r="1086" spans="1:1" x14ac:dyDescent="0.35">
      <c r="A1086" t="s">
        <v>1085</v>
      </c>
    </row>
    <row r="1087" spans="1:1" x14ac:dyDescent="0.35">
      <c r="A1087" t="s">
        <v>1086</v>
      </c>
    </row>
    <row r="1088" spans="1:1" x14ac:dyDescent="0.35">
      <c r="A1088" t="s">
        <v>1087</v>
      </c>
    </row>
    <row r="1089" spans="1:1" x14ac:dyDescent="0.35">
      <c r="A1089" t="s">
        <v>1088</v>
      </c>
    </row>
    <row r="1090" spans="1:1" x14ac:dyDescent="0.35">
      <c r="A1090" t="s">
        <v>1089</v>
      </c>
    </row>
    <row r="1091" spans="1:1" x14ac:dyDescent="0.35">
      <c r="A1091" t="s">
        <v>1090</v>
      </c>
    </row>
    <row r="1092" spans="1:1" x14ac:dyDescent="0.35">
      <c r="A1092" t="s">
        <v>1091</v>
      </c>
    </row>
    <row r="1093" spans="1:1" x14ac:dyDescent="0.35">
      <c r="A1093" t="s">
        <v>1092</v>
      </c>
    </row>
    <row r="1094" spans="1:1" x14ac:dyDescent="0.35">
      <c r="A1094" t="s">
        <v>1093</v>
      </c>
    </row>
    <row r="1095" spans="1:1" x14ac:dyDescent="0.35">
      <c r="A1095" t="s">
        <v>1094</v>
      </c>
    </row>
    <row r="1096" spans="1:1" x14ac:dyDescent="0.35">
      <c r="A1096" t="s">
        <v>1095</v>
      </c>
    </row>
    <row r="1097" spans="1:1" x14ac:dyDescent="0.35">
      <c r="A1097" t="s">
        <v>1096</v>
      </c>
    </row>
    <row r="1098" spans="1:1" x14ac:dyDescent="0.35">
      <c r="A1098" t="s">
        <v>1097</v>
      </c>
    </row>
    <row r="1099" spans="1:1" x14ac:dyDescent="0.35">
      <c r="A1099" t="s">
        <v>1098</v>
      </c>
    </row>
    <row r="1100" spans="1:1" x14ac:dyDescent="0.35">
      <c r="A1100" t="s">
        <v>1099</v>
      </c>
    </row>
    <row r="1101" spans="1:1" x14ac:dyDescent="0.35">
      <c r="A1101" t="s">
        <v>1100</v>
      </c>
    </row>
    <row r="1102" spans="1:1" x14ac:dyDescent="0.35">
      <c r="A1102" t="s">
        <v>1101</v>
      </c>
    </row>
    <row r="1103" spans="1:1" x14ac:dyDescent="0.35">
      <c r="A1103" t="s">
        <v>1102</v>
      </c>
    </row>
    <row r="1104" spans="1:1" x14ac:dyDescent="0.35">
      <c r="A1104" t="s">
        <v>1103</v>
      </c>
    </row>
    <row r="1105" spans="1:1" x14ac:dyDescent="0.35">
      <c r="A1105" t="s">
        <v>1104</v>
      </c>
    </row>
    <row r="1106" spans="1:1" x14ac:dyDescent="0.35">
      <c r="A1106" t="s">
        <v>1105</v>
      </c>
    </row>
    <row r="1107" spans="1:1" x14ac:dyDescent="0.35">
      <c r="A1107" t="s">
        <v>1106</v>
      </c>
    </row>
    <row r="1108" spans="1:1" x14ac:dyDescent="0.35">
      <c r="A1108" t="s">
        <v>1107</v>
      </c>
    </row>
    <row r="1109" spans="1:1" x14ac:dyDescent="0.35">
      <c r="A1109" t="s">
        <v>1108</v>
      </c>
    </row>
    <row r="1110" spans="1:1" x14ac:dyDescent="0.35">
      <c r="A1110" t="s">
        <v>1109</v>
      </c>
    </row>
    <row r="1111" spans="1:1" x14ac:dyDescent="0.35">
      <c r="A1111" t="s">
        <v>1110</v>
      </c>
    </row>
    <row r="1112" spans="1:1" x14ac:dyDescent="0.35">
      <c r="A1112" t="s">
        <v>1111</v>
      </c>
    </row>
    <row r="1113" spans="1:1" x14ac:dyDescent="0.35">
      <c r="A1113" t="s">
        <v>1112</v>
      </c>
    </row>
    <row r="1114" spans="1:1" x14ac:dyDescent="0.35">
      <c r="A1114" t="s">
        <v>1113</v>
      </c>
    </row>
    <row r="1115" spans="1:1" x14ac:dyDescent="0.35">
      <c r="A1115" t="s">
        <v>1114</v>
      </c>
    </row>
    <row r="1116" spans="1:1" x14ac:dyDescent="0.35">
      <c r="A1116" t="s">
        <v>1115</v>
      </c>
    </row>
    <row r="1117" spans="1:1" x14ac:dyDescent="0.35">
      <c r="A1117" t="s">
        <v>1116</v>
      </c>
    </row>
    <row r="1118" spans="1:1" x14ac:dyDescent="0.35">
      <c r="A1118" t="s">
        <v>1117</v>
      </c>
    </row>
    <row r="1119" spans="1:1" x14ac:dyDescent="0.35">
      <c r="A1119" t="s">
        <v>1118</v>
      </c>
    </row>
    <row r="1120" spans="1:1" x14ac:dyDescent="0.35">
      <c r="A1120" t="s">
        <v>1119</v>
      </c>
    </row>
    <row r="1121" spans="1:1" x14ac:dyDescent="0.35">
      <c r="A1121" t="s">
        <v>1120</v>
      </c>
    </row>
    <row r="1122" spans="1:1" x14ac:dyDescent="0.35">
      <c r="A1122" t="s">
        <v>1121</v>
      </c>
    </row>
    <row r="1123" spans="1:1" x14ac:dyDescent="0.35">
      <c r="A1123" t="s">
        <v>1122</v>
      </c>
    </row>
    <row r="1124" spans="1:1" x14ac:dyDescent="0.35">
      <c r="A1124" t="s">
        <v>1123</v>
      </c>
    </row>
    <row r="1125" spans="1:1" x14ac:dyDescent="0.35">
      <c r="A1125" t="s">
        <v>1124</v>
      </c>
    </row>
    <row r="1126" spans="1:1" x14ac:dyDescent="0.35">
      <c r="A1126" t="s">
        <v>1125</v>
      </c>
    </row>
    <row r="1127" spans="1:1" x14ac:dyDescent="0.35">
      <c r="A1127" t="s">
        <v>1126</v>
      </c>
    </row>
    <row r="1128" spans="1:1" x14ac:dyDescent="0.35">
      <c r="A1128" t="s">
        <v>1127</v>
      </c>
    </row>
    <row r="1129" spans="1:1" x14ac:dyDescent="0.35">
      <c r="A1129" t="s">
        <v>1128</v>
      </c>
    </row>
    <row r="1130" spans="1:1" x14ac:dyDescent="0.35">
      <c r="A1130" t="s">
        <v>1129</v>
      </c>
    </row>
    <row r="1131" spans="1:1" x14ac:dyDescent="0.35">
      <c r="A1131" t="s">
        <v>1130</v>
      </c>
    </row>
    <row r="1132" spans="1:1" x14ac:dyDescent="0.35">
      <c r="A1132" t="s">
        <v>1131</v>
      </c>
    </row>
    <row r="1133" spans="1:1" x14ac:dyDescent="0.35">
      <c r="A1133" t="s">
        <v>1132</v>
      </c>
    </row>
    <row r="1134" spans="1:1" x14ac:dyDescent="0.35">
      <c r="A1134" t="s">
        <v>1133</v>
      </c>
    </row>
    <row r="1135" spans="1:1" x14ac:dyDescent="0.35">
      <c r="A1135" t="s">
        <v>1134</v>
      </c>
    </row>
    <row r="1136" spans="1:1" x14ac:dyDescent="0.35">
      <c r="A1136" t="s">
        <v>1135</v>
      </c>
    </row>
    <row r="1137" spans="1:1" x14ac:dyDescent="0.35">
      <c r="A1137" t="s">
        <v>1136</v>
      </c>
    </row>
    <row r="1138" spans="1:1" x14ac:dyDescent="0.35">
      <c r="A1138" t="s">
        <v>1137</v>
      </c>
    </row>
    <row r="1139" spans="1:1" x14ac:dyDescent="0.35">
      <c r="A1139" t="s">
        <v>1138</v>
      </c>
    </row>
    <row r="1140" spans="1:1" x14ac:dyDescent="0.35">
      <c r="A1140" t="s">
        <v>1139</v>
      </c>
    </row>
    <row r="1141" spans="1:1" x14ac:dyDescent="0.35">
      <c r="A1141" t="s">
        <v>1140</v>
      </c>
    </row>
    <row r="1142" spans="1:1" x14ac:dyDescent="0.35">
      <c r="A1142" t="s">
        <v>1141</v>
      </c>
    </row>
    <row r="1143" spans="1:1" x14ac:dyDescent="0.35">
      <c r="A1143" t="s">
        <v>1142</v>
      </c>
    </row>
    <row r="1144" spans="1:1" x14ac:dyDescent="0.35">
      <c r="A1144" t="s">
        <v>1143</v>
      </c>
    </row>
    <row r="1145" spans="1:1" x14ac:dyDescent="0.35">
      <c r="A1145" t="s">
        <v>1144</v>
      </c>
    </row>
    <row r="1146" spans="1:1" x14ac:dyDescent="0.35">
      <c r="A1146" t="s">
        <v>1145</v>
      </c>
    </row>
    <row r="1147" spans="1:1" x14ac:dyDescent="0.35">
      <c r="A1147" t="s">
        <v>1146</v>
      </c>
    </row>
    <row r="1148" spans="1:1" x14ac:dyDescent="0.35">
      <c r="A1148" t="s">
        <v>1147</v>
      </c>
    </row>
    <row r="1149" spans="1:1" x14ac:dyDescent="0.35">
      <c r="A1149" t="s">
        <v>1148</v>
      </c>
    </row>
    <row r="1150" spans="1:1" x14ac:dyDescent="0.35">
      <c r="A1150" t="s">
        <v>1149</v>
      </c>
    </row>
    <row r="1151" spans="1:1" x14ac:dyDescent="0.35">
      <c r="A1151" t="s">
        <v>1150</v>
      </c>
    </row>
    <row r="1152" spans="1:1" x14ac:dyDescent="0.35">
      <c r="A1152" t="s">
        <v>1151</v>
      </c>
    </row>
    <row r="1153" spans="1:1" x14ac:dyDescent="0.35">
      <c r="A1153" t="s">
        <v>1152</v>
      </c>
    </row>
    <row r="1154" spans="1:1" x14ac:dyDescent="0.35">
      <c r="A1154" t="s">
        <v>1153</v>
      </c>
    </row>
    <row r="1155" spans="1:1" x14ac:dyDescent="0.35">
      <c r="A1155" t="s">
        <v>1154</v>
      </c>
    </row>
    <row r="1156" spans="1:1" x14ac:dyDescent="0.35">
      <c r="A1156" t="s">
        <v>1155</v>
      </c>
    </row>
    <row r="1157" spans="1:1" x14ac:dyDescent="0.35">
      <c r="A1157" t="s">
        <v>1156</v>
      </c>
    </row>
    <row r="1158" spans="1:1" x14ac:dyDescent="0.35">
      <c r="A1158" t="s">
        <v>1157</v>
      </c>
    </row>
    <row r="1159" spans="1:1" x14ac:dyDescent="0.35">
      <c r="A1159" t="s">
        <v>1158</v>
      </c>
    </row>
    <row r="1160" spans="1:1" x14ac:dyDescent="0.35">
      <c r="A1160" t="s">
        <v>1159</v>
      </c>
    </row>
    <row r="1161" spans="1:1" x14ac:dyDescent="0.35">
      <c r="A1161" t="s">
        <v>1160</v>
      </c>
    </row>
    <row r="1162" spans="1:1" x14ac:dyDescent="0.35">
      <c r="A1162" t="s">
        <v>1161</v>
      </c>
    </row>
    <row r="1163" spans="1:1" x14ac:dyDescent="0.35">
      <c r="A1163" t="s">
        <v>1162</v>
      </c>
    </row>
    <row r="1164" spans="1:1" x14ac:dyDescent="0.35">
      <c r="A1164" t="s">
        <v>1163</v>
      </c>
    </row>
    <row r="1165" spans="1:1" x14ac:dyDescent="0.35">
      <c r="A1165" t="s">
        <v>1164</v>
      </c>
    </row>
    <row r="1166" spans="1:1" x14ac:dyDescent="0.35">
      <c r="A1166" t="s">
        <v>1165</v>
      </c>
    </row>
    <row r="1167" spans="1:1" x14ac:dyDescent="0.35">
      <c r="A1167" t="s">
        <v>1166</v>
      </c>
    </row>
    <row r="1168" spans="1:1" x14ac:dyDescent="0.35">
      <c r="A1168" t="s">
        <v>1167</v>
      </c>
    </row>
    <row r="1169" spans="1:1" x14ac:dyDescent="0.35">
      <c r="A1169" t="s">
        <v>1168</v>
      </c>
    </row>
    <row r="1170" spans="1:1" x14ac:dyDescent="0.35">
      <c r="A1170" t="s">
        <v>1169</v>
      </c>
    </row>
    <row r="1171" spans="1:1" x14ac:dyDescent="0.35">
      <c r="A1171" t="s">
        <v>1170</v>
      </c>
    </row>
    <row r="1172" spans="1:1" x14ac:dyDescent="0.35">
      <c r="A1172" t="s">
        <v>1171</v>
      </c>
    </row>
    <row r="1173" spans="1:1" x14ac:dyDescent="0.35">
      <c r="A1173" t="s">
        <v>1172</v>
      </c>
    </row>
    <row r="1174" spans="1:1" x14ac:dyDescent="0.35">
      <c r="A1174" t="s">
        <v>1173</v>
      </c>
    </row>
    <row r="1175" spans="1:1" x14ac:dyDescent="0.35">
      <c r="A1175" t="s">
        <v>1174</v>
      </c>
    </row>
    <row r="1176" spans="1:1" x14ac:dyDescent="0.35">
      <c r="A1176" t="s">
        <v>1175</v>
      </c>
    </row>
    <row r="1177" spans="1:1" x14ac:dyDescent="0.35">
      <c r="A1177" t="s">
        <v>1176</v>
      </c>
    </row>
    <row r="1178" spans="1:1" x14ac:dyDescent="0.35">
      <c r="A1178" t="s">
        <v>1177</v>
      </c>
    </row>
    <row r="1179" spans="1:1" x14ac:dyDescent="0.35">
      <c r="A1179" t="s">
        <v>1178</v>
      </c>
    </row>
    <row r="1180" spans="1:1" x14ac:dyDescent="0.35">
      <c r="A1180" t="s">
        <v>1179</v>
      </c>
    </row>
    <row r="1181" spans="1:1" x14ac:dyDescent="0.35">
      <c r="A1181" t="s">
        <v>1180</v>
      </c>
    </row>
    <row r="1182" spans="1:1" x14ac:dyDescent="0.35">
      <c r="A1182" t="s">
        <v>1181</v>
      </c>
    </row>
    <row r="1183" spans="1:1" x14ac:dyDescent="0.35">
      <c r="A1183" t="s">
        <v>1182</v>
      </c>
    </row>
    <row r="1184" spans="1:1" x14ac:dyDescent="0.35">
      <c r="A1184" t="s">
        <v>1183</v>
      </c>
    </row>
    <row r="1185" spans="1:1" x14ac:dyDescent="0.35">
      <c r="A1185" t="s">
        <v>1184</v>
      </c>
    </row>
    <row r="1186" spans="1:1" x14ac:dyDescent="0.35">
      <c r="A1186" t="s">
        <v>1185</v>
      </c>
    </row>
    <row r="1187" spans="1:1" x14ac:dyDescent="0.35">
      <c r="A1187" t="s">
        <v>1186</v>
      </c>
    </row>
    <row r="1188" spans="1:1" x14ac:dyDescent="0.35">
      <c r="A1188" t="s">
        <v>1187</v>
      </c>
    </row>
    <row r="1189" spans="1:1" x14ac:dyDescent="0.35">
      <c r="A1189" t="s">
        <v>1188</v>
      </c>
    </row>
    <row r="1190" spans="1:1" x14ac:dyDescent="0.35">
      <c r="A1190" t="s">
        <v>1189</v>
      </c>
    </row>
    <row r="1191" spans="1:1" x14ac:dyDescent="0.35">
      <c r="A1191" t="s">
        <v>1190</v>
      </c>
    </row>
    <row r="1192" spans="1:1" x14ac:dyDescent="0.35">
      <c r="A1192" t="s">
        <v>1191</v>
      </c>
    </row>
    <row r="1193" spans="1:1" x14ac:dyDescent="0.35">
      <c r="A1193" t="s">
        <v>1192</v>
      </c>
    </row>
    <row r="1194" spans="1:1" x14ac:dyDescent="0.35">
      <c r="A1194" t="s">
        <v>1193</v>
      </c>
    </row>
    <row r="1195" spans="1:1" x14ac:dyDescent="0.35">
      <c r="A1195" t="s">
        <v>1194</v>
      </c>
    </row>
    <row r="1196" spans="1:1" x14ac:dyDescent="0.35">
      <c r="A1196" t="s">
        <v>1195</v>
      </c>
    </row>
    <row r="1197" spans="1:1" x14ac:dyDescent="0.35">
      <c r="A1197" t="s">
        <v>1196</v>
      </c>
    </row>
    <row r="1198" spans="1:1" x14ac:dyDescent="0.35">
      <c r="A1198" t="s">
        <v>1197</v>
      </c>
    </row>
    <row r="1199" spans="1:1" x14ac:dyDescent="0.35">
      <c r="A1199" t="s">
        <v>1198</v>
      </c>
    </row>
    <row r="1200" spans="1:1" x14ac:dyDescent="0.35">
      <c r="A1200" t="s">
        <v>1199</v>
      </c>
    </row>
    <row r="1201" spans="1:1" x14ac:dyDescent="0.35">
      <c r="A1201" t="s">
        <v>1200</v>
      </c>
    </row>
    <row r="1202" spans="1:1" x14ac:dyDescent="0.35">
      <c r="A1202" t="s">
        <v>1201</v>
      </c>
    </row>
    <row r="1203" spans="1:1" x14ac:dyDescent="0.35">
      <c r="A1203" t="s">
        <v>1202</v>
      </c>
    </row>
    <row r="1204" spans="1:1" x14ac:dyDescent="0.35">
      <c r="A1204" t="s">
        <v>1203</v>
      </c>
    </row>
    <row r="1205" spans="1:1" x14ac:dyDescent="0.35">
      <c r="A1205" t="s">
        <v>1204</v>
      </c>
    </row>
    <row r="1206" spans="1:1" x14ac:dyDescent="0.35">
      <c r="A1206" t="s">
        <v>1205</v>
      </c>
    </row>
    <row r="1207" spans="1:1" x14ac:dyDescent="0.35">
      <c r="A1207" t="s">
        <v>1206</v>
      </c>
    </row>
    <row r="1208" spans="1:1" x14ac:dyDescent="0.35">
      <c r="A1208" t="s">
        <v>1207</v>
      </c>
    </row>
    <row r="1209" spans="1:1" x14ac:dyDescent="0.35">
      <c r="A1209" t="s">
        <v>1208</v>
      </c>
    </row>
    <row r="1210" spans="1:1" x14ac:dyDescent="0.35">
      <c r="A1210" t="s">
        <v>1209</v>
      </c>
    </row>
    <row r="1211" spans="1:1" x14ac:dyDescent="0.35">
      <c r="A1211" t="s">
        <v>1210</v>
      </c>
    </row>
    <row r="1212" spans="1:1" x14ac:dyDescent="0.35">
      <c r="A1212" t="s">
        <v>1211</v>
      </c>
    </row>
    <row r="1213" spans="1:1" x14ac:dyDescent="0.35">
      <c r="A1213" t="s">
        <v>1212</v>
      </c>
    </row>
    <row r="1214" spans="1:1" x14ac:dyDescent="0.35">
      <c r="A1214" t="s">
        <v>1213</v>
      </c>
    </row>
    <row r="1215" spans="1:1" x14ac:dyDescent="0.35">
      <c r="A1215" t="s">
        <v>1214</v>
      </c>
    </row>
    <row r="1216" spans="1:1" x14ac:dyDescent="0.35">
      <c r="A1216" t="s">
        <v>1215</v>
      </c>
    </row>
    <row r="1217" spans="1:1" x14ac:dyDescent="0.35">
      <c r="A1217" t="s">
        <v>1216</v>
      </c>
    </row>
    <row r="1218" spans="1:1" x14ac:dyDescent="0.35">
      <c r="A1218" t="s">
        <v>1217</v>
      </c>
    </row>
    <row r="1219" spans="1:1" x14ac:dyDescent="0.35">
      <c r="A1219" t="s">
        <v>1218</v>
      </c>
    </row>
    <row r="1220" spans="1:1" x14ac:dyDescent="0.35">
      <c r="A1220" t="s">
        <v>1219</v>
      </c>
    </row>
    <row r="1221" spans="1:1" x14ac:dyDescent="0.35">
      <c r="A1221" t="s">
        <v>1220</v>
      </c>
    </row>
    <row r="1222" spans="1:1" x14ac:dyDescent="0.35">
      <c r="A1222" t="s">
        <v>1221</v>
      </c>
    </row>
    <row r="1223" spans="1:1" x14ac:dyDescent="0.35">
      <c r="A1223" t="s">
        <v>1222</v>
      </c>
    </row>
    <row r="1224" spans="1:1" x14ac:dyDescent="0.35">
      <c r="A1224" t="s">
        <v>1223</v>
      </c>
    </row>
    <row r="1225" spans="1:1" x14ac:dyDescent="0.35">
      <c r="A1225" t="s">
        <v>1224</v>
      </c>
    </row>
    <row r="1226" spans="1:1" x14ac:dyDescent="0.35">
      <c r="A1226" t="s">
        <v>1225</v>
      </c>
    </row>
    <row r="1227" spans="1:1" x14ac:dyDescent="0.35">
      <c r="A1227" t="s">
        <v>1226</v>
      </c>
    </row>
    <row r="1228" spans="1:1" x14ac:dyDescent="0.35">
      <c r="A1228" t="s">
        <v>1227</v>
      </c>
    </row>
    <row r="1229" spans="1:1" x14ac:dyDescent="0.35">
      <c r="A1229" t="s">
        <v>1228</v>
      </c>
    </row>
    <row r="1230" spans="1:1" x14ac:dyDescent="0.35">
      <c r="A1230" t="s">
        <v>1229</v>
      </c>
    </row>
    <row r="1231" spans="1:1" x14ac:dyDescent="0.35">
      <c r="A1231" t="s">
        <v>1230</v>
      </c>
    </row>
    <row r="1232" spans="1:1" x14ac:dyDescent="0.35">
      <c r="A1232" t="s">
        <v>1231</v>
      </c>
    </row>
    <row r="1233" spans="1:1" x14ac:dyDescent="0.35">
      <c r="A1233" t="s">
        <v>1232</v>
      </c>
    </row>
    <row r="1234" spans="1:1" x14ac:dyDescent="0.35">
      <c r="A1234" t="s">
        <v>1233</v>
      </c>
    </row>
    <row r="1235" spans="1:1" x14ac:dyDescent="0.35">
      <c r="A1235" t="s">
        <v>1234</v>
      </c>
    </row>
    <row r="1236" spans="1:1" x14ac:dyDescent="0.35">
      <c r="A1236" t="s">
        <v>1235</v>
      </c>
    </row>
    <row r="1237" spans="1:1" x14ac:dyDescent="0.35">
      <c r="A1237" t="s">
        <v>1236</v>
      </c>
    </row>
    <row r="1238" spans="1:1" x14ac:dyDescent="0.35">
      <c r="A1238" t="s">
        <v>1237</v>
      </c>
    </row>
    <row r="1239" spans="1:1" x14ac:dyDescent="0.35">
      <c r="A1239" t="s">
        <v>1238</v>
      </c>
    </row>
    <row r="1240" spans="1:1" x14ac:dyDescent="0.35">
      <c r="A1240" t="s">
        <v>1239</v>
      </c>
    </row>
    <row r="1241" spans="1:1" x14ac:dyDescent="0.35">
      <c r="A1241" t="s">
        <v>1240</v>
      </c>
    </row>
    <row r="1242" spans="1:1" x14ac:dyDescent="0.35">
      <c r="A1242" t="s">
        <v>1241</v>
      </c>
    </row>
    <row r="1243" spans="1:1" x14ac:dyDescent="0.35">
      <c r="A1243" t="s">
        <v>1242</v>
      </c>
    </row>
    <row r="1244" spans="1:1" x14ac:dyDescent="0.35">
      <c r="A1244" t="s">
        <v>1243</v>
      </c>
    </row>
    <row r="1245" spans="1:1" x14ac:dyDescent="0.35">
      <c r="A1245" t="s">
        <v>1244</v>
      </c>
    </row>
    <row r="1246" spans="1:1" x14ac:dyDescent="0.35">
      <c r="A1246" t="s">
        <v>1245</v>
      </c>
    </row>
    <row r="1247" spans="1:1" x14ac:dyDescent="0.35">
      <c r="A1247" t="s">
        <v>1246</v>
      </c>
    </row>
    <row r="1248" spans="1:1" x14ac:dyDescent="0.35">
      <c r="A1248" t="s">
        <v>1247</v>
      </c>
    </row>
    <row r="1249" spans="1:1" x14ac:dyDescent="0.35">
      <c r="A1249" t="s">
        <v>1248</v>
      </c>
    </row>
    <row r="1250" spans="1:1" x14ac:dyDescent="0.35">
      <c r="A1250" t="s">
        <v>1249</v>
      </c>
    </row>
    <row r="1251" spans="1:1" x14ac:dyDescent="0.35">
      <c r="A1251" t="s">
        <v>1250</v>
      </c>
    </row>
    <row r="1252" spans="1:1" x14ac:dyDescent="0.35">
      <c r="A1252" t="s">
        <v>1251</v>
      </c>
    </row>
    <row r="1253" spans="1:1" x14ac:dyDescent="0.35">
      <c r="A1253" t="s">
        <v>1252</v>
      </c>
    </row>
    <row r="1254" spans="1:1" x14ac:dyDescent="0.35">
      <c r="A1254" t="s">
        <v>1253</v>
      </c>
    </row>
    <row r="1255" spans="1:1" x14ac:dyDescent="0.35">
      <c r="A1255" t="s">
        <v>1254</v>
      </c>
    </row>
    <row r="1256" spans="1:1" x14ac:dyDescent="0.35">
      <c r="A1256" t="s">
        <v>1255</v>
      </c>
    </row>
    <row r="1257" spans="1:1" x14ac:dyDescent="0.35">
      <c r="A1257" t="s">
        <v>1256</v>
      </c>
    </row>
    <row r="1258" spans="1:1" x14ac:dyDescent="0.35">
      <c r="A1258" t="s">
        <v>1257</v>
      </c>
    </row>
    <row r="1259" spans="1:1" x14ac:dyDescent="0.35">
      <c r="A1259" t="s">
        <v>1258</v>
      </c>
    </row>
    <row r="1260" spans="1:1" x14ac:dyDescent="0.35">
      <c r="A1260" t="s">
        <v>1259</v>
      </c>
    </row>
    <row r="1261" spans="1:1" x14ac:dyDescent="0.35">
      <c r="A1261" t="s">
        <v>1260</v>
      </c>
    </row>
    <row r="1262" spans="1:1" x14ac:dyDescent="0.35">
      <c r="A1262" t="s">
        <v>1261</v>
      </c>
    </row>
    <row r="1263" spans="1:1" x14ac:dyDescent="0.35">
      <c r="A1263" t="s">
        <v>1262</v>
      </c>
    </row>
    <row r="1264" spans="1:1" x14ac:dyDescent="0.35">
      <c r="A1264" t="s">
        <v>1263</v>
      </c>
    </row>
    <row r="1265" spans="1:1" x14ac:dyDescent="0.35">
      <c r="A1265" t="s">
        <v>1264</v>
      </c>
    </row>
    <row r="1266" spans="1:1" x14ac:dyDescent="0.35">
      <c r="A1266" t="s">
        <v>1265</v>
      </c>
    </row>
    <row r="1267" spans="1:1" x14ac:dyDescent="0.35">
      <c r="A1267" t="s">
        <v>1266</v>
      </c>
    </row>
    <row r="1268" spans="1:1" x14ac:dyDescent="0.35">
      <c r="A1268" t="s">
        <v>1267</v>
      </c>
    </row>
    <row r="1269" spans="1:1" x14ac:dyDescent="0.35">
      <c r="A1269" t="s">
        <v>1268</v>
      </c>
    </row>
    <row r="1270" spans="1:1" x14ac:dyDescent="0.35">
      <c r="A1270" t="s">
        <v>1269</v>
      </c>
    </row>
    <row r="1271" spans="1:1" x14ac:dyDescent="0.35">
      <c r="A1271" t="s">
        <v>1270</v>
      </c>
    </row>
    <row r="1272" spans="1:1" x14ac:dyDescent="0.35">
      <c r="A1272" t="s">
        <v>1271</v>
      </c>
    </row>
    <row r="1273" spans="1:1" x14ac:dyDescent="0.35">
      <c r="A1273" t="s">
        <v>1272</v>
      </c>
    </row>
    <row r="1274" spans="1:1" x14ac:dyDescent="0.35">
      <c r="A1274" t="s">
        <v>1273</v>
      </c>
    </row>
    <row r="1275" spans="1:1" x14ac:dyDescent="0.35">
      <c r="A1275" t="s">
        <v>1274</v>
      </c>
    </row>
    <row r="1276" spans="1:1" x14ac:dyDescent="0.35">
      <c r="A1276" t="s">
        <v>1275</v>
      </c>
    </row>
    <row r="1277" spans="1:1" x14ac:dyDescent="0.35">
      <c r="A1277" t="s">
        <v>1276</v>
      </c>
    </row>
    <row r="1278" spans="1:1" x14ac:dyDescent="0.35">
      <c r="A1278" t="s">
        <v>1277</v>
      </c>
    </row>
    <row r="1279" spans="1:1" x14ac:dyDescent="0.35">
      <c r="A1279" t="s">
        <v>1278</v>
      </c>
    </row>
    <row r="1280" spans="1:1" x14ac:dyDescent="0.35">
      <c r="A1280" t="s">
        <v>1279</v>
      </c>
    </row>
    <row r="1281" spans="1:1" x14ac:dyDescent="0.35">
      <c r="A1281" t="s">
        <v>1280</v>
      </c>
    </row>
    <row r="1282" spans="1:1" x14ac:dyDescent="0.35">
      <c r="A1282" t="s">
        <v>1281</v>
      </c>
    </row>
    <row r="1283" spans="1:1" x14ac:dyDescent="0.35">
      <c r="A1283" t="s">
        <v>1282</v>
      </c>
    </row>
    <row r="1284" spans="1:1" x14ac:dyDescent="0.35">
      <c r="A1284" t="s">
        <v>1283</v>
      </c>
    </row>
    <row r="1285" spans="1:1" x14ac:dyDescent="0.35">
      <c r="A1285" t="s">
        <v>1284</v>
      </c>
    </row>
    <row r="1286" spans="1:1" x14ac:dyDescent="0.35">
      <c r="A1286" t="s">
        <v>1285</v>
      </c>
    </row>
    <row r="1287" spans="1:1" x14ac:dyDescent="0.35">
      <c r="A1287" t="s">
        <v>1286</v>
      </c>
    </row>
    <row r="1288" spans="1:1" x14ac:dyDescent="0.35">
      <c r="A1288" t="s">
        <v>1287</v>
      </c>
    </row>
    <row r="1289" spans="1:1" x14ac:dyDescent="0.35">
      <c r="A1289" t="s">
        <v>1288</v>
      </c>
    </row>
    <row r="1290" spans="1:1" x14ac:dyDescent="0.35">
      <c r="A1290" t="s">
        <v>1289</v>
      </c>
    </row>
    <row r="1291" spans="1:1" x14ac:dyDescent="0.35">
      <c r="A1291" t="s">
        <v>1290</v>
      </c>
    </row>
    <row r="1292" spans="1:1" x14ac:dyDescent="0.35">
      <c r="A1292" t="s">
        <v>1291</v>
      </c>
    </row>
    <row r="1293" spans="1:1" x14ac:dyDescent="0.35">
      <c r="A1293" t="s">
        <v>1292</v>
      </c>
    </row>
    <row r="1294" spans="1:1" x14ac:dyDescent="0.35">
      <c r="A1294" t="s">
        <v>1293</v>
      </c>
    </row>
    <row r="1295" spans="1:1" x14ac:dyDescent="0.35">
      <c r="A1295" t="s">
        <v>1294</v>
      </c>
    </row>
    <row r="1296" spans="1:1" x14ac:dyDescent="0.35">
      <c r="A1296" t="s">
        <v>1295</v>
      </c>
    </row>
    <row r="1297" spans="1:1" x14ac:dyDescent="0.35">
      <c r="A1297" t="s">
        <v>1296</v>
      </c>
    </row>
    <row r="1298" spans="1:1" x14ac:dyDescent="0.35">
      <c r="A1298" t="s">
        <v>1297</v>
      </c>
    </row>
    <row r="1299" spans="1:1" x14ac:dyDescent="0.35">
      <c r="A1299" t="s">
        <v>1298</v>
      </c>
    </row>
    <row r="1300" spans="1:1" x14ac:dyDescent="0.35">
      <c r="A1300" t="s">
        <v>1299</v>
      </c>
    </row>
    <row r="1301" spans="1:1" x14ac:dyDescent="0.35">
      <c r="A1301" t="s">
        <v>1300</v>
      </c>
    </row>
    <row r="1302" spans="1:1" x14ac:dyDescent="0.35">
      <c r="A1302" t="s">
        <v>1301</v>
      </c>
    </row>
    <row r="1303" spans="1:1" x14ac:dyDescent="0.35">
      <c r="A1303" t="s">
        <v>1302</v>
      </c>
    </row>
    <row r="1304" spans="1:1" x14ac:dyDescent="0.35">
      <c r="A1304" t="s">
        <v>1303</v>
      </c>
    </row>
    <row r="1305" spans="1:1" x14ac:dyDescent="0.35">
      <c r="A1305" t="s">
        <v>1304</v>
      </c>
    </row>
    <row r="1306" spans="1:1" x14ac:dyDescent="0.35">
      <c r="A1306" t="s">
        <v>1305</v>
      </c>
    </row>
    <row r="1307" spans="1:1" x14ac:dyDescent="0.35">
      <c r="A1307" t="s">
        <v>1306</v>
      </c>
    </row>
    <row r="1308" spans="1:1" x14ac:dyDescent="0.35">
      <c r="A1308" t="s">
        <v>1307</v>
      </c>
    </row>
    <row r="1309" spans="1:1" x14ac:dyDescent="0.35">
      <c r="A1309" t="s">
        <v>1308</v>
      </c>
    </row>
    <row r="1310" spans="1:1" x14ac:dyDescent="0.35">
      <c r="A1310" t="s">
        <v>1309</v>
      </c>
    </row>
    <row r="1311" spans="1:1" x14ac:dyDescent="0.35">
      <c r="A1311" t="s">
        <v>1310</v>
      </c>
    </row>
    <row r="1312" spans="1:1" x14ac:dyDescent="0.35">
      <c r="A1312" t="s">
        <v>1311</v>
      </c>
    </row>
    <row r="1313" spans="1:1" x14ac:dyDescent="0.35">
      <c r="A1313" t="s">
        <v>1312</v>
      </c>
    </row>
    <row r="1314" spans="1:1" x14ac:dyDescent="0.35">
      <c r="A1314" t="s">
        <v>1313</v>
      </c>
    </row>
    <row r="1315" spans="1:1" x14ac:dyDescent="0.35">
      <c r="A1315" t="s">
        <v>1314</v>
      </c>
    </row>
    <row r="1316" spans="1:1" x14ac:dyDescent="0.35">
      <c r="A1316" t="s">
        <v>1315</v>
      </c>
    </row>
    <row r="1317" spans="1:1" x14ac:dyDescent="0.35">
      <c r="A1317" t="s">
        <v>1316</v>
      </c>
    </row>
    <row r="1318" spans="1:1" x14ac:dyDescent="0.35">
      <c r="A1318" t="s">
        <v>1317</v>
      </c>
    </row>
    <row r="1319" spans="1:1" x14ac:dyDescent="0.35">
      <c r="A1319" t="s">
        <v>1318</v>
      </c>
    </row>
    <row r="1320" spans="1:1" x14ac:dyDescent="0.35">
      <c r="A1320" t="s">
        <v>1319</v>
      </c>
    </row>
    <row r="1321" spans="1:1" x14ac:dyDescent="0.35">
      <c r="A1321" t="s">
        <v>1320</v>
      </c>
    </row>
    <row r="1322" spans="1:1" x14ac:dyDescent="0.35">
      <c r="A1322" t="s">
        <v>1321</v>
      </c>
    </row>
    <row r="1323" spans="1:1" x14ac:dyDescent="0.35">
      <c r="A1323" t="s">
        <v>1322</v>
      </c>
    </row>
    <row r="1324" spans="1:1" x14ac:dyDescent="0.35">
      <c r="A1324" t="s">
        <v>1323</v>
      </c>
    </row>
    <row r="1325" spans="1:1" x14ac:dyDescent="0.35">
      <c r="A1325" t="s">
        <v>1324</v>
      </c>
    </row>
    <row r="1326" spans="1:1" x14ac:dyDescent="0.35">
      <c r="A1326" t="s">
        <v>1325</v>
      </c>
    </row>
    <row r="1327" spans="1:1" x14ac:dyDescent="0.35">
      <c r="A1327" t="s">
        <v>1326</v>
      </c>
    </row>
    <row r="1328" spans="1:1" x14ac:dyDescent="0.35">
      <c r="A1328" t="s">
        <v>1327</v>
      </c>
    </row>
    <row r="1329" spans="1:1" x14ac:dyDescent="0.35">
      <c r="A1329" t="s">
        <v>1328</v>
      </c>
    </row>
    <row r="1330" spans="1:1" x14ac:dyDescent="0.35">
      <c r="A1330" t="s">
        <v>1329</v>
      </c>
    </row>
    <row r="1331" spans="1:1" x14ac:dyDescent="0.35">
      <c r="A1331" t="s">
        <v>1330</v>
      </c>
    </row>
    <row r="1332" spans="1:1" x14ac:dyDescent="0.35">
      <c r="A1332" t="s">
        <v>1331</v>
      </c>
    </row>
    <row r="1333" spans="1:1" x14ac:dyDescent="0.35">
      <c r="A1333" t="s">
        <v>1332</v>
      </c>
    </row>
    <row r="1334" spans="1:1" x14ac:dyDescent="0.35">
      <c r="A1334" t="s">
        <v>1333</v>
      </c>
    </row>
    <row r="1335" spans="1:1" x14ac:dyDescent="0.35">
      <c r="A1335" t="s">
        <v>1334</v>
      </c>
    </row>
    <row r="1336" spans="1:1" x14ac:dyDescent="0.35">
      <c r="A1336" t="s">
        <v>1335</v>
      </c>
    </row>
    <row r="1337" spans="1:1" x14ac:dyDescent="0.35">
      <c r="A1337" t="s">
        <v>1336</v>
      </c>
    </row>
    <row r="1338" spans="1:1" x14ac:dyDescent="0.35">
      <c r="A1338" t="s">
        <v>1337</v>
      </c>
    </row>
    <row r="1339" spans="1:1" x14ac:dyDescent="0.35">
      <c r="A1339" t="s">
        <v>1338</v>
      </c>
    </row>
    <row r="1340" spans="1:1" x14ac:dyDescent="0.35">
      <c r="A1340" t="s">
        <v>1339</v>
      </c>
    </row>
    <row r="1341" spans="1:1" x14ac:dyDescent="0.35">
      <c r="A1341" t="s">
        <v>1340</v>
      </c>
    </row>
    <row r="1342" spans="1:1" x14ac:dyDescent="0.35">
      <c r="A1342" t="s">
        <v>1341</v>
      </c>
    </row>
    <row r="1343" spans="1:1" x14ac:dyDescent="0.35">
      <c r="A1343" t="s">
        <v>1342</v>
      </c>
    </row>
    <row r="1344" spans="1:1" x14ac:dyDescent="0.35">
      <c r="A1344" t="s">
        <v>1343</v>
      </c>
    </row>
    <row r="1345" spans="1:1" x14ac:dyDescent="0.35">
      <c r="A1345" t="s">
        <v>1344</v>
      </c>
    </row>
    <row r="1346" spans="1:1" x14ac:dyDescent="0.35">
      <c r="A1346" t="s">
        <v>1345</v>
      </c>
    </row>
    <row r="1347" spans="1:1" x14ac:dyDescent="0.35">
      <c r="A1347" t="s">
        <v>1346</v>
      </c>
    </row>
    <row r="1348" spans="1:1" x14ac:dyDescent="0.35">
      <c r="A1348" t="s">
        <v>1347</v>
      </c>
    </row>
    <row r="1349" spans="1:1" x14ac:dyDescent="0.35">
      <c r="A1349" t="s">
        <v>1348</v>
      </c>
    </row>
    <row r="1350" spans="1:1" x14ac:dyDescent="0.35">
      <c r="A1350" t="s">
        <v>1349</v>
      </c>
    </row>
    <row r="1351" spans="1:1" x14ac:dyDescent="0.35">
      <c r="A1351" t="s">
        <v>1350</v>
      </c>
    </row>
    <row r="1352" spans="1:1" x14ac:dyDescent="0.35">
      <c r="A1352" t="s">
        <v>1351</v>
      </c>
    </row>
    <row r="1353" spans="1:1" x14ac:dyDescent="0.35">
      <c r="A1353" t="s">
        <v>1352</v>
      </c>
    </row>
    <row r="1354" spans="1:1" x14ac:dyDescent="0.35">
      <c r="A1354" t="s">
        <v>1353</v>
      </c>
    </row>
    <row r="1355" spans="1:1" x14ac:dyDescent="0.35">
      <c r="A1355" t="s">
        <v>1354</v>
      </c>
    </row>
    <row r="1356" spans="1:1" x14ac:dyDescent="0.35">
      <c r="A1356" t="s">
        <v>1355</v>
      </c>
    </row>
    <row r="1357" spans="1:1" x14ac:dyDescent="0.35">
      <c r="A1357" t="s">
        <v>1356</v>
      </c>
    </row>
    <row r="1358" spans="1:1" x14ac:dyDescent="0.35">
      <c r="A1358" t="s">
        <v>1357</v>
      </c>
    </row>
    <row r="1359" spans="1:1" x14ac:dyDescent="0.35">
      <c r="A1359" t="s">
        <v>1358</v>
      </c>
    </row>
    <row r="1360" spans="1:1" x14ac:dyDescent="0.35">
      <c r="A1360" t="s">
        <v>1359</v>
      </c>
    </row>
    <row r="1361" spans="1:1" x14ac:dyDescent="0.35">
      <c r="A1361" t="s">
        <v>1360</v>
      </c>
    </row>
    <row r="1362" spans="1:1" x14ac:dyDescent="0.35">
      <c r="A1362" t="s">
        <v>1361</v>
      </c>
    </row>
    <row r="1363" spans="1:1" x14ac:dyDescent="0.35">
      <c r="A1363" t="s">
        <v>1362</v>
      </c>
    </row>
    <row r="1364" spans="1:1" x14ac:dyDescent="0.35">
      <c r="A1364" t="s">
        <v>1363</v>
      </c>
    </row>
    <row r="1365" spans="1:1" x14ac:dyDescent="0.35">
      <c r="A1365" t="s">
        <v>1364</v>
      </c>
    </row>
    <row r="1366" spans="1:1" x14ac:dyDescent="0.35">
      <c r="A1366" t="s">
        <v>1365</v>
      </c>
    </row>
    <row r="1367" spans="1:1" x14ac:dyDescent="0.35">
      <c r="A1367" t="s">
        <v>1366</v>
      </c>
    </row>
    <row r="1368" spans="1:1" x14ac:dyDescent="0.35">
      <c r="A1368" t="s">
        <v>1367</v>
      </c>
    </row>
    <row r="1369" spans="1:1" x14ac:dyDescent="0.35">
      <c r="A1369" t="s">
        <v>1368</v>
      </c>
    </row>
    <row r="1370" spans="1:1" x14ac:dyDescent="0.35">
      <c r="A1370" t="s">
        <v>1369</v>
      </c>
    </row>
    <row r="1371" spans="1:1" x14ac:dyDescent="0.35">
      <c r="A1371" t="s">
        <v>1370</v>
      </c>
    </row>
    <row r="1372" spans="1:1" x14ac:dyDescent="0.35">
      <c r="A1372" t="s">
        <v>1371</v>
      </c>
    </row>
    <row r="1373" spans="1:1" x14ac:dyDescent="0.35">
      <c r="A1373" t="s">
        <v>1372</v>
      </c>
    </row>
    <row r="1374" spans="1:1" x14ac:dyDescent="0.35">
      <c r="A1374" t="s">
        <v>1373</v>
      </c>
    </row>
    <row r="1375" spans="1:1" x14ac:dyDescent="0.35">
      <c r="A1375" t="s">
        <v>1374</v>
      </c>
    </row>
    <row r="1376" spans="1:1" x14ac:dyDescent="0.35">
      <c r="A1376" t="s">
        <v>1375</v>
      </c>
    </row>
    <row r="1377" spans="1:1" x14ac:dyDescent="0.35">
      <c r="A1377" t="s">
        <v>1376</v>
      </c>
    </row>
    <row r="1378" spans="1:1" x14ac:dyDescent="0.35">
      <c r="A1378" t="s">
        <v>1377</v>
      </c>
    </row>
    <row r="1379" spans="1:1" x14ac:dyDescent="0.35">
      <c r="A1379" t="s">
        <v>1378</v>
      </c>
    </row>
    <row r="1380" spans="1:1" x14ac:dyDescent="0.35">
      <c r="A1380" t="s">
        <v>1379</v>
      </c>
    </row>
    <row r="1381" spans="1:1" x14ac:dyDescent="0.35">
      <c r="A1381" t="s">
        <v>1380</v>
      </c>
    </row>
    <row r="1382" spans="1:1" x14ac:dyDescent="0.35">
      <c r="A1382" t="s">
        <v>1381</v>
      </c>
    </row>
    <row r="1383" spans="1:1" x14ac:dyDescent="0.35">
      <c r="A1383" t="s">
        <v>1382</v>
      </c>
    </row>
    <row r="1384" spans="1:1" x14ac:dyDescent="0.35">
      <c r="A1384" t="s">
        <v>1383</v>
      </c>
    </row>
    <row r="1385" spans="1:1" x14ac:dyDescent="0.35">
      <c r="A1385" t="s">
        <v>1384</v>
      </c>
    </row>
    <row r="1386" spans="1:1" x14ac:dyDescent="0.35">
      <c r="A1386" t="s">
        <v>1385</v>
      </c>
    </row>
    <row r="1387" spans="1:1" x14ac:dyDescent="0.35">
      <c r="A1387" t="s">
        <v>1386</v>
      </c>
    </row>
    <row r="1388" spans="1:1" x14ac:dyDescent="0.35">
      <c r="A1388" t="s">
        <v>1387</v>
      </c>
    </row>
    <row r="1389" spans="1:1" x14ac:dyDescent="0.35">
      <c r="A1389" t="s">
        <v>1388</v>
      </c>
    </row>
    <row r="1390" spans="1:1" x14ac:dyDescent="0.35">
      <c r="A1390" t="s">
        <v>1389</v>
      </c>
    </row>
    <row r="1391" spans="1:1" x14ac:dyDescent="0.35">
      <c r="A1391" t="s">
        <v>1390</v>
      </c>
    </row>
    <row r="1392" spans="1:1" x14ac:dyDescent="0.35">
      <c r="A1392" t="s">
        <v>1391</v>
      </c>
    </row>
    <row r="1393" spans="1:1" x14ac:dyDescent="0.35">
      <c r="A1393" t="s">
        <v>1392</v>
      </c>
    </row>
    <row r="1394" spans="1:1" x14ac:dyDescent="0.35">
      <c r="A1394" t="s">
        <v>1393</v>
      </c>
    </row>
    <row r="1395" spans="1:1" x14ac:dyDescent="0.35">
      <c r="A1395" t="s">
        <v>1394</v>
      </c>
    </row>
    <row r="1396" spans="1:1" x14ac:dyDescent="0.35">
      <c r="A1396" t="s">
        <v>1395</v>
      </c>
    </row>
    <row r="1397" spans="1:1" x14ac:dyDescent="0.35">
      <c r="A1397" t="s">
        <v>1396</v>
      </c>
    </row>
    <row r="1398" spans="1:1" x14ac:dyDescent="0.35">
      <c r="A1398" t="s">
        <v>1397</v>
      </c>
    </row>
    <row r="1399" spans="1:1" x14ac:dyDescent="0.35">
      <c r="A1399" t="s">
        <v>1398</v>
      </c>
    </row>
    <row r="1400" spans="1:1" x14ac:dyDescent="0.35">
      <c r="A1400" t="s">
        <v>1399</v>
      </c>
    </row>
    <row r="1401" spans="1:1" x14ac:dyDescent="0.35">
      <c r="A1401" t="s">
        <v>1400</v>
      </c>
    </row>
    <row r="1402" spans="1:1" x14ac:dyDescent="0.35">
      <c r="A1402" t="s">
        <v>1401</v>
      </c>
    </row>
    <row r="1403" spans="1:1" x14ac:dyDescent="0.35">
      <c r="A1403" t="s">
        <v>1402</v>
      </c>
    </row>
    <row r="1404" spans="1:1" x14ac:dyDescent="0.35">
      <c r="A1404" t="s">
        <v>1403</v>
      </c>
    </row>
    <row r="1405" spans="1:1" x14ac:dyDescent="0.35">
      <c r="A1405" t="s">
        <v>1404</v>
      </c>
    </row>
    <row r="1406" spans="1:1" x14ac:dyDescent="0.35">
      <c r="A1406" t="s">
        <v>1405</v>
      </c>
    </row>
    <row r="1407" spans="1:1" x14ac:dyDescent="0.35">
      <c r="A1407" t="s">
        <v>1406</v>
      </c>
    </row>
    <row r="1408" spans="1:1" x14ac:dyDescent="0.35">
      <c r="A1408" t="s">
        <v>1407</v>
      </c>
    </row>
    <row r="1409" spans="1:1" x14ac:dyDescent="0.35">
      <c r="A1409" t="s">
        <v>1408</v>
      </c>
    </row>
    <row r="1410" spans="1:1" x14ac:dyDescent="0.35">
      <c r="A1410" t="s">
        <v>1409</v>
      </c>
    </row>
    <row r="1411" spans="1:1" x14ac:dyDescent="0.35">
      <c r="A1411" t="s">
        <v>1410</v>
      </c>
    </row>
    <row r="1412" spans="1:1" x14ac:dyDescent="0.35">
      <c r="A1412" t="s">
        <v>1411</v>
      </c>
    </row>
    <row r="1413" spans="1:1" x14ac:dyDescent="0.35">
      <c r="A1413" t="s">
        <v>1412</v>
      </c>
    </row>
    <row r="1414" spans="1:1" x14ac:dyDescent="0.35">
      <c r="A1414" t="s">
        <v>1413</v>
      </c>
    </row>
    <row r="1415" spans="1:1" x14ac:dyDescent="0.35">
      <c r="A1415" t="s">
        <v>1414</v>
      </c>
    </row>
    <row r="1416" spans="1:1" x14ac:dyDescent="0.35">
      <c r="A1416" t="s">
        <v>1415</v>
      </c>
    </row>
    <row r="1417" spans="1:1" x14ac:dyDescent="0.35">
      <c r="A1417" t="s">
        <v>1416</v>
      </c>
    </row>
    <row r="1418" spans="1:1" x14ac:dyDescent="0.35">
      <c r="A1418" t="s">
        <v>1417</v>
      </c>
    </row>
    <row r="1419" spans="1:1" x14ac:dyDescent="0.35">
      <c r="A1419" t="s">
        <v>1418</v>
      </c>
    </row>
    <row r="1420" spans="1:1" x14ac:dyDescent="0.35">
      <c r="A1420" t="s">
        <v>1419</v>
      </c>
    </row>
    <row r="1421" spans="1:1" x14ac:dyDescent="0.35">
      <c r="A1421" t="s">
        <v>1420</v>
      </c>
    </row>
    <row r="1422" spans="1:1" x14ac:dyDescent="0.35">
      <c r="A1422" t="s">
        <v>1421</v>
      </c>
    </row>
    <row r="1423" spans="1:1" x14ac:dyDescent="0.35">
      <c r="A1423" t="s">
        <v>1422</v>
      </c>
    </row>
    <row r="1424" spans="1:1" x14ac:dyDescent="0.35">
      <c r="A1424" t="s">
        <v>1423</v>
      </c>
    </row>
    <row r="1425" spans="1:1" x14ac:dyDescent="0.35">
      <c r="A1425" t="s">
        <v>1424</v>
      </c>
    </row>
    <row r="1426" spans="1:1" x14ac:dyDescent="0.35">
      <c r="A1426" t="s">
        <v>1425</v>
      </c>
    </row>
    <row r="1427" spans="1:1" x14ac:dyDescent="0.35">
      <c r="A1427" t="s">
        <v>1426</v>
      </c>
    </row>
    <row r="1428" spans="1:1" x14ac:dyDescent="0.35">
      <c r="A1428" t="s">
        <v>1427</v>
      </c>
    </row>
    <row r="1429" spans="1:1" x14ac:dyDescent="0.35">
      <c r="A1429" t="s">
        <v>1428</v>
      </c>
    </row>
    <row r="1430" spans="1:1" x14ac:dyDescent="0.35">
      <c r="A1430" t="s">
        <v>1429</v>
      </c>
    </row>
    <row r="1431" spans="1:1" x14ac:dyDescent="0.35">
      <c r="A1431" t="s">
        <v>1430</v>
      </c>
    </row>
    <row r="1432" spans="1:1" x14ac:dyDescent="0.35">
      <c r="A1432" t="s">
        <v>1431</v>
      </c>
    </row>
    <row r="1433" spans="1:1" x14ac:dyDescent="0.35">
      <c r="A1433" t="s">
        <v>1432</v>
      </c>
    </row>
    <row r="1434" spans="1:1" x14ac:dyDescent="0.35">
      <c r="A1434" t="s">
        <v>1433</v>
      </c>
    </row>
    <row r="1435" spans="1:1" x14ac:dyDescent="0.35">
      <c r="A1435" t="s">
        <v>1434</v>
      </c>
    </row>
    <row r="1436" spans="1:1" x14ac:dyDescent="0.35">
      <c r="A1436" t="s">
        <v>1435</v>
      </c>
    </row>
    <row r="1437" spans="1:1" x14ac:dyDescent="0.35">
      <c r="A1437" t="s">
        <v>1436</v>
      </c>
    </row>
    <row r="1438" spans="1:1" x14ac:dyDescent="0.35">
      <c r="A1438" t="s">
        <v>1437</v>
      </c>
    </row>
    <row r="1439" spans="1:1" x14ac:dyDescent="0.35">
      <c r="A1439" t="s">
        <v>1438</v>
      </c>
    </row>
    <row r="1440" spans="1:1" x14ac:dyDescent="0.35">
      <c r="A1440" t="s">
        <v>1439</v>
      </c>
    </row>
    <row r="1441" spans="1:1" x14ac:dyDescent="0.35">
      <c r="A1441" t="s">
        <v>1440</v>
      </c>
    </row>
    <row r="1442" spans="1:1" x14ac:dyDescent="0.35">
      <c r="A1442" t="s">
        <v>1441</v>
      </c>
    </row>
    <row r="1443" spans="1:1" x14ac:dyDescent="0.35">
      <c r="A1443" t="s">
        <v>1442</v>
      </c>
    </row>
    <row r="1444" spans="1:1" x14ac:dyDescent="0.35">
      <c r="A1444" t="s">
        <v>1443</v>
      </c>
    </row>
    <row r="1445" spans="1:1" x14ac:dyDescent="0.35">
      <c r="A1445" t="s">
        <v>1444</v>
      </c>
    </row>
    <row r="1446" spans="1:1" x14ac:dyDescent="0.35">
      <c r="A1446" t="s">
        <v>1445</v>
      </c>
    </row>
    <row r="1447" spans="1:1" x14ac:dyDescent="0.35">
      <c r="A1447" t="s">
        <v>1446</v>
      </c>
    </row>
    <row r="1448" spans="1:1" x14ac:dyDescent="0.35">
      <c r="A1448" t="s">
        <v>1447</v>
      </c>
    </row>
    <row r="1449" spans="1:1" x14ac:dyDescent="0.35">
      <c r="A1449" t="s">
        <v>1448</v>
      </c>
    </row>
    <row r="1450" spans="1:1" x14ac:dyDescent="0.35">
      <c r="A1450" t="s">
        <v>1449</v>
      </c>
    </row>
    <row r="1451" spans="1:1" x14ac:dyDescent="0.35">
      <c r="A1451" t="s">
        <v>1450</v>
      </c>
    </row>
    <row r="1452" spans="1:1" x14ac:dyDescent="0.35">
      <c r="A1452" t="s">
        <v>1451</v>
      </c>
    </row>
    <row r="1453" spans="1:1" x14ac:dyDescent="0.35">
      <c r="A1453" t="s">
        <v>1452</v>
      </c>
    </row>
    <row r="1454" spans="1:1" x14ac:dyDescent="0.35">
      <c r="A1454" t="s">
        <v>1453</v>
      </c>
    </row>
    <row r="1455" spans="1:1" x14ac:dyDescent="0.35">
      <c r="A1455" t="s">
        <v>1454</v>
      </c>
    </row>
    <row r="1456" spans="1:1" x14ac:dyDescent="0.35">
      <c r="A1456" t="s">
        <v>1455</v>
      </c>
    </row>
    <row r="1457" spans="1:1" x14ac:dyDescent="0.35">
      <c r="A1457" t="s">
        <v>1456</v>
      </c>
    </row>
    <row r="1458" spans="1:1" x14ac:dyDescent="0.35">
      <c r="A1458" t="s">
        <v>1457</v>
      </c>
    </row>
    <row r="1459" spans="1:1" x14ac:dyDescent="0.35">
      <c r="A1459" t="s">
        <v>1458</v>
      </c>
    </row>
    <row r="1460" spans="1:1" x14ac:dyDescent="0.35">
      <c r="A1460" t="s">
        <v>1459</v>
      </c>
    </row>
    <row r="1461" spans="1:1" x14ac:dyDescent="0.35">
      <c r="A1461" t="s">
        <v>1460</v>
      </c>
    </row>
    <row r="1462" spans="1:1" x14ac:dyDescent="0.35">
      <c r="A1462" t="s">
        <v>1461</v>
      </c>
    </row>
    <row r="1463" spans="1:1" x14ac:dyDescent="0.35">
      <c r="A1463" t="s">
        <v>1462</v>
      </c>
    </row>
    <row r="1464" spans="1:1" x14ac:dyDescent="0.35">
      <c r="A1464" t="s">
        <v>1463</v>
      </c>
    </row>
    <row r="1465" spans="1:1" x14ac:dyDescent="0.35">
      <c r="A1465" t="s">
        <v>1464</v>
      </c>
    </row>
    <row r="1466" spans="1:1" x14ac:dyDescent="0.35">
      <c r="A1466" t="s">
        <v>1465</v>
      </c>
    </row>
    <row r="1467" spans="1:1" x14ac:dyDescent="0.35">
      <c r="A1467" t="s">
        <v>1466</v>
      </c>
    </row>
    <row r="1468" spans="1:1" x14ac:dyDescent="0.35">
      <c r="A1468" t="s">
        <v>1467</v>
      </c>
    </row>
    <row r="1469" spans="1:1" x14ac:dyDescent="0.35">
      <c r="A1469" t="s">
        <v>1468</v>
      </c>
    </row>
    <row r="1470" spans="1:1" x14ac:dyDescent="0.35">
      <c r="A1470" t="s">
        <v>1469</v>
      </c>
    </row>
    <row r="1471" spans="1:1" x14ac:dyDescent="0.35">
      <c r="A1471" t="s">
        <v>1470</v>
      </c>
    </row>
    <row r="1472" spans="1:1" x14ac:dyDescent="0.35">
      <c r="A1472" t="s">
        <v>1471</v>
      </c>
    </row>
    <row r="1473" spans="1:1" x14ac:dyDescent="0.35">
      <c r="A1473" t="s">
        <v>1472</v>
      </c>
    </row>
    <row r="1474" spans="1:1" x14ac:dyDescent="0.35">
      <c r="A1474" t="s">
        <v>1473</v>
      </c>
    </row>
    <row r="1475" spans="1:1" x14ac:dyDescent="0.35">
      <c r="A1475" t="s">
        <v>1474</v>
      </c>
    </row>
    <row r="1476" spans="1:1" x14ac:dyDescent="0.35">
      <c r="A1476" t="s">
        <v>1475</v>
      </c>
    </row>
    <row r="1477" spans="1:1" x14ac:dyDescent="0.35">
      <c r="A1477" t="s">
        <v>1476</v>
      </c>
    </row>
    <row r="1478" spans="1:1" x14ac:dyDescent="0.35">
      <c r="A1478" t="s">
        <v>1477</v>
      </c>
    </row>
    <row r="1479" spans="1:1" x14ac:dyDescent="0.35">
      <c r="A1479" t="s">
        <v>1478</v>
      </c>
    </row>
    <row r="1480" spans="1:1" x14ac:dyDescent="0.35">
      <c r="A1480" t="s">
        <v>1479</v>
      </c>
    </row>
    <row r="1481" spans="1:1" x14ac:dyDescent="0.35">
      <c r="A1481" t="s">
        <v>1480</v>
      </c>
    </row>
    <row r="1482" spans="1:1" x14ac:dyDescent="0.35">
      <c r="A1482" t="s">
        <v>1481</v>
      </c>
    </row>
    <row r="1483" spans="1:1" x14ac:dyDescent="0.35">
      <c r="A1483" t="s">
        <v>1482</v>
      </c>
    </row>
    <row r="1484" spans="1:1" x14ac:dyDescent="0.35">
      <c r="A1484" t="s">
        <v>1483</v>
      </c>
    </row>
    <row r="1485" spans="1:1" x14ac:dyDescent="0.35">
      <c r="A1485" t="s">
        <v>1484</v>
      </c>
    </row>
    <row r="1486" spans="1:1" x14ac:dyDescent="0.35">
      <c r="A1486" t="s">
        <v>1485</v>
      </c>
    </row>
    <row r="1487" spans="1:1" x14ac:dyDescent="0.35">
      <c r="A1487" t="s">
        <v>1486</v>
      </c>
    </row>
    <row r="1488" spans="1:1" x14ac:dyDescent="0.35">
      <c r="A1488" t="s">
        <v>1487</v>
      </c>
    </row>
    <row r="1489" spans="1:1" x14ac:dyDescent="0.35">
      <c r="A1489" t="s">
        <v>1488</v>
      </c>
    </row>
    <row r="1490" spans="1:1" x14ac:dyDescent="0.35">
      <c r="A1490" t="s">
        <v>1489</v>
      </c>
    </row>
    <row r="1491" spans="1:1" x14ac:dyDescent="0.35">
      <c r="A1491" t="s">
        <v>1490</v>
      </c>
    </row>
    <row r="1492" spans="1:1" x14ac:dyDescent="0.35">
      <c r="A1492" t="s">
        <v>1491</v>
      </c>
    </row>
    <row r="1493" spans="1:1" x14ac:dyDescent="0.35">
      <c r="A1493" t="s">
        <v>1492</v>
      </c>
    </row>
    <row r="1494" spans="1:1" x14ac:dyDescent="0.35">
      <c r="A1494" t="s">
        <v>1493</v>
      </c>
    </row>
    <row r="1495" spans="1:1" x14ac:dyDescent="0.35">
      <c r="A1495" t="s">
        <v>1494</v>
      </c>
    </row>
    <row r="1496" spans="1:1" x14ac:dyDescent="0.35">
      <c r="A1496" t="s">
        <v>1495</v>
      </c>
    </row>
    <row r="1497" spans="1:1" x14ac:dyDescent="0.35">
      <c r="A1497" t="s">
        <v>1496</v>
      </c>
    </row>
    <row r="1498" spans="1:1" x14ac:dyDescent="0.35">
      <c r="A1498" t="s">
        <v>1497</v>
      </c>
    </row>
    <row r="1499" spans="1:1" x14ac:dyDescent="0.35">
      <c r="A1499" t="s">
        <v>1498</v>
      </c>
    </row>
    <row r="1500" spans="1:1" x14ac:dyDescent="0.35">
      <c r="A1500" t="s">
        <v>1499</v>
      </c>
    </row>
    <row r="1501" spans="1:1" x14ac:dyDescent="0.35">
      <c r="A1501" t="s">
        <v>1500</v>
      </c>
    </row>
    <row r="1502" spans="1:1" x14ac:dyDescent="0.35">
      <c r="A1502" t="s">
        <v>1501</v>
      </c>
    </row>
    <row r="1503" spans="1:1" x14ac:dyDescent="0.35">
      <c r="A1503" t="s">
        <v>1502</v>
      </c>
    </row>
    <row r="1504" spans="1:1" x14ac:dyDescent="0.35">
      <c r="A1504" t="s">
        <v>1503</v>
      </c>
    </row>
    <row r="1505" spans="1:1" x14ac:dyDescent="0.35">
      <c r="A1505" t="s">
        <v>1504</v>
      </c>
    </row>
    <row r="1506" spans="1:1" x14ac:dyDescent="0.35">
      <c r="A1506" t="s">
        <v>1505</v>
      </c>
    </row>
    <row r="1507" spans="1:1" x14ac:dyDescent="0.35">
      <c r="A1507" t="s">
        <v>1506</v>
      </c>
    </row>
    <row r="1508" spans="1:1" x14ac:dyDescent="0.35">
      <c r="A1508" t="s">
        <v>1507</v>
      </c>
    </row>
    <row r="1509" spans="1:1" x14ac:dyDescent="0.35">
      <c r="A1509" t="s">
        <v>1508</v>
      </c>
    </row>
    <row r="1510" spans="1:1" x14ac:dyDescent="0.35">
      <c r="A1510" t="s">
        <v>1509</v>
      </c>
    </row>
    <row r="1511" spans="1:1" x14ac:dyDescent="0.35">
      <c r="A1511" t="s">
        <v>1510</v>
      </c>
    </row>
    <row r="1512" spans="1:1" x14ac:dyDescent="0.35">
      <c r="A1512" t="s">
        <v>1511</v>
      </c>
    </row>
    <row r="1513" spans="1:1" x14ac:dyDescent="0.35">
      <c r="A1513" t="s">
        <v>1512</v>
      </c>
    </row>
    <row r="1514" spans="1:1" x14ac:dyDescent="0.35">
      <c r="A1514" t="s">
        <v>1513</v>
      </c>
    </row>
    <row r="1515" spans="1:1" x14ac:dyDescent="0.35">
      <c r="A1515" t="s">
        <v>1514</v>
      </c>
    </row>
    <row r="1516" spans="1:1" x14ac:dyDescent="0.35">
      <c r="A1516" t="s">
        <v>1515</v>
      </c>
    </row>
    <row r="1517" spans="1:1" x14ac:dyDescent="0.35">
      <c r="A1517" t="s">
        <v>1516</v>
      </c>
    </row>
    <row r="1518" spans="1:1" x14ac:dyDescent="0.35">
      <c r="A1518" t="s">
        <v>1517</v>
      </c>
    </row>
    <row r="1519" spans="1:1" x14ac:dyDescent="0.35">
      <c r="A1519" t="s">
        <v>1518</v>
      </c>
    </row>
    <row r="1520" spans="1:1" x14ac:dyDescent="0.35">
      <c r="A1520" t="s">
        <v>1519</v>
      </c>
    </row>
    <row r="1521" spans="1:1" x14ac:dyDescent="0.35">
      <c r="A1521" t="s">
        <v>1520</v>
      </c>
    </row>
    <row r="1522" spans="1:1" x14ac:dyDescent="0.35">
      <c r="A1522" t="s">
        <v>1521</v>
      </c>
    </row>
    <row r="1523" spans="1:1" x14ac:dyDescent="0.35">
      <c r="A1523" t="s">
        <v>1522</v>
      </c>
    </row>
    <row r="1524" spans="1:1" x14ac:dyDescent="0.35">
      <c r="A1524" t="s">
        <v>1523</v>
      </c>
    </row>
    <row r="1525" spans="1:1" x14ac:dyDescent="0.35">
      <c r="A1525" t="s">
        <v>1524</v>
      </c>
    </row>
    <row r="1526" spans="1:1" x14ac:dyDescent="0.35">
      <c r="A1526" t="s">
        <v>1525</v>
      </c>
    </row>
    <row r="1527" spans="1:1" x14ac:dyDescent="0.35">
      <c r="A1527" t="s">
        <v>1526</v>
      </c>
    </row>
    <row r="1528" spans="1:1" x14ac:dyDescent="0.35">
      <c r="A1528" t="s">
        <v>1527</v>
      </c>
    </row>
    <row r="1529" spans="1:1" x14ac:dyDescent="0.35">
      <c r="A1529" t="s">
        <v>1528</v>
      </c>
    </row>
    <row r="1530" spans="1:1" x14ac:dyDescent="0.35">
      <c r="A1530" t="s">
        <v>1529</v>
      </c>
    </row>
    <row r="1531" spans="1:1" x14ac:dyDescent="0.35">
      <c r="A1531" t="s">
        <v>1530</v>
      </c>
    </row>
    <row r="1532" spans="1:1" x14ac:dyDescent="0.35">
      <c r="A1532" t="s">
        <v>1531</v>
      </c>
    </row>
    <row r="1533" spans="1:1" x14ac:dyDescent="0.35">
      <c r="A1533" t="s">
        <v>1532</v>
      </c>
    </row>
    <row r="1534" spans="1:1" x14ac:dyDescent="0.35">
      <c r="A1534" t="s">
        <v>1533</v>
      </c>
    </row>
    <row r="1535" spans="1:1" x14ac:dyDescent="0.35">
      <c r="A1535" t="s">
        <v>1534</v>
      </c>
    </row>
    <row r="1536" spans="1:1" x14ac:dyDescent="0.35">
      <c r="A1536" t="s">
        <v>1535</v>
      </c>
    </row>
    <row r="1537" spans="1:1" x14ac:dyDescent="0.35">
      <c r="A1537" t="s">
        <v>1536</v>
      </c>
    </row>
    <row r="1538" spans="1:1" x14ac:dyDescent="0.35">
      <c r="A1538" t="s">
        <v>1537</v>
      </c>
    </row>
    <row r="1539" spans="1:1" x14ac:dyDescent="0.35">
      <c r="A1539" t="s">
        <v>1538</v>
      </c>
    </row>
    <row r="1540" spans="1:1" x14ac:dyDescent="0.35">
      <c r="A1540" t="s">
        <v>1539</v>
      </c>
    </row>
    <row r="1541" spans="1:1" x14ac:dyDescent="0.35">
      <c r="A1541" t="s">
        <v>1540</v>
      </c>
    </row>
    <row r="1542" spans="1:1" x14ac:dyDescent="0.35">
      <c r="A1542" t="s">
        <v>1541</v>
      </c>
    </row>
    <row r="1543" spans="1:1" x14ac:dyDescent="0.35">
      <c r="A1543" t="s">
        <v>1542</v>
      </c>
    </row>
    <row r="1544" spans="1:1" x14ac:dyDescent="0.35">
      <c r="A1544" t="s">
        <v>1543</v>
      </c>
    </row>
    <row r="1545" spans="1:1" x14ac:dyDescent="0.35">
      <c r="A1545" t="s">
        <v>1544</v>
      </c>
    </row>
    <row r="1546" spans="1:1" x14ac:dyDescent="0.35">
      <c r="A1546" t="s">
        <v>1545</v>
      </c>
    </row>
    <row r="1547" spans="1:1" x14ac:dyDescent="0.35">
      <c r="A1547" t="s">
        <v>1546</v>
      </c>
    </row>
    <row r="1548" spans="1:1" x14ac:dyDescent="0.35">
      <c r="A1548" t="s">
        <v>1547</v>
      </c>
    </row>
    <row r="1549" spans="1:1" x14ac:dyDescent="0.35">
      <c r="A1549" t="s">
        <v>1548</v>
      </c>
    </row>
    <row r="1550" spans="1:1" x14ac:dyDescent="0.35">
      <c r="A1550" t="s">
        <v>1549</v>
      </c>
    </row>
    <row r="1551" spans="1:1" x14ac:dyDescent="0.35">
      <c r="A1551" t="s">
        <v>1550</v>
      </c>
    </row>
    <row r="1552" spans="1:1" x14ac:dyDescent="0.35">
      <c r="A1552" t="s">
        <v>1551</v>
      </c>
    </row>
    <row r="1553" spans="1:1" x14ac:dyDescent="0.35">
      <c r="A1553" t="s">
        <v>1552</v>
      </c>
    </row>
    <row r="1554" spans="1:1" x14ac:dyDescent="0.35">
      <c r="A1554" t="s">
        <v>1553</v>
      </c>
    </row>
    <row r="1555" spans="1:1" x14ac:dyDescent="0.35">
      <c r="A1555" t="s">
        <v>1554</v>
      </c>
    </row>
    <row r="1556" spans="1:1" x14ac:dyDescent="0.35">
      <c r="A1556" t="s">
        <v>1555</v>
      </c>
    </row>
    <row r="1557" spans="1:1" x14ac:dyDescent="0.35">
      <c r="A1557" t="s">
        <v>1556</v>
      </c>
    </row>
    <row r="1558" spans="1:1" x14ac:dyDescent="0.35">
      <c r="A1558" t="s">
        <v>1557</v>
      </c>
    </row>
    <row r="1559" spans="1:1" x14ac:dyDescent="0.35">
      <c r="A1559" t="s">
        <v>1558</v>
      </c>
    </row>
    <row r="1560" spans="1:1" x14ac:dyDescent="0.35">
      <c r="A1560" t="s">
        <v>1559</v>
      </c>
    </row>
    <row r="1561" spans="1:1" x14ac:dyDescent="0.35">
      <c r="A1561" t="s">
        <v>1560</v>
      </c>
    </row>
    <row r="1562" spans="1:1" x14ac:dyDescent="0.35">
      <c r="A1562" t="s">
        <v>1561</v>
      </c>
    </row>
    <row r="1563" spans="1:1" x14ac:dyDescent="0.35">
      <c r="A1563" t="s">
        <v>1562</v>
      </c>
    </row>
    <row r="1564" spans="1:1" x14ac:dyDescent="0.35">
      <c r="A1564" t="s">
        <v>1563</v>
      </c>
    </row>
    <row r="1565" spans="1:1" x14ac:dyDescent="0.35">
      <c r="A1565" t="s">
        <v>1564</v>
      </c>
    </row>
    <row r="1566" spans="1:1" x14ac:dyDescent="0.35">
      <c r="A1566" t="s">
        <v>1565</v>
      </c>
    </row>
    <row r="1567" spans="1:1" x14ac:dyDescent="0.35">
      <c r="A1567" t="s">
        <v>1566</v>
      </c>
    </row>
    <row r="1568" spans="1:1" x14ac:dyDescent="0.35">
      <c r="A1568" t="s">
        <v>1567</v>
      </c>
    </row>
    <row r="1569" spans="1:1" x14ac:dyDescent="0.35">
      <c r="A1569" t="s">
        <v>1568</v>
      </c>
    </row>
    <row r="1570" spans="1:1" x14ac:dyDescent="0.35">
      <c r="A1570" t="s">
        <v>1569</v>
      </c>
    </row>
    <row r="1571" spans="1:1" x14ac:dyDescent="0.35">
      <c r="A1571" t="s">
        <v>1570</v>
      </c>
    </row>
    <row r="1572" spans="1:1" x14ac:dyDescent="0.35">
      <c r="A1572" t="s">
        <v>1571</v>
      </c>
    </row>
    <row r="1573" spans="1:1" x14ac:dyDescent="0.35">
      <c r="A1573" t="s">
        <v>1572</v>
      </c>
    </row>
    <row r="1574" spans="1:1" x14ac:dyDescent="0.35">
      <c r="A1574" t="s">
        <v>1573</v>
      </c>
    </row>
    <row r="1575" spans="1:1" x14ac:dyDescent="0.35">
      <c r="A1575" t="s">
        <v>1574</v>
      </c>
    </row>
    <row r="1576" spans="1:1" x14ac:dyDescent="0.35">
      <c r="A1576" t="s">
        <v>1575</v>
      </c>
    </row>
    <row r="1577" spans="1:1" x14ac:dyDescent="0.35">
      <c r="A1577" t="s">
        <v>1576</v>
      </c>
    </row>
    <row r="1578" spans="1:1" x14ac:dyDescent="0.35">
      <c r="A1578" t="s">
        <v>1577</v>
      </c>
    </row>
    <row r="1579" spans="1:1" x14ac:dyDescent="0.35">
      <c r="A1579" t="s">
        <v>1578</v>
      </c>
    </row>
    <row r="1580" spans="1:1" x14ac:dyDescent="0.35">
      <c r="A1580" t="s">
        <v>1579</v>
      </c>
    </row>
    <row r="1581" spans="1:1" x14ac:dyDescent="0.35">
      <c r="A1581" t="s">
        <v>1580</v>
      </c>
    </row>
    <row r="1582" spans="1:1" x14ac:dyDescent="0.35">
      <c r="A1582" t="s">
        <v>1581</v>
      </c>
    </row>
    <row r="1583" spans="1:1" x14ac:dyDescent="0.35">
      <c r="A1583" t="s">
        <v>1582</v>
      </c>
    </row>
    <row r="1584" spans="1:1" x14ac:dyDescent="0.35">
      <c r="A1584" t="s">
        <v>1583</v>
      </c>
    </row>
    <row r="1585" spans="1:1" x14ac:dyDescent="0.35">
      <c r="A1585" t="s">
        <v>1584</v>
      </c>
    </row>
    <row r="1586" spans="1:1" x14ac:dyDescent="0.35">
      <c r="A1586" t="s">
        <v>1585</v>
      </c>
    </row>
    <row r="1587" spans="1:1" x14ac:dyDescent="0.35">
      <c r="A1587" t="s">
        <v>1586</v>
      </c>
    </row>
    <row r="1588" spans="1:1" x14ac:dyDescent="0.35">
      <c r="A1588" t="s">
        <v>1587</v>
      </c>
    </row>
    <row r="1589" spans="1:1" x14ac:dyDescent="0.35">
      <c r="A1589" t="s">
        <v>1588</v>
      </c>
    </row>
    <row r="1590" spans="1:1" x14ac:dyDescent="0.35">
      <c r="A1590" t="s">
        <v>1589</v>
      </c>
    </row>
    <row r="1591" spans="1:1" x14ac:dyDescent="0.35">
      <c r="A1591" t="s">
        <v>1590</v>
      </c>
    </row>
    <row r="1592" spans="1:1" x14ac:dyDescent="0.35">
      <c r="A1592" t="s">
        <v>1591</v>
      </c>
    </row>
    <row r="1593" spans="1:1" x14ac:dyDescent="0.35">
      <c r="A1593" t="s">
        <v>1592</v>
      </c>
    </row>
    <row r="1594" spans="1:1" x14ac:dyDescent="0.35">
      <c r="A1594" t="s">
        <v>1593</v>
      </c>
    </row>
    <row r="1595" spans="1:1" x14ac:dyDescent="0.35">
      <c r="A1595" t="s">
        <v>1594</v>
      </c>
    </row>
    <row r="1596" spans="1:1" x14ac:dyDescent="0.35">
      <c r="A1596" t="s">
        <v>1595</v>
      </c>
    </row>
    <row r="1597" spans="1:1" x14ac:dyDescent="0.35">
      <c r="A1597" t="s">
        <v>1596</v>
      </c>
    </row>
    <row r="1598" spans="1:1" x14ac:dyDescent="0.35">
      <c r="A1598" t="s">
        <v>1597</v>
      </c>
    </row>
    <row r="1599" spans="1:1" x14ac:dyDescent="0.35">
      <c r="A1599" t="s">
        <v>1598</v>
      </c>
    </row>
    <row r="1600" spans="1:1" x14ac:dyDescent="0.35">
      <c r="A1600" t="s">
        <v>1599</v>
      </c>
    </row>
    <row r="1601" spans="1:1" x14ac:dyDescent="0.35">
      <c r="A1601" t="s">
        <v>1600</v>
      </c>
    </row>
    <row r="1602" spans="1:1" x14ac:dyDescent="0.35">
      <c r="A1602" t="s">
        <v>1601</v>
      </c>
    </row>
    <row r="1603" spans="1:1" x14ac:dyDescent="0.35">
      <c r="A1603" t="s">
        <v>1602</v>
      </c>
    </row>
    <row r="1604" spans="1:1" x14ac:dyDescent="0.35">
      <c r="A1604" t="s">
        <v>1603</v>
      </c>
    </row>
    <row r="1605" spans="1:1" x14ac:dyDescent="0.35">
      <c r="A1605" t="s">
        <v>1604</v>
      </c>
    </row>
    <row r="1606" spans="1:1" x14ac:dyDescent="0.35">
      <c r="A1606" t="s">
        <v>1605</v>
      </c>
    </row>
    <row r="1607" spans="1:1" x14ac:dyDescent="0.35">
      <c r="A1607" t="s">
        <v>1606</v>
      </c>
    </row>
    <row r="1608" spans="1:1" x14ac:dyDescent="0.35">
      <c r="A1608" t="s">
        <v>1607</v>
      </c>
    </row>
    <row r="1609" spans="1:1" x14ac:dyDescent="0.35">
      <c r="A1609" t="s">
        <v>1608</v>
      </c>
    </row>
    <row r="1610" spans="1:1" x14ac:dyDescent="0.35">
      <c r="A1610" t="s">
        <v>1609</v>
      </c>
    </row>
    <row r="1611" spans="1:1" x14ac:dyDescent="0.35">
      <c r="A1611" t="s">
        <v>1610</v>
      </c>
    </row>
    <row r="1612" spans="1:1" x14ac:dyDescent="0.35">
      <c r="A1612" t="s">
        <v>1611</v>
      </c>
    </row>
    <row r="1613" spans="1:1" x14ac:dyDescent="0.35">
      <c r="A1613" t="s">
        <v>1612</v>
      </c>
    </row>
    <row r="1614" spans="1:1" x14ac:dyDescent="0.35">
      <c r="A1614" t="s">
        <v>1613</v>
      </c>
    </row>
    <row r="1615" spans="1:1" x14ac:dyDescent="0.35">
      <c r="A1615" t="s">
        <v>1614</v>
      </c>
    </row>
    <row r="1616" spans="1:1" x14ac:dyDescent="0.35">
      <c r="A1616" t="s">
        <v>1615</v>
      </c>
    </row>
    <row r="1617" spans="1:1" x14ac:dyDescent="0.35">
      <c r="A1617" t="s">
        <v>1616</v>
      </c>
    </row>
    <row r="1618" spans="1:1" x14ac:dyDescent="0.35">
      <c r="A1618" t="s">
        <v>1617</v>
      </c>
    </row>
    <row r="1619" spans="1:1" x14ac:dyDescent="0.35">
      <c r="A1619" t="s">
        <v>1618</v>
      </c>
    </row>
    <row r="1620" spans="1:1" x14ac:dyDescent="0.35">
      <c r="A1620" t="s">
        <v>1619</v>
      </c>
    </row>
    <row r="1621" spans="1:1" x14ac:dyDescent="0.35">
      <c r="A1621" t="s">
        <v>1620</v>
      </c>
    </row>
    <row r="1622" spans="1:1" x14ac:dyDescent="0.35">
      <c r="A1622" t="s">
        <v>1621</v>
      </c>
    </row>
    <row r="1623" spans="1:1" x14ac:dyDescent="0.35">
      <c r="A1623" t="s">
        <v>1622</v>
      </c>
    </row>
    <row r="1624" spans="1:1" x14ac:dyDescent="0.35">
      <c r="A1624" t="s">
        <v>1623</v>
      </c>
    </row>
    <row r="1625" spans="1:1" x14ac:dyDescent="0.35">
      <c r="A1625" t="s">
        <v>1624</v>
      </c>
    </row>
    <row r="1626" spans="1:1" x14ac:dyDescent="0.35">
      <c r="A1626" t="s">
        <v>1625</v>
      </c>
    </row>
    <row r="1627" spans="1:1" x14ac:dyDescent="0.35">
      <c r="A1627" t="s">
        <v>1626</v>
      </c>
    </row>
    <row r="1628" spans="1:1" x14ac:dyDescent="0.35">
      <c r="A1628" t="s">
        <v>1627</v>
      </c>
    </row>
    <row r="1629" spans="1:1" x14ac:dyDescent="0.35">
      <c r="A1629" t="s">
        <v>1628</v>
      </c>
    </row>
    <row r="1630" spans="1:1" x14ac:dyDescent="0.35">
      <c r="A1630" t="s">
        <v>1629</v>
      </c>
    </row>
    <row r="1631" spans="1:1" x14ac:dyDescent="0.35">
      <c r="A1631" t="s">
        <v>1630</v>
      </c>
    </row>
    <row r="1632" spans="1:1" x14ac:dyDescent="0.35">
      <c r="A1632" t="s">
        <v>1631</v>
      </c>
    </row>
    <row r="1633" spans="1:1" x14ac:dyDescent="0.35">
      <c r="A1633" t="s">
        <v>1632</v>
      </c>
    </row>
    <row r="1634" spans="1:1" x14ac:dyDescent="0.35">
      <c r="A1634" t="s">
        <v>1633</v>
      </c>
    </row>
    <row r="1635" spans="1:1" x14ac:dyDescent="0.35">
      <c r="A1635" t="s">
        <v>1634</v>
      </c>
    </row>
    <row r="1636" spans="1:1" x14ac:dyDescent="0.35">
      <c r="A1636" t="s">
        <v>1635</v>
      </c>
    </row>
    <row r="1637" spans="1:1" x14ac:dyDescent="0.35">
      <c r="A1637" t="s">
        <v>1636</v>
      </c>
    </row>
    <row r="1638" spans="1:1" x14ac:dyDescent="0.35">
      <c r="A1638" t="s">
        <v>1637</v>
      </c>
    </row>
    <row r="1639" spans="1:1" x14ac:dyDescent="0.35">
      <c r="A1639" t="s">
        <v>1638</v>
      </c>
    </row>
    <row r="1640" spans="1:1" x14ac:dyDescent="0.35">
      <c r="A1640" t="s">
        <v>1639</v>
      </c>
    </row>
    <row r="1641" spans="1:1" x14ac:dyDescent="0.35">
      <c r="A1641" t="s">
        <v>1640</v>
      </c>
    </row>
    <row r="1642" spans="1:1" x14ac:dyDescent="0.35">
      <c r="A1642" t="s">
        <v>1641</v>
      </c>
    </row>
    <row r="1643" spans="1:1" x14ac:dyDescent="0.35">
      <c r="A1643" t="s">
        <v>1642</v>
      </c>
    </row>
    <row r="1644" spans="1:1" x14ac:dyDescent="0.35">
      <c r="A1644" t="s">
        <v>1643</v>
      </c>
    </row>
    <row r="1645" spans="1:1" x14ac:dyDescent="0.35">
      <c r="A1645" t="s">
        <v>1644</v>
      </c>
    </row>
    <row r="1646" spans="1:1" x14ac:dyDescent="0.35">
      <c r="A1646" t="s">
        <v>1645</v>
      </c>
    </row>
    <row r="1647" spans="1:1" x14ac:dyDescent="0.35">
      <c r="A1647" t="s">
        <v>1646</v>
      </c>
    </row>
    <row r="1648" spans="1:1" x14ac:dyDescent="0.35">
      <c r="A1648" t="s">
        <v>1647</v>
      </c>
    </row>
    <row r="1649" spans="1:1" x14ac:dyDescent="0.35">
      <c r="A1649" t="s">
        <v>1648</v>
      </c>
    </row>
    <row r="1650" spans="1:1" x14ac:dyDescent="0.35">
      <c r="A1650" t="s">
        <v>1649</v>
      </c>
    </row>
    <row r="1651" spans="1:1" x14ac:dyDescent="0.35">
      <c r="A1651" t="s">
        <v>1650</v>
      </c>
    </row>
    <row r="1652" spans="1:1" x14ac:dyDescent="0.35">
      <c r="A1652" t="s">
        <v>1651</v>
      </c>
    </row>
    <row r="1653" spans="1:1" x14ac:dyDescent="0.35">
      <c r="A1653" t="s">
        <v>1652</v>
      </c>
    </row>
    <row r="1654" spans="1:1" x14ac:dyDescent="0.35">
      <c r="A1654" t="s">
        <v>1653</v>
      </c>
    </row>
    <row r="1655" spans="1:1" x14ac:dyDescent="0.35">
      <c r="A1655" t="s">
        <v>1654</v>
      </c>
    </row>
    <row r="1656" spans="1:1" x14ac:dyDescent="0.35">
      <c r="A1656" t="s">
        <v>1655</v>
      </c>
    </row>
    <row r="1657" spans="1:1" x14ac:dyDescent="0.35">
      <c r="A1657" t="s">
        <v>1656</v>
      </c>
    </row>
    <row r="1658" spans="1:1" x14ac:dyDescent="0.35">
      <c r="A1658" t="s">
        <v>1657</v>
      </c>
    </row>
    <row r="1659" spans="1:1" x14ac:dyDescent="0.35">
      <c r="A1659" t="s">
        <v>1658</v>
      </c>
    </row>
    <row r="1660" spans="1:1" x14ac:dyDescent="0.35">
      <c r="A1660" t="s">
        <v>1659</v>
      </c>
    </row>
    <row r="1661" spans="1:1" x14ac:dyDescent="0.35">
      <c r="A1661" t="s">
        <v>1660</v>
      </c>
    </row>
    <row r="1662" spans="1:1" x14ac:dyDescent="0.35">
      <c r="A1662" t="s">
        <v>1661</v>
      </c>
    </row>
    <row r="1663" spans="1:1" x14ac:dyDescent="0.35">
      <c r="A1663" t="s">
        <v>1662</v>
      </c>
    </row>
    <row r="1664" spans="1:1" x14ac:dyDescent="0.35">
      <c r="A1664" t="s">
        <v>1663</v>
      </c>
    </row>
    <row r="1665" spans="1:1" x14ac:dyDescent="0.35">
      <c r="A1665" t="s">
        <v>1664</v>
      </c>
    </row>
    <row r="1666" spans="1:1" x14ac:dyDescent="0.35">
      <c r="A1666" t="s">
        <v>1665</v>
      </c>
    </row>
    <row r="1667" spans="1:1" x14ac:dyDescent="0.35">
      <c r="A1667" t="s">
        <v>1666</v>
      </c>
    </row>
    <row r="1668" spans="1:1" x14ac:dyDescent="0.35">
      <c r="A1668" t="s">
        <v>1667</v>
      </c>
    </row>
    <row r="1669" spans="1:1" x14ac:dyDescent="0.35">
      <c r="A1669" t="s">
        <v>1668</v>
      </c>
    </row>
    <row r="1670" spans="1:1" x14ac:dyDescent="0.35">
      <c r="A1670" t="s">
        <v>1669</v>
      </c>
    </row>
    <row r="1671" spans="1:1" x14ac:dyDescent="0.35">
      <c r="A1671" t="s">
        <v>1670</v>
      </c>
    </row>
    <row r="1672" spans="1:1" x14ac:dyDescent="0.35">
      <c r="A1672" t="s">
        <v>1671</v>
      </c>
    </row>
    <row r="1673" spans="1:1" x14ac:dyDescent="0.35">
      <c r="A1673" t="s">
        <v>1672</v>
      </c>
    </row>
    <row r="1674" spans="1:1" x14ac:dyDescent="0.35">
      <c r="A1674" t="s">
        <v>1673</v>
      </c>
    </row>
    <row r="1675" spans="1:1" x14ac:dyDescent="0.35">
      <c r="A1675" t="s">
        <v>1674</v>
      </c>
    </row>
    <row r="1676" spans="1:1" x14ac:dyDescent="0.35">
      <c r="A1676" t="s">
        <v>1675</v>
      </c>
    </row>
    <row r="1677" spans="1:1" x14ac:dyDescent="0.35">
      <c r="A1677" t="s">
        <v>1676</v>
      </c>
    </row>
    <row r="1678" spans="1:1" x14ac:dyDescent="0.35">
      <c r="A1678" t="s">
        <v>1677</v>
      </c>
    </row>
    <row r="1679" spans="1:1" x14ac:dyDescent="0.35">
      <c r="A1679" t="s">
        <v>1678</v>
      </c>
    </row>
    <row r="1680" spans="1:1" x14ac:dyDescent="0.35">
      <c r="A1680" t="s">
        <v>1679</v>
      </c>
    </row>
    <row r="1681" spans="1:1" x14ac:dyDescent="0.35">
      <c r="A1681" t="s">
        <v>1680</v>
      </c>
    </row>
    <row r="1682" spans="1:1" x14ac:dyDescent="0.35">
      <c r="A1682" t="s">
        <v>1681</v>
      </c>
    </row>
    <row r="1683" spans="1:1" x14ac:dyDescent="0.35">
      <c r="A1683" t="s">
        <v>1682</v>
      </c>
    </row>
    <row r="1684" spans="1:1" x14ac:dyDescent="0.35">
      <c r="A1684" t="s">
        <v>1683</v>
      </c>
    </row>
    <row r="1685" spans="1:1" x14ac:dyDescent="0.35">
      <c r="A1685" t="s">
        <v>1684</v>
      </c>
    </row>
    <row r="1686" spans="1:1" x14ac:dyDescent="0.35">
      <c r="A1686" t="s">
        <v>1685</v>
      </c>
    </row>
    <row r="1687" spans="1:1" x14ac:dyDescent="0.35">
      <c r="A1687" t="s">
        <v>1686</v>
      </c>
    </row>
    <row r="1688" spans="1:1" x14ac:dyDescent="0.35">
      <c r="A1688" t="s">
        <v>1687</v>
      </c>
    </row>
    <row r="1689" spans="1:1" x14ac:dyDescent="0.35">
      <c r="A1689" t="s">
        <v>1688</v>
      </c>
    </row>
    <row r="1690" spans="1:1" x14ac:dyDescent="0.35">
      <c r="A1690" t="s">
        <v>1689</v>
      </c>
    </row>
    <row r="1691" spans="1:1" x14ac:dyDescent="0.35">
      <c r="A1691" t="s">
        <v>1690</v>
      </c>
    </row>
    <row r="1692" spans="1:1" x14ac:dyDescent="0.35">
      <c r="A1692" t="s">
        <v>1691</v>
      </c>
    </row>
    <row r="1693" spans="1:1" x14ac:dyDescent="0.35">
      <c r="A1693" t="s">
        <v>1692</v>
      </c>
    </row>
    <row r="1694" spans="1:1" x14ac:dyDescent="0.35">
      <c r="A1694" t="s">
        <v>1693</v>
      </c>
    </row>
    <row r="1695" spans="1:1" x14ac:dyDescent="0.35">
      <c r="A1695" t="s">
        <v>1694</v>
      </c>
    </row>
    <row r="1696" spans="1:1" x14ac:dyDescent="0.35">
      <c r="A1696" t="s">
        <v>1695</v>
      </c>
    </row>
    <row r="1697" spans="1:1" x14ac:dyDescent="0.35">
      <c r="A1697" t="s">
        <v>1696</v>
      </c>
    </row>
    <row r="1698" spans="1:1" x14ac:dyDescent="0.35">
      <c r="A1698" t="s">
        <v>1697</v>
      </c>
    </row>
    <row r="1699" spans="1:1" x14ac:dyDescent="0.35">
      <c r="A1699" t="s">
        <v>1698</v>
      </c>
    </row>
    <row r="1700" spans="1:1" x14ac:dyDescent="0.35">
      <c r="A1700" t="s">
        <v>1699</v>
      </c>
    </row>
    <row r="1701" spans="1:1" x14ac:dyDescent="0.35">
      <c r="A1701" t="s">
        <v>1700</v>
      </c>
    </row>
    <row r="1702" spans="1:1" x14ac:dyDescent="0.35">
      <c r="A1702" t="s">
        <v>1701</v>
      </c>
    </row>
    <row r="1703" spans="1:1" x14ac:dyDescent="0.35">
      <c r="A1703" t="s">
        <v>1702</v>
      </c>
    </row>
    <row r="1704" spans="1:1" x14ac:dyDescent="0.35">
      <c r="A1704" t="s">
        <v>1703</v>
      </c>
    </row>
    <row r="1705" spans="1:1" x14ac:dyDescent="0.35">
      <c r="A1705" t="s">
        <v>1704</v>
      </c>
    </row>
    <row r="1706" spans="1:1" x14ac:dyDescent="0.35">
      <c r="A1706" t="s">
        <v>1705</v>
      </c>
    </row>
    <row r="1707" spans="1:1" x14ac:dyDescent="0.35">
      <c r="A1707" t="s">
        <v>1706</v>
      </c>
    </row>
    <row r="1708" spans="1:1" x14ac:dyDescent="0.35">
      <c r="A1708" t="s">
        <v>1707</v>
      </c>
    </row>
    <row r="1709" spans="1:1" x14ac:dyDescent="0.35">
      <c r="A1709" t="s">
        <v>1708</v>
      </c>
    </row>
    <row r="1710" spans="1:1" x14ac:dyDescent="0.35">
      <c r="A1710" t="s">
        <v>1709</v>
      </c>
    </row>
    <row r="1711" spans="1:1" x14ac:dyDescent="0.35">
      <c r="A1711" t="s">
        <v>1710</v>
      </c>
    </row>
    <row r="1712" spans="1:1" x14ac:dyDescent="0.35">
      <c r="A1712" t="s">
        <v>1711</v>
      </c>
    </row>
    <row r="1713" spans="1:1" x14ac:dyDescent="0.35">
      <c r="A1713" t="s">
        <v>1712</v>
      </c>
    </row>
    <row r="1714" spans="1:1" x14ac:dyDescent="0.35">
      <c r="A1714" t="s">
        <v>1713</v>
      </c>
    </row>
    <row r="1715" spans="1:1" x14ac:dyDescent="0.35">
      <c r="A1715" t="s">
        <v>1714</v>
      </c>
    </row>
    <row r="1716" spans="1:1" x14ac:dyDescent="0.35">
      <c r="A1716" t="s">
        <v>1715</v>
      </c>
    </row>
    <row r="1717" spans="1:1" x14ac:dyDescent="0.35">
      <c r="A1717" t="s">
        <v>1716</v>
      </c>
    </row>
    <row r="1718" spans="1:1" x14ac:dyDescent="0.35">
      <c r="A1718" t="s">
        <v>1717</v>
      </c>
    </row>
    <row r="1719" spans="1:1" x14ac:dyDescent="0.35">
      <c r="A1719" t="s">
        <v>1718</v>
      </c>
    </row>
    <row r="1720" spans="1:1" x14ac:dyDescent="0.35">
      <c r="A1720" t="s">
        <v>1719</v>
      </c>
    </row>
    <row r="1721" spans="1:1" x14ac:dyDescent="0.35">
      <c r="A1721" t="s">
        <v>1720</v>
      </c>
    </row>
    <row r="1722" spans="1:1" x14ac:dyDescent="0.35">
      <c r="A1722" t="s">
        <v>1721</v>
      </c>
    </row>
    <row r="1723" spans="1:1" x14ac:dyDescent="0.35">
      <c r="A1723" t="s">
        <v>1722</v>
      </c>
    </row>
    <row r="1724" spans="1:1" x14ac:dyDescent="0.35">
      <c r="A1724" t="s">
        <v>1723</v>
      </c>
    </row>
    <row r="1725" spans="1:1" x14ac:dyDescent="0.35">
      <c r="A1725" t="s">
        <v>1724</v>
      </c>
    </row>
    <row r="1726" spans="1:1" x14ac:dyDescent="0.35">
      <c r="A1726" t="s">
        <v>1725</v>
      </c>
    </row>
    <row r="1727" spans="1:1" x14ac:dyDescent="0.35">
      <c r="A1727" t="s">
        <v>1726</v>
      </c>
    </row>
    <row r="1728" spans="1:1" x14ac:dyDescent="0.35">
      <c r="A1728" t="s">
        <v>1727</v>
      </c>
    </row>
    <row r="1729" spans="1:1" x14ac:dyDescent="0.35">
      <c r="A1729" t="s">
        <v>1728</v>
      </c>
    </row>
    <row r="1730" spans="1:1" x14ac:dyDescent="0.35">
      <c r="A1730" t="s">
        <v>1729</v>
      </c>
    </row>
    <row r="1731" spans="1:1" x14ac:dyDescent="0.35">
      <c r="A1731" t="s">
        <v>1730</v>
      </c>
    </row>
    <row r="1732" spans="1:1" x14ac:dyDescent="0.35">
      <c r="A1732" t="s">
        <v>1731</v>
      </c>
    </row>
    <row r="1733" spans="1:1" x14ac:dyDescent="0.35">
      <c r="A1733" t="s">
        <v>1732</v>
      </c>
    </row>
    <row r="1734" spans="1:1" x14ac:dyDescent="0.35">
      <c r="A1734" t="s">
        <v>1733</v>
      </c>
    </row>
    <row r="1735" spans="1:1" x14ac:dyDescent="0.35">
      <c r="A1735" t="s">
        <v>1734</v>
      </c>
    </row>
    <row r="1736" spans="1:1" x14ac:dyDescent="0.35">
      <c r="A1736" t="s">
        <v>1735</v>
      </c>
    </row>
    <row r="1737" spans="1:1" x14ac:dyDescent="0.35">
      <c r="A1737" t="s">
        <v>1736</v>
      </c>
    </row>
    <row r="1738" spans="1:1" x14ac:dyDescent="0.35">
      <c r="A1738" t="s">
        <v>1737</v>
      </c>
    </row>
    <row r="1739" spans="1:1" x14ac:dyDescent="0.35">
      <c r="A1739" t="s">
        <v>1738</v>
      </c>
    </row>
    <row r="1740" spans="1:1" x14ac:dyDescent="0.35">
      <c r="A1740" t="s">
        <v>1739</v>
      </c>
    </row>
    <row r="1741" spans="1:1" x14ac:dyDescent="0.35">
      <c r="A1741" t="s">
        <v>1740</v>
      </c>
    </row>
    <row r="1742" spans="1:1" x14ac:dyDescent="0.35">
      <c r="A1742" t="s">
        <v>1741</v>
      </c>
    </row>
    <row r="1743" spans="1:1" x14ac:dyDescent="0.35">
      <c r="A1743" t="s">
        <v>1742</v>
      </c>
    </row>
    <row r="1744" spans="1:1" x14ac:dyDescent="0.35">
      <c r="A1744" t="s">
        <v>1743</v>
      </c>
    </row>
    <row r="1745" spans="1:1" x14ac:dyDescent="0.35">
      <c r="A1745" t="s">
        <v>1744</v>
      </c>
    </row>
    <row r="1746" spans="1:1" x14ac:dyDescent="0.35">
      <c r="A1746" t="s">
        <v>1745</v>
      </c>
    </row>
    <row r="1747" spans="1:1" x14ac:dyDescent="0.35">
      <c r="A1747" t="s">
        <v>1746</v>
      </c>
    </row>
    <row r="1748" spans="1:1" x14ac:dyDescent="0.35">
      <c r="A1748" t="s">
        <v>1747</v>
      </c>
    </row>
    <row r="1749" spans="1:1" x14ac:dyDescent="0.35">
      <c r="A1749" t="s">
        <v>1748</v>
      </c>
    </row>
    <row r="1750" spans="1:1" x14ac:dyDescent="0.35">
      <c r="A1750" t="s">
        <v>1749</v>
      </c>
    </row>
    <row r="1751" spans="1:1" x14ac:dyDescent="0.35">
      <c r="A1751" t="s">
        <v>1750</v>
      </c>
    </row>
    <row r="1752" spans="1:1" x14ac:dyDescent="0.35">
      <c r="A1752" t="s">
        <v>1751</v>
      </c>
    </row>
    <row r="1753" spans="1:1" x14ac:dyDescent="0.35">
      <c r="A1753" t="s">
        <v>1752</v>
      </c>
    </row>
    <row r="1754" spans="1:1" x14ac:dyDescent="0.35">
      <c r="A1754" t="s">
        <v>1753</v>
      </c>
    </row>
    <row r="1755" spans="1:1" x14ac:dyDescent="0.35">
      <c r="A1755" t="s">
        <v>1754</v>
      </c>
    </row>
    <row r="1756" spans="1:1" x14ac:dyDescent="0.35">
      <c r="A1756" t="s">
        <v>1755</v>
      </c>
    </row>
    <row r="1757" spans="1:1" x14ac:dyDescent="0.35">
      <c r="A1757" t="s">
        <v>1756</v>
      </c>
    </row>
    <row r="1758" spans="1:1" x14ac:dyDescent="0.35">
      <c r="A1758" t="s">
        <v>1757</v>
      </c>
    </row>
    <row r="1759" spans="1:1" x14ac:dyDescent="0.35">
      <c r="A1759" t="s">
        <v>1758</v>
      </c>
    </row>
    <row r="1760" spans="1:1" x14ac:dyDescent="0.35">
      <c r="A1760" t="s">
        <v>1759</v>
      </c>
    </row>
    <row r="1761" spans="1:1" x14ac:dyDescent="0.35">
      <c r="A1761" t="s">
        <v>1760</v>
      </c>
    </row>
    <row r="1762" spans="1:1" x14ac:dyDescent="0.35">
      <c r="A1762" t="s">
        <v>1761</v>
      </c>
    </row>
    <row r="1763" spans="1:1" x14ac:dyDescent="0.35">
      <c r="A1763" t="s">
        <v>1762</v>
      </c>
    </row>
    <row r="1764" spans="1:1" x14ac:dyDescent="0.35">
      <c r="A1764" t="s">
        <v>1763</v>
      </c>
    </row>
    <row r="1765" spans="1:1" x14ac:dyDescent="0.35">
      <c r="A1765" t="s">
        <v>1764</v>
      </c>
    </row>
    <row r="1766" spans="1:1" x14ac:dyDescent="0.35">
      <c r="A1766" t="s">
        <v>1765</v>
      </c>
    </row>
    <row r="1767" spans="1:1" x14ac:dyDescent="0.35">
      <c r="A1767" t="s">
        <v>1766</v>
      </c>
    </row>
    <row r="1768" spans="1:1" x14ac:dyDescent="0.35">
      <c r="A1768" t="s">
        <v>1767</v>
      </c>
    </row>
    <row r="1769" spans="1:1" x14ac:dyDescent="0.35">
      <c r="A1769" t="s">
        <v>1768</v>
      </c>
    </row>
    <row r="1770" spans="1:1" x14ac:dyDescent="0.35">
      <c r="A1770" t="s">
        <v>1769</v>
      </c>
    </row>
    <row r="1771" spans="1:1" x14ac:dyDescent="0.35">
      <c r="A1771" t="s">
        <v>1770</v>
      </c>
    </row>
    <row r="1772" spans="1:1" x14ac:dyDescent="0.35">
      <c r="A1772" t="s">
        <v>1771</v>
      </c>
    </row>
    <row r="1773" spans="1:1" x14ac:dyDescent="0.35">
      <c r="A1773" t="s">
        <v>1772</v>
      </c>
    </row>
    <row r="1774" spans="1:1" x14ac:dyDescent="0.35">
      <c r="A1774" t="s">
        <v>1773</v>
      </c>
    </row>
    <row r="1775" spans="1:1" x14ac:dyDescent="0.35">
      <c r="A1775" t="s">
        <v>1774</v>
      </c>
    </row>
    <row r="1776" spans="1:1" x14ac:dyDescent="0.35">
      <c r="A1776" t="s">
        <v>1775</v>
      </c>
    </row>
    <row r="1777" spans="1:1" x14ac:dyDescent="0.35">
      <c r="A1777" t="s">
        <v>1776</v>
      </c>
    </row>
    <row r="1778" spans="1:1" x14ac:dyDescent="0.35">
      <c r="A1778" t="s">
        <v>1777</v>
      </c>
    </row>
    <row r="1779" spans="1:1" x14ac:dyDescent="0.35">
      <c r="A1779" t="s">
        <v>1778</v>
      </c>
    </row>
    <row r="1780" spans="1:1" x14ac:dyDescent="0.35">
      <c r="A1780" t="s">
        <v>1779</v>
      </c>
    </row>
    <row r="1781" spans="1:1" x14ac:dyDescent="0.35">
      <c r="A1781" t="s">
        <v>1780</v>
      </c>
    </row>
    <row r="1782" spans="1:1" x14ac:dyDescent="0.35">
      <c r="A1782" t="s">
        <v>1781</v>
      </c>
    </row>
    <row r="1783" spans="1:1" x14ac:dyDescent="0.35">
      <c r="A1783" t="s">
        <v>1782</v>
      </c>
    </row>
    <row r="1784" spans="1:1" x14ac:dyDescent="0.35">
      <c r="A1784" t="s">
        <v>1783</v>
      </c>
    </row>
    <row r="1785" spans="1:1" x14ac:dyDescent="0.35">
      <c r="A1785" t="s">
        <v>1784</v>
      </c>
    </row>
    <row r="1786" spans="1:1" x14ac:dyDescent="0.35">
      <c r="A1786" t="s">
        <v>1785</v>
      </c>
    </row>
    <row r="1787" spans="1:1" x14ac:dyDescent="0.35">
      <c r="A1787" t="s">
        <v>1786</v>
      </c>
    </row>
    <row r="1788" spans="1:1" x14ac:dyDescent="0.35">
      <c r="A1788" t="s">
        <v>1787</v>
      </c>
    </row>
    <row r="1789" spans="1:1" x14ac:dyDescent="0.35">
      <c r="A1789" t="s">
        <v>1788</v>
      </c>
    </row>
    <row r="1790" spans="1:1" x14ac:dyDescent="0.35">
      <c r="A1790" t="s">
        <v>1789</v>
      </c>
    </row>
    <row r="1791" spans="1:1" x14ac:dyDescent="0.35">
      <c r="A1791" t="s">
        <v>1790</v>
      </c>
    </row>
    <row r="1792" spans="1:1" x14ac:dyDescent="0.35">
      <c r="A1792" t="s">
        <v>1791</v>
      </c>
    </row>
    <row r="1793" spans="1:1" x14ac:dyDescent="0.35">
      <c r="A1793" t="s">
        <v>1792</v>
      </c>
    </row>
    <row r="1794" spans="1:1" x14ac:dyDescent="0.35">
      <c r="A1794" t="s">
        <v>1793</v>
      </c>
    </row>
    <row r="1795" spans="1:1" x14ac:dyDescent="0.35">
      <c r="A1795" t="s">
        <v>1794</v>
      </c>
    </row>
    <row r="1796" spans="1:1" x14ac:dyDescent="0.35">
      <c r="A1796" t="s">
        <v>1795</v>
      </c>
    </row>
    <row r="1797" spans="1:1" x14ac:dyDescent="0.35">
      <c r="A1797" t="s">
        <v>1796</v>
      </c>
    </row>
    <row r="1798" spans="1:1" x14ac:dyDescent="0.35">
      <c r="A1798" t="s">
        <v>1797</v>
      </c>
    </row>
    <row r="1799" spans="1:1" x14ac:dyDescent="0.35">
      <c r="A1799" t="s">
        <v>1798</v>
      </c>
    </row>
    <row r="1800" spans="1:1" x14ac:dyDescent="0.35">
      <c r="A1800" t="s">
        <v>1799</v>
      </c>
    </row>
    <row r="1801" spans="1:1" x14ac:dyDescent="0.35">
      <c r="A1801" t="s">
        <v>1800</v>
      </c>
    </row>
    <row r="1802" spans="1:1" x14ac:dyDescent="0.35">
      <c r="A1802" t="s">
        <v>1801</v>
      </c>
    </row>
    <row r="1803" spans="1:1" x14ac:dyDescent="0.35">
      <c r="A1803" t="s">
        <v>1802</v>
      </c>
    </row>
    <row r="1804" spans="1:1" x14ac:dyDescent="0.35">
      <c r="A1804" t="s">
        <v>1803</v>
      </c>
    </row>
    <row r="1805" spans="1:1" x14ac:dyDescent="0.35">
      <c r="A1805" t="s">
        <v>1804</v>
      </c>
    </row>
    <row r="1806" spans="1:1" x14ac:dyDescent="0.35">
      <c r="A1806" t="s">
        <v>1805</v>
      </c>
    </row>
    <row r="1807" spans="1:1" x14ac:dyDescent="0.35">
      <c r="A1807" t="s">
        <v>1806</v>
      </c>
    </row>
    <row r="1808" spans="1:1" x14ac:dyDescent="0.35">
      <c r="A1808" t="s">
        <v>1807</v>
      </c>
    </row>
    <row r="1809" spans="1:1" x14ac:dyDescent="0.35">
      <c r="A1809" t="s">
        <v>1808</v>
      </c>
    </row>
    <row r="1810" spans="1:1" x14ac:dyDescent="0.35">
      <c r="A1810" t="s">
        <v>1809</v>
      </c>
    </row>
    <row r="1811" spans="1:1" x14ac:dyDescent="0.35">
      <c r="A1811" t="s">
        <v>1810</v>
      </c>
    </row>
    <row r="1812" spans="1:1" x14ac:dyDescent="0.35">
      <c r="A1812" t="s">
        <v>1811</v>
      </c>
    </row>
    <row r="1813" spans="1:1" x14ac:dyDescent="0.35">
      <c r="A1813" t="s">
        <v>1812</v>
      </c>
    </row>
    <row r="1814" spans="1:1" x14ac:dyDescent="0.35">
      <c r="A1814" t="s">
        <v>1813</v>
      </c>
    </row>
    <row r="1815" spans="1:1" x14ac:dyDescent="0.35">
      <c r="A1815" t="s">
        <v>1814</v>
      </c>
    </row>
    <row r="1816" spans="1:1" x14ac:dyDescent="0.35">
      <c r="A1816" t="s">
        <v>1815</v>
      </c>
    </row>
    <row r="1817" spans="1:1" x14ac:dyDescent="0.35">
      <c r="A1817" t="s">
        <v>1816</v>
      </c>
    </row>
    <row r="1818" spans="1:1" x14ac:dyDescent="0.35">
      <c r="A1818" t="s">
        <v>1817</v>
      </c>
    </row>
    <row r="1819" spans="1:1" x14ac:dyDescent="0.35">
      <c r="A1819" t="s">
        <v>1818</v>
      </c>
    </row>
    <row r="1820" spans="1:1" x14ac:dyDescent="0.35">
      <c r="A1820" t="s">
        <v>1819</v>
      </c>
    </row>
    <row r="1821" spans="1:1" x14ac:dyDescent="0.35">
      <c r="A1821" t="s">
        <v>1820</v>
      </c>
    </row>
    <row r="1822" spans="1:1" x14ac:dyDescent="0.35">
      <c r="A1822" t="s">
        <v>1821</v>
      </c>
    </row>
    <row r="1823" spans="1:1" x14ac:dyDescent="0.35">
      <c r="A1823" t="s">
        <v>1822</v>
      </c>
    </row>
    <row r="1824" spans="1:1" x14ac:dyDescent="0.35">
      <c r="A1824" t="s">
        <v>1823</v>
      </c>
    </row>
    <row r="1825" spans="1:1" x14ac:dyDescent="0.35">
      <c r="A1825" t="s">
        <v>1824</v>
      </c>
    </row>
    <row r="1826" spans="1:1" x14ac:dyDescent="0.35">
      <c r="A1826" t="s">
        <v>1825</v>
      </c>
    </row>
    <row r="1827" spans="1:1" x14ac:dyDescent="0.35">
      <c r="A1827" t="s">
        <v>1826</v>
      </c>
    </row>
    <row r="1828" spans="1:1" x14ac:dyDescent="0.35">
      <c r="A1828" t="s">
        <v>1827</v>
      </c>
    </row>
    <row r="1829" spans="1:1" x14ac:dyDescent="0.35">
      <c r="A1829" t="s">
        <v>1828</v>
      </c>
    </row>
    <row r="1830" spans="1:1" x14ac:dyDescent="0.35">
      <c r="A1830" t="s">
        <v>1829</v>
      </c>
    </row>
    <row r="1831" spans="1:1" x14ac:dyDescent="0.35">
      <c r="A1831" t="s">
        <v>1830</v>
      </c>
    </row>
    <row r="1832" spans="1:1" x14ac:dyDescent="0.35">
      <c r="A1832" t="s">
        <v>1831</v>
      </c>
    </row>
    <row r="1833" spans="1:1" x14ac:dyDescent="0.35">
      <c r="A1833" t="s">
        <v>1832</v>
      </c>
    </row>
    <row r="1834" spans="1:1" x14ac:dyDescent="0.35">
      <c r="A1834" t="s">
        <v>1833</v>
      </c>
    </row>
    <row r="1835" spans="1:1" x14ac:dyDescent="0.35">
      <c r="A1835" t="s">
        <v>1834</v>
      </c>
    </row>
    <row r="1836" spans="1:1" x14ac:dyDescent="0.35">
      <c r="A1836" t="s">
        <v>1835</v>
      </c>
    </row>
    <row r="1837" spans="1:1" x14ac:dyDescent="0.35">
      <c r="A1837" t="s">
        <v>1836</v>
      </c>
    </row>
    <row r="1838" spans="1:1" x14ac:dyDescent="0.35">
      <c r="A1838" t="s">
        <v>1837</v>
      </c>
    </row>
    <row r="1839" spans="1:1" x14ac:dyDescent="0.35">
      <c r="A1839" t="s">
        <v>1838</v>
      </c>
    </row>
    <row r="1840" spans="1:1" x14ac:dyDescent="0.35">
      <c r="A1840" t="s">
        <v>1839</v>
      </c>
    </row>
    <row r="1841" spans="1:1" x14ac:dyDescent="0.35">
      <c r="A1841" t="s">
        <v>1840</v>
      </c>
    </row>
    <row r="1842" spans="1:1" x14ac:dyDescent="0.35">
      <c r="A1842" t="s">
        <v>1841</v>
      </c>
    </row>
    <row r="1843" spans="1:1" x14ac:dyDescent="0.35">
      <c r="A1843" t="s">
        <v>1842</v>
      </c>
    </row>
    <row r="1844" spans="1:1" x14ac:dyDescent="0.35">
      <c r="A1844" t="s">
        <v>1843</v>
      </c>
    </row>
    <row r="1845" spans="1:1" x14ac:dyDescent="0.35">
      <c r="A1845" t="s">
        <v>1844</v>
      </c>
    </row>
    <row r="1846" spans="1:1" x14ac:dyDescent="0.35">
      <c r="A1846" t="s">
        <v>1845</v>
      </c>
    </row>
    <row r="1847" spans="1:1" x14ac:dyDescent="0.35">
      <c r="A1847" t="s">
        <v>1846</v>
      </c>
    </row>
    <row r="1848" spans="1:1" x14ac:dyDescent="0.35">
      <c r="A1848" t="s">
        <v>1847</v>
      </c>
    </row>
    <row r="1849" spans="1:1" x14ac:dyDescent="0.35">
      <c r="A1849" t="s">
        <v>1848</v>
      </c>
    </row>
    <row r="1850" spans="1:1" x14ac:dyDescent="0.35">
      <c r="A1850" t="s">
        <v>1849</v>
      </c>
    </row>
    <row r="1851" spans="1:1" x14ac:dyDescent="0.35">
      <c r="A1851" t="s">
        <v>1850</v>
      </c>
    </row>
    <row r="1852" spans="1:1" x14ac:dyDescent="0.35">
      <c r="A1852" t="s">
        <v>1851</v>
      </c>
    </row>
    <row r="1853" spans="1:1" x14ac:dyDescent="0.35">
      <c r="A1853" t="s">
        <v>1852</v>
      </c>
    </row>
    <row r="1854" spans="1:1" x14ac:dyDescent="0.35">
      <c r="A1854" t="s">
        <v>1853</v>
      </c>
    </row>
    <row r="1855" spans="1:1" x14ac:dyDescent="0.35">
      <c r="A1855" t="s">
        <v>1854</v>
      </c>
    </row>
    <row r="1856" spans="1:1" x14ac:dyDescent="0.35">
      <c r="A1856" t="s">
        <v>1855</v>
      </c>
    </row>
    <row r="1857" spans="1:1" x14ac:dyDescent="0.35">
      <c r="A1857" t="s">
        <v>1856</v>
      </c>
    </row>
    <row r="1858" spans="1:1" x14ac:dyDescent="0.35">
      <c r="A1858" t="s">
        <v>1857</v>
      </c>
    </row>
    <row r="1859" spans="1:1" x14ac:dyDescent="0.35">
      <c r="A1859" t="s">
        <v>1858</v>
      </c>
    </row>
    <row r="1860" spans="1:1" x14ac:dyDescent="0.35">
      <c r="A1860" t="s">
        <v>1859</v>
      </c>
    </row>
    <row r="1861" spans="1:1" x14ac:dyDescent="0.35">
      <c r="A1861" t="s">
        <v>1860</v>
      </c>
    </row>
    <row r="1862" spans="1:1" x14ac:dyDescent="0.35">
      <c r="A1862" t="s">
        <v>1861</v>
      </c>
    </row>
    <row r="1863" spans="1:1" x14ac:dyDescent="0.35">
      <c r="A1863" t="s">
        <v>1862</v>
      </c>
    </row>
    <row r="1864" spans="1:1" x14ac:dyDescent="0.35">
      <c r="A1864" t="s">
        <v>1863</v>
      </c>
    </row>
    <row r="1865" spans="1:1" x14ac:dyDescent="0.35">
      <c r="A1865" t="s">
        <v>1864</v>
      </c>
    </row>
    <row r="1866" spans="1:1" x14ac:dyDescent="0.35">
      <c r="A1866" t="s">
        <v>1865</v>
      </c>
    </row>
    <row r="1867" spans="1:1" x14ac:dyDescent="0.35">
      <c r="A1867" t="s">
        <v>1866</v>
      </c>
    </row>
    <row r="1868" spans="1:1" x14ac:dyDescent="0.35">
      <c r="A1868" t="s">
        <v>1867</v>
      </c>
    </row>
    <row r="1869" spans="1:1" x14ac:dyDescent="0.35">
      <c r="A1869" t="s">
        <v>1868</v>
      </c>
    </row>
    <row r="1870" spans="1:1" x14ac:dyDescent="0.35">
      <c r="A1870" t="s">
        <v>1869</v>
      </c>
    </row>
    <row r="1871" spans="1:1" x14ac:dyDescent="0.35">
      <c r="A1871" t="s">
        <v>1870</v>
      </c>
    </row>
    <row r="1872" spans="1:1" x14ac:dyDescent="0.35">
      <c r="A1872" t="s">
        <v>1871</v>
      </c>
    </row>
    <row r="1873" spans="1:1" x14ac:dyDescent="0.35">
      <c r="A1873" t="s">
        <v>1872</v>
      </c>
    </row>
    <row r="1874" spans="1:1" x14ac:dyDescent="0.35">
      <c r="A1874" t="s">
        <v>1873</v>
      </c>
    </row>
    <row r="1875" spans="1:1" x14ac:dyDescent="0.35">
      <c r="A1875" t="s">
        <v>1874</v>
      </c>
    </row>
    <row r="1876" spans="1:1" x14ac:dyDescent="0.35">
      <c r="A1876" t="s">
        <v>1875</v>
      </c>
    </row>
    <row r="1877" spans="1:1" x14ac:dyDescent="0.35">
      <c r="A1877" t="s">
        <v>1876</v>
      </c>
    </row>
    <row r="1878" spans="1:1" x14ac:dyDescent="0.35">
      <c r="A1878" t="s">
        <v>1877</v>
      </c>
    </row>
    <row r="1879" spans="1:1" x14ac:dyDescent="0.35">
      <c r="A1879" t="s">
        <v>1878</v>
      </c>
    </row>
    <row r="1880" spans="1:1" x14ac:dyDescent="0.35">
      <c r="A1880" t="s">
        <v>1879</v>
      </c>
    </row>
    <row r="1881" spans="1:1" x14ac:dyDescent="0.35">
      <c r="A1881" t="s">
        <v>1880</v>
      </c>
    </row>
    <row r="1882" spans="1:1" x14ac:dyDescent="0.35">
      <c r="A1882" t="s">
        <v>1881</v>
      </c>
    </row>
    <row r="1883" spans="1:1" x14ac:dyDescent="0.35">
      <c r="A1883" t="s">
        <v>1882</v>
      </c>
    </row>
    <row r="1884" spans="1:1" x14ac:dyDescent="0.35">
      <c r="A1884" t="s">
        <v>1883</v>
      </c>
    </row>
    <row r="1885" spans="1:1" x14ac:dyDescent="0.35">
      <c r="A1885" t="s">
        <v>1884</v>
      </c>
    </row>
    <row r="1886" spans="1:1" x14ac:dyDescent="0.35">
      <c r="A1886" t="s">
        <v>1885</v>
      </c>
    </row>
    <row r="1887" spans="1:1" x14ac:dyDescent="0.35">
      <c r="A1887" t="s">
        <v>1886</v>
      </c>
    </row>
    <row r="1888" spans="1:1" x14ac:dyDescent="0.35">
      <c r="A1888" t="s">
        <v>1887</v>
      </c>
    </row>
    <row r="1889" spans="1:1" x14ac:dyDescent="0.35">
      <c r="A1889" t="s">
        <v>1888</v>
      </c>
    </row>
    <row r="1890" spans="1:1" x14ac:dyDescent="0.35">
      <c r="A1890" t="s">
        <v>1889</v>
      </c>
    </row>
    <row r="1891" spans="1:1" x14ac:dyDescent="0.35">
      <c r="A1891" t="s">
        <v>1890</v>
      </c>
    </row>
    <row r="1892" spans="1:1" x14ac:dyDescent="0.35">
      <c r="A1892" t="s">
        <v>1891</v>
      </c>
    </row>
    <row r="1893" spans="1:1" x14ac:dyDescent="0.35">
      <c r="A1893" t="s">
        <v>1892</v>
      </c>
    </row>
    <row r="1894" spans="1:1" x14ac:dyDescent="0.35">
      <c r="A1894" t="s">
        <v>1893</v>
      </c>
    </row>
    <row r="1895" spans="1:1" x14ac:dyDescent="0.35">
      <c r="A1895" t="s">
        <v>1894</v>
      </c>
    </row>
    <row r="1896" spans="1:1" x14ac:dyDescent="0.35">
      <c r="A1896" t="s">
        <v>1895</v>
      </c>
    </row>
    <row r="1897" spans="1:1" x14ac:dyDescent="0.35">
      <c r="A1897" t="s">
        <v>1896</v>
      </c>
    </row>
    <row r="1898" spans="1:1" x14ac:dyDescent="0.35">
      <c r="A1898" t="s">
        <v>1897</v>
      </c>
    </row>
    <row r="1899" spans="1:1" x14ac:dyDescent="0.35">
      <c r="A1899" t="s">
        <v>1898</v>
      </c>
    </row>
    <row r="1900" spans="1:1" x14ac:dyDescent="0.35">
      <c r="A1900" t="s">
        <v>1899</v>
      </c>
    </row>
    <row r="1901" spans="1:1" x14ac:dyDescent="0.35">
      <c r="A1901" t="s">
        <v>1900</v>
      </c>
    </row>
    <row r="1902" spans="1:1" x14ac:dyDescent="0.35">
      <c r="A1902" t="s">
        <v>1901</v>
      </c>
    </row>
    <row r="1903" spans="1:1" x14ac:dyDescent="0.35">
      <c r="A1903" t="s">
        <v>1902</v>
      </c>
    </row>
    <row r="1904" spans="1:1" x14ac:dyDescent="0.35">
      <c r="A1904" t="s">
        <v>1903</v>
      </c>
    </row>
    <row r="1905" spans="1:1" x14ac:dyDescent="0.35">
      <c r="A1905" t="s">
        <v>1904</v>
      </c>
    </row>
    <row r="1906" spans="1:1" x14ac:dyDescent="0.35">
      <c r="A1906" t="s">
        <v>1905</v>
      </c>
    </row>
    <row r="1907" spans="1:1" x14ac:dyDescent="0.35">
      <c r="A1907" t="s">
        <v>1906</v>
      </c>
    </row>
    <row r="1908" spans="1:1" x14ac:dyDescent="0.35">
      <c r="A1908" t="s">
        <v>1907</v>
      </c>
    </row>
    <row r="1909" spans="1:1" x14ac:dyDescent="0.35">
      <c r="A1909" t="s">
        <v>1908</v>
      </c>
    </row>
    <row r="1910" spans="1:1" x14ac:dyDescent="0.35">
      <c r="A1910" t="s">
        <v>1909</v>
      </c>
    </row>
    <row r="1911" spans="1:1" x14ac:dyDescent="0.35">
      <c r="A1911" t="s">
        <v>1910</v>
      </c>
    </row>
    <row r="1912" spans="1:1" x14ac:dyDescent="0.35">
      <c r="A1912" t="s">
        <v>1911</v>
      </c>
    </row>
    <row r="1913" spans="1:1" x14ac:dyDescent="0.35">
      <c r="A1913" t="s">
        <v>1912</v>
      </c>
    </row>
    <row r="1914" spans="1:1" x14ac:dyDescent="0.35">
      <c r="A1914" t="s">
        <v>1913</v>
      </c>
    </row>
    <row r="1915" spans="1:1" x14ac:dyDescent="0.35">
      <c r="A1915" t="s">
        <v>1914</v>
      </c>
    </row>
    <row r="1916" spans="1:1" x14ac:dyDescent="0.35">
      <c r="A1916" t="s">
        <v>1915</v>
      </c>
    </row>
    <row r="1917" spans="1:1" x14ac:dyDescent="0.35">
      <c r="A1917" t="s">
        <v>1916</v>
      </c>
    </row>
    <row r="1918" spans="1:1" x14ac:dyDescent="0.35">
      <c r="A1918" t="s">
        <v>1917</v>
      </c>
    </row>
    <row r="1919" spans="1:1" x14ac:dyDescent="0.35">
      <c r="A1919" t="s">
        <v>1918</v>
      </c>
    </row>
    <row r="1920" spans="1:1" x14ac:dyDescent="0.35">
      <c r="A1920" t="s">
        <v>1919</v>
      </c>
    </row>
    <row r="1921" spans="1:1" x14ac:dyDescent="0.35">
      <c r="A1921" t="s">
        <v>1920</v>
      </c>
    </row>
    <row r="1922" spans="1:1" x14ac:dyDescent="0.35">
      <c r="A1922" t="s">
        <v>1921</v>
      </c>
    </row>
    <row r="1923" spans="1:1" x14ac:dyDescent="0.35">
      <c r="A1923" t="s">
        <v>1922</v>
      </c>
    </row>
    <row r="1924" spans="1:1" x14ac:dyDescent="0.35">
      <c r="A1924" t="s">
        <v>1923</v>
      </c>
    </row>
    <row r="1925" spans="1:1" x14ac:dyDescent="0.35">
      <c r="A1925" t="s">
        <v>1924</v>
      </c>
    </row>
    <row r="1926" spans="1:1" x14ac:dyDescent="0.35">
      <c r="A1926" t="s">
        <v>1925</v>
      </c>
    </row>
    <row r="1927" spans="1:1" x14ac:dyDescent="0.35">
      <c r="A1927" t="s">
        <v>1926</v>
      </c>
    </row>
    <row r="1928" spans="1:1" x14ac:dyDescent="0.35">
      <c r="A1928" t="s">
        <v>1927</v>
      </c>
    </row>
    <row r="1929" spans="1:1" x14ac:dyDescent="0.35">
      <c r="A1929" t="s">
        <v>1928</v>
      </c>
    </row>
    <row r="1930" spans="1:1" x14ac:dyDescent="0.35">
      <c r="A1930" t="s">
        <v>1929</v>
      </c>
    </row>
    <row r="1931" spans="1:1" x14ac:dyDescent="0.35">
      <c r="A1931" t="s">
        <v>1930</v>
      </c>
    </row>
    <row r="1932" spans="1:1" x14ac:dyDescent="0.35">
      <c r="A1932" t="s">
        <v>1931</v>
      </c>
    </row>
    <row r="1933" spans="1:1" x14ac:dyDescent="0.35">
      <c r="A1933" t="s">
        <v>1932</v>
      </c>
    </row>
    <row r="1934" spans="1:1" x14ac:dyDescent="0.35">
      <c r="A1934" t="s">
        <v>1933</v>
      </c>
    </row>
    <row r="1935" spans="1:1" x14ac:dyDescent="0.35">
      <c r="A1935" t="s">
        <v>1934</v>
      </c>
    </row>
    <row r="1936" spans="1:1" x14ac:dyDescent="0.35">
      <c r="A1936" t="s">
        <v>1935</v>
      </c>
    </row>
    <row r="1937" spans="1:1" x14ac:dyDescent="0.35">
      <c r="A1937" t="s">
        <v>1936</v>
      </c>
    </row>
    <row r="1938" spans="1:1" x14ac:dyDescent="0.35">
      <c r="A1938" t="s">
        <v>1937</v>
      </c>
    </row>
    <row r="1939" spans="1:1" x14ac:dyDescent="0.35">
      <c r="A1939" t="s">
        <v>1938</v>
      </c>
    </row>
    <row r="1940" spans="1:1" x14ac:dyDescent="0.35">
      <c r="A1940" t="s">
        <v>1939</v>
      </c>
    </row>
    <row r="1941" spans="1:1" x14ac:dyDescent="0.35">
      <c r="A1941" t="s">
        <v>1940</v>
      </c>
    </row>
    <row r="1942" spans="1:1" x14ac:dyDescent="0.35">
      <c r="A1942" t="s">
        <v>1941</v>
      </c>
    </row>
    <row r="1943" spans="1:1" x14ac:dyDescent="0.35">
      <c r="A1943" t="s">
        <v>1942</v>
      </c>
    </row>
    <row r="1944" spans="1:1" x14ac:dyDescent="0.35">
      <c r="A1944" t="s">
        <v>1943</v>
      </c>
    </row>
    <row r="1945" spans="1:1" x14ac:dyDescent="0.35">
      <c r="A1945" t="s">
        <v>1944</v>
      </c>
    </row>
    <row r="1946" spans="1:1" x14ac:dyDescent="0.35">
      <c r="A1946" t="s">
        <v>1945</v>
      </c>
    </row>
    <row r="1947" spans="1:1" x14ac:dyDescent="0.35">
      <c r="A1947" t="s">
        <v>1946</v>
      </c>
    </row>
    <row r="1948" spans="1:1" x14ac:dyDescent="0.35">
      <c r="A1948" t="s">
        <v>1947</v>
      </c>
    </row>
    <row r="1949" spans="1:1" x14ac:dyDescent="0.35">
      <c r="A1949" t="s">
        <v>1948</v>
      </c>
    </row>
    <row r="1950" spans="1:1" x14ac:dyDescent="0.35">
      <c r="A1950" t="s">
        <v>1949</v>
      </c>
    </row>
    <row r="1951" spans="1:1" x14ac:dyDescent="0.35">
      <c r="A1951" t="s">
        <v>1950</v>
      </c>
    </row>
    <row r="1952" spans="1:1" x14ac:dyDescent="0.35">
      <c r="A1952" t="s">
        <v>1951</v>
      </c>
    </row>
    <row r="1953" spans="1:1" x14ac:dyDescent="0.35">
      <c r="A1953" t="s">
        <v>1952</v>
      </c>
    </row>
    <row r="1954" spans="1:1" x14ac:dyDescent="0.35">
      <c r="A1954" t="s">
        <v>1953</v>
      </c>
    </row>
    <row r="1955" spans="1:1" x14ac:dyDescent="0.35">
      <c r="A1955" t="s">
        <v>1954</v>
      </c>
    </row>
    <row r="1956" spans="1:1" x14ac:dyDescent="0.35">
      <c r="A1956" t="s">
        <v>1955</v>
      </c>
    </row>
    <row r="1957" spans="1:1" x14ac:dyDescent="0.35">
      <c r="A1957" t="s">
        <v>1956</v>
      </c>
    </row>
    <row r="1958" spans="1:1" x14ac:dyDescent="0.35">
      <c r="A1958" t="s">
        <v>1957</v>
      </c>
    </row>
    <row r="1959" spans="1:1" x14ac:dyDescent="0.35">
      <c r="A1959" t="s">
        <v>1958</v>
      </c>
    </row>
    <row r="1960" spans="1:1" x14ac:dyDescent="0.35">
      <c r="A1960" t="s">
        <v>1959</v>
      </c>
    </row>
    <row r="1961" spans="1:1" x14ac:dyDescent="0.35">
      <c r="A1961" t="s">
        <v>1960</v>
      </c>
    </row>
    <row r="1962" spans="1:1" x14ac:dyDescent="0.35">
      <c r="A1962" t="s">
        <v>1961</v>
      </c>
    </row>
    <row r="1963" spans="1:1" x14ac:dyDescent="0.35">
      <c r="A1963" t="s">
        <v>1962</v>
      </c>
    </row>
    <row r="1964" spans="1:1" x14ac:dyDescent="0.35">
      <c r="A1964" t="s">
        <v>1963</v>
      </c>
    </row>
    <row r="1965" spans="1:1" x14ac:dyDescent="0.35">
      <c r="A1965" t="s">
        <v>1964</v>
      </c>
    </row>
    <row r="1966" spans="1:1" x14ac:dyDescent="0.35">
      <c r="A1966" t="s">
        <v>1965</v>
      </c>
    </row>
    <row r="1967" spans="1:1" x14ac:dyDescent="0.35">
      <c r="A1967" t="s">
        <v>1966</v>
      </c>
    </row>
    <row r="1968" spans="1:1" x14ac:dyDescent="0.35">
      <c r="A1968" t="s">
        <v>1967</v>
      </c>
    </row>
    <row r="1969" spans="1:1" x14ac:dyDescent="0.35">
      <c r="A1969" t="s">
        <v>1968</v>
      </c>
    </row>
    <row r="1970" spans="1:1" x14ac:dyDescent="0.35">
      <c r="A1970" t="s">
        <v>1969</v>
      </c>
    </row>
    <row r="1971" spans="1:1" x14ac:dyDescent="0.35">
      <c r="A1971" t="s">
        <v>1970</v>
      </c>
    </row>
    <row r="1972" spans="1:1" x14ac:dyDescent="0.35">
      <c r="A1972" t="s">
        <v>1971</v>
      </c>
    </row>
    <row r="1973" spans="1:1" x14ac:dyDescent="0.35">
      <c r="A1973" t="s">
        <v>1972</v>
      </c>
    </row>
    <row r="1974" spans="1:1" x14ac:dyDescent="0.35">
      <c r="A1974" t="s">
        <v>1973</v>
      </c>
    </row>
    <row r="1975" spans="1:1" x14ac:dyDescent="0.35">
      <c r="A1975" t="s">
        <v>1974</v>
      </c>
    </row>
    <row r="1976" spans="1:1" x14ac:dyDescent="0.35">
      <c r="A1976" t="s">
        <v>1975</v>
      </c>
    </row>
    <row r="1977" spans="1:1" x14ac:dyDescent="0.35">
      <c r="A1977" t="s">
        <v>1976</v>
      </c>
    </row>
    <row r="1978" spans="1:1" x14ac:dyDescent="0.35">
      <c r="A1978" t="s">
        <v>1977</v>
      </c>
    </row>
    <row r="1979" spans="1:1" x14ac:dyDescent="0.35">
      <c r="A1979" t="s">
        <v>1978</v>
      </c>
    </row>
    <row r="1980" spans="1:1" x14ac:dyDescent="0.35">
      <c r="A1980" t="s">
        <v>1979</v>
      </c>
    </row>
    <row r="1981" spans="1:1" x14ac:dyDescent="0.35">
      <c r="A1981" t="s">
        <v>1980</v>
      </c>
    </row>
    <row r="1982" spans="1:1" x14ac:dyDescent="0.35">
      <c r="A1982" t="s">
        <v>1981</v>
      </c>
    </row>
    <row r="1983" spans="1:1" x14ac:dyDescent="0.35">
      <c r="A1983" t="s">
        <v>1982</v>
      </c>
    </row>
    <row r="1984" spans="1:1" x14ac:dyDescent="0.35">
      <c r="A1984" t="s">
        <v>1983</v>
      </c>
    </row>
    <row r="1985" spans="1:1" x14ac:dyDescent="0.35">
      <c r="A1985" t="s">
        <v>1984</v>
      </c>
    </row>
    <row r="1986" spans="1:1" x14ac:dyDescent="0.35">
      <c r="A1986" t="s">
        <v>1985</v>
      </c>
    </row>
    <row r="1987" spans="1:1" x14ac:dyDescent="0.35">
      <c r="A1987" t="s">
        <v>1986</v>
      </c>
    </row>
    <row r="1988" spans="1:1" x14ac:dyDescent="0.35">
      <c r="A1988" t="s">
        <v>1987</v>
      </c>
    </row>
    <row r="1989" spans="1:1" x14ac:dyDescent="0.35">
      <c r="A1989" t="s">
        <v>1988</v>
      </c>
    </row>
    <row r="1990" spans="1:1" x14ac:dyDescent="0.35">
      <c r="A1990" t="s">
        <v>1989</v>
      </c>
    </row>
    <row r="1991" spans="1:1" x14ac:dyDescent="0.35">
      <c r="A1991" t="s">
        <v>1990</v>
      </c>
    </row>
    <row r="1992" spans="1:1" x14ac:dyDescent="0.35">
      <c r="A1992" t="s">
        <v>1991</v>
      </c>
    </row>
    <row r="1993" spans="1:1" x14ac:dyDescent="0.35">
      <c r="A1993" t="s">
        <v>1992</v>
      </c>
    </row>
    <row r="1994" spans="1:1" x14ac:dyDescent="0.35">
      <c r="A1994" t="s">
        <v>1993</v>
      </c>
    </row>
    <row r="1995" spans="1:1" x14ac:dyDescent="0.35">
      <c r="A1995" t="s">
        <v>1994</v>
      </c>
    </row>
    <row r="1996" spans="1:1" x14ac:dyDescent="0.35">
      <c r="A1996" t="s">
        <v>1995</v>
      </c>
    </row>
    <row r="1997" spans="1:1" x14ac:dyDescent="0.35">
      <c r="A1997" t="s">
        <v>1996</v>
      </c>
    </row>
    <row r="1998" spans="1:1" x14ac:dyDescent="0.35">
      <c r="A1998" t="s">
        <v>1997</v>
      </c>
    </row>
    <row r="1999" spans="1:1" x14ac:dyDescent="0.35">
      <c r="A1999" t="s">
        <v>1998</v>
      </c>
    </row>
    <row r="2000" spans="1:1" x14ac:dyDescent="0.35">
      <c r="A2000" t="s">
        <v>1999</v>
      </c>
    </row>
    <row r="2001" spans="1:1" x14ac:dyDescent="0.35">
      <c r="A2001" t="s">
        <v>2000</v>
      </c>
    </row>
    <row r="2002" spans="1:1" x14ac:dyDescent="0.35">
      <c r="A2002" t="s">
        <v>2001</v>
      </c>
    </row>
    <row r="2003" spans="1:1" x14ac:dyDescent="0.35">
      <c r="A2003" t="s">
        <v>2002</v>
      </c>
    </row>
    <row r="2004" spans="1:1" x14ac:dyDescent="0.35">
      <c r="A2004" t="s">
        <v>2003</v>
      </c>
    </row>
    <row r="2005" spans="1:1" x14ac:dyDescent="0.35">
      <c r="A2005" t="s">
        <v>2004</v>
      </c>
    </row>
    <row r="2006" spans="1:1" x14ac:dyDescent="0.35">
      <c r="A2006" t="s">
        <v>2005</v>
      </c>
    </row>
    <row r="2007" spans="1:1" x14ac:dyDescent="0.35">
      <c r="A2007" t="s">
        <v>2006</v>
      </c>
    </row>
    <row r="2008" spans="1:1" x14ac:dyDescent="0.35">
      <c r="A2008" t="s">
        <v>2007</v>
      </c>
    </row>
    <row r="2009" spans="1:1" x14ac:dyDescent="0.35">
      <c r="A2009" t="s">
        <v>2008</v>
      </c>
    </row>
    <row r="2010" spans="1:1" x14ac:dyDescent="0.35">
      <c r="A2010" t="s">
        <v>2009</v>
      </c>
    </row>
    <row r="2011" spans="1:1" x14ac:dyDescent="0.35">
      <c r="A2011" t="s">
        <v>2010</v>
      </c>
    </row>
    <row r="2012" spans="1:1" x14ac:dyDescent="0.35">
      <c r="A2012" t="s">
        <v>2011</v>
      </c>
    </row>
    <row r="2013" spans="1:1" x14ac:dyDescent="0.35">
      <c r="A2013" t="s">
        <v>2012</v>
      </c>
    </row>
    <row r="2014" spans="1:1" x14ac:dyDescent="0.35">
      <c r="A2014" t="s">
        <v>2013</v>
      </c>
    </row>
    <row r="2015" spans="1:1" x14ac:dyDescent="0.35">
      <c r="A2015" t="s">
        <v>2014</v>
      </c>
    </row>
    <row r="2016" spans="1:1" x14ac:dyDescent="0.35">
      <c r="A2016" t="s">
        <v>2015</v>
      </c>
    </row>
    <row r="2017" spans="1:1" x14ac:dyDescent="0.35">
      <c r="A2017" t="s">
        <v>2016</v>
      </c>
    </row>
    <row r="2018" spans="1:1" x14ac:dyDescent="0.35">
      <c r="A2018" t="s">
        <v>2017</v>
      </c>
    </row>
    <row r="2019" spans="1:1" x14ac:dyDescent="0.35">
      <c r="A2019" t="s">
        <v>2018</v>
      </c>
    </row>
    <row r="2020" spans="1:1" x14ac:dyDescent="0.35">
      <c r="A2020" t="s">
        <v>2019</v>
      </c>
    </row>
    <row r="2021" spans="1:1" x14ac:dyDescent="0.35">
      <c r="A2021" t="s">
        <v>2020</v>
      </c>
    </row>
    <row r="2022" spans="1:1" x14ac:dyDescent="0.35">
      <c r="A2022" t="s">
        <v>2021</v>
      </c>
    </row>
    <row r="2023" spans="1:1" x14ac:dyDescent="0.35">
      <c r="A2023" t="s">
        <v>2022</v>
      </c>
    </row>
    <row r="2024" spans="1:1" x14ac:dyDescent="0.35">
      <c r="A2024" t="s">
        <v>2023</v>
      </c>
    </row>
    <row r="2025" spans="1:1" x14ac:dyDescent="0.35">
      <c r="A2025" t="s">
        <v>2024</v>
      </c>
    </row>
    <row r="2026" spans="1:1" x14ac:dyDescent="0.35">
      <c r="A2026" t="s">
        <v>2025</v>
      </c>
    </row>
    <row r="2027" spans="1:1" x14ac:dyDescent="0.35">
      <c r="A2027" t="s">
        <v>2026</v>
      </c>
    </row>
    <row r="2028" spans="1:1" x14ac:dyDescent="0.35">
      <c r="A2028" t="s">
        <v>2027</v>
      </c>
    </row>
    <row r="2029" spans="1:1" x14ac:dyDescent="0.35">
      <c r="A2029" t="s">
        <v>2028</v>
      </c>
    </row>
    <row r="2030" spans="1:1" x14ac:dyDescent="0.35">
      <c r="A2030" t="s">
        <v>2029</v>
      </c>
    </row>
    <row r="2031" spans="1:1" x14ac:dyDescent="0.35">
      <c r="A2031" t="s">
        <v>2030</v>
      </c>
    </row>
    <row r="2032" spans="1:1" x14ac:dyDescent="0.35">
      <c r="A2032" t="s">
        <v>2031</v>
      </c>
    </row>
    <row r="2033" spans="1:1" x14ac:dyDescent="0.35">
      <c r="A2033" t="s">
        <v>2032</v>
      </c>
    </row>
    <row r="2034" spans="1:1" x14ac:dyDescent="0.35">
      <c r="A2034" t="s">
        <v>2033</v>
      </c>
    </row>
    <row r="2035" spans="1:1" x14ac:dyDescent="0.35">
      <c r="A2035" t="s">
        <v>2034</v>
      </c>
    </row>
    <row r="2036" spans="1:1" x14ac:dyDescent="0.35">
      <c r="A2036" t="s">
        <v>2035</v>
      </c>
    </row>
    <row r="2037" spans="1:1" x14ac:dyDescent="0.35">
      <c r="A2037" t="s">
        <v>2036</v>
      </c>
    </row>
    <row r="2038" spans="1:1" x14ac:dyDescent="0.35">
      <c r="A2038" t="s">
        <v>2037</v>
      </c>
    </row>
    <row r="2039" spans="1:1" x14ac:dyDescent="0.35">
      <c r="A2039" t="s">
        <v>2038</v>
      </c>
    </row>
    <row r="2040" spans="1:1" x14ac:dyDescent="0.35">
      <c r="A2040" t="s">
        <v>2039</v>
      </c>
    </row>
    <row r="2041" spans="1:1" x14ac:dyDescent="0.35">
      <c r="A2041" t="s">
        <v>2040</v>
      </c>
    </row>
    <row r="2042" spans="1:1" x14ac:dyDescent="0.35">
      <c r="A2042" t="s">
        <v>2041</v>
      </c>
    </row>
    <row r="2043" spans="1:1" x14ac:dyDescent="0.35">
      <c r="A2043" t="s">
        <v>2042</v>
      </c>
    </row>
    <row r="2044" spans="1:1" x14ac:dyDescent="0.35">
      <c r="A2044" t="s">
        <v>2043</v>
      </c>
    </row>
    <row r="2045" spans="1:1" x14ac:dyDescent="0.35">
      <c r="A2045" t="s">
        <v>2044</v>
      </c>
    </row>
    <row r="2046" spans="1:1" x14ac:dyDescent="0.35">
      <c r="A2046" t="s">
        <v>2045</v>
      </c>
    </row>
    <row r="2047" spans="1:1" x14ac:dyDescent="0.35">
      <c r="A2047" t="s">
        <v>2046</v>
      </c>
    </row>
    <row r="2048" spans="1:1" x14ac:dyDescent="0.35">
      <c r="A2048" t="s">
        <v>2047</v>
      </c>
    </row>
    <row r="2049" spans="1:1" x14ac:dyDescent="0.35">
      <c r="A2049" t="s">
        <v>2048</v>
      </c>
    </row>
    <row r="2050" spans="1:1" x14ac:dyDescent="0.35">
      <c r="A2050" t="s">
        <v>2049</v>
      </c>
    </row>
    <row r="2051" spans="1:1" x14ac:dyDescent="0.35">
      <c r="A2051" t="s">
        <v>2050</v>
      </c>
    </row>
    <row r="2052" spans="1:1" x14ac:dyDescent="0.35">
      <c r="A2052" t="s">
        <v>2051</v>
      </c>
    </row>
    <row r="2053" spans="1:1" x14ac:dyDescent="0.35">
      <c r="A2053" t="s">
        <v>2052</v>
      </c>
    </row>
    <row r="2054" spans="1:1" x14ac:dyDescent="0.35">
      <c r="A2054" t="s">
        <v>2053</v>
      </c>
    </row>
    <row r="2055" spans="1:1" x14ac:dyDescent="0.35">
      <c r="A2055" t="s">
        <v>2054</v>
      </c>
    </row>
    <row r="2056" spans="1:1" x14ac:dyDescent="0.35">
      <c r="A2056" t="s">
        <v>2055</v>
      </c>
    </row>
    <row r="2057" spans="1:1" x14ac:dyDescent="0.35">
      <c r="A2057" t="s">
        <v>2056</v>
      </c>
    </row>
    <row r="2058" spans="1:1" x14ac:dyDescent="0.35">
      <c r="A2058" t="s">
        <v>2057</v>
      </c>
    </row>
    <row r="2059" spans="1:1" x14ac:dyDescent="0.35">
      <c r="A2059" t="s">
        <v>2058</v>
      </c>
    </row>
    <row r="2060" spans="1:1" x14ac:dyDescent="0.35">
      <c r="A2060" t="s">
        <v>2059</v>
      </c>
    </row>
    <row r="2061" spans="1:1" x14ac:dyDescent="0.35">
      <c r="A2061" t="s">
        <v>2060</v>
      </c>
    </row>
    <row r="2062" spans="1:1" x14ac:dyDescent="0.35">
      <c r="A2062" t="s">
        <v>2061</v>
      </c>
    </row>
    <row r="2063" spans="1:1" x14ac:dyDescent="0.35">
      <c r="A2063" t="s">
        <v>2062</v>
      </c>
    </row>
    <row r="2064" spans="1:1" x14ac:dyDescent="0.35">
      <c r="A2064" t="s">
        <v>2063</v>
      </c>
    </row>
    <row r="2065" spans="1:1" x14ac:dyDescent="0.35">
      <c r="A2065" t="s">
        <v>2064</v>
      </c>
    </row>
    <row r="2066" spans="1:1" x14ac:dyDescent="0.35">
      <c r="A2066" t="s">
        <v>2065</v>
      </c>
    </row>
    <row r="2067" spans="1:1" x14ac:dyDescent="0.35">
      <c r="A2067" t="s">
        <v>2066</v>
      </c>
    </row>
    <row r="2068" spans="1:1" x14ac:dyDescent="0.35">
      <c r="A2068" t="s">
        <v>2067</v>
      </c>
    </row>
    <row r="2069" spans="1:1" x14ac:dyDescent="0.35">
      <c r="A2069" t="s">
        <v>2068</v>
      </c>
    </row>
    <row r="2070" spans="1:1" x14ac:dyDescent="0.35">
      <c r="A2070" t="s">
        <v>2069</v>
      </c>
    </row>
    <row r="2071" spans="1:1" x14ac:dyDescent="0.35">
      <c r="A2071" t="s">
        <v>2070</v>
      </c>
    </row>
    <row r="2072" spans="1:1" x14ac:dyDescent="0.35">
      <c r="A2072" t="s">
        <v>2071</v>
      </c>
    </row>
    <row r="2073" spans="1:1" x14ac:dyDescent="0.35">
      <c r="A2073" t="s">
        <v>2072</v>
      </c>
    </row>
    <row r="2074" spans="1:1" x14ac:dyDescent="0.35">
      <c r="A2074" t="s">
        <v>2073</v>
      </c>
    </row>
    <row r="2075" spans="1:1" x14ac:dyDescent="0.35">
      <c r="A2075" t="s">
        <v>2074</v>
      </c>
    </row>
    <row r="2076" spans="1:1" x14ac:dyDescent="0.35">
      <c r="A2076" t="s">
        <v>2075</v>
      </c>
    </row>
    <row r="2077" spans="1:1" x14ac:dyDescent="0.35">
      <c r="A2077" t="s">
        <v>2076</v>
      </c>
    </row>
    <row r="2078" spans="1:1" x14ac:dyDescent="0.35">
      <c r="A2078" t="s">
        <v>2077</v>
      </c>
    </row>
    <row r="2079" spans="1:1" x14ac:dyDescent="0.35">
      <c r="A2079" t="s">
        <v>2078</v>
      </c>
    </row>
    <row r="2080" spans="1:1" x14ac:dyDescent="0.35">
      <c r="A2080" t="s">
        <v>2079</v>
      </c>
    </row>
    <row r="2081" spans="1:1" x14ac:dyDescent="0.35">
      <c r="A2081" t="s">
        <v>2080</v>
      </c>
    </row>
    <row r="2082" spans="1:1" x14ac:dyDescent="0.35">
      <c r="A2082" t="s">
        <v>2081</v>
      </c>
    </row>
    <row r="2083" spans="1:1" x14ac:dyDescent="0.35">
      <c r="A2083" t="s">
        <v>2082</v>
      </c>
    </row>
    <row r="2084" spans="1:1" x14ac:dyDescent="0.35">
      <c r="A2084" t="s">
        <v>2083</v>
      </c>
    </row>
    <row r="2085" spans="1:1" x14ac:dyDescent="0.35">
      <c r="A2085" t="s">
        <v>2084</v>
      </c>
    </row>
    <row r="2086" spans="1:1" x14ac:dyDescent="0.35">
      <c r="A2086" t="s">
        <v>2085</v>
      </c>
    </row>
    <row r="2087" spans="1:1" x14ac:dyDescent="0.35">
      <c r="A2087" t="s">
        <v>2086</v>
      </c>
    </row>
    <row r="2088" spans="1:1" x14ac:dyDescent="0.35">
      <c r="A2088" t="s">
        <v>2087</v>
      </c>
    </row>
    <row r="2089" spans="1:1" x14ac:dyDescent="0.35">
      <c r="A2089" t="s">
        <v>2088</v>
      </c>
    </row>
    <row r="2090" spans="1:1" x14ac:dyDescent="0.35">
      <c r="A2090" t="s">
        <v>2089</v>
      </c>
    </row>
    <row r="2091" spans="1:1" x14ac:dyDescent="0.35">
      <c r="A2091" t="s">
        <v>2090</v>
      </c>
    </row>
    <row r="2092" spans="1:1" x14ac:dyDescent="0.35">
      <c r="A2092" t="s">
        <v>2091</v>
      </c>
    </row>
    <row r="2093" spans="1:1" x14ac:dyDescent="0.35">
      <c r="A2093" t="s">
        <v>2092</v>
      </c>
    </row>
    <row r="2094" spans="1:1" x14ac:dyDescent="0.35">
      <c r="A2094" t="s">
        <v>2093</v>
      </c>
    </row>
    <row r="2095" spans="1:1" x14ac:dyDescent="0.35">
      <c r="A2095" t="s">
        <v>2094</v>
      </c>
    </row>
    <row r="2096" spans="1:1" x14ac:dyDescent="0.35">
      <c r="A2096" t="s">
        <v>2095</v>
      </c>
    </row>
    <row r="2097" spans="1:1" x14ac:dyDescent="0.35">
      <c r="A2097" t="s">
        <v>2096</v>
      </c>
    </row>
    <row r="2098" spans="1:1" x14ac:dyDescent="0.35">
      <c r="A2098" t="s">
        <v>2097</v>
      </c>
    </row>
    <row r="2099" spans="1:1" x14ac:dyDescent="0.35">
      <c r="A2099" t="s">
        <v>2098</v>
      </c>
    </row>
    <row r="2100" spans="1:1" x14ac:dyDescent="0.35">
      <c r="A2100" t="s">
        <v>2099</v>
      </c>
    </row>
    <row r="2101" spans="1:1" x14ac:dyDescent="0.35">
      <c r="A2101" t="s">
        <v>2100</v>
      </c>
    </row>
    <row r="2102" spans="1:1" x14ac:dyDescent="0.35">
      <c r="A2102" t="s">
        <v>2101</v>
      </c>
    </row>
    <row r="2103" spans="1:1" x14ac:dyDescent="0.35">
      <c r="A2103" t="s">
        <v>2102</v>
      </c>
    </row>
    <row r="2104" spans="1:1" x14ac:dyDescent="0.35">
      <c r="A2104" t="s">
        <v>2103</v>
      </c>
    </row>
    <row r="2105" spans="1:1" x14ac:dyDescent="0.35">
      <c r="A2105" t="s">
        <v>2104</v>
      </c>
    </row>
    <row r="2106" spans="1:1" x14ac:dyDescent="0.35">
      <c r="A2106" t="s">
        <v>2105</v>
      </c>
    </row>
    <row r="2107" spans="1:1" x14ac:dyDescent="0.35">
      <c r="A2107" t="s">
        <v>2106</v>
      </c>
    </row>
    <row r="2108" spans="1:1" x14ac:dyDescent="0.35">
      <c r="A2108" t="s">
        <v>2107</v>
      </c>
    </row>
    <row r="2109" spans="1:1" x14ac:dyDescent="0.35">
      <c r="A2109" t="s">
        <v>2108</v>
      </c>
    </row>
    <row r="2110" spans="1:1" x14ac:dyDescent="0.35">
      <c r="A2110" t="s">
        <v>2109</v>
      </c>
    </row>
    <row r="2111" spans="1:1" x14ac:dyDescent="0.35">
      <c r="A2111" t="s">
        <v>2110</v>
      </c>
    </row>
    <row r="2112" spans="1:1" x14ac:dyDescent="0.35">
      <c r="A2112" t="s">
        <v>2111</v>
      </c>
    </row>
    <row r="2113" spans="1:1" x14ac:dyDescent="0.35">
      <c r="A2113" t="s">
        <v>2112</v>
      </c>
    </row>
    <row r="2114" spans="1:1" x14ac:dyDescent="0.35">
      <c r="A2114" t="s">
        <v>2113</v>
      </c>
    </row>
    <row r="2115" spans="1:1" x14ac:dyDescent="0.35">
      <c r="A2115" t="s">
        <v>2114</v>
      </c>
    </row>
    <row r="2116" spans="1:1" x14ac:dyDescent="0.35">
      <c r="A2116" t="s">
        <v>2115</v>
      </c>
    </row>
    <row r="2117" spans="1:1" x14ac:dyDescent="0.35">
      <c r="A2117" t="s">
        <v>2116</v>
      </c>
    </row>
    <row r="2118" spans="1:1" x14ac:dyDescent="0.35">
      <c r="A2118" t="s">
        <v>2117</v>
      </c>
    </row>
    <row r="2119" spans="1:1" x14ac:dyDescent="0.35">
      <c r="A2119" t="s">
        <v>2118</v>
      </c>
    </row>
    <row r="2120" spans="1:1" x14ac:dyDescent="0.35">
      <c r="A2120" t="s">
        <v>2119</v>
      </c>
    </row>
    <row r="2121" spans="1:1" x14ac:dyDescent="0.35">
      <c r="A2121" t="s">
        <v>2120</v>
      </c>
    </row>
    <row r="2122" spans="1:1" x14ac:dyDescent="0.35">
      <c r="A2122" t="s">
        <v>2121</v>
      </c>
    </row>
    <row r="2123" spans="1:1" x14ac:dyDescent="0.35">
      <c r="A2123" t="s">
        <v>2122</v>
      </c>
    </row>
    <row r="2124" spans="1:1" x14ac:dyDescent="0.35">
      <c r="A2124" t="s">
        <v>2123</v>
      </c>
    </row>
    <row r="2125" spans="1:1" x14ac:dyDescent="0.35">
      <c r="A2125" t="s">
        <v>2124</v>
      </c>
    </row>
    <row r="2126" spans="1:1" x14ac:dyDescent="0.35">
      <c r="A2126" t="s">
        <v>2125</v>
      </c>
    </row>
    <row r="2127" spans="1:1" x14ac:dyDescent="0.35">
      <c r="A2127" t="s">
        <v>2126</v>
      </c>
    </row>
    <row r="2128" spans="1:1" x14ac:dyDescent="0.35">
      <c r="A2128" t="s">
        <v>2127</v>
      </c>
    </row>
    <row r="2129" spans="1:1" x14ac:dyDescent="0.35">
      <c r="A2129" t="s">
        <v>2128</v>
      </c>
    </row>
    <row r="2130" spans="1:1" x14ac:dyDescent="0.35">
      <c r="A2130" t="s">
        <v>2129</v>
      </c>
    </row>
    <row r="2131" spans="1:1" x14ac:dyDescent="0.35">
      <c r="A2131" t="s">
        <v>2130</v>
      </c>
    </row>
    <row r="2132" spans="1:1" x14ac:dyDescent="0.35">
      <c r="A2132" t="s">
        <v>2131</v>
      </c>
    </row>
    <row r="2133" spans="1:1" x14ac:dyDescent="0.35">
      <c r="A2133" t="s">
        <v>2132</v>
      </c>
    </row>
    <row r="2134" spans="1:1" x14ac:dyDescent="0.35">
      <c r="A2134" t="s">
        <v>2133</v>
      </c>
    </row>
    <row r="2135" spans="1:1" x14ac:dyDescent="0.35">
      <c r="A2135" t="s">
        <v>2134</v>
      </c>
    </row>
    <row r="2136" spans="1:1" x14ac:dyDescent="0.35">
      <c r="A2136" t="s">
        <v>2135</v>
      </c>
    </row>
    <row r="2137" spans="1:1" x14ac:dyDescent="0.35">
      <c r="A2137" t="s">
        <v>2136</v>
      </c>
    </row>
    <row r="2138" spans="1:1" x14ac:dyDescent="0.35">
      <c r="A2138" t="s">
        <v>2137</v>
      </c>
    </row>
    <row r="2139" spans="1:1" x14ac:dyDescent="0.35">
      <c r="A2139" t="s">
        <v>2138</v>
      </c>
    </row>
    <row r="2140" spans="1:1" x14ac:dyDescent="0.35">
      <c r="A2140" t="s">
        <v>2139</v>
      </c>
    </row>
    <row r="2141" spans="1:1" x14ac:dyDescent="0.35">
      <c r="A2141" t="s">
        <v>2140</v>
      </c>
    </row>
    <row r="2142" spans="1:1" x14ac:dyDescent="0.35">
      <c r="A2142" t="s">
        <v>2141</v>
      </c>
    </row>
    <row r="2143" spans="1:1" x14ac:dyDescent="0.35">
      <c r="A2143" t="s">
        <v>2142</v>
      </c>
    </row>
    <row r="2144" spans="1:1" x14ac:dyDescent="0.35">
      <c r="A2144" t="s">
        <v>2143</v>
      </c>
    </row>
    <row r="2145" spans="1:1" x14ac:dyDescent="0.35">
      <c r="A2145" t="s">
        <v>2144</v>
      </c>
    </row>
    <row r="2146" spans="1:1" x14ac:dyDescent="0.35">
      <c r="A2146" t="s">
        <v>2145</v>
      </c>
    </row>
    <row r="2147" spans="1:1" x14ac:dyDescent="0.35">
      <c r="A2147" t="s">
        <v>2146</v>
      </c>
    </row>
    <row r="2148" spans="1:1" x14ac:dyDescent="0.35">
      <c r="A2148" t="s">
        <v>2147</v>
      </c>
    </row>
    <row r="2149" spans="1:1" x14ac:dyDescent="0.35">
      <c r="A2149" t="s">
        <v>2148</v>
      </c>
    </row>
    <row r="2150" spans="1:1" x14ac:dyDescent="0.35">
      <c r="A2150" t="s">
        <v>2149</v>
      </c>
    </row>
    <row r="2151" spans="1:1" x14ac:dyDescent="0.35">
      <c r="A2151" t="s">
        <v>2150</v>
      </c>
    </row>
    <row r="2152" spans="1:1" x14ac:dyDescent="0.35">
      <c r="A2152" t="s">
        <v>2151</v>
      </c>
    </row>
    <row r="2153" spans="1:1" x14ac:dyDescent="0.35">
      <c r="A2153" t="s">
        <v>2152</v>
      </c>
    </row>
    <row r="2154" spans="1:1" x14ac:dyDescent="0.35">
      <c r="A2154" t="s">
        <v>2153</v>
      </c>
    </row>
    <row r="2155" spans="1:1" x14ac:dyDescent="0.35">
      <c r="A2155" t="s">
        <v>2154</v>
      </c>
    </row>
    <row r="2156" spans="1:1" x14ac:dyDescent="0.35">
      <c r="A2156" t="s">
        <v>2155</v>
      </c>
    </row>
    <row r="2157" spans="1:1" x14ac:dyDescent="0.35">
      <c r="A2157" t="s">
        <v>2156</v>
      </c>
    </row>
    <row r="2158" spans="1:1" x14ac:dyDescent="0.35">
      <c r="A2158" t="s">
        <v>2157</v>
      </c>
    </row>
    <row r="2159" spans="1:1" x14ac:dyDescent="0.35">
      <c r="A2159" t="s">
        <v>2158</v>
      </c>
    </row>
    <row r="2160" spans="1:1" x14ac:dyDescent="0.35">
      <c r="A2160" t="s">
        <v>2159</v>
      </c>
    </row>
    <row r="2161" spans="1:1" x14ac:dyDescent="0.35">
      <c r="A2161" t="s">
        <v>2160</v>
      </c>
    </row>
    <row r="2162" spans="1:1" x14ac:dyDescent="0.35">
      <c r="A2162" t="s">
        <v>2161</v>
      </c>
    </row>
    <row r="2163" spans="1:1" x14ac:dyDescent="0.35">
      <c r="A2163" t="s">
        <v>2162</v>
      </c>
    </row>
    <row r="2164" spans="1:1" x14ac:dyDescent="0.35">
      <c r="A2164" t="s">
        <v>2163</v>
      </c>
    </row>
    <row r="2165" spans="1:1" x14ac:dyDescent="0.35">
      <c r="A2165" t="s">
        <v>2164</v>
      </c>
    </row>
    <row r="2166" spans="1:1" x14ac:dyDescent="0.35">
      <c r="A2166" t="s">
        <v>2165</v>
      </c>
    </row>
    <row r="2167" spans="1:1" x14ac:dyDescent="0.35">
      <c r="A2167" t="s">
        <v>2166</v>
      </c>
    </row>
    <row r="2168" spans="1:1" x14ac:dyDescent="0.35">
      <c r="A2168" t="s">
        <v>2167</v>
      </c>
    </row>
    <row r="2169" spans="1:1" x14ac:dyDescent="0.35">
      <c r="A2169" t="s">
        <v>2168</v>
      </c>
    </row>
    <row r="2170" spans="1:1" x14ac:dyDescent="0.35">
      <c r="A2170" t="s">
        <v>2169</v>
      </c>
    </row>
    <row r="2171" spans="1:1" x14ac:dyDescent="0.35">
      <c r="A2171" t="s">
        <v>2170</v>
      </c>
    </row>
    <row r="2172" spans="1:1" x14ac:dyDescent="0.35">
      <c r="A2172" t="s">
        <v>2171</v>
      </c>
    </row>
    <row r="2173" spans="1:1" x14ac:dyDescent="0.35">
      <c r="A2173" t="s">
        <v>2172</v>
      </c>
    </row>
    <row r="2174" spans="1:1" x14ac:dyDescent="0.35">
      <c r="A2174" t="s">
        <v>2173</v>
      </c>
    </row>
    <row r="2175" spans="1:1" x14ac:dyDescent="0.35">
      <c r="A2175" t="s">
        <v>2174</v>
      </c>
    </row>
    <row r="2176" spans="1:1" x14ac:dyDescent="0.35">
      <c r="A2176" t="s">
        <v>2175</v>
      </c>
    </row>
    <row r="2177" spans="1:1" x14ac:dyDescent="0.35">
      <c r="A2177" t="s">
        <v>2176</v>
      </c>
    </row>
    <row r="2178" spans="1:1" x14ac:dyDescent="0.35">
      <c r="A2178" t="s">
        <v>2177</v>
      </c>
    </row>
    <row r="2179" spans="1:1" x14ac:dyDescent="0.35">
      <c r="A2179" t="s">
        <v>2178</v>
      </c>
    </row>
    <row r="2180" spans="1:1" x14ac:dyDescent="0.35">
      <c r="A2180" t="s">
        <v>2179</v>
      </c>
    </row>
    <row r="2181" spans="1:1" x14ac:dyDescent="0.35">
      <c r="A2181" t="s">
        <v>2180</v>
      </c>
    </row>
    <row r="2182" spans="1:1" x14ac:dyDescent="0.35">
      <c r="A2182" t="s">
        <v>2181</v>
      </c>
    </row>
    <row r="2183" spans="1:1" x14ac:dyDescent="0.35">
      <c r="A2183" t="s">
        <v>2182</v>
      </c>
    </row>
    <row r="2184" spans="1:1" x14ac:dyDescent="0.35">
      <c r="A2184" t="s">
        <v>2183</v>
      </c>
    </row>
    <row r="2185" spans="1:1" x14ac:dyDescent="0.35">
      <c r="A2185" t="s">
        <v>2184</v>
      </c>
    </row>
    <row r="2186" spans="1:1" x14ac:dyDescent="0.35">
      <c r="A2186" t="s">
        <v>2185</v>
      </c>
    </row>
    <row r="2187" spans="1:1" x14ac:dyDescent="0.35">
      <c r="A2187" t="s">
        <v>2186</v>
      </c>
    </row>
    <row r="2188" spans="1:1" x14ac:dyDescent="0.35">
      <c r="A2188" t="s">
        <v>2187</v>
      </c>
    </row>
    <row r="2189" spans="1:1" x14ac:dyDescent="0.35">
      <c r="A2189" t="s">
        <v>2188</v>
      </c>
    </row>
    <row r="2190" spans="1:1" x14ac:dyDescent="0.35">
      <c r="A2190" t="s">
        <v>2189</v>
      </c>
    </row>
    <row r="2191" spans="1:1" x14ac:dyDescent="0.35">
      <c r="A2191" t="s">
        <v>2190</v>
      </c>
    </row>
    <row r="2192" spans="1:1" x14ac:dyDescent="0.35">
      <c r="A2192" t="s">
        <v>2191</v>
      </c>
    </row>
    <row r="2193" spans="1:1" x14ac:dyDescent="0.35">
      <c r="A2193" t="s">
        <v>2192</v>
      </c>
    </row>
    <row r="2194" spans="1:1" x14ac:dyDescent="0.35">
      <c r="A2194" t="s">
        <v>2193</v>
      </c>
    </row>
    <row r="2195" spans="1:1" x14ac:dyDescent="0.35">
      <c r="A2195" t="s">
        <v>2194</v>
      </c>
    </row>
    <row r="2196" spans="1:1" x14ac:dyDescent="0.35">
      <c r="A2196" t="s">
        <v>2195</v>
      </c>
    </row>
    <row r="2197" spans="1:1" x14ac:dyDescent="0.35">
      <c r="A2197" t="s">
        <v>2196</v>
      </c>
    </row>
    <row r="2198" spans="1:1" x14ac:dyDescent="0.35">
      <c r="A2198" t="s">
        <v>2197</v>
      </c>
    </row>
    <row r="2199" spans="1:1" x14ac:dyDescent="0.35">
      <c r="A2199" t="s">
        <v>2198</v>
      </c>
    </row>
    <row r="2200" spans="1:1" x14ac:dyDescent="0.35">
      <c r="A2200" t="s">
        <v>2199</v>
      </c>
    </row>
    <row r="2201" spans="1:1" x14ac:dyDescent="0.35">
      <c r="A2201" t="s">
        <v>2200</v>
      </c>
    </row>
    <row r="2202" spans="1:1" x14ac:dyDescent="0.35">
      <c r="A2202" t="s">
        <v>2201</v>
      </c>
    </row>
    <row r="2203" spans="1:1" x14ac:dyDescent="0.35">
      <c r="A2203" t="s">
        <v>2202</v>
      </c>
    </row>
    <row r="2204" spans="1:1" x14ac:dyDescent="0.35">
      <c r="A2204" t="s">
        <v>2203</v>
      </c>
    </row>
    <row r="2205" spans="1:1" x14ac:dyDescent="0.35">
      <c r="A2205" t="s">
        <v>2204</v>
      </c>
    </row>
    <row r="2206" spans="1:1" x14ac:dyDescent="0.35">
      <c r="A2206" t="s">
        <v>2205</v>
      </c>
    </row>
    <row r="2207" spans="1:1" x14ac:dyDescent="0.35">
      <c r="A2207" t="s">
        <v>2206</v>
      </c>
    </row>
    <row r="2208" spans="1:1" x14ac:dyDescent="0.35">
      <c r="A2208" t="s">
        <v>2207</v>
      </c>
    </row>
    <row r="2209" spans="1:1" x14ac:dyDescent="0.35">
      <c r="A2209" t="s">
        <v>2208</v>
      </c>
    </row>
    <row r="2210" spans="1:1" x14ac:dyDescent="0.35">
      <c r="A2210" t="s">
        <v>2209</v>
      </c>
    </row>
    <row r="2211" spans="1:1" x14ac:dyDescent="0.35">
      <c r="A2211" t="s">
        <v>2210</v>
      </c>
    </row>
    <row r="2212" spans="1:1" x14ac:dyDescent="0.35">
      <c r="A2212" t="s">
        <v>2211</v>
      </c>
    </row>
    <row r="2213" spans="1:1" x14ac:dyDescent="0.35">
      <c r="A2213" t="s">
        <v>2212</v>
      </c>
    </row>
    <row r="2214" spans="1:1" x14ac:dyDescent="0.35">
      <c r="A2214" t="s">
        <v>2213</v>
      </c>
    </row>
    <row r="2215" spans="1:1" x14ac:dyDescent="0.35">
      <c r="A2215" t="s">
        <v>2214</v>
      </c>
    </row>
    <row r="2216" spans="1:1" x14ac:dyDescent="0.35">
      <c r="A2216" t="s">
        <v>2215</v>
      </c>
    </row>
    <row r="2217" spans="1:1" x14ac:dyDescent="0.35">
      <c r="A2217" t="s">
        <v>2216</v>
      </c>
    </row>
    <row r="2218" spans="1:1" x14ac:dyDescent="0.35">
      <c r="A2218" t="s">
        <v>2217</v>
      </c>
    </row>
    <row r="2219" spans="1:1" x14ac:dyDescent="0.35">
      <c r="A2219" t="s">
        <v>2218</v>
      </c>
    </row>
    <row r="2220" spans="1:1" x14ac:dyDescent="0.35">
      <c r="A2220" t="s">
        <v>2219</v>
      </c>
    </row>
    <row r="2221" spans="1:1" x14ac:dyDescent="0.35">
      <c r="A2221" t="s">
        <v>2220</v>
      </c>
    </row>
    <row r="2222" spans="1:1" x14ac:dyDescent="0.35">
      <c r="A2222" t="s">
        <v>2221</v>
      </c>
    </row>
    <row r="2223" spans="1:1" x14ac:dyDescent="0.35">
      <c r="A2223" t="s">
        <v>2222</v>
      </c>
    </row>
    <row r="2224" spans="1:1" x14ac:dyDescent="0.35">
      <c r="A2224" t="s">
        <v>2223</v>
      </c>
    </row>
    <row r="2225" spans="1:1" x14ac:dyDescent="0.35">
      <c r="A2225" t="s">
        <v>2224</v>
      </c>
    </row>
    <row r="2226" spans="1:1" x14ac:dyDescent="0.35">
      <c r="A2226" t="s">
        <v>2225</v>
      </c>
    </row>
    <row r="2227" spans="1:1" x14ac:dyDescent="0.35">
      <c r="A2227" t="s">
        <v>2226</v>
      </c>
    </row>
    <row r="2228" spans="1:1" x14ac:dyDescent="0.35">
      <c r="A2228" t="s">
        <v>2227</v>
      </c>
    </row>
    <row r="2229" spans="1:1" x14ac:dyDescent="0.35">
      <c r="A2229" t="s">
        <v>2228</v>
      </c>
    </row>
    <row r="2230" spans="1:1" x14ac:dyDescent="0.35">
      <c r="A2230" t="s">
        <v>2229</v>
      </c>
    </row>
    <row r="2231" spans="1:1" x14ac:dyDescent="0.35">
      <c r="A2231" t="s">
        <v>2230</v>
      </c>
    </row>
    <row r="2232" spans="1:1" x14ac:dyDescent="0.35">
      <c r="A2232" t="s">
        <v>2231</v>
      </c>
    </row>
    <row r="2233" spans="1:1" x14ac:dyDescent="0.35">
      <c r="A2233" t="s">
        <v>2232</v>
      </c>
    </row>
    <row r="2234" spans="1:1" x14ac:dyDescent="0.35">
      <c r="A2234" t="s">
        <v>2233</v>
      </c>
    </row>
    <row r="2235" spans="1:1" x14ac:dyDescent="0.35">
      <c r="A2235" t="s">
        <v>2234</v>
      </c>
    </row>
    <row r="2236" spans="1:1" x14ac:dyDescent="0.35">
      <c r="A2236" t="s">
        <v>2235</v>
      </c>
    </row>
    <row r="2237" spans="1:1" x14ac:dyDescent="0.35">
      <c r="A2237" t="s">
        <v>2236</v>
      </c>
    </row>
    <row r="2238" spans="1:1" x14ac:dyDescent="0.35">
      <c r="A2238" t="s">
        <v>2237</v>
      </c>
    </row>
    <row r="2239" spans="1:1" x14ac:dyDescent="0.35">
      <c r="A2239" t="s">
        <v>2238</v>
      </c>
    </row>
    <row r="2240" spans="1:1" x14ac:dyDescent="0.35">
      <c r="A2240" t="s">
        <v>2239</v>
      </c>
    </row>
    <row r="2241" spans="1:1" x14ac:dyDescent="0.35">
      <c r="A2241" t="s">
        <v>2240</v>
      </c>
    </row>
    <row r="2242" spans="1:1" x14ac:dyDescent="0.35">
      <c r="A2242" t="s">
        <v>2241</v>
      </c>
    </row>
    <row r="2243" spans="1:1" x14ac:dyDescent="0.35">
      <c r="A2243" t="s">
        <v>2242</v>
      </c>
    </row>
    <row r="2244" spans="1:1" x14ac:dyDescent="0.35">
      <c r="A2244" t="s">
        <v>2243</v>
      </c>
    </row>
    <row r="2245" spans="1:1" x14ac:dyDescent="0.35">
      <c r="A2245" t="s">
        <v>2244</v>
      </c>
    </row>
    <row r="2246" spans="1:1" x14ac:dyDescent="0.35">
      <c r="A2246" t="s">
        <v>2245</v>
      </c>
    </row>
    <row r="2247" spans="1:1" x14ac:dyDescent="0.35">
      <c r="A2247" t="s">
        <v>2246</v>
      </c>
    </row>
    <row r="2248" spans="1:1" x14ac:dyDescent="0.35">
      <c r="A2248" t="s">
        <v>2247</v>
      </c>
    </row>
    <row r="2249" spans="1:1" x14ac:dyDescent="0.35">
      <c r="A2249" t="s">
        <v>2248</v>
      </c>
    </row>
    <row r="2250" spans="1:1" x14ac:dyDescent="0.35">
      <c r="A2250" t="s">
        <v>2249</v>
      </c>
    </row>
    <row r="2251" spans="1:1" x14ac:dyDescent="0.35">
      <c r="A2251" t="s">
        <v>2250</v>
      </c>
    </row>
    <row r="2252" spans="1:1" x14ac:dyDescent="0.35">
      <c r="A2252" t="s">
        <v>2251</v>
      </c>
    </row>
    <row r="2253" spans="1:1" x14ac:dyDescent="0.35">
      <c r="A2253" t="s">
        <v>2252</v>
      </c>
    </row>
    <row r="2254" spans="1:1" x14ac:dyDescent="0.35">
      <c r="A2254" t="s">
        <v>2253</v>
      </c>
    </row>
    <row r="2255" spans="1:1" x14ac:dyDescent="0.35">
      <c r="A2255" t="s">
        <v>2254</v>
      </c>
    </row>
    <row r="2256" spans="1:1" x14ac:dyDescent="0.35">
      <c r="A2256" t="s">
        <v>2255</v>
      </c>
    </row>
    <row r="2257" spans="1:1" x14ac:dyDescent="0.35">
      <c r="A2257" t="s">
        <v>2256</v>
      </c>
    </row>
    <row r="2258" spans="1:1" x14ac:dyDescent="0.35">
      <c r="A2258" t="s">
        <v>2257</v>
      </c>
    </row>
    <row r="2259" spans="1:1" x14ac:dyDescent="0.35">
      <c r="A2259" t="s">
        <v>2258</v>
      </c>
    </row>
    <row r="2260" spans="1:1" x14ac:dyDescent="0.35">
      <c r="A2260" t="s">
        <v>2259</v>
      </c>
    </row>
    <row r="2261" spans="1:1" x14ac:dyDescent="0.35">
      <c r="A2261" t="s">
        <v>2260</v>
      </c>
    </row>
    <row r="2262" spans="1:1" x14ac:dyDescent="0.35">
      <c r="A2262" t="s">
        <v>2261</v>
      </c>
    </row>
    <row r="2263" spans="1:1" x14ac:dyDescent="0.35">
      <c r="A2263" t="s">
        <v>2262</v>
      </c>
    </row>
    <row r="2264" spans="1:1" x14ac:dyDescent="0.35">
      <c r="A2264" t="s">
        <v>2263</v>
      </c>
    </row>
    <row r="2265" spans="1:1" x14ac:dyDescent="0.35">
      <c r="A2265" t="s">
        <v>2264</v>
      </c>
    </row>
    <row r="2266" spans="1:1" x14ac:dyDescent="0.35">
      <c r="A2266" t="s">
        <v>2265</v>
      </c>
    </row>
    <row r="2267" spans="1:1" x14ac:dyDescent="0.35">
      <c r="A2267" t="s">
        <v>2266</v>
      </c>
    </row>
    <row r="2268" spans="1:1" x14ac:dyDescent="0.35">
      <c r="A2268" t="s">
        <v>2267</v>
      </c>
    </row>
    <row r="2269" spans="1:1" x14ac:dyDescent="0.35">
      <c r="A2269" t="s">
        <v>2268</v>
      </c>
    </row>
    <row r="2270" spans="1:1" x14ac:dyDescent="0.35">
      <c r="A2270" t="s">
        <v>2269</v>
      </c>
    </row>
    <row r="2271" spans="1:1" x14ac:dyDescent="0.35">
      <c r="A2271" t="s">
        <v>2270</v>
      </c>
    </row>
    <row r="2272" spans="1:1" x14ac:dyDescent="0.35">
      <c r="A2272" t="s">
        <v>2271</v>
      </c>
    </row>
    <row r="2273" spans="1:1" x14ac:dyDescent="0.35">
      <c r="A2273" t="s">
        <v>2272</v>
      </c>
    </row>
    <row r="2274" spans="1:1" x14ac:dyDescent="0.35">
      <c r="A2274" t="s">
        <v>2273</v>
      </c>
    </row>
    <row r="2275" spans="1:1" x14ac:dyDescent="0.35">
      <c r="A2275" t="s">
        <v>2274</v>
      </c>
    </row>
    <row r="2276" spans="1:1" x14ac:dyDescent="0.35">
      <c r="A2276" t="s">
        <v>2275</v>
      </c>
    </row>
    <row r="2277" spans="1:1" x14ac:dyDescent="0.35">
      <c r="A2277" t="s">
        <v>2276</v>
      </c>
    </row>
    <row r="2278" spans="1:1" x14ac:dyDescent="0.35">
      <c r="A2278" t="s">
        <v>2277</v>
      </c>
    </row>
    <row r="2279" spans="1:1" x14ac:dyDescent="0.35">
      <c r="A2279" t="s">
        <v>2278</v>
      </c>
    </row>
    <row r="2280" spans="1:1" x14ac:dyDescent="0.35">
      <c r="A2280" t="s">
        <v>2279</v>
      </c>
    </row>
    <row r="2281" spans="1:1" x14ac:dyDescent="0.35">
      <c r="A2281" t="s">
        <v>2280</v>
      </c>
    </row>
    <row r="2282" spans="1:1" x14ac:dyDescent="0.35">
      <c r="A2282" t="s">
        <v>2281</v>
      </c>
    </row>
    <row r="2283" spans="1:1" x14ac:dyDescent="0.35">
      <c r="A2283" t="s">
        <v>2282</v>
      </c>
    </row>
    <row r="2284" spans="1:1" x14ac:dyDescent="0.35">
      <c r="A2284" t="s">
        <v>2283</v>
      </c>
    </row>
    <row r="2285" spans="1:1" x14ac:dyDescent="0.35">
      <c r="A2285" t="s">
        <v>2284</v>
      </c>
    </row>
    <row r="2286" spans="1:1" x14ac:dyDescent="0.35">
      <c r="A2286" t="s">
        <v>2285</v>
      </c>
    </row>
    <row r="2287" spans="1:1" x14ac:dyDescent="0.35">
      <c r="A2287" t="s">
        <v>2286</v>
      </c>
    </row>
    <row r="2288" spans="1:1" x14ac:dyDescent="0.35">
      <c r="A2288" t="s">
        <v>2287</v>
      </c>
    </row>
    <row r="2289" spans="1:1" x14ac:dyDescent="0.35">
      <c r="A2289" t="s">
        <v>2288</v>
      </c>
    </row>
    <row r="2290" spans="1:1" x14ac:dyDescent="0.35">
      <c r="A2290" t="s">
        <v>2289</v>
      </c>
    </row>
    <row r="2291" spans="1:1" x14ac:dyDescent="0.35">
      <c r="A2291" t="s">
        <v>2290</v>
      </c>
    </row>
    <row r="2292" spans="1:1" x14ac:dyDescent="0.35">
      <c r="A2292" t="s">
        <v>2291</v>
      </c>
    </row>
    <row r="2293" spans="1:1" x14ac:dyDescent="0.35">
      <c r="A2293" t="s">
        <v>2292</v>
      </c>
    </row>
    <row r="2294" spans="1:1" x14ac:dyDescent="0.35">
      <c r="A2294" t="s">
        <v>2293</v>
      </c>
    </row>
    <row r="2295" spans="1:1" x14ac:dyDescent="0.35">
      <c r="A2295" t="s">
        <v>2294</v>
      </c>
    </row>
    <row r="2296" spans="1:1" x14ac:dyDescent="0.35">
      <c r="A2296" t="s">
        <v>2295</v>
      </c>
    </row>
    <row r="2297" spans="1:1" x14ac:dyDescent="0.35">
      <c r="A2297" t="s">
        <v>2296</v>
      </c>
    </row>
    <row r="2298" spans="1:1" x14ac:dyDescent="0.35">
      <c r="A2298" t="s">
        <v>2297</v>
      </c>
    </row>
    <row r="2299" spans="1:1" x14ac:dyDescent="0.35">
      <c r="A2299" t="s">
        <v>2298</v>
      </c>
    </row>
    <row r="2300" spans="1:1" x14ac:dyDescent="0.35">
      <c r="A2300" t="s">
        <v>2299</v>
      </c>
    </row>
    <row r="2301" spans="1:1" x14ac:dyDescent="0.35">
      <c r="A2301" t="s">
        <v>2300</v>
      </c>
    </row>
    <row r="2302" spans="1:1" x14ac:dyDescent="0.35">
      <c r="A2302" t="s">
        <v>2301</v>
      </c>
    </row>
    <row r="2303" spans="1:1" x14ac:dyDescent="0.35">
      <c r="A2303" t="s">
        <v>2302</v>
      </c>
    </row>
    <row r="2304" spans="1:1" x14ac:dyDescent="0.35">
      <c r="A2304" t="s">
        <v>2303</v>
      </c>
    </row>
    <row r="2305" spans="1:1" x14ac:dyDescent="0.35">
      <c r="A2305" t="s">
        <v>2304</v>
      </c>
    </row>
    <row r="2306" spans="1:1" x14ac:dyDescent="0.35">
      <c r="A2306" t="s">
        <v>2305</v>
      </c>
    </row>
    <row r="2307" spans="1:1" x14ac:dyDescent="0.35">
      <c r="A2307" t="s">
        <v>2306</v>
      </c>
    </row>
    <row r="2308" spans="1:1" x14ac:dyDescent="0.35">
      <c r="A2308" t="s">
        <v>2307</v>
      </c>
    </row>
    <row r="2309" spans="1:1" x14ac:dyDescent="0.35">
      <c r="A2309" t="s">
        <v>2308</v>
      </c>
    </row>
    <row r="2310" spans="1:1" x14ac:dyDescent="0.35">
      <c r="A2310" t="s">
        <v>2309</v>
      </c>
    </row>
    <row r="2311" spans="1:1" x14ac:dyDescent="0.35">
      <c r="A2311" t="s">
        <v>2310</v>
      </c>
    </row>
    <row r="2312" spans="1:1" x14ac:dyDescent="0.35">
      <c r="A2312" t="s">
        <v>2311</v>
      </c>
    </row>
    <row r="2313" spans="1:1" x14ac:dyDescent="0.35">
      <c r="A2313" t="s">
        <v>2312</v>
      </c>
    </row>
    <row r="2314" spans="1:1" x14ac:dyDescent="0.35">
      <c r="A2314" t="s">
        <v>2313</v>
      </c>
    </row>
    <row r="2315" spans="1:1" x14ac:dyDescent="0.35">
      <c r="A2315" t="s">
        <v>2314</v>
      </c>
    </row>
    <row r="2316" spans="1:1" x14ac:dyDescent="0.35">
      <c r="A2316" t="s">
        <v>2315</v>
      </c>
    </row>
    <row r="2317" spans="1:1" x14ac:dyDescent="0.35">
      <c r="A2317" t="s">
        <v>2316</v>
      </c>
    </row>
    <row r="2318" spans="1:1" x14ac:dyDescent="0.35">
      <c r="A2318" t="s">
        <v>2317</v>
      </c>
    </row>
    <row r="2319" spans="1:1" x14ac:dyDescent="0.35">
      <c r="A2319" t="s">
        <v>2318</v>
      </c>
    </row>
    <row r="2320" spans="1:1" x14ac:dyDescent="0.35">
      <c r="A2320" t="s">
        <v>2319</v>
      </c>
    </row>
    <row r="2321" spans="1:1" x14ac:dyDescent="0.35">
      <c r="A2321" t="s">
        <v>2320</v>
      </c>
    </row>
    <row r="2322" spans="1:1" x14ac:dyDescent="0.35">
      <c r="A2322" t="s">
        <v>2321</v>
      </c>
    </row>
    <row r="2323" spans="1:1" x14ac:dyDescent="0.35">
      <c r="A2323" t="s">
        <v>2322</v>
      </c>
    </row>
    <row r="2324" spans="1:1" x14ac:dyDescent="0.35">
      <c r="A2324" t="s">
        <v>2323</v>
      </c>
    </row>
    <row r="2325" spans="1:1" x14ac:dyDescent="0.35">
      <c r="A2325" t="s">
        <v>2324</v>
      </c>
    </row>
    <row r="2326" spans="1:1" x14ac:dyDescent="0.35">
      <c r="A2326" t="s">
        <v>2325</v>
      </c>
    </row>
    <row r="2327" spans="1:1" x14ac:dyDescent="0.35">
      <c r="A2327" t="s">
        <v>2326</v>
      </c>
    </row>
    <row r="2328" spans="1:1" x14ac:dyDescent="0.35">
      <c r="A2328" t="s">
        <v>2327</v>
      </c>
    </row>
    <row r="2329" spans="1:1" x14ac:dyDescent="0.35">
      <c r="A2329" t="s">
        <v>2328</v>
      </c>
    </row>
    <row r="2330" spans="1:1" x14ac:dyDescent="0.35">
      <c r="A2330" t="s">
        <v>2329</v>
      </c>
    </row>
    <row r="2331" spans="1:1" x14ac:dyDescent="0.35">
      <c r="A2331" t="s">
        <v>2330</v>
      </c>
    </row>
    <row r="2332" spans="1:1" x14ac:dyDescent="0.35">
      <c r="A2332" t="s">
        <v>2331</v>
      </c>
    </row>
    <row r="2333" spans="1:1" x14ac:dyDescent="0.35">
      <c r="A2333" t="s">
        <v>2332</v>
      </c>
    </row>
    <row r="2334" spans="1:1" x14ac:dyDescent="0.35">
      <c r="A2334" t="s">
        <v>2333</v>
      </c>
    </row>
    <row r="2335" spans="1:1" x14ac:dyDescent="0.35">
      <c r="A2335" t="s">
        <v>2334</v>
      </c>
    </row>
    <row r="2336" spans="1:1" x14ac:dyDescent="0.35">
      <c r="A2336" t="s">
        <v>2335</v>
      </c>
    </row>
    <row r="2337" spans="1:1" x14ac:dyDescent="0.35">
      <c r="A2337" t="s">
        <v>2336</v>
      </c>
    </row>
    <row r="2338" spans="1:1" x14ac:dyDescent="0.35">
      <c r="A2338" t="s">
        <v>2337</v>
      </c>
    </row>
    <row r="2339" spans="1:1" x14ac:dyDescent="0.35">
      <c r="A2339" t="s">
        <v>2338</v>
      </c>
    </row>
    <row r="2340" spans="1:1" x14ac:dyDescent="0.35">
      <c r="A2340" t="s">
        <v>2339</v>
      </c>
    </row>
    <row r="2341" spans="1:1" x14ac:dyDescent="0.35">
      <c r="A2341" t="s">
        <v>2340</v>
      </c>
    </row>
    <row r="2342" spans="1:1" x14ac:dyDescent="0.35">
      <c r="A2342" t="s">
        <v>2341</v>
      </c>
    </row>
    <row r="2343" spans="1:1" x14ac:dyDescent="0.35">
      <c r="A2343" t="s">
        <v>2342</v>
      </c>
    </row>
    <row r="2344" spans="1:1" x14ac:dyDescent="0.35">
      <c r="A2344" t="s">
        <v>2343</v>
      </c>
    </row>
    <row r="2345" spans="1:1" x14ac:dyDescent="0.35">
      <c r="A2345" t="s">
        <v>2344</v>
      </c>
    </row>
    <row r="2346" spans="1:1" x14ac:dyDescent="0.35">
      <c r="A2346" t="s">
        <v>2345</v>
      </c>
    </row>
    <row r="2347" spans="1:1" x14ac:dyDescent="0.35">
      <c r="A2347" t="s">
        <v>2346</v>
      </c>
    </row>
    <row r="2348" spans="1:1" x14ac:dyDescent="0.35">
      <c r="A2348" t="s">
        <v>2347</v>
      </c>
    </row>
    <row r="2349" spans="1:1" x14ac:dyDescent="0.35">
      <c r="A2349" t="s">
        <v>2348</v>
      </c>
    </row>
    <row r="2350" spans="1:1" x14ac:dyDescent="0.35">
      <c r="A2350" t="s">
        <v>2349</v>
      </c>
    </row>
    <row r="2351" spans="1:1" x14ac:dyDescent="0.35">
      <c r="A2351" t="s">
        <v>2350</v>
      </c>
    </row>
    <row r="2352" spans="1:1" x14ac:dyDescent="0.35">
      <c r="A2352" t="s">
        <v>2351</v>
      </c>
    </row>
    <row r="2353" spans="1:1" x14ac:dyDescent="0.35">
      <c r="A2353" t="s">
        <v>2352</v>
      </c>
    </row>
    <row r="2354" spans="1:1" x14ac:dyDescent="0.35">
      <c r="A2354" t="s">
        <v>2353</v>
      </c>
    </row>
    <row r="2355" spans="1:1" x14ac:dyDescent="0.35">
      <c r="A2355" t="s">
        <v>2354</v>
      </c>
    </row>
    <row r="2356" spans="1:1" x14ac:dyDescent="0.35">
      <c r="A2356" t="s">
        <v>2355</v>
      </c>
    </row>
    <row r="2357" spans="1:1" x14ac:dyDescent="0.35">
      <c r="A2357" t="s">
        <v>2356</v>
      </c>
    </row>
    <row r="2358" spans="1:1" x14ac:dyDescent="0.35">
      <c r="A2358" t="s">
        <v>2357</v>
      </c>
    </row>
    <row r="2359" spans="1:1" x14ac:dyDescent="0.35">
      <c r="A2359" t="s">
        <v>2358</v>
      </c>
    </row>
    <row r="2360" spans="1:1" x14ac:dyDescent="0.35">
      <c r="A2360" t="s">
        <v>2359</v>
      </c>
    </row>
    <row r="2361" spans="1:1" x14ac:dyDescent="0.35">
      <c r="A2361" t="s">
        <v>2360</v>
      </c>
    </row>
    <row r="2362" spans="1:1" x14ac:dyDescent="0.35">
      <c r="A2362" t="s">
        <v>2361</v>
      </c>
    </row>
    <row r="2363" spans="1:1" x14ac:dyDescent="0.35">
      <c r="A2363" t="s">
        <v>2362</v>
      </c>
    </row>
    <row r="2364" spans="1:1" x14ac:dyDescent="0.35">
      <c r="A2364" t="s">
        <v>2363</v>
      </c>
    </row>
    <row r="2365" spans="1:1" x14ac:dyDescent="0.35">
      <c r="A2365" t="s">
        <v>2364</v>
      </c>
    </row>
    <row r="2366" spans="1:1" x14ac:dyDescent="0.35">
      <c r="A2366" t="s">
        <v>2365</v>
      </c>
    </row>
    <row r="2367" spans="1:1" x14ac:dyDescent="0.35">
      <c r="A2367" t="s">
        <v>2366</v>
      </c>
    </row>
    <row r="2368" spans="1:1" x14ac:dyDescent="0.35">
      <c r="A2368" t="s">
        <v>2367</v>
      </c>
    </row>
    <row r="2369" spans="1:1" x14ac:dyDescent="0.35">
      <c r="A2369" t="s">
        <v>2368</v>
      </c>
    </row>
    <row r="2370" spans="1:1" x14ac:dyDescent="0.35">
      <c r="A2370" t="s">
        <v>2369</v>
      </c>
    </row>
    <row r="2371" spans="1:1" x14ac:dyDescent="0.35">
      <c r="A2371" t="s">
        <v>2370</v>
      </c>
    </row>
    <row r="2372" spans="1:1" x14ac:dyDescent="0.35">
      <c r="A2372" t="s">
        <v>2371</v>
      </c>
    </row>
    <row r="2373" spans="1:1" x14ac:dyDescent="0.35">
      <c r="A2373" t="s">
        <v>2372</v>
      </c>
    </row>
    <row r="2374" spans="1:1" x14ac:dyDescent="0.35">
      <c r="A2374" t="s">
        <v>2373</v>
      </c>
    </row>
    <row r="2375" spans="1:1" x14ac:dyDescent="0.35">
      <c r="A2375" t="s">
        <v>2374</v>
      </c>
    </row>
    <row r="2376" spans="1:1" x14ac:dyDescent="0.35">
      <c r="A2376" t="s">
        <v>2375</v>
      </c>
    </row>
    <row r="2377" spans="1:1" x14ac:dyDescent="0.35">
      <c r="A2377" t="s">
        <v>2376</v>
      </c>
    </row>
    <row r="2378" spans="1:1" x14ac:dyDescent="0.35">
      <c r="A2378" t="s">
        <v>2377</v>
      </c>
    </row>
    <row r="2379" spans="1:1" x14ac:dyDescent="0.35">
      <c r="A2379" t="s">
        <v>2378</v>
      </c>
    </row>
    <row r="2380" spans="1:1" x14ac:dyDescent="0.35">
      <c r="A2380" t="s">
        <v>2379</v>
      </c>
    </row>
    <row r="2381" spans="1:1" x14ac:dyDescent="0.35">
      <c r="A2381" t="s">
        <v>2380</v>
      </c>
    </row>
    <row r="2382" spans="1:1" x14ac:dyDescent="0.35">
      <c r="A2382" t="s">
        <v>2381</v>
      </c>
    </row>
    <row r="2383" spans="1:1" x14ac:dyDescent="0.35">
      <c r="A2383" t="s">
        <v>2382</v>
      </c>
    </row>
    <row r="2384" spans="1:1" x14ac:dyDescent="0.35">
      <c r="A2384" t="s">
        <v>2383</v>
      </c>
    </row>
    <row r="2385" spans="1:1" x14ac:dyDescent="0.35">
      <c r="A2385" t="s">
        <v>2384</v>
      </c>
    </row>
    <row r="2386" spans="1:1" x14ac:dyDescent="0.35">
      <c r="A2386" t="s">
        <v>2385</v>
      </c>
    </row>
    <row r="2387" spans="1:1" x14ac:dyDescent="0.35">
      <c r="A2387" t="s">
        <v>2386</v>
      </c>
    </row>
    <row r="2388" spans="1:1" x14ac:dyDescent="0.35">
      <c r="A2388" t="s">
        <v>2387</v>
      </c>
    </row>
    <row r="2389" spans="1:1" x14ac:dyDescent="0.35">
      <c r="A2389" t="s">
        <v>2388</v>
      </c>
    </row>
    <row r="2390" spans="1:1" x14ac:dyDescent="0.35">
      <c r="A2390" t="s">
        <v>2389</v>
      </c>
    </row>
    <row r="2391" spans="1:1" x14ac:dyDescent="0.35">
      <c r="A2391" t="s">
        <v>2390</v>
      </c>
    </row>
    <row r="2392" spans="1:1" x14ac:dyDescent="0.35">
      <c r="A2392" t="s">
        <v>2391</v>
      </c>
    </row>
    <row r="2393" spans="1:1" x14ac:dyDescent="0.35">
      <c r="A2393" t="s">
        <v>2392</v>
      </c>
    </row>
    <row r="2394" spans="1:1" x14ac:dyDescent="0.35">
      <c r="A2394" t="s">
        <v>2393</v>
      </c>
    </row>
    <row r="2395" spans="1:1" x14ac:dyDescent="0.35">
      <c r="A2395" t="s">
        <v>2394</v>
      </c>
    </row>
    <row r="2396" spans="1:1" x14ac:dyDescent="0.35">
      <c r="A2396" t="s">
        <v>2395</v>
      </c>
    </row>
    <row r="2397" spans="1:1" x14ac:dyDescent="0.35">
      <c r="A2397" t="s">
        <v>2396</v>
      </c>
    </row>
    <row r="2398" spans="1:1" x14ac:dyDescent="0.35">
      <c r="A2398" t="s">
        <v>2397</v>
      </c>
    </row>
    <row r="2399" spans="1:1" x14ac:dyDescent="0.35">
      <c r="A2399" t="s">
        <v>2398</v>
      </c>
    </row>
    <row r="2400" spans="1:1" x14ac:dyDescent="0.35">
      <c r="A2400" t="s">
        <v>2399</v>
      </c>
    </row>
    <row r="2401" spans="1:1" x14ac:dyDescent="0.35">
      <c r="A2401" t="s">
        <v>2400</v>
      </c>
    </row>
    <row r="2402" spans="1:1" x14ac:dyDescent="0.35">
      <c r="A2402" t="s">
        <v>2401</v>
      </c>
    </row>
    <row r="2403" spans="1:1" x14ac:dyDescent="0.35">
      <c r="A2403" t="s">
        <v>2402</v>
      </c>
    </row>
    <row r="2404" spans="1:1" x14ac:dyDescent="0.35">
      <c r="A2404" t="s">
        <v>2403</v>
      </c>
    </row>
    <row r="2405" spans="1:1" x14ac:dyDescent="0.35">
      <c r="A2405" t="s">
        <v>2404</v>
      </c>
    </row>
    <row r="2406" spans="1:1" x14ac:dyDescent="0.35">
      <c r="A2406" t="s">
        <v>2405</v>
      </c>
    </row>
    <row r="2407" spans="1:1" x14ac:dyDescent="0.35">
      <c r="A2407" t="s">
        <v>2406</v>
      </c>
    </row>
    <row r="2408" spans="1:1" x14ac:dyDescent="0.35">
      <c r="A2408" t="s">
        <v>2407</v>
      </c>
    </row>
    <row r="2409" spans="1:1" x14ac:dyDescent="0.35">
      <c r="A2409" t="s">
        <v>2408</v>
      </c>
    </row>
    <row r="2410" spans="1:1" x14ac:dyDescent="0.35">
      <c r="A2410" t="s">
        <v>2409</v>
      </c>
    </row>
    <row r="2411" spans="1:1" x14ac:dyDescent="0.35">
      <c r="A2411" t="s">
        <v>2410</v>
      </c>
    </row>
    <row r="2412" spans="1:1" x14ac:dyDescent="0.35">
      <c r="A2412" t="s">
        <v>2411</v>
      </c>
    </row>
    <row r="2413" spans="1:1" x14ac:dyDescent="0.35">
      <c r="A2413" t="s">
        <v>2412</v>
      </c>
    </row>
    <row r="2414" spans="1:1" x14ac:dyDescent="0.35">
      <c r="A2414" t="s">
        <v>2413</v>
      </c>
    </row>
    <row r="2415" spans="1:1" x14ac:dyDescent="0.35">
      <c r="A2415" t="s">
        <v>2414</v>
      </c>
    </row>
    <row r="2416" spans="1:1" x14ac:dyDescent="0.35">
      <c r="A2416" t="s">
        <v>2415</v>
      </c>
    </row>
    <row r="2417" spans="1:1" x14ac:dyDescent="0.35">
      <c r="A2417" t="s">
        <v>2416</v>
      </c>
    </row>
    <row r="2418" spans="1:1" x14ac:dyDescent="0.35">
      <c r="A2418" t="s">
        <v>2417</v>
      </c>
    </row>
    <row r="2419" spans="1:1" x14ac:dyDescent="0.35">
      <c r="A2419" t="s">
        <v>2418</v>
      </c>
    </row>
    <row r="2420" spans="1:1" x14ac:dyDescent="0.35">
      <c r="A2420" t="s">
        <v>2419</v>
      </c>
    </row>
    <row r="2421" spans="1:1" x14ac:dyDescent="0.35">
      <c r="A2421" t="s">
        <v>2420</v>
      </c>
    </row>
    <row r="2422" spans="1:1" x14ac:dyDescent="0.35">
      <c r="A2422" t="s">
        <v>2421</v>
      </c>
    </row>
    <row r="2423" spans="1:1" x14ac:dyDescent="0.35">
      <c r="A2423" t="s">
        <v>2422</v>
      </c>
    </row>
    <row r="2424" spans="1:1" x14ac:dyDescent="0.35">
      <c r="A2424" t="s">
        <v>2423</v>
      </c>
    </row>
    <row r="2425" spans="1:1" x14ac:dyDescent="0.35">
      <c r="A2425" t="s">
        <v>2424</v>
      </c>
    </row>
    <row r="2426" spans="1:1" x14ac:dyDescent="0.35">
      <c r="A2426" t="s">
        <v>2425</v>
      </c>
    </row>
    <row r="2427" spans="1:1" x14ac:dyDescent="0.35">
      <c r="A2427" t="s">
        <v>2426</v>
      </c>
    </row>
    <row r="2428" spans="1:1" x14ac:dyDescent="0.35">
      <c r="A2428" t="s">
        <v>2427</v>
      </c>
    </row>
    <row r="2429" spans="1:1" x14ac:dyDescent="0.35">
      <c r="A2429" t="s">
        <v>2428</v>
      </c>
    </row>
    <row r="2430" spans="1:1" x14ac:dyDescent="0.35">
      <c r="A2430" t="s">
        <v>2429</v>
      </c>
    </row>
    <row r="2431" spans="1:1" x14ac:dyDescent="0.35">
      <c r="A2431" t="s">
        <v>2430</v>
      </c>
    </row>
    <row r="2432" spans="1:1" x14ac:dyDescent="0.35">
      <c r="A2432" t="s">
        <v>2431</v>
      </c>
    </row>
    <row r="2433" spans="1:1" x14ac:dyDescent="0.35">
      <c r="A2433" t="s">
        <v>2432</v>
      </c>
    </row>
    <row r="2434" spans="1:1" x14ac:dyDescent="0.35">
      <c r="A2434" t="s">
        <v>2433</v>
      </c>
    </row>
    <row r="2435" spans="1:1" x14ac:dyDescent="0.35">
      <c r="A2435" t="s">
        <v>2434</v>
      </c>
    </row>
    <row r="2436" spans="1:1" x14ac:dyDescent="0.35">
      <c r="A2436" t="s">
        <v>2435</v>
      </c>
    </row>
    <row r="2437" spans="1:1" x14ac:dyDescent="0.35">
      <c r="A2437" t="s">
        <v>2436</v>
      </c>
    </row>
    <row r="2438" spans="1:1" x14ac:dyDescent="0.35">
      <c r="A2438" t="s">
        <v>2437</v>
      </c>
    </row>
    <row r="2439" spans="1:1" x14ac:dyDescent="0.35">
      <c r="A2439" t="s">
        <v>2438</v>
      </c>
    </row>
    <row r="2440" spans="1:1" x14ac:dyDescent="0.35">
      <c r="A2440" t="s">
        <v>2439</v>
      </c>
    </row>
    <row r="2441" spans="1:1" x14ac:dyDescent="0.35">
      <c r="A2441" t="s">
        <v>2440</v>
      </c>
    </row>
    <row r="2442" spans="1:1" x14ac:dyDescent="0.35">
      <c r="A2442" t="s">
        <v>2441</v>
      </c>
    </row>
    <row r="2443" spans="1:1" x14ac:dyDescent="0.35">
      <c r="A2443" t="s">
        <v>2442</v>
      </c>
    </row>
    <row r="2444" spans="1:1" x14ac:dyDescent="0.35">
      <c r="A2444" t="s">
        <v>2443</v>
      </c>
    </row>
    <row r="2445" spans="1:1" x14ac:dyDescent="0.35">
      <c r="A2445" t="s">
        <v>2444</v>
      </c>
    </row>
    <row r="2446" spans="1:1" x14ac:dyDescent="0.35">
      <c r="A2446" t="s">
        <v>2445</v>
      </c>
    </row>
    <row r="2447" spans="1:1" x14ac:dyDescent="0.35">
      <c r="A2447" t="s">
        <v>2446</v>
      </c>
    </row>
    <row r="2448" spans="1:1" x14ac:dyDescent="0.35">
      <c r="A2448" t="s">
        <v>2447</v>
      </c>
    </row>
    <row r="2449" spans="1:1" x14ac:dyDescent="0.35">
      <c r="A2449" t="s">
        <v>2448</v>
      </c>
    </row>
    <row r="2450" spans="1:1" x14ac:dyDescent="0.35">
      <c r="A2450" t="s">
        <v>2449</v>
      </c>
    </row>
    <row r="2451" spans="1:1" x14ac:dyDescent="0.35">
      <c r="A2451" t="s">
        <v>2450</v>
      </c>
    </row>
    <row r="2452" spans="1:1" x14ac:dyDescent="0.35">
      <c r="A2452" t="s">
        <v>2451</v>
      </c>
    </row>
    <row r="2453" spans="1:1" x14ac:dyDescent="0.35">
      <c r="A2453" t="s">
        <v>2452</v>
      </c>
    </row>
    <row r="2454" spans="1:1" x14ac:dyDescent="0.35">
      <c r="A2454" t="s">
        <v>2453</v>
      </c>
    </row>
    <row r="2455" spans="1:1" x14ac:dyDescent="0.35">
      <c r="A2455" t="s">
        <v>2454</v>
      </c>
    </row>
    <row r="2456" spans="1:1" x14ac:dyDescent="0.35">
      <c r="A2456" t="s">
        <v>2455</v>
      </c>
    </row>
    <row r="2457" spans="1:1" x14ac:dyDescent="0.35">
      <c r="A2457" t="s">
        <v>2456</v>
      </c>
    </row>
    <row r="2458" spans="1:1" x14ac:dyDescent="0.35">
      <c r="A2458" t="s">
        <v>2457</v>
      </c>
    </row>
    <row r="2459" spans="1:1" x14ac:dyDescent="0.35">
      <c r="A2459" t="s">
        <v>2458</v>
      </c>
    </row>
    <row r="2460" spans="1:1" x14ac:dyDescent="0.35">
      <c r="A2460" t="s">
        <v>2459</v>
      </c>
    </row>
    <row r="2461" spans="1:1" x14ac:dyDescent="0.35">
      <c r="A2461" t="s">
        <v>2460</v>
      </c>
    </row>
    <row r="2462" spans="1:1" x14ac:dyDescent="0.35">
      <c r="A2462" t="s">
        <v>2461</v>
      </c>
    </row>
    <row r="2463" spans="1:1" x14ac:dyDescent="0.35">
      <c r="A2463" t="s">
        <v>2462</v>
      </c>
    </row>
    <row r="2464" spans="1:1" x14ac:dyDescent="0.35">
      <c r="A2464" t="s">
        <v>2463</v>
      </c>
    </row>
    <row r="2465" spans="1:1" x14ac:dyDescent="0.35">
      <c r="A2465" t="s">
        <v>2464</v>
      </c>
    </row>
    <row r="2466" spans="1:1" x14ac:dyDescent="0.35">
      <c r="A2466" t="s">
        <v>2465</v>
      </c>
    </row>
    <row r="2467" spans="1:1" x14ac:dyDescent="0.35">
      <c r="A2467" t="s">
        <v>2466</v>
      </c>
    </row>
    <row r="2468" spans="1:1" x14ac:dyDescent="0.35">
      <c r="A2468" t="s">
        <v>2467</v>
      </c>
    </row>
    <row r="2469" spans="1:1" x14ac:dyDescent="0.35">
      <c r="A2469" t="s">
        <v>2468</v>
      </c>
    </row>
    <row r="2470" spans="1:1" x14ac:dyDescent="0.35">
      <c r="A2470" t="s">
        <v>2469</v>
      </c>
    </row>
    <row r="2471" spans="1:1" x14ac:dyDescent="0.35">
      <c r="A2471" t="s">
        <v>2470</v>
      </c>
    </row>
    <row r="2472" spans="1:1" x14ac:dyDescent="0.35">
      <c r="A2472" t="s">
        <v>2471</v>
      </c>
    </row>
    <row r="2473" spans="1:1" x14ac:dyDescent="0.35">
      <c r="A2473" t="s">
        <v>2472</v>
      </c>
    </row>
    <row r="2474" spans="1:1" x14ac:dyDescent="0.35">
      <c r="A2474" t="s">
        <v>2473</v>
      </c>
    </row>
    <row r="2475" spans="1:1" x14ac:dyDescent="0.35">
      <c r="A2475" t="s">
        <v>2474</v>
      </c>
    </row>
    <row r="2476" spans="1:1" x14ac:dyDescent="0.35">
      <c r="A2476" t="s">
        <v>2475</v>
      </c>
    </row>
    <row r="2477" spans="1:1" x14ac:dyDescent="0.35">
      <c r="A2477" t="s">
        <v>2476</v>
      </c>
    </row>
    <row r="2478" spans="1:1" x14ac:dyDescent="0.35">
      <c r="A2478" t="s">
        <v>2477</v>
      </c>
    </row>
    <row r="2479" spans="1:1" x14ac:dyDescent="0.35">
      <c r="A2479" t="s">
        <v>2478</v>
      </c>
    </row>
    <row r="2480" spans="1:1" x14ac:dyDescent="0.35">
      <c r="A2480" t="s">
        <v>2479</v>
      </c>
    </row>
    <row r="2481" spans="1:1" x14ac:dyDescent="0.35">
      <c r="A2481" t="s">
        <v>2480</v>
      </c>
    </row>
    <row r="2482" spans="1:1" x14ac:dyDescent="0.35">
      <c r="A2482" t="s">
        <v>2481</v>
      </c>
    </row>
    <row r="2483" spans="1:1" x14ac:dyDescent="0.35">
      <c r="A2483" t="s">
        <v>2482</v>
      </c>
    </row>
    <row r="2484" spans="1:1" x14ac:dyDescent="0.35">
      <c r="A2484" t="s">
        <v>2483</v>
      </c>
    </row>
    <row r="2485" spans="1:1" x14ac:dyDescent="0.35">
      <c r="A2485" t="s">
        <v>2484</v>
      </c>
    </row>
    <row r="2486" spans="1:1" x14ac:dyDescent="0.35">
      <c r="A2486" t="s">
        <v>2485</v>
      </c>
    </row>
    <row r="2487" spans="1:1" x14ac:dyDescent="0.35">
      <c r="A2487" t="s">
        <v>2486</v>
      </c>
    </row>
    <row r="2488" spans="1:1" x14ac:dyDescent="0.35">
      <c r="A2488" t="s">
        <v>2487</v>
      </c>
    </row>
    <row r="2489" spans="1:1" x14ac:dyDescent="0.35">
      <c r="A2489" t="s">
        <v>2488</v>
      </c>
    </row>
    <row r="2490" spans="1:1" x14ac:dyDescent="0.35">
      <c r="A2490" t="s">
        <v>2489</v>
      </c>
    </row>
    <row r="2491" spans="1:1" x14ac:dyDescent="0.35">
      <c r="A2491" t="s">
        <v>2490</v>
      </c>
    </row>
    <row r="2492" spans="1:1" x14ac:dyDescent="0.35">
      <c r="A2492" t="s">
        <v>2491</v>
      </c>
    </row>
    <row r="2493" spans="1:1" x14ac:dyDescent="0.35">
      <c r="A2493" t="s">
        <v>2492</v>
      </c>
    </row>
    <row r="2494" spans="1:1" x14ac:dyDescent="0.35">
      <c r="A2494" t="s">
        <v>2493</v>
      </c>
    </row>
    <row r="2495" spans="1:1" x14ac:dyDescent="0.35">
      <c r="A2495" t="s">
        <v>2494</v>
      </c>
    </row>
    <row r="2496" spans="1:1" x14ac:dyDescent="0.35">
      <c r="A2496" t="s">
        <v>2495</v>
      </c>
    </row>
    <row r="2497" spans="1:1" x14ac:dyDescent="0.35">
      <c r="A2497" t="s">
        <v>2496</v>
      </c>
    </row>
    <row r="2498" spans="1:1" x14ac:dyDescent="0.35">
      <c r="A2498" t="s">
        <v>2497</v>
      </c>
    </row>
    <row r="2499" spans="1:1" x14ac:dyDescent="0.35">
      <c r="A2499" t="s">
        <v>2498</v>
      </c>
    </row>
    <row r="2500" spans="1:1" x14ac:dyDescent="0.35">
      <c r="A2500" t="s">
        <v>2499</v>
      </c>
    </row>
    <row r="2501" spans="1:1" x14ac:dyDescent="0.35">
      <c r="A2501" t="s">
        <v>2500</v>
      </c>
    </row>
    <row r="2502" spans="1:1" x14ac:dyDescent="0.35">
      <c r="A2502" t="s">
        <v>2501</v>
      </c>
    </row>
    <row r="2503" spans="1:1" x14ac:dyDescent="0.35">
      <c r="A2503" t="s">
        <v>2502</v>
      </c>
    </row>
    <row r="2504" spans="1:1" x14ac:dyDescent="0.35">
      <c r="A2504" t="s">
        <v>2503</v>
      </c>
    </row>
    <row r="2505" spans="1:1" x14ac:dyDescent="0.35">
      <c r="A2505" t="s">
        <v>2504</v>
      </c>
    </row>
    <row r="2506" spans="1:1" x14ac:dyDescent="0.35">
      <c r="A2506" t="s">
        <v>2505</v>
      </c>
    </row>
    <row r="2507" spans="1:1" x14ac:dyDescent="0.35">
      <c r="A2507" t="s">
        <v>2506</v>
      </c>
    </row>
    <row r="2508" spans="1:1" x14ac:dyDescent="0.35">
      <c r="A2508" t="s">
        <v>2507</v>
      </c>
    </row>
    <row r="2509" spans="1:1" x14ac:dyDescent="0.35">
      <c r="A2509" t="s">
        <v>2508</v>
      </c>
    </row>
    <row r="2510" spans="1:1" x14ac:dyDescent="0.35">
      <c r="A2510" t="s">
        <v>2509</v>
      </c>
    </row>
    <row r="2511" spans="1:1" x14ac:dyDescent="0.35">
      <c r="A2511" t="s">
        <v>2510</v>
      </c>
    </row>
    <row r="2512" spans="1:1" x14ac:dyDescent="0.35">
      <c r="A2512" t="s">
        <v>2511</v>
      </c>
    </row>
    <row r="2513" spans="1:1" x14ac:dyDescent="0.35">
      <c r="A2513" t="s">
        <v>2512</v>
      </c>
    </row>
    <row r="2514" spans="1:1" x14ac:dyDescent="0.35">
      <c r="A2514" t="s">
        <v>2513</v>
      </c>
    </row>
    <row r="2515" spans="1:1" x14ac:dyDescent="0.35">
      <c r="A2515" t="s">
        <v>2514</v>
      </c>
    </row>
    <row r="2516" spans="1:1" x14ac:dyDescent="0.35">
      <c r="A2516" t="s">
        <v>2515</v>
      </c>
    </row>
    <row r="2517" spans="1:1" x14ac:dyDescent="0.35">
      <c r="A2517" t="s">
        <v>2516</v>
      </c>
    </row>
    <row r="2518" spans="1:1" x14ac:dyDescent="0.35">
      <c r="A2518" t="s">
        <v>2517</v>
      </c>
    </row>
    <row r="2519" spans="1:1" x14ac:dyDescent="0.35">
      <c r="A2519" t="s">
        <v>2518</v>
      </c>
    </row>
    <row r="2520" spans="1:1" x14ac:dyDescent="0.35">
      <c r="A2520" t="s">
        <v>2519</v>
      </c>
    </row>
    <row r="2521" spans="1:1" x14ac:dyDescent="0.35">
      <c r="A2521" t="s">
        <v>2520</v>
      </c>
    </row>
    <row r="2522" spans="1:1" x14ac:dyDescent="0.35">
      <c r="A2522" t="s">
        <v>2521</v>
      </c>
    </row>
    <row r="2523" spans="1:1" x14ac:dyDescent="0.35">
      <c r="A2523" t="s">
        <v>2522</v>
      </c>
    </row>
    <row r="2524" spans="1:1" x14ac:dyDescent="0.35">
      <c r="A2524" t="s">
        <v>2523</v>
      </c>
    </row>
    <row r="2525" spans="1:1" x14ac:dyDescent="0.35">
      <c r="A2525" t="s">
        <v>2524</v>
      </c>
    </row>
    <row r="2526" spans="1:1" x14ac:dyDescent="0.35">
      <c r="A2526" t="s">
        <v>2525</v>
      </c>
    </row>
    <row r="2527" spans="1:1" x14ac:dyDescent="0.35">
      <c r="A2527" t="s">
        <v>2526</v>
      </c>
    </row>
    <row r="2528" spans="1:1" x14ac:dyDescent="0.35">
      <c r="A2528" t="s">
        <v>2527</v>
      </c>
    </row>
    <row r="2529" spans="1:1" x14ac:dyDescent="0.35">
      <c r="A2529" t="s">
        <v>2528</v>
      </c>
    </row>
    <row r="2530" spans="1:1" x14ac:dyDescent="0.35">
      <c r="A2530" t="s">
        <v>2529</v>
      </c>
    </row>
    <row r="2531" spans="1:1" x14ac:dyDescent="0.35">
      <c r="A2531" t="s">
        <v>2530</v>
      </c>
    </row>
    <row r="2532" spans="1:1" x14ac:dyDescent="0.35">
      <c r="A2532" t="s">
        <v>2531</v>
      </c>
    </row>
    <row r="2533" spans="1:1" x14ac:dyDescent="0.35">
      <c r="A2533" t="s">
        <v>2532</v>
      </c>
    </row>
    <row r="2534" spans="1:1" x14ac:dyDescent="0.35">
      <c r="A2534" t="s">
        <v>2533</v>
      </c>
    </row>
    <row r="2535" spans="1:1" x14ac:dyDescent="0.35">
      <c r="A2535" t="s">
        <v>2534</v>
      </c>
    </row>
    <row r="2536" spans="1:1" x14ac:dyDescent="0.35">
      <c r="A2536" t="s">
        <v>2535</v>
      </c>
    </row>
    <row r="2537" spans="1:1" x14ac:dyDescent="0.35">
      <c r="A2537" t="s">
        <v>2536</v>
      </c>
    </row>
    <row r="2538" spans="1:1" x14ac:dyDescent="0.35">
      <c r="A2538" t="s">
        <v>2537</v>
      </c>
    </row>
    <row r="2539" spans="1:1" x14ac:dyDescent="0.35">
      <c r="A2539" t="s">
        <v>2538</v>
      </c>
    </row>
    <row r="2540" spans="1:1" x14ac:dyDescent="0.35">
      <c r="A2540" t="s">
        <v>2539</v>
      </c>
    </row>
    <row r="2541" spans="1:1" x14ac:dyDescent="0.35">
      <c r="A2541" t="s">
        <v>2540</v>
      </c>
    </row>
    <row r="2542" spans="1:1" x14ac:dyDescent="0.35">
      <c r="A2542" t="s">
        <v>2541</v>
      </c>
    </row>
    <row r="2543" spans="1:1" x14ac:dyDescent="0.35">
      <c r="A2543" t="s">
        <v>2542</v>
      </c>
    </row>
    <row r="2544" spans="1:1" x14ac:dyDescent="0.35">
      <c r="A2544" t="s">
        <v>2543</v>
      </c>
    </row>
    <row r="2545" spans="1:1" x14ac:dyDescent="0.35">
      <c r="A2545" t="s">
        <v>2544</v>
      </c>
    </row>
    <row r="2546" spans="1:1" x14ac:dyDescent="0.35">
      <c r="A2546" t="s">
        <v>2545</v>
      </c>
    </row>
    <row r="2547" spans="1:1" x14ac:dyDescent="0.35">
      <c r="A2547" t="s">
        <v>2546</v>
      </c>
    </row>
    <row r="2548" spans="1:1" x14ac:dyDescent="0.35">
      <c r="A2548" t="s">
        <v>2547</v>
      </c>
    </row>
    <row r="2549" spans="1:1" x14ac:dyDescent="0.35">
      <c r="A2549" t="s">
        <v>2548</v>
      </c>
    </row>
    <row r="2550" spans="1:1" x14ac:dyDescent="0.35">
      <c r="A2550" t="s">
        <v>2549</v>
      </c>
    </row>
    <row r="2551" spans="1:1" x14ac:dyDescent="0.35">
      <c r="A2551" t="s">
        <v>2550</v>
      </c>
    </row>
    <row r="2552" spans="1:1" x14ac:dyDescent="0.35">
      <c r="A2552" t="s">
        <v>2551</v>
      </c>
    </row>
    <row r="2553" spans="1:1" x14ac:dyDescent="0.35">
      <c r="A2553" t="s">
        <v>2552</v>
      </c>
    </row>
    <row r="2554" spans="1:1" x14ac:dyDescent="0.35">
      <c r="A2554" t="s">
        <v>2553</v>
      </c>
    </row>
    <row r="2555" spans="1:1" x14ac:dyDescent="0.35">
      <c r="A2555" t="s">
        <v>2554</v>
      </c>
    </row>
    <row r="2556" spans="1:1" x14ac:dyDescent="0.35">
      <c r="A2556" t="s">
        <v>2555</v>
      </c>
    </row>
    <row r="2557" spans="1:1" x14ac:dyDescent="0.35">
      <c r="A2557" t="s">
        <v>2556</v>
      </c>
    </row>
    <row r="2558" spans="1:1" x14ac:dyDescent="0.35">
      <c r="A2558" t="s">
        <v>2557</v>
      </c>
    </row>
    <row r="2559" spans="1:1" x14ac:dyDescent="0.35">
      <c r="A2559" t="s">
        <v>2558</v>
      </c>
    </row>
    <row r="2560" spans="1:1" x14ac:dyDescent="0.35">
      <c r="A2560" t="s">
        <v>2559</v>
      </c>
    </row>
    <row r="2561" spans="1:1" x14ac:dyDescent="0.35">
      <c r="A2561" t="s">
        <v>2560</v>
      </c>
    </row>
    <row r="2562" spans="1:1" x14ac:dyDescent="0.35">
      <c r="A2562" t="s">
        <v>2561</v>
      </c>
    </row>
    <row r="2563" spans="1:1" x14ac:dyDescent="0.35">
      <c r="A2563" t="s">
        <v>2562</v>
      </c>
    </row>
    <row r="2564" spans="1:1" x14ac:dyDescent="0.35">
      <c r="A2564" t="s">
        <v>2563</v>
      </c>
    </row>
    <row r="2565" spans="1:1" x14ac:dyDescent="0.35">
      <c r="A2565" t="s">
        <v>2564</v>
      </c>
    </row>
    <row r="2566" spans="1:1" x14ac:dyDescent="0.35">
      <c r="A2566" t="s">
        <v>2565</v>
      </c>
    </row>
    <row r="2567" spans="1:1" x14ac:dyDescent="0.35">
      <c r="A2567" t="s">
        <v>2566</v>
      </c>
    </row>
    <row r="2568" spans="1:1" x14ac:dyDescent="0.35">
      <c r="A2568" t="s">
        <v>2567</v>
      </c>
    </row>
    <row r="2569" spans="1:1" x14ac:dyDescent="0.35">
      <c r="A2569" t="s">
        <v>2568</v>
      </c>
    </row>
    <row r="2570" spans="1:1" x14ac:dyDescent="0.35">
      <c r="A2570" t="s">
        <v>2569</v>
      </c>
    </row>
    <row r="2571" spans="1:1" x14ac:dyDescent="0.35">
      <c r="A2571" t="s">
        <v>2570</v>
      </c>
    </row>
    <row r="2572" spans="1:1" x14ac:dyDescent="0.35">
      <c r="A2572" t="s">
        <v>2571</v>
      </c>
    </row>
    <row r="2573" spans="1:1" x14ac:dyDescent="0.35">
      <c r="A2573" t="s">
        <v>2572</v>
      </c>
    </row>
    <row r="2574" spans="1:1" x14ac:dyDescent="0.35">
      <c r="A2574" t="s">
        <v>2573</v>
      </c>
    </row>
    <row r="2575" spans="1:1" x14ac:dyDescent="0.35">
      <c r="A2575" t="s">
        <v>2574</v>
      </c>
    </row>
    <row r="2576" spans="1:1" x14ac:dyDescent="0.35">
      <c r="A2576" t="s">
        <v>2575</v>
      </c>
    </row>
    <row r="2577" spans="1:1" x14ac:dyDescent="0.35">
      <c r="A2577" t="s">
        <v>2576</v>
      </c>
    </row>
    <row r="2578" spans="1:1" x14ac:dyDescent="0.35">
      <c r="A2578" t="s">
        <v>2577</v>
      </c>
    </row>
    <row r="2579" spans="1:1" x14ac:dyDescent="0.35">
      <c r="A2579" t="s">
        <v>2578</v>
      </c>
    </row>
    <row r="2580" spans="1:1" x14ac:dyDescent="0.35">
      <c r="A2580" t="s">
        <v>2579</v>
      </c>
    </row>
    <row r="2581" spans="1:1" x14ac:dyDescent="0.35">
      <c r="A2581" t="s">
        <v>2580</v>
      </c>
    </row>
    <row r="2582" spans="1:1" x14ac:dyDescent="0.35">
      <c r="A2582" t="s">
        <v>2581</v>
      </c>
    </row>
    <row r="2583" spans="1:1" x14ac:dyDescent="0.35">
      <c r="A2583" t="s">
        <v>2582</v>
      </c>
    </row>
    <row r="2584" spans="1:1" x14ac:dyDescent="0.35">
      <c r="A2584" t="s">
        <v>2583</v>
      </c>
    </row>
    <row r="2585" spans="1:1" x14ac:dyDescent="0.35">
      <c r="A2585" t="s">
        <v>2584</v>
      </c>
    </row>
    <row r="2586" spans="1:1" x14ac:dyDescent="0.35">
      <c r="A2586" t="s">
        <v>2585</v>
      </c>
    </row>
    <row r="2587" spans="1:1" x14ac:dyDescent="0.35">
      <c r="A2587" t="s">
        <v>2586</v>
      </c>
    </row>
    <row r="2588" spans="1:1" x14ac:dyDescent="0.35">
      <c r="A2588" t="s">
        <v>2587</v>
      </c>
    </row>
    <row r="2589" spans="1:1" x14ac:dyDescent="0.35">
      <c r="A2589" t="s">
        <v>2588</v>
      </c>
    </row>
    <row r="2590" spans="1:1" x14ac:dyDescent="0.35">
      <c r="A2590" t="s">
        <v>2589</v>
      </c>
    </row>
    <row r="2591" spans="1:1" x14ac:dyDescent="0.35">
      <c r="A2591" t="s">
        <v>2590</v>
      </c>
    </row>
    <row r="2592" spans="1:1" x14ac:dyDescent="0.35">
      <c r="A2592" t="s">
        <v>2591</v>
      </c>
    </row>
    <row r="2593" spans="1:1" x14ac:dyDescent="0.35">
      <c r="A2593" t="s">
        <v>2592</v>
      </c>
    </row>
    <row r="2594" spans="1:1" x14ac:dyDescent="0.35">
      <c r="A2594" t="s">
        <v>2593</v>
      </c>
    </row>
    <row r="2595" spans="1:1" x14ac:dyDescent="0.35">
      <c r="A2595" t="s">
        <v>2594</v>
      </c>
    </row>
    <row r="2596" spans="1:1" x14ac:dyDescent="0.35">
      <c r="A2596" t="s">
        <v>2595</v>
      </c>
    </row>
    <row r="2597" spans="1:1" x14ac:dyDescent="0.35">
      <c r="A2597" t="s">
        <v>2596</v>
      </c>
    </row>
    <row r="2598" spans="1:1" x14ac:dyDescent="0.35">
      <c r="A2598" t="s">
        <v>2597</v>
      </c>
    </row>
    <row r="2599" spans="1:1" x14ac:dyDescent="0.35">
      <c r="A2599" t="s">
        <v>2598</v>
      </c>
    </row>
    <row r="2600" spans="1:1" x14ac:dyDescent="0.35">
      <c r="A2600" t="s">
        <v>2599</v>
      </c>
    </row>
    <row r="2601" spans="1:1" x14ac:dyDescent="0.35">
      <c r="A2601" t="s">
        <v>2600</v>
      </c>
    </row>
    <row r="2602" spans="1:1" x14ac:dyDescent="0.35">
      <c r="A2602" t="s">
        <v>2601</v>
      </c>
    </row>
    <row r="2603" spans="1:1" x14ac:dyDescent="0.35">
      <c r="A2603" t="s">
        <v>2602</v>
      </c>
    </row>
    <row r="2604" spans="1:1" x14ac:dyDescent="0.35">
      <c r="A2604" t="s">
        <v>2603</v>
      </c>
    </row>
    <row r="2605" spans="1:1" x14ac:dyDescent="0.35">
      <c r="A2605" t="s">
        <v>2604</v>
      </c>
    </row>
    <row r="2606" spans="1:1" x14ac:dyDescent="0.35">
      <c r="A2606" t="s">
        <v>2605</v>
      </c>
    </row>
    <row r="2607" spans="1:1" x14ac:dyDescent="0.35">
      <c r="A2607" t="s">
        <v>2606</v>
      </c>
    </row>
    <row r="2608" spans="1:1" x14ac:dyDescent="0.35">
      <c r="A2608" t="s">
        <v>2607</v>
      </c>
    </row>
    <row r="2609" spans="1:1" x14ac:dyDescent="0.35">
      <c r="A2609" t="s">
        <v>2608</v>
      </c>
    </row>
    <row r="2610" spans="1:1" x14ac:dyDescent="0.35">
      <c r="A2610" t="s">
        <v>2609</v>
      </c>
    </row>
    <row r="2611" spans="1:1" x14ac:dyDescent="0.35">
      <c r="A2611" t="s">
        <v>2610</v>
      </c>
    </row>
    <row r="2612" spans="1:1" x14ac:dyDescent="0.35">
      <c r="A2612" t="s">
        <v>2611</v>
      </c>
    </row>
    <row r="2613" spans="1:1" x14ac:dyDescent="0.35">
      <c r="A2613" t="s">
        <v>2612</v>
      </c>
    </row>
    <row r="2614" spans="1:1" x14ac:dyDescent="0.35">
      <c r="A2614" t="s">
        <v>2613</v>
      </c>
    </row>
    <row r="2615" spans="1:1" x14ac:dyDescent="0.35">
      <c r="A2615" t="s">
        <v>2614</v>
      </c>
    </row>
    <row r="2616" spans="1:1" x14ac:dyDescent="0.35">
      <c r="A2616" t="s">
        <v>2615</v>
      </c>
    </row>
    <row r="2617" spans="1:1" x14ac:dyDescent="0.35">
      <c r="A2617" t="s">
        <v>2616</v>
      </c>
    </row>
    <row r="2618" spans="1:1" x14ac:dyDescent="0.35">
      <c r="A2618" t="s">
        <v>2617</v>
      </c>
    </row>
    <row r="2619" spans="1:1" x14ac:dyDescent="0.35">
      <c r="A2619" t="s">
        <v>2618</v>
      </c>
    </row>
    <row r="2620" spans="1:1" x14ac:dyDescent="0.35">
      <c r="A2620" t="s">
        <v>2619</v>
      </c>
    </row>
    <row r="2621" spans="1:1" x14ac:dyDescent="0.35">
      <c r="A2621" t="s">
        <v>2620</v>
      </c>
    </row>
    <row r="2622" spans="1:1" x14ac:dyDescent="0.35">
      <c r="A2622" t="s">
        <v>2621</v>
      </c>
    </row>
    <row r="2623" spans="1:1" x14ac:dyDescent="0.35">
      <c r="A2623" t="s">
        <v>2622</v>
      </c>
    </row>
    <row r="2624" spans="1:1" x14ac:dyDescent="0.35">
      <c r="A2624" t="s">
        <v>2623</v>
      </c>
    </row>
    <row r="2625" spans="1:1" x14ac:dyDescent="0.35">
      <c r="A2625" t="s">
        <v>2624</v>
      </c>
    </row>
    <row r="2626" spans="1:1" x14ac:dyDescent="0.35">
      <c r="A2626" t="s">
        <v>2625</v>
      </c>
    </row>
    <row r="2627" spans="1:1" x14ac:dyDescent="0.35">
      <c r="A2627" t="s">
        <v>2626</v>
      </c>
    </row>
    <row r="2628" spans="1:1" x14ac:dyDescent="0.35">
      <c r="A2628" t="s">
        <v>2627</v>
      </c>
    </row>
    <row r="2629" spans="1:1" x14ac:dyDescent="0.35">
      <c r="A2629" t="s">
        <v>2628</v>
      </c>
    </row>
    <row r="2630" spans="1:1" x14ac:dyDescent="0.35">
      <c r="A2630" t="s">
        <v>2629</v>
      </c>
    </row>
    <row r="2631" spans="1:1" x14ac:dyDescent="0.35">
      <c r="A2631" t="s">
        <v>2630</v>
      </c>
    </row>
    <row r="2632" spans="1:1" x14ac:dyDescent="0.35">
      <c r="A2632" t="s">
        <v>2631</v>
      </c>
    </row>
    <row r="2633" spans="1:1" x14ac:dyDescent="0.35">
      <c r="A2633" t="s">
        <v>2632</v>
      </c>
    </row>
    <row r="2634" spans="1:1" x14ac:dyDescent="0.35">
      <c r="A2634" t="s">
        <v>2633</v>
      </c>
    </row>
    <row r="2635" spans="1:1" x14ac:dyDescent="0.35">
      <c r="A2635" t="s">
        <v>2634</v>
      </c>
    </row>
    <row r="2636" spans="1:1" x14ac:dyDescent="0.35">
      <c r="A2636" t="s">
        <v>2635</v>
      </c>
    </row>
    <row r="2637" spans="1:1" x14ac:dyDescent="0.35">
      <c r="A2637" t="s">
        <v>2636</v>
      </c>
    </row>
    <row r="2638" spans="1:1" x14ac:dyDescent="0.35">
      <c r="A2638" t="s">
        <v>2637</v>
      </c>
    </row>
    <row r="2639" spans="1:1" x14ac:dyDescent="0.35">
      <c r="A2639" t="s">
        <v>2638</v>
      </c>
    </row>
    <row r="2640" spans="1:1" x14ac:dyDescent="0.35">
      <c r="A2640" t="s">
        <v>2639</v>
      </c>
    </row>
    <row r="2641" spans="1:1" x14ac:dyDescent="0.35">
      <c r="A2641" t="s">
        <v>2640</v>
      </c>
    </row>
    <row r="2642" spans="1:1" x14ac:dyDescent="0.35">
      <c r="A2642" t="s">
        <v>2641</v>
      </c>
    </row>
    <row r="2643" spans="1:1" x14ac:dyDescent="0.35">
      <c r="A2643" t="s">
        <v>2642</v>
      </c>
    </row>
    <row r="2644" spans="1:1" x14ac:dyDescent="0.35">
      <c r="A2644" t="s">
        <v>2643</v>
      </c>
    </row>
    <row r="2645" spans="1:1" x14ac:dyDescent="0.35">
      <c r="A2645" t="s">
        <v>2644</v>
      </c>
    </row>
    <row r="2646" spans="1:1" x14ac:dyDescent="0.35">
      <c r="A2646" t="s">
        <v>2645</v>
      </c>
    </row>
    <row r="2647" spans="1:1" x14ac:dyDescent="0.35">
      <c r="A2647" t="s">
        <v>2646</v>
      </c>
    </row>
    <row r="2648" spans="1:1" x14ac:dyDescent="0.35">
      <c r="A2648" t="s">
        <v>2647</v>
      </c>
    </row>
    <row r="2649" spans="1:1" x14ac:dyDescent="0.35">
      <c r="A2649" t="s">
        <v>2648</v>
      </c>
    </row>
    <row r="2650" spans="1:1" x14ac:dyDescent="0.35">
      <c r="A2650" t="s">
        <v>2649</v>
      </c>
    </row>
    <row r="2651" spans="1:1" x14ac:dyDescent="0.35">
      <c r="A2651" t="s">
        <v>2650</v>
      </c>
    </row>
    <row r="2652" spans="1:1" x14ac:dyDescent="0.35">
      <c r="A2652" t="s">
        <v>2651</v>
      </c>
    </row>
    <row r="2653" spans="1:1" x14ac:dyDescent="0.35">
      <c r="A2653" t="s">
        <v>2652</v>
      </c>
    </row>
    <row r="2654" spans="1:1" x14ac:dyDescent="0.35">
      <c r="A2654" t="s">
        <v>2653</v>
      </c>
    </row>
    <row r="2655" spans="1:1" x14ac:dyDescent="0.35">
      <c r="A2655" t="s">
        <v>2654</v>
      </c>
    </row>
    <row r="2656" spans="1:1" x14ac:dyDescent="0.35">
      <c r="A2656" t="s">
        <v>2655</v>
      </c>
    </row>
    <row r="2657" spans="1:1" x14ac:dyDescent="0.35">
      <c r="A2657" t="s">
        <v>2656</v>
      </c>
    </row>
    <row r="2658" spans="1:1" x14ac:dyDescent="0.35">
      <c r="A2658" t="s">
        <v>2657</v>
      </c>
    </row>
    <row r="2659" spans="1:1" x14ac:dyDescent="0.35">
      <c r="A2659" t="s">
        <v>2658</v>
      </c>
    </row>
    <row r="2660" spans="1:1" x14ac:dyDescent="0.35">
      <c r="A2660" t="s">
        <v>2659</v>
      </c>
    </row>
    <row r="2661" spans="1:1" x14ac:dyDescent="0.35">
      <c r="A2661" t="s">
        <v>2660</v>
      </c>
    </row>
    <row r="2662" spans="1:1" x14ac:dyDescent="0.35">
      <c r="A2662" t="s">
        <v>2661</v>
      </c>
    </row>
    <row r="2663" spans="1:1" x14ac:dyDescent="0.35">
      <c r="A2663" t="s">
        <v>2662</v>
      </c>
    </row>
    <row r="2664" spans="1:1" x14ac:dyDescent="0.35">
      <c r="A2664" t="s">
        <v>2663</v>
      </c>
    </row>
    <row r="2665" spans="1:1" x14ac:dyDescent="0.35">
      <c r="A2665" t="s">
        <v>2664</v>
      </c>
    </row>
    <row r="2666" spans="1:1" x14ac:dyDescent="0.35">
      <c r="A2666" t="s">
        <v>2665</v>
      </c>
    </row>
    <row r="2667" spans="1:1" x14ac:dyDescent="0.35">
      <c r="A2667" t="s">
        <v>2666</v>
      </c>
    </row>
    <row r="2668" spans="1:1" x14ac:dyDescent="0.35">
      <c r="A2668" t="s">
        <v>2667</v>
      </c>
    </row>
    <row r="2669" spans="1:1" x14ac:dyDescent="0.35">
      <c r="A2669" t="s">
        <v>2668</v>
      </c>
    </row>
    <row r="2670" spans="1:1" x14ac:dyDescent="0.35">
      <c r="A2670" t="s">
        <v>2669</v>
      </c>
    </row>
    <row r="2671" spans="1:1" x14ac:dyDescent="0.35">
      <c r="A2671" t="s">
        <v>2670</v>
      </c>
    </row>
    <row r="2672" spans="1:1" x14ac:dyDescent="0.35">
      <c r="A2672" t="s">
        <v>2671</v>
      </c>
    </row>
    <row r="2673" spans="1:1" x14ac:dyDescent="0.35">
      <c r="A2673" t="s">
        <v>2672</v>
      </c>
    </row>
    <row r="2674" spans="1:1" x14ac:dyDescent="0.35">
      <c r="A2674" t="s">
        <v>2673</v>
      </c>
    </row>
    <row r="2675" spans="1:1" x14ac:dyDescent="0.35">
      <c r="A2675" t="s">
        <v>2674</v>
      </c>
    </row>
    <row r="2676" spans="1:1" x14ac:dyDescent="0.35">
      <c r="A2676" t="s">
        <v>2675</v>
      </c>
    </row>
    <row r="2677" spans="1:1" x14ac:dyDescent="0.35">
      <c r="A2677" t="s">
        <v>2676</v>
      </c>
    </row>
    <row r="2678" spans="1:1" x14ac:dyDescent="0.35">
      <c r="A2678" t="s">
        <v>2677</v>
      </c>
    </row>
    <row r="2679" spans="1:1" x14ac:dyDescent="0.35">
      <c r="A2679" t="s">
        <v>2678</v>
      </c>
    </row>
    <row r="2680" spans="1:1" x14ac:dyDescent="0.35">
      <c r="A2680" t="s">
        <v>2679</v>
      </c>
    </row>
    <row r="2681" spans="1:1" x14ac:dyDescent="0.35">
      <c r="A2681" t="s">
        <v>2680</v>
      </c>
    </row>
    <row r="2682" spans="1:1" x14ac:dyDescent="0.35">
      <c r="A2682" t="s">
        <v>2681</v>
      </c>
    </row>
    <row r="2683" spans="1:1" x14ac:dyDescent="0.35">
      <c r="A2683" t="s">
        <v>2682</v>
      </c>
    </row>
    <row r="2684" spans="1:1" x14ac:dyDescent="0.35">
      <c r="A2684" t="s">
        <v>2683</v>
      </c>
    </row>
    <row r="2685" spans="1:1" x14ac:dyDescent="0.35">
      <c r="A2685" t="s">
        <v>2684</v>
      </c>
    </row>
    <row r="2686" spans="1:1" x14ac:dyDescent="0.35">
      <c r="A2686" t="s">
        <v>2685</v>
      </c>
    </row>
    <row r="2687" spans="1:1" x14ac:dyDescent="0.35">
      <c r="A2687" t="s">
        <v>2686</v>
      </c>
    </row>
    <row r="2688" spans="1:1" x14ac:dyDescent="0.35">
      <c r="A2688" t="s">
        <v>2687</v>
      </c>
    </row>
    <row r="2689" spans="1:1" x14ac:dyDescent="0.35">
      <c r="A2689" t="s">
        <v>2688</v>
      </c>
    </row>
    <row r="2690" spans="1:1" x14ac:dyDescent="0.35">
      <c r="A2690" t="s">
        <v>2689</v>
      </c>
    </row>
    <row r="2691" spans="1:1" x14ac:dyDescent="0.35">
      <c r="A2691" t="s">
        <v>2690</v>
      </c>
    </row>
    <row r="2692" spans="1:1" x14ac:dyDescent="0.35">
      <c r="A2692" t="s">
        <v>2691</v>
      </c>
    </row>
    <row r="2693" spans="1:1" x14ac:dyDescent="0.35">
      <c r="A2693" t="s">
        <v>2692</v>
      </c>
    </row>
    <row r="2694" spans="1:1" x14ac:dyDescent="0.35">
      <c r="A2694" t="s">
        <v>2693</v>
      </c>
    </row>
    <row r="2695" spans="1:1" x14ac:dyDescent="0.35">
      <c r="A2695" t="s">
        <v>2694</v>
      </c>
    </row>
    <row r="2696" spans="1:1" x14ac:dyDescent="0.35">
      <c r="A2696" t="s">
        <v>2695</v>
      </c>
    </row>
    <row r="2697" spans="1:1" x14ac:dyDescent="0.35">
      <c r="A2697" t="s">
        <v>2696</v>
      </c>
    </row>
    <row r="2698" spans="1:1" x14ac:dyDescent="0.35">
      <c r="A2698" t="s">
        <v>2697</v>
      </c>
    </row>
    <row r="2699" spans="1:1" x14ac:dyDescent="0.35">
      <c r="A2699" t="s">
        <v>2698</v>
      </c>
    </row>
    <row r="2700" spans="1:1" x14ac:dyDescent="0.35">
      <c r="A2700" t="s">
        <v>2699</v>
      </c>
    </row>
    <row r="2701" spans="1:1" x14ac:dyDescent="0.35">
      <c r="A2701" t="s">
        <v>2700</v>
      </c>
    </row>
    <row r="2702" spans="1:1" x14ac:dyDescent="0.35">
      <c r="A2702" t="s">
        <v>2701</v>
      </c>
    </row>
    <row r="2703" spans="1:1" x14ac:dyDescent="0.35">
      <c r="A2703" t="s">
        <v>2702</v>
      </c>
    </row>
    <row r="2704" spans="1:1" x14ac:dyDescent="0.35">
      <c r="A2704" t="s">
        <v>2703</v>
      </c>
    </row>
    <row r="2705" spans="1:1" x14ac:dyDescent="0.35">
      <c r="A2705" t="s">
        <v>2704</v>
      </c>
    </row>
    <row r="2706" spans="1:1" x14ac:dyDescent="0.35">
      <c r="A2706" t="s">
        <v>2705</v>
      </c>
    </row>
    <row r="2707" spans="1:1" x14ac:dyDescent="0.35">
      <c r="A2707" t="s">
        <v>2706</v>
      </c>
    </row>
    <row r="2708" spans="1:1" x14ac:dyDescent="0.35">
      <c r="A2708" t="s">
        <v>2707</v>
      </c>
    </row>
    <row r="2709" spans="1:1" x14ac:dyDescent="0.35">
      <c r="A2709" t="s">
        <v>2708</v>
      </c>
    </row>
    <row r="2710" spans="1:1" x14ac:dyDescent="0.35">
      <c r="A2710" t="s">
        <v>2709</v>
      </c>
    </row>
    <row r="2711" spans="1:1" x14ac:dyDescent="0.35">
      <c r="A2711" t="s">
        <v>2710</v>
      </c>
    </row>
    <row r="2712" spans="1:1" x14ac:dyDescent="0.35">
      <c r="A2712" t="s">
        <v>2711</v>
      </c>
    </row>
    <row r="2713" spans="1:1" x14ac:dyDescent="0.35">
      <c r="A2713" t="s">
        <v>2712</v>
      </c>
    </row>
    <row r="2714" spans="1:1" x14ac:dyDescent="0.35">
      <c r="A2714" t="s">
        <v>2713</v>
      </c>
    </row>
    <row r="2715" spans="1:1" x14ac:dyDescent="0.35">
      <c r="A2715" t="s">
        <v>2714</v>
      </c>
    </row>
    <row r="2716" spans="1:1" x14ac:dyDescent="0.35">
      <c r="A2716" t="s">
        <v>2715</v>
      </c>
    </row>
    <row r="2717" spans="1:1" x14ac:dyDescent="0.35">
      <c r="A2717" t="s">
        <v>2716</v>
      </c>
    </row>
    <row r="2718" spans="1:1" x14ac:dyDescent="0.35">
      <c r="A2718" t="s">
        <v>2717</v>
      </c>
    </row>
    <row r="2719" spans="1:1" x14ac:dyDescent="0.35">
      <c r="A2719" t="s">
        <v>2718</v>
      </c>
    </row>
    <row r="2720" spans="1:1" x14ac:dyDescent="0.35">
      <c r="A2720" t="s">
        <v>2719</v>
      </c>
    </row>
    <row r="2721" spans="1:1" x14ac:dyDescent="0.35">
      <c r="A2721" t="s">
        <v>2720</v>
      </c>
    </row>
    <row r="2722" spans="1:1" x14ac:dyDescent="0.35">
      <c r="A2722" t="s">
        <v>2721</v>
      </c>
    </row>
    <row r="2723" spans="1:1" x14ac:dyDescent="0.35">
      <c r="A2723" t="s">
        <v>2722</v>
      </c>
    </row>
    <row r="2724" spans="1:1" x14ac:dyDescent="0.35">
      <c r="A2724" t="s">
        <v>2723</v>
      </c>
    </row>
    <row r="2725" spans="1:1" x14ac:dyDescent="0.35">
      <c r="A2725" t="s">
        <v>2724</v>
      </c>
    </row>
    <row r="2726" spans="1:1" x14ac:dyDescent="0.35">
      <c r="A2726" t="s">
        <v>2725</v>
      </c>
    </row>
    <row r="2727" spans="1:1" x14ac:dyDescent="0.35">
      <c r="A2727" t="s">
        <v>2726</v>
      </c>
    </row>
    <row r="2728" spans="1:1" x14ac:dyDescent="0.35">
      <c r="A2728" t="s">
        <v>2727</v>
      </c>
    </row>
    <row r="2729" spans="1:1" x14ac:dyDescent="0.35">
      <c r="A2729" t="s">
        <v>2728</v>
      </c>
    </row>
    <row r="2730" spans="1:1" x14ac:dyDescent="0.35">
      <c r="A2730" t="s">
        <v>2729</v>
      </c>
    </row>
    <row r="2731" spans="1:1" x14ac:dyDescent="0.35">
      <c r="A2731" t="s">
        <v>2730</v>
      </c>
    </row>
    <row r="2732" spans="1:1" x14ac:dyDescent="0.35">
      <c r="A2732" t="s">
        <v>2731</v>
      </c>
    </row>
    <row r="2733" spans="1:1" x14ac:dyDescent="0.35">
      <c r="A2733" t="s">
        <v>2732</v>
      </c>
    </row>
    <row r="2734" spans="1:1" x14ac:dyDescent="0.35">
      <c r="A2734" t="s">
        <v>2733</v>
      </c>
    </row>
    <row r="2735" spans="1:1" x14ac:dyDescent="0.35">
      <c r="A2735" t="s">
        <v>2734</v>
      </c>
    </row>
    <row r="2736" spans="1:1" x14ac:dyDescent="0.35">
      <c r="A2736" t="s">
        <v>2735</v>
      </c>
    </row>
    <row r="2737" spans="1:1" x14ac:dyDescent="0.35">
      <c r="A2737" t="s">
        <v>2736</v>
      </c>
    </row>
    <row r="2738" spans="1:1" x14ac:dyDescent="0.35">
      <c r="A2738" t="s">
        <v>2737</v>
      </c>
    </row>
    <row r="2739" spans="1:1" x14ac:dyDescent="0.35">
      <c r="A2739" t="s">
        <v>2738</v>
      </c>
    </row>
    <row r="2740" spans="1:1" x14ac:dyDescent="0.35">
      <c r="A2740" t="s">
        <v>2739</v>
      </c>
    </row>
    <row r="2741" spans="1:1" x14ac:dyDescent="0.35">
      <c r="A2741" t="s">
        <v>2740</v>
      </c>
    </row>
    <row r="2742" spans="1:1" x14ac:dyDescent="0.35">
      <c r="A2742" t="s">
        <v>2741</v>
      </c>
    </row>
    <row r="2743" spans="1:1" x14ac:dyDescent="0.35">
      <c r="A2743" t="s">
        <v>2742</v>
      </c>
    </row>
    <row r="2744" spans="1:1" x14ac:dyDescent="0.35">
      <c r="A2744" t="s">
        <v>2743</v>
      </c>
    </row>
    <row r="2745" spans="1:1" x14ac:dyDescent="0.35">
      <c r="A2745" t="s">
        <v>2744</v>
      </c>
    </row>
    <row r="2746" spans="1:1" x14ac:dyDescent="0.35">
      <c r="A2746" t="s">
        <v>2745</v>
      </c>
    </row>
    <row r="2747" spans="1:1" x14ac:dyDescent="0.35">
      <c r="A2747" t="s">
        <v>2746</v>
      </c>
    </row>
    <row r="2748" spans="1:1" x14ac:dyDescent="0.35">
      <c r="A2748" t="s">
        <v>2747</v>
      </c>
    </row>
    <row r="2749" spans="1:1" x14ac:dyDescent="0.35">
      <c r="A2749" t="s">
        <v>2748</v>
      </c>
    </row>
    <row r="2750" spans="1:1" x14ac:dyDescent="0.35">
      <c r="A2750" t="s">
        <v>2749</v>
      </c>
    </row>
    <row r="2751" spans="1:1" x14ac:dyDescent="0.35">
      <c r="A2751" t="s">
        <v>2750</v>
      </c>
    </row>
    <row r="2752" spans="1:1" x14ac:dyDescent="0.35">
      <c r="A2752" t="s">
        <v>2751</v>
      </c>
    </row>
    <row r="2753" spans="1:1" x14ac:dyDescent="0.35">
      <c r="A2753" t="s">
        <v>2752</v>
      </c>
    </row>
    <row r="2754" spans="1:1" x14ac:dyDescent="0.35">
      <c r="A2754" t="s">
        <v>2753</v>
      </c>
    </row>
    <row r="2755" spans="1:1" x14ac:dyDescent="0.35">
      <c r="A2755" t="s">
        <v>2754</v>
      </c>
    </row>
    <row r="2756" spans="1:1" x14ac:dyDescent="0.35">
      <c r="A2756" t="s">
        <v>2755</v>
      </c>
    </row>
    <row r="2757" spans="1:1" x14ac:dyDescent="0.35">
      <c r="A2757" t="s">
        <v>2756</v>
      </c>
    </row>
    <row r="2758" spans="1:1" x14ac:dyDescent="0.35">
      <c r="A2758" t="s">
        <v>2757</v>
      </c>
    </row>
    <row r="2759" spans="1:1" x14ac:dyDescent="0.35">
      <c r="A2759" t="s">
        <v>2758</v>
      </c>
    </row>
    <row r="2760" spans="1:1" x14ac:dyDescent="0.35">
      <c r="A2760" t="s">
        <v>2759</v>
      </c>
    </row>
    <row r="2761" spans="1:1" x14ac:dyDescent="0.35">
      <c r="A2761" t="s">
        <v>2760</v>
      </c>
    </row>
    <row r="2762" spans="1:1" x14ac:dyDescent="0.35">
      <c r="A2762" t="s">
        <v>2761</v>
      </c>
    </row>
    <row r="2763" spans="1:1" x14ac:dyDescent="0.35">
      <c r="A2763" t="s">
        <v>2762</v>
      </c>
    </row>
    <row r="2764" spans="1:1" x14ac:dyDescent="0.35">
      <c r="A2764" t="s">
        <v>2763</v>
      </c>
    </row>
    <row r="2765" spans="1:1" x14ac:dyDescent="0.35">
      <c r="A2765" t="s">
        <v>2764</v>
      </c>
    </row>
    <row r="2766" spans="1:1" x14ac:dyDescent="0.35">
      <c r="A2766" t="s">
        <v>2765</v>
      </c>
    </row>
    <row r="2767" spans="1:1" x14ac:dyDescent="0.35">
      <c r="A2767" t="s">
        <v>2766</v>
      </c>
    </row>
    <row r="2768" spans="1:1" x14ac:dyDescent="0.35">
      <c r="A2768" t="s">
        <v>2767</v>
      </c>
    </row>
    <row r="2769" spans="1:1" x14ac:dyDescent="0.35">
      <c r="A2769" t="s">
        <v>2768</v>
      </c>
    </row>
    <row r="2770" spans="1:1" x14ac:dyDescent="0.35">
      <c r="A2770" t="s">
        <v>2769</v>
      </c>
    </row>
    <row r="2771" spans="1:1" x14ac:dyDescent="0.35">
      <c r="A2771" t="s">
        <v>2770</v>
      </c>
    </row>
    <row r="2772" spans="1:1" x14ac:dyDescent="0.35">
      <c r="A2772" t="s">
        <v>2771</v>
      </c>
    </row>
    <row r="2773" spans="1:1" x14ac:dyDescent="0.35">
      <c r="A2773" t="s">
        <v>2772</v>
      </c>
    </row>
    <row r="2774" spans="1:1" x14ac:dyDescent="0.35">
      <c r="A2774" t="s">
        <v>2773</v>
      </c>
    </row>
    <row r="2775" spans="1:1" x14ac:dyDescent="0.35">
      <c r="A2775" t="s">
        <v>2774</v>
      </c>
    </row>
    <row r="2776" spans="1:1" x14ac:dyDescent="0.35">
      <c r="A2776" t="s">
        <v>2775</v>
      </c>
    </row>
    <row r="2777" spans="1:1" x14ac:dyDescent="0.35">
      <c r="A2777" t="s">
        <v>2776</v>
      </c>
    </row>
    <row r="2778" spans="1:1" x14ac:dyDescent="0.35">
      <c r="A2778" t="s">
        <v>2777</v>
      </c>
    </row>
    <row r="2779" spans="1:1" x14ac:dyDescent="0.35">
      <c r="A2779" t="s">
        <v>2778</v>
      </c>
    </row>
    <row r="2780" spans="1:1" x14ac:dyDescent="0.35">
      <c r="A2780" t="s">
        <v>2779</v>
      </c>
    </row>
    <row r="2781" spans="1:1" x14ac:dyDescent="0.35">
      <c r="A2781" t="s">
        <v>2780</v>
      </c>
    </row>
    <row r="2782" spans="1:1" x14ac:dyDescent="0.35">
      <c r="A2782" t="s">
        <v>2781</v>
      </c>
    </row>
    <row r="2783" spans="1:1" x14ac:dyDescent="0.35">
      <c r="A2783" t="s">
        <v>2782</v>
      </c>
    </row>
    <row r="2784" spans="1:1" x14ac:dyDescent="0.35">
      <c r="A2784" t="s">
        <v>2783</v>
      </c>
    </row>
    <row r="2785" spans="1:1" x14ac:dyDescent="0.35">
      <c r="A2785" t="s">
        <v>2784</v>
      </c>
    </row>
    <row r="2786" spans="1:1" x14ac:dyDescent="0.35">
      <c r="A2786" t="s">
        <v>2785</v>
      </c>
    </row>
    <row r="2787" spans="1:1" x14ac:dyDescent="0.35">
      <c r="A2787" t="s">
        <v>2786</v>
      </c>
    </row>
    <row r="2788" spans="1:1" x14ac:dyDescent="0.35">
      <c r="A2788" t="s">
        <v>2787</v>
      </c>
    </row>
    <row r="2789" spans="1:1" x14ac:dyDescent="0.35">
      <c r="A2789" t="s">
        <v>2788</v>
      </c>
    </row>
    <row r="2790" spans="1:1" x14ac:dyDescent="0.35">
      <c r="A2790" t="s">
        <v>2789</v>
      </c>
    </row>
    <row r="2791" spans="1:1" x14ac:dyDescent="0.35">
      <c r="A2791" t="s">
        <v>2790</v>
      </c>
    </row>
    <row r="2792" spans="1:1" x14ac:dyDescent="0.35">
      <c r="A2792" t="s">
        <v>2791</v>
      </c>
    </row>
    <row r="2793" spans="1:1" x14ac:dyDescent="0.35">
      <c r="A2793" t="s">
        <v>2792</v>
      </c>
    </row>
    <row r="2794" spans="1:1" x14ac:dyDescent="0.35">
      <c r="A2794" t="s">
        <v>2793</v>
      </c>
    </row>
    <row r="2795" spans="1:1" x14ac:dyDescent="0.35">
      <c r="A2795" t="s">
        <v>2794</v>
      </c>
    </row>
    <row r="2796" spans="1:1" x14ac:dyDescent="0.35">
      <c r="A2796" t="s">
        <v>2795</v>
      </c>
    </row>
    <row r="2797" spans="1:1" x14ac:dyDescent="0.35">
      <c r="A2797" t="s">
        <v>2796</v>
      </c>
    </row>
    <row r="2798" spans="1:1" x14ac:dyDescent="0.35">
      <c r="A2798" t="s">
        <v>2797</v>
      </c>
    </row>
    <row r="2799" spans="1:1" x14ac:dyDescent="0.35">
      <c r="A2799" t="s">
        <v>2798</v>
      </c>
    </row>
    <row r="2800" spans="1:1" x14ac:dyDescent="0.35">
      <c r="A2800" t="s">
        <v>2799</v>
      </c>
    </row>
    <row r="2801" spans="1:1" x14ac:dyDescent="0.35">
      <c r="A2801" t="s">
        <v>2800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showGridLines="0" showRowColHeaders="0" workbookViewId="0">
      <selection activeCell="I12" sqref="I12"/>
    </sheetView>
  </sheetViews>
  <sheetFormatPr defaultRowHeight="14.5" x14ac:dyDescent="0.35"/>
  <cols>
    <col min="1" max="1" width="16" customWidth="1"/>
    <col min="2" max="2" width="1.81640625" bestFit="1" customWidth="1"/>
  </cols>
  <sheetData>
    <row r="1" spans="1:12" x14ac:dyDescent="0.35">
      <c r="A1" s="5" t="s">
        <v>2823</v>
      </c>
      <c r="B1" s="5" t="s">
        <v>2824</v>
      </c>
      <c r="C1" s="6" t="s">
        <v>2833</v>
      </c>
      <c r="D1" s="6"/>
      <c r="E1" s="6"/>
      <c r="F1" s="6"/>
      <c r="G1" s="6"/>
      <c r="H1" s="6"/>
      <c r="I1" s="6"/>
      <c r="J1" s="6"/>
      <c r="K1" s="6"/>
      <c r="L1" s="6"/>
    </row>
    <row r="2" spans="1:12" ht="46.5" customHeight="1" x14ac:dyDescent="0.35">
      <c r="A2" s="7" t="s">
        <v>2825</v>
      </c>
      <c r="B2" s="7" t="s">
        <v>2824</v>
      </c>
      <c r="C2" s="8" t="s">
        <v>2834</v>
      </c>
      <c r="D2" s="8"/>
      <c r="E2" s="8"/>
      <c r="F2" s="8"/>
      <c r="G2" s="8"/>
      <c r="H2" s="8"/>
      <c r="I2" s="8"/>
      <c r="J2" s="8"/>
      <c r="K2" s="8"/>
      <c r="L2" s="8"/>
    </row>
    <row r="3" spans="1:12" ht="29.5" customHeight="1" x14ac:dyDescent="0.35">
      <c r="A3" s="5" t="s">
        <v>2826</v>
      </c>
      <c r="B3" s="5" t="s">
        <v>2824</v>
      </c>
      <c r="C3" s="6" t="s">
        <v>2835</v>
      </c>
      <c r="D3" s="6"/>
      <c r="E3" s="6"/>
      <c r="F3" s="6"/>
      <c r="G3" s="6"/>
      <c r="H3" s="6"/>
      <c r="I3" s="6"/>
      <c r="J3" s="6"/>
      <c r="K3" s="6"/>
      <c r="L3" s="6"/>
    </row>
    <row r="4" spans="1:12" ht="32" customHeight="1" x14ac:dyDescent="0.35">
      <c r="A4" s="5"/>
      <c r="B4" s="5"/>
      <c r="C4" s="8" t="s">
        <v>2836</v>
      </c>
      <c r="D4" s="8"/>
      <c r="E4" s="8"/>
      <c r="F4" s="8"/>
      <c r="G4" s="8"/>
      <c r="H4" s="8"/>
      <c r="I4" s="8"/>
      <c r="J4" s="8"/>
      <c r="K4" s="8"/>
      <c r="L4" s="8"/>
    </row>
    <row r="5" spans="1:12" ht="30" customHeight="1" x14ac:dyDescent="0.35">
      <c r="A5" s="5"/>
      <c r="B5" s="5"/>
      <c r="C5" s="8" t="s">
        <v>2837</v>
      </c>
      <c r="D5" s="8"/>
      <c r="E5" s="8"/>
      <c r="F5" s="8"/>
      <c r="G5" s="8"/>
      <c r="H5" s="8"/>
      <c r="I5" s="8"/>
      <c r="J5" s="8"/>
      <c r="K5" s="8"/>
      <c r="L5" s="8"/>
    </row>
    <row r="6" spans="1:12" x14ac:dyDescent="0.35">
      <c r="A6" s="5"/>
      <c r="B6" s="5"/>
      <c r="C6" s="8" t="s">
        <v>2838</v>
      </c>
      <c r="D6" s="8"/>
      <c r="E6" s="8"/>
      <c r="F6" s="8"/>
      <c r="G6" s="8"/>
      <c r="H6" s="8"/>
      <c r="I6" s="8"/>
      <c r="J6" s="8"/>
      <c r="K6" s="8"/>
      <c r="L6" s="8"/>
    </row>
    <row r="7" spans="1:12" ht="29.5" customHeight="1" x14ac:dyDescent="0.35">
      <c r="A7" s="7" t="s">
        <v>2827</v>
      </c>
      <c r="B7" s="7" t="s">
        <v>2824</v>
      </c>
      <c r="C7" s="8" t="s">
        <v>2839</v>
      </c>
      <c r="D7" s="8"/>
      <c r="E7" s="8"/>
      <c r="F7" s="8"/>
      <c r="G7" s="8"/>
      <c r="H7" s="8"/>
      <c r="I7" s="8"/>
      <c r="J7" s="8"/>
      <c r="K7" s="8"/>
      <c r="L7" s="8"/>
    </row>
    <row r="8" spans="1:12" x14ac:dyDescent="0.35">
      <c r="A8" s="5" t="s">
        <v>2828</v>
      </c>
      <c r="B8" s="5" t="s">
        <v>2824</v>
      </c>
      <c r="C8" s="8" t="s">
        <v>2829</v>
      </c>
      <c r="D8" s="8"/>
      <c r="E8" s="8"/>
      <c r="F8" s="8"/>
      <c r="G8" s="8"/>
      <c r="H8" s="8"/>
      <c r="I8" s="8"/>
      <c r="J8" s="8"/>
      <c r="K8" s="8"/>
      <c r="L8" s="8"/>
    </row>
    <row r="9" spans="1:12" x14ac:dyDescent="0.35">
      <c r="A9" s="5" t="s">
        <v>2830</v>
      </c>
      <c r="B9" s="5" t="s">
        <v>2831</v>
      </c>
      <c r="C9" s="8" t="s">
        <v>2832</v>
      </c>
      <c r="D9" s="8"/>
      <c r="E9" s="8"/>
      <c r="F9" s="8"/>
      <c r="G9" s="8"/>
      <c r="H9" s="8"/>
      <c r="I9" s="8"/>
      <c r="J9" s="8"/>
      <c r="K9" s="8"/>
      <c r="L9" s="8"/>
    </row>
  </sheetData>
  <mergeCells count="9">
    <mergeCell ref="C7:L7"/>
    <mergeCell ref="C8:L8"/>
    <mergeCell ref="C9:L9"/>
    <mergeCell ref="C1:L1"/>
    <mergeCell ref="C2:L2"/>
    <mergeCell ref="C3:L3"/>
    <mergeCell ref="C4:L4"/>
    <mergeCell ref="C5:L5"/>
    <mergeCell ref="C6:L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01"/>
  <sheetViews>
    <sheetView zoomScale="70" zoomScaleNormal="70" workbookViewId="0">
      <selection activeCell="H26" sqref="H26"/>
    </sheetView>
  </sheetViews>
  <sheetFormatPr defaultRowHeight="14.5" x14ac:dyDescent="0.35"/>
  <cols>
    <col min="1" max="1" width="9.90625" customWidth="1"/>
    <col min="2" max="2" width="10.6328125" style="1" customWidth="1"/>
    <col min="3" max="3" width="23.90625" style="2" customWidth="1"/>
    <col min="4" max="4" width="25.81640625" style="3" customWidth="1"/>
    <col min="5" max="5" width="15.26953125" style="3" customWidth="1"/>
    <col min="6" max="6" width="21.08984375" style="2" customWidth="1"/>
    <col min="7" max="7" width="17.1796875" customWidth="1"/>
    <col min="8" max="8" width="18.453125" customWidth="1"/>
    <col min="9" max="9" width="22" style="2" customWidth="1"/>
    <col min="10" max="10" width="22.54296875" style="4" bestFit="1" customWidth="1"/>
    <col min="11" max="11" width="14.54296875" customWidth="1"/>
    <col min="12" max="12" width="9.36328125" style="3" customWidth="1"/>
    <col min="13" max="13" width="16.08984375" bestFit="1" customWidth="1"/>
    <col min="14" max="14" width="14.54296875" bestFit="1" customWidth="1"/>
  </cols>
  <sheetData>
    <row r="1" spans="1:14" x14ac:dyDescent="0.35">
      <c r="A1" t="s">
        <v>2801</v>
      </c>
      <c r="B1" s="1" t="s">
        <v>2802</v>
      </c>
      <c r="C1" s="2" t="s">
        <v>2803</v>
      </c>
      <c r="D1" s="3" t="s">
        <v>2804</v>
      </c>
      <c r="E1" s="3" t="s">
        <v>2805</v>
      </c>
      <c r="F1" s="2" t="s">
        <v>2806</v>
      </c>
      <c r="G1" t="s">
        <v>2807</v>
      </c>
      <c r="H1" t="s">
        <v>2808</v>
      </c>
      <c r="I1" s="2" t="s">
        <v>2809</v>
      </c>
      <c r="J1" s="11" t="s">
        <v>2842</v>
      </c>
      <c r="K1" t="s">
        <v>2810</v>
      </c>
      <c r="L1" s="3" t="s">
        <v>2811</v>
      </c>
      <c r="M1" s="10" t="s">
        <v>2840</v>
      </c>
      <c r="N1" s="10" t="s">
        <v>2841</v>
      </c>
    </row>
    <row r="2" spans="1:14" x14ac:dyDescent="0.35">
      <c r="A2">
        <v>1</v>
      </c>
      <c r="B2" s="1">
        <v>44927</v>
      </c>
      <c r="C2" s="2">
        <v>4.3750000000000004E-2</v>
      </c>
      <c r="D2" s="3">
        <v>2869</v>
      </c>
      <c r="E2" s="3">
        <v>253</v>
      </c>
      <c r="F2" s="2">
        <v>75.922222222222231</v>
      </c>
      <c r="G2" t="s">
        <v>2812</v>
      </c>
      <c r="H2" t="s">
        <v>2813</v>
      </c>
      <c r="I2" s="2">
        <v>0.62916666666666665</v>
      </c>
      <c r="J2" s="4" t="str">
        <f>IF(Table1[[#This Row],[processing_time_hours]]&gt;1.5,"Slow", "Fast")</f>
        <v>Fast</v>
      </c>
      <c r="K2" t="s">
        <v>2814</v>
      </c>
      <c r="L2" s="3">
        <v>1</v>
      </c>
      <c r="M2" t="str">
        <f>IF(Table1[[#This Row],[delayed]]=1,"Delayed","On Time")</f>
        <v>Delayed</v>
      </c>
      <c r="N2" t="str">
        <f>IF(AND(Table1[[#This Row],[delayed]]=1,Table1[[#This Row],[weather_condition]]="Storm"),"High Risk", IF(Table1[[#This Row],[delayed]]=1,"Medium Risk","Low Risk"))</f>
        <v>Medium Risk</v>
      </c>
    </row>
    <row r="3" spans="1:14" x14ac:dyDescent="0.35">
      <c r="A3">
        <v>2</v>
      </c>
      <c r="B3" s="1">
        <v>44927.041666666664</v>
      </c>
      <c r="C3" s="2">
        <v>6.3194444444444442E-2</v>
      </c>
      <c r="D3" s="3">
        <v>2406</v>
      </c>
      <c r="E3" s="3">
        <v>370</v>
      </c>
      <c r="F3" s="2">
        <v>36.500694444444441</v>
      </c>
      <c r="G3" t="s">
        <v>2815</v>
      </c>
      <c r="H3" t="s">
        <v>2813</v>
      </c>
      <c r="I3" s="2">
        <v>2.2097222222222221</v>
      </c>
      <c r="J3" s="4" t="str">
        <f>IF(Table1[[#This Row],[processing_time_hours]]&gt;1.5,"Slow", "Fast")</f>
        <v>Slow</v>
      </c>
      <c r="K3" t="s">
        <v>2814</v>
      </c>
      <c r="L3" s="3">
        <v>0</v>
      </c>
      <c r="M3" t="str">
        <f>IF(Table1[[#This Row],[delayed]]=1,"Delayed","On Time")</f>
        <v>On Time</v>
      </c>
      <c r="N3" t="str">
        <f>IF(AND(Table1[[#This Row],[delayed]]=1,Table1[[#This Row],[weather_condition]]="Storm"),"High Risk", IF(Table1[[#This Row],[delayed]]=1,"Medium Risk","Low Risk"))</f>
        <v>Low Risk</v>
      </c>
    </row>
    <row r="4" spans="1:14" x14ac:dyDescent="0.35">
      <c r="A4">
        <v>3</v>
      </c>
      <c r="B4" s="1">
        <v>44927.083333333336</v>
      </c>
      <c r="C4" s="2">
        <v>5.4166666666666669E-2</v>
      </c>
      <c r="D4" s="3">
        <v>4665</v>
      </c>
      <c r="E4" s="3">
        <v>198</v>
      </c>
      <c r="F4" s="2">
        <v>5.5847222222222221</v>
      </c>
      <c r="G4" t="s">
        <v>2816</v>
      </c>
      <c r="H4" t="s">
        <v>2813</v>
      </c>
      <c r="I4" s="2">
        <v>2.5847222222222221</v>
      </c>
      <c r="J4" s="4" t="str">
        <f>IF(Table1[[#This Row],[processing_time_hours]]&gt;1.5,"Slow", "Fast")</f>
        <v>Slow</v>
      </c>
      <c r="K4" t="s">
        <v>2814</v>
      </c>
      <c r="L4" s="3">
        <v>0</v>
      </c>
      <c r="M4" t="str">
        <f>IF(Table1[[#This Row],[delayed]]=1,"Delayed","On Time")</f>
        <v>On Time</v>
      </c>
      <c r="N4" t="str">
        <f>IF(AND(Table1[[#This Row],[delayed]]=1,Table1[[#This Row],[weather_condition]]="Storm"),"High Risk", IF(Table1[[#This Row],[delayed]]=1,"Medium Risk","Low Risk"))</f>
        <v>Low Risk</v>
      </c>
    </row>
    <row r="5" spans="1:14" x14ac:dyDescent="0.35">
      <c r="A5">
        <v>4</v>
      </c>
      <c r="B5" s="1">
        <v>44927.125</v>
      </c>
      <c r="C5" s="2">
        <v>6.1805555555555558E-2</v>
      </c>
      <c r="D5" s="3">
        <v>1545</v>
      </c>
      <c r="E5" s="3">
        <v>363</v>
      </c>
      <c r="F5" s="2">
        <v>34.047916666666666</v>
      </c>
      <c r="G5" t="s">
        <v>2812</v>
      </c>
      <c r="H5" t="s">
        <v>2817</v>
      </c>
      <c r="I5" s="2">
        <v>0.3347222222222222</v>
      </c>
      <c r="J5" s="4" t="str">
        <f>IF(Table1[[#This Row],[processing_time_hours]]&gt;1.5,"Slow", "Fast")</f>
        <v>Fast</v>
      </c>
      <c r="K5" t="s">
        <v>2818</v>
      </c>
      <c r="L5" s="3">
        <v>0</v>
      </c>
      <c r="M5" t="str">
        <f>IF(Table1[[#This Row],[delayed]]=1,"Delayed","On Time")</f>
        <v>On Time</v>
      </c>
      <c r="N5" t="str">
        <f>IF(AND(Table1[[#This Row],[delayed]]=1,Table1[[#This Row],[weather_condition]]="Storm"),"High Risk", IF(Table1[[#This Row],[delayed]]=1,"Medium Risk","Low Risk"))</f>
        <v>Low Risk</v>
      </c>
    </row>
    <row r="6" spans="1:14" x14ac:dyDescent="0.35">
      <c r="A6">
        <v>5</v>
      </c>
      <c r="B6" s="1">
        <v>44927.166666666664</v>
      </c>
      <c r="C6" s="2">
        <v>6.8749999999999992E-2</v>
      </c>
      <c r="D6" s="3">
        <v>511</v>
      </c>
      <c r="E6" s="3">
        <v>454</v>
      </c>
      <c r="F6" s="2">
        <v>41.002083333333331</v>
      </c>
      <c r="G6" t="s">
        <v>2812</v>
      </c>
      <c r="H6" t="s">
        <v>2817</v>
      </c>
      <c r="I6" s="2">
        <v>1.9201388888888891</v>
      </c>
      <c r="J6" s="4" t="str">
        <f>IF(Table1[[#This Row],[processing_time_hours]]&gt;1.5,"Slow", "Fast")</f>
        <v>Slow</v>
      </c>
      <c r="K6" t="s">
        <v>2818</v>
      </c>
      <c r="L6" s="3">
        <v>1</v>
      </c>
      <c r="M6" t="str">
        <f>IF(Table1[[#This Row],[delayed]]=1,"Delayed","On Time")</f>
        <v>Delayed</v>
      </c>
      <c r="N6" t="str">
        <f>IF(AND(Table1[[#This Row],[delayed]]=1,Table1[[#This Row],[weather_condition]]="Storm"),"High Risk", IF(Table1[[#This Row],[delayed]]=1,"Medium Risk","Low Risk"))</f>
        <v>High Risk</v>
      </c>
    </row>
    <row r="7" spans="1:14" x14ac:dyDescent="0.35">
      <c r="A7">
        <v>6</v>
      </c>
      <c r="B7" s="1">
        <v>44927.208333333336</v>
      </c>
      <c r="C7" s="2">
        <v>5.6944444444444443E-2</v>
      </c>
      <c r="D7" s="3">
        <v>1270</v>
      </c>
      <c r="E7" s="3">
        <v>44</v>
      </c>
      <c r="F7" s="2">
        <v>4.2145833333333336</v>
      </c>
      <c r="G7" t="s">
        <v>2819</v>
      </c>
      <c r="H7" t="s">
        <v>2813</v>
      </c>
      <c r="I7" s="2">
        <v>0.79236111111111107</v>
      </c>
      <c r="J7" s="4" t="str">
        <f>IF(Table1[[#This Row],[processing_time_hours]]&gt;1.5,"Slow", "Fast")</f>
        <v>Fast</v>
      </c>
      <c r="K7" t="s">
        <v>2818</v>
      </c>
      <c r="L7" s="3">
        <v>1</v>
      </c>
      <c r="M7" t="str">
        <f>IF(Table1[[#This Row],[delayed]]=1,"Delayed","On Time")</f>
        <v>Delayed</v>
      </c>
      <c r="N7" t="str">
        <f>IF(AND(Table1[[#This Row],[delayed]]=1,Table1[[#This Row],[weather_condition]]="Storm"),"High Risk", IF(Table1[[#This Row],[delayed]]=1,"Medium Risk","Low Risk"))</f>
        <v>Medium Risk</v>
      </c>
    </row>
    <row r="8" spans="1:14" x14ac:dyDescent="0.35">
      <c r="A8">
        <v>7</v>
      </c>
      <c r="B8" s="1">
        <v>44927.25</v>
      </c>
      <c r="C8" s="2">
        <v>5.5555555555555558E-3</v>
      </c>
      <c r="D8" s="3">
        <v>3629</v>
      </c>
      <c r="E8" s="3">
        <v>155</v>
      </c>
      <c r="F8" s="2">
        <v>9.6305555555555546</v>
      </c>
      <c r="G8" t="s">
        <v>2815</v>
      </c>
      <c r="H8" t="s">
        <v>2817</v>
      </c>
      <c r="I8" s="2">
        <v>1.8784722222222223</v>
      </c>
      <c r="J8" s="4" t="str">
        <f>IF(Table1[[#This Row],[processing_time_hours]]&gt;1.5,"Slow", "Fast")</f>
        <v>Slow</v>
      </c>
      <c r="K8" t="s">
        <v>2814</v>
      </c>
      <c r="L8" s="3">
        <v>1</v>
      </c>
      <c r="M8" t="str">
        <f>IF(Table1[[#This Row],[delayed]]=1,"Delayed","On Time")</f>
        <v>Delayed</v>
      </c>
      <c r="N8" t="str">
        <f>IF(AND(Table1[[#This Row],[delayed]]=1,Table1[[#This Row],[weather_condition]]="Storm"),"High Risk", IF(Table1[[#This Row],[delayed]]=1,"Medium Risk","Low Risk"))</f>
        <v>High Risk</v>
      </c>
    </row>
    <row r="9" spans="1:14" x14ac:dyDescent="0.35">
      <c r="A9">
        <v>8</v>
      </c>
      <c r="B9" s="1">
        <v>44927.291666666664</v>
      </c>
      <c r="C9" s="2">
        <v>4.3750000000000004E-2</v>
      </c>
      <c r="D9" s="3">
        <v>4468</v>
      </c>
      <c r="E9" s="3">
        <v>66</v>
      </c>
      <c r="F9" s="2">
        <v>81.836805555555557</v>
      </c>
      <c r="G9" t="s">
        <v>2816</v>
      </c>
      <c r="H9" t="s">
        <v>2820</v>
      </c>
      <c r="I9" s="2">
        <v>1.9645833333333333</v>
      </c>
      <c r="J9" s="4" t="str">
        <f>IF(Table1[[#This Row],[processing_time_hours]]&gt;1.5,"Slow", "Fast")</f>
        <v>Slow</v>
      </c>
      <c r="K9" t="s">
        <v>2821</v>
      </c>
      <c r="L9" s="3">
        <v>0</v>
      </c>
      <c r="M9" t="str">
        <f>IF(Table1[[#This Row],[delayed]]=1,"Delayed","On Time")</f>
        <v>On Time</v>
      </c>
      <c r="N9" t="str">
        <f>IF(AND(Table1[[#This Row],[delayed]]=1,Table1[[#This Row],[weather_condition]]="Storm"),"High Risk", IF(Table1[[#This Row],[delayed]]=1,"Medium Risk","Low Risk"))</f>
        <v>Low Risk</v>
      </c>
    </row>
    <row r="10" spans="1:14" x14ac:dyDescent="0.35">
      <c r="A10">
        <v>9</v>
      </c>
      <c r="B10" s="1">
        <v>44927.333333333336</v>
      </c>
      <c r="C10" s="2">
        <v>4.9305555555555554E-2</v>
      </c>
      <c r="D10" s="3">
        <v>614</v>
      </c>
      <c r="E10" s="3">
        <v>471</v>
      </c>
      <c r="F10" s="2">
        <v>71.251388888888883</v>
      </c>
      <c r="G10" t="s">
        <v>2812</v>
      </c>
      <c r="H10" t="s">
        <v>2820</v>
      </c>
      <c r="I10" s="2">
        <v>0.12708333333333333</v>
      </c>
      <c r="J10" s="4" t="str">
        <f>IF(Table1[[#This Row],[processing_time_hours]]&gt;1.5,"Slow", "Fast")</f>
        <v>Fast</v>
      </c>
      <c r="K10" t="s">
        <v>2821</v>
      </c>
      <c r="L10" s="3">
        <v>0</v>
      </c>
      <c r="M10" t="str">
        <f>IF(Table1[[#This Row],[delayed]]=1,"Delayed","On Time")</f>
        <v>On Time</v>
      </c>
      <c r="N10" t="str">
        <f>IF(AND(Table1[[#This Row],[delayed]]=1,Table1[[#This Row],[weather_condition]]="Storm"),"High Risk", IF(Table1[[#This Row],[delayed]]=1,"Medium Risk","Low Risk"))</f>
        <v>Low Risk</v>
      </c>
    </row>
    <row r="11" spans="1:14" x14ac:dyDescent="0.35">
      <c r="A11">
        <v>10</v>
      </c>
      <c r="B11" s="1">
        <v>44927.375</v>
      </c>
      <c r="C11" s="2">
        <v>5.5555555555555558E-3</v>
      </c>
      <c r="D11" s="3">
        <v>3312</v>
      </c>
      <c r="E11" s="3">
        <v>276</v>
      </c>
      <c r="F11" s="2">
        <v>13.670833333333334</v>
      </c>
      <c r="G11" t="s">
        <v>2816</v>
      </c>
      <c r="H11" t="s">
        <v>2817</v>
      </c>
      <c r="I11" s="2">
        <v>0.21249999999999999</v>
      </c>
      <c r="J11" s="4" t="str">
        <f>IF(Table1[[#This Row],[processing_time_hours]]&gt;1.5,"Slow", "Fast")</f>
        <v>Fast</v>
      </c>
      <c r="K11" t="s">
        <v>2821</v>
      </c>
      <c r="L11" s="3">
        <v>0</v>
      </c>
      <c r="M11" t="str">
        <f>IF(Table1[[#This Row],[delayed]]=1,"Delayed","On Time")</f>
        <v>On Time</v>
      </c>
      <c r="N11" t="str">
        <f>IF(AND(Table1[[#This Row],[delayed]]=1,Table1[[#This Row],[weather_condition]]="Storm"),"High Risk", IF(Table1[[#This Row],[delayed]]=1,"Medium Risk","Low Risk"))</f>
        <v>Low Risk</v>
      </c>
    </row>
    <row r="12" spans="1:14" x14ac:dyDescent="0.35">
      <c r="A12">
        <v>11</v>
      </c>
      <c r="B12" s="1">
        <v>44927.416666666664</v>
      </c>
      <c r="C12" s="2">
        <v>6.0416666666666667E-2</v>
      </c>
      <c r="D12" s="3">
        <v>4686</v>
      </c>
      <c r="E12" s="3">
        <v>233</v>
      </c>
      <c r="F12" s="2">
        <v>53.292361111111113</v>
      </c>
      <c r="G12" t="s">
        <v>2815</v>
      </c>
      <c r="H12" t="s">
        <v>2817</v>
      </c>
      <c r="I12" s="2">
        <v>0.25486111111111109</v>
      </c>
      <c r="J12" s="4" t="str">
        <f>IF(Table1[[#This Row],[processing_time_hours]]&gt;1.5,"Slow", "Fast")</f>
        <v>Fast</v>
      </c>
      <c r="K12" t="s">
        <v>2821</v>
      </c>
      <c r="L12" s="3">
        <v>0</v>
      </c>
      <c r="M12" t="str">
        <f>IF(Table1[[#This Row],[delayed]]=1,"Delayed","On Time")</f>
        <v>On Time</v>
      </c>
      <c r="N12" t="str">
        <f>IF(AND(Table1[[#This Row],[delayed]]=1,Table1[[#This Row],[weather_condition]]="Storm"),"High Risk", IF(Table1[[#This Row],[delayed]]=1,"Medium Risk","Low Risk"))</f>
        <v>Low Risk</v>
      </c>
    </row>
    <row r="13" spans="1:14" x14ac:dyDescent="0.35">
      <c r="A13">
        <v>12</v>
      </c>
      <c r="B13" s="1">
        <v>44927.458333333336</v>
      </c>
      <c r="C13" s="2">
        <v>6.3888888888888898E-2</v>
      </c>
      <c r="D13" s="3">
        <v>1580</v>
      </c>
      <c r="E13" s="3">
        <v>137</v>
      </c>
      <c r="F13" s="2">
        <v>57.631250000000001</v>
      </c>
      <c r="G13" t="s">
        <v>2819</v>
      </c>
      <c r="H13" t="s">
        <v>2820</v>
      </c>
      <c r="I13" s="2">
        <v>1.3812499999999999</v>
      </c>
      <c r="J13" s="4" t="str">
        <f>IF(Table1[[#This Row],[processing_time_hours]]&gt;1.5,"Slow", "Fast")</f>
        <v>Fast</v>
      </c>
      <c r="K13" t="s">
        <v>2814</v>
      </c>
      <c r="L13" s="3">
        <v>1</v>
      </c>
      <c r="M13" t="str">
        <f>IF(Table1[[#This Row],[delayed]]=1,"Delayed","On Time")</f>
        <v>Delayed</v>
      </c>
      <c r="N13" t="str">
        <f>IF(AND(Table1[[#This Row],[delayed]]=1,Table1[[#This Row],[weather_condition]]="Storm"),"High Risk", IF(Table1[[#This Row],[delayed]]=1,"Medium Risk","Low Risk"))</f>
        <v>Medium Risk</v>
      </c>
    </row>
    <row r="14" spans="1:14" x14ac:dyDescent="0.35">
      <c r="A14">
        <v>13</v>
      </c>
      <c r="B14" s="1">
        <v>44927.5</v>
      </c>
      <c r="C14" s="2">
        <v>5.2083333333333336E-2</v>
      </c>
      <c r="D14" s="3">
        <v>1309</v>
      </c>
      <c r="E14" s="3">
        <v>199</v>
      </c>
      <c r="F14" s="2">
        <v>36.87638888888889</v>
      </c>
      <c r="G14" t="s">
        <v>2816</v>
      </c>
      <c r="H14" t="s">
        <v>2813</v>
      </c>
      <c r="I14" s="2">
        <v>1.7944444444444445</v>
      </c>
      <c r="J14" s="4" t="str">
        <f>IF(Table1[[#This Row],[processing_time_hours]]&gt;1.5,"Slow", "Fast")</f>
        <v>Slow</v>
      </c>
      <c r="K14" t="s">
        <v>2814</v>
      </c>
      <c r="L14" s="3">
        <v>0</v>
      </c>
      <c r="M14" t="str">
        <f>IF(Table1[[#This Row],[delayed]]=1,"Delayed","On Time")</f>
        <v>On Time</v>
      </c>
      <c r="N14" t="str">
        <f>IF(AND(Table1[[#This Row],[delayed]]=1,Table1[[#This Row],[weather_condition]]="Storm"),"High Risk", IF(Table1[[#This Row],[delayed]]=1,"Medium Risk","Low Risk"))</f>
        <v>Low Risk</v>
      </c>
    </row>
    <row r="15" spans="1:14" x14ac:dyDescent="0.35">
      <c r="A15">
        <v>14</v>
      </c>
      <c r="B15" s="1">
        <v>44927.541666666664</v>
      </c>
      <c r="C15" s="2">
        <v>4.3750000000000004E-2</v>
      </c>
      <c r="D15" s="3">
        <v>3853</v>
      </c>
      <c r="E15" s="3">
        <v>335</v>
      </c>
      <c r="F15" s="2">
        <v>68.172222222222231</v>
      </c>
      <c r="G15" t="s">
        <v>2812</v>
      </c>
      <c r="H15" t="s">
        <v>2820</v>
      </c>
      <c r="I15" s="2">
        <v>1.8812499999999999</v>
      </c>
      <c r="J15" s="4" t="str">
        <f>IF(Table1[[#This Row],[processing_time_hours]]&gt;1.5,"Slow", "Fast")</f>
        <v>Slow</v>
      </c>
      <c r="K15" t="s">
        <v>2814</v>
      </c>
      <c r="L15" s="3">
        <v>0</v>
      </c>
      <c r="M15" t="str">
        <f>IF(Table1[[#This Row],[delayed]]=1,"Delayed","On Time")</f>
        <v>On Time</v>
      </c>
      <c r="N15" t="str">
        <f>IF(AND(Table1[[#This Row],[delayed]]=1,Table1[[#This Row],[weather_condition]]="Storm"),"High Risk", IF(Table1[[#This Row],[delayed]]=1,"Medium Risk","Low Risk"))</f>
        <v>Low Risk</v>
      </c>
    </row>
    <row r="16" spans="1:14" x14ac:dyDescent="0.35">
      <c r="A16">
        <v>15</v>
      </c>
      <c r="B16" s="1">
        <v>44927.583333333336</v>
      </c>
      <c r="C16" s="2">
        <v>4.9999999999999996E-2</v>
      </c>
      <c r="D16" s="3">
        <v>4802</v>
      </c>
      <c r="E16" s="3">
        <v>177</v>
      </c>
      <c r="F16" s="2">
        <v>51.418749999999996</v>
      </c>
      <c r="G16" t="s">
        <v>2812</v>
      </c>
      <c r="H16" t="s">
        <v>2817</v>
      </c>
      <c r="I16" s="2">
        <v>0.1673611111111111</v>
      </c>
      <c r="J16" s="4" t="str">
        <f>IF(Table1[[#This Row],[processing_time_hours]]&gt;1.5,"Slow", "Fast")</f>
        <v>Fast</v>
      </c>
      <c r="K16" t="s">
        <v>2818</v>
      </c>
      <c r="L16" s="3">
        <v>0</v>
      </c>
      <c r="M16" t="str">
        <f>IF(Table1[[#This Row],[delayed]]=1,"Delayed","On Time")</f>
        <v>On Time</v>
      </c>
      <c r="N16" t="str">
        <f>IF(AND(Table1[[#This Row],[delayed]]=1,Table1[[#This Row],[weather_condition]]="Storm"),"High Risk", IF(Table1[[#This Row],[delayed]]=1,"Medium Risk","Low Risk"))</f>
        <v>Low Risk</v>
      </c>
    </row>
    <row r="17" spans="1:14" x14ac:dyDescent="0.35">
      <c r="A17">
        <v>16</v>
      </c>
      <c r="B17" s="1">
        <v>44927.625</v>
      </c>
      <c r="C17" s="2">
        <v>6.6666666666666666E-2</v>
      </c>
      <c r="D17" s="3">
        <v>62</v>
      </c>
      <c r="E17" s="3">
        <v>207</v>
      </c>
      <c r="F17" s="2">
        <v>23.250694444444445</v>
      </c>
      <c r="G17" t="s">
        <v>2815</v>
      </c>
      <c r="H17" t="s">
        <v>2817</v>
      </c>
      <c r="I17" s="2">
        <v>2.9208333333333329</v>
      </c>
      <c r="J17" s="4" t="str">
        <f>IF(Table1[[#This Row],[processing_time_hours]]&gt;1.5,"Slow", "Fast")</f>
        <v>Slow</v>
      </c>
      <c r="K17" t="s">
        <v>2818</v>
      </c>
      <c r="L17" s="3">
        <v>0</v>
      </c>
      <c r="M17" t="str">
        <f>IF(Table1[[#This Row],[delayed]]=1,"Delayed","On Time")</f>
        <v>On Time</v>
      </c>
      <c r="N17" t="str">
        <f>IF(AND(Table1[[#This Row],[delayed]]=1,Table1[[#This Row],[weather_condition]]="Storm"),"High Risk", IF(Table1[[#This Row],[delayed]]=1,"Medium Risk","Low Risk"))</f>
        <v>Low Risk</v>
      </c>
    </row>
    <row r="18" spans="1:14" x14ac:dyDescent="0.35">
      <c r="A18">
        <v>17</v>
      </c>
      <c r="B18" s="1">
        <v>44927.666666666664</v>
      </c>
      <c r="C18" s="2">
        <v>4.7916666666666663E-2</v>
      </c>
      <c r="D18" s="3">
        <v>2432</v>
      </c>
      <c r="E18" s="3">
        <v>425</v>
      </c>
      <c r="F18" s="2">
        <v>25.256249999999998</v>
      </c>
      <c r="G18" t="s">
        <v>2812</v>
      </c>
      <c r="H18" t="s">
        <v>2817</v>
      </c>
      <c r="I18" s="2">
        <v>2.0479166666666666</v>
      </c>
      <c r="J18" s="4" t="str">
        <f>IF(Table1[[#This Row],[processing_time_hours]]&gt;1.5,"Slow", "Fast")</f>
        <v>Slow</v>
      </c>
      <c r="K18" t="s">
        <v>2814</v>
      </c>
      <c r="L18" s="3">
        <v>0</v>
      </c>
      <c r="M18" t="str">
        <f>IF(Table1[[#This Row],[delayed]]=1,"Delayed","On Time")</f>
        <v>On Time</v>
      </c>
      <c r="N18" t="str">
        <f>IF(AND(Table1[[#This Row],[delayed]]=1,Table1[[#This Row],[weather_condition]]="Storm"),"High Risk", IF(Table1[[#This Row],[delayed]]=1,"Medium Risk","Low Risk"))</f>
        <v>Low Risk</v>
      </c>
    </row>
    <row r="19" spans="1:14" x14ac:dyDescent="0.35">
      <c r="A19">
        <v>18</v>
      </c>
      <c r="B19" s="1">
        <v>44927.708333333336</v>
      </c>
      <c r="C19" s="2">
        <v>5.4166666666666669E-2</v>
      </c>
      <c r="D19" s="3">
        <v>4416</v>
      </c>
      <c r="E19" s="3">
        <v>495</v>
      </c>
      <c r="F19" s="2">
        <v>0.875</v>
      </c>
      <c r="G19" t="s">
        <v>2812</v>
      </c>
      <c r="H19" t="s">
        <v>2822</v>
      </c>
      <c r="I19" s="2">
        <v>2.3381944444444445</v>
      </c>
      <c r="J19" s="4" t="str">
        <f>IF(Table1[[#This Row],[processing_time_hours]]&gt;1.5,"Slow", "Fast")</f>
        <v>Slow</v>
      </c>
      <c r="K19" t="s">
        <v>2821</v>
      </c>
      <c r="L19" s="3">
        <v>1</v>
      </c>
      <c r="M19" t="str">
        <f>IF(Table1[[#This Row],[delayed]]=1,"Delayed","On Time")</f>
        <v>Delayed</v>
      </c>
      <c r="N19" t="str">
        <f>IF(AND(Table1[[#This Row],[delayed]]=1,Table1[[#This Row],[weather_condition]]="Storm"),"High Risk", IF(Table1[[#This Row],[delayed]]=1,"Medium Risk","Low Risk"))</f>
        <v>Medium Risk</v>
      </c>
    </row>
    <row r="20" spans="1:14" x14ac:dyDescent="0.35">
      <c r="A20">
        <v>19</v>
      </c>
      <c r="B20" s="1">
        <v>44927.75</v>
      </c>
      <c r="C20" s="2">
        <v>6.7361111111111108E-2</v>
      </c>
      <c r="D20" s="3">
        <v>3172</v>
      </c>
      <c r="E20" s="3">
        <v>422</v>
      </c>
      <c r="F20" s="2">
        <v>75.379166666666663</v>
      </c>
      <c r="G20" t="s">
        <v>2812</v>
      </c>
      <c r="H20" t="s">
        <v>2820</v>
      </c>
      <c r="I20" s="2">
        <v>1.7562499999999999</v>
      </c>
      <c r="J20" s="4" t="str">
        <f>IF(Table1[[#This Row],[processing_time_hours]]&gt;1.5,"Slow", "Fast")</f>
        <v>Slow</v>
      </c>
      <c r="K20" t="s">
        <v>2821</v>
      </c>
      <c r="L20" s="3">
        <v>0</v>
      </c>
      <c r="M20" t="str">
        <f>IF(Table1[[#This Row],[delayed]]=1,"Delayed","On Time")</f>
        <v>On Time</v>
      </c>
      <c r="N20" t="str">
        <f>IF(AND(Table1[[#This Row],[delayed]]=1,Table1[[#This Row],[weather_condition]]="Storm"),"High Risk", IF(Table1[[#This Row],[delayed]]=1,"Medium Risk","Low Risk"))</f>
        <v>Low Risk</v>
      </c>
    </row>
    <row r="21" spans="1:14" x14ac:dyDescent="0.35">
      <c r="A21">
        <v>20</v>
      </c>
      <c r="B21" s="1">
        <v>44927.791666666664</v>
      </c>
      <c r="C21" s="2">
        <v>4.2361111111111106E-2</v>
      </c>
      <c r="D21" s="3">
        <v>4051</v>
      </c>
      <c r="E21" s="3">
        <v>124</v>
      </c>
      <c r="F21" s="2">
        <v>47.667361111111113</v>
      </c>
      <c r="G21" t="s">
        <v>2812</v>
      </c>
      <c r="H21" t="s">
        <v>2817</v>
      </c>
      <c r="I21" s="2">
        <v>0.96111111111111114</v>
      </c>
      <c r="J21" s="4" t="str">
        <f>IF(Table1[[#This Row],[processing_time_hours]]&gt;1.5,"Slow", "Fast")</f>
        <v>Fast</v>
      </c>
      <c r="K21" t="s">
        <v>2814</v>
      </c>
      <c r="L21" s="3">
        <v>0</v>
      </c>
      <c r="M21" t="str">
        <f>IF(Table1[[#This Row],[delayed]]=1,"Delayed","On Time")</f>
        <v>On Time</v>
      </c>
      <c r="N21" t="str">
        <f>IF(AND(Table1[[#This Row],[delayed]]=1,Table1[[#This Row],[weather_condition]]="Storm"),"High Risk", IF(Table1[[#This Row],[delayed]]=1,"Medium Risk","Low Risk"))</f>
        <v>Low Risk</v>
      </c>
    </row>
    <row r="22" spans="1:14" x14ac:dyDescent="0.35">
      <c r="A22">
        <v>21</v>
      </c>
      <c r="B22" s="1">
        <v>44927.833333333336</v>
      </c>
      <c r="C22" s="2">
        <v>5.8333333333333327E-2</v>
      </c>
      <c r="D22" s="3">
        <v>639</v>
      </c>
      <c r="E22" s="3">
        <v>27</v>
      </c>
      <c r="F22" s="2">
        <v>8.0048611111111114</v>
      </c>
      <c r="G22" t="s">
        <v>2816</v>
      </c>
      <c r="H22" t="s">
        <v>2822</v>
      </c>
      <c r="I22" s="2">
        <v>1.1722222222222223</v>
      </c>
      <c r="J22" s="4" t="str">
        <f>IF(Table1[[#This Row],[processing_time_hours]]&gt;1.5,"Slow", "Fast")</f>
        <v>Fast</v>
      </c>
      <c r="K22" t="s">
        <v>2821</v>
      </c>
      <c r="L22" s="3">
        <v>1</v>
      </c>
      <c r="M22" t="str">
        <f>IF(Table1[[#This Row],[delayed]]=1,"Delayed","On Time")</f>
        <v>Delayed</v>
      </c>
      <c r="N22" t="str">
        <f>IF(AND(Table1[[#This Row],[delayed]]=1,Table1[[#This Row],[weather_condition]]="Storm"),"High Risk", IF(Table1[[#This Row],[delayed]]=1,"Medium Risk","Low Risk"))</f>
        <v>Medium Risk</v>
      </c>
    </row>
    <row r="23" spans="1:14" x14ac:dyDescent="0.35">
      <c r="A23">
        <v>22</v>
      </c>
      <c r="B23" s="1">
        <v>44927.875</v>
      </c>
      <c r="C23" s="2">
        <v>6.805555555555555E-2</v>
      </c>
      <c r="D23" s="3">
        <v>485</v>
      </c>
      <c r="E23" s="3">
        <v>4</v>
      </c>
      <c r="F23" s="2">
        <v>35.713194444444447</v>
      </c>
      <c r="G23" t="s">
        <v>2812</v>
      </c>
      <c r="H23" t="s">
        <v>2817</v>
      </c>
      <c r="I23" s="2">
        <v>0.29375000000000001</v>
      </c>
      <c r="J23" s="4" t="str">
        <f>IF(Table1[[#This Row],[processing_time_hours]]&gt;1.5,"Slow", "Fast")</f>
        <v>Fast</v>
      </c>
      <c r="K23" t="s">
        <v>2814</v>
      </c>
      <c r="L23" s="3">
        <v>0</v>
      </c>
      <c r="M23" t="str">
        <f>IF(Table1[[#This Row],[delayed]]=1,"Delayed","On Time")</f>
        <v>On Time</v>
      </c>
      <c r="N23" t="str">
        <f>IF(AND(Table1[[#This Row],[delayed]]=1,Table1[[#This Row],[weather_condition]]="Storm"),"High Risk", IF(Table1[[#This Row],[delayed]]=1,"Medium Risk","Low Risk"))</f>
        <v>Low Risk</v>
      </c>
    </row>
    <row r="24" spans="1:14" x14ac:dyDescent="0.35">
      <c r="A24">
        <v>23</v>
      </c>
      <c r="B24" s="1">
        <v>44927.916666666664</v>
      </c>
      <c r="C24" s="2">
        <v>4.7916666666666663E-2</v>
      </c>
      <c r="D24" s="3">
        <v>3454</v>
      </c>
      <c r="E24" s="3">
        <v>21</v>
      </c>
      <c r="F24" s="2">
        <v>21.377083333333331</v>
      </c>
      <c r="G24" t="s">
        <v>2815</v>
      </c>
      <c r="H24" t="s">
        <v>2822</v>
      </c>
      <c r="I24" s="2">
        <v>2.6687499999999997</v>
      </c>
      <c r="J24" s="4" t="str">
        <f>IF(Table1[[#This Row],[processing_time_hours]]&gt;1.5,"Slow", "Fast")</f>
        <v>Slow</v>
      </c>
      <c r="K24" t="s">
        <v>2821</v>
      </c>
      <c r="L24" s="3">
        <v>0</v>
      </c>
      <c r="M24" t="str">
        <f>IF(Table1[[#This Row],[delayed]]=1,"Delayed","On Time")</f>
        <v>On Time</v>
      </c>
      <c r="N24" t="str">
        <f>IF(AND(Table1[[#This Row],[delayed]]=1,Table1[[#This Row],[weather_condition]]="Storm"),"High Risk", IF(Table1[[#This Row],[delayed]]=1,"Medium Risk","Low Risk"))</f>
        <v>Low Risk</v>
      </c>
    </row>
    <row r="25" spans="1:14" x14ac:dyDescent="0.35">
      <c r="A25">
        <v>24</v>
      </c>
      <c r="B25" s="1">
        <v>44927.958333333336</v>
      </c>
      <c r="C25" s="2">
        <v>5.6944444444444443E-2</v>
      </c>
      <c r="D25" s="3">
        <v>4182</v>
      </c>
      <c r="E25" s="3">
        <v>285</v>
      </c>
      <c r="F25" s="2">
        <v>24.625694444444445</v>
      </c>
      <c r="G25" t="s">
        <v>2812</v>
      </c>
      <c r="H25" t="s">
        <v>2813</v>
      </c>
      <c r="I25" s="2">
        <v>1.8798611111111112</v>
      </c>
      <c r="J25" s="4" t="str">
        <f>IF(Table1[[#This Row],[processing_time_hours]]&gt;1.5,"Slow", "Fast")</f>
        <v>Slow</v>
      </c>
      <c r="K25" t="s">
        <v>2821</v>
      </c>
      <c r="L25" s="3">
        <v>0</v>
      </c>
      <c r="M25" t="str">
        <f>IF(Table1[[#This Row],[delayed]]=1,"Delayed","On Time")</f>
        <v>On Time</v>
      </c>
      <c r="N25" t="str">
        <f>IF(AND(Table1[[#This Row],[delayed]]=1,Table1[[#This Row],[weather_condition]]="Storm"),"High Risk", IF(Table1[[#This Row],[delayed]]=1,"Medium Risk","Low Risk"))</f>
        <v>Low Risk</v>
      </c>
    </row>
    <row r="26" spans="1:14" x14ac:dyDescent="0.35">
      <c r="A26">
        <v>25</v>
      </c>
      <c r="B26" s="1">
        <v>44928</v>
      </c>
      <c r="C26" s="2">
        <v>6.6666666666666666E-2</v>
      </c>
      <c r="D26" s="3">
        <v>4349</v>
      </c>
      <c r="E26" s="3">
        <v>329</v>
      </c>
      <c r="F26" s="2">
        <v>1.1305555555555555</v>
      </c>
      <c r="G26" t="s">
        <v>2816</v>
      </c>
      <c r="H26" t="s">
        <v>2813</v>
      </c>
      <c r="I26" s="2">
        <v>2.3395833333333331</v>
      </c>
      <c r="J26" s="4" t="str">
        <f>IF(Table1[[#This Row],[processing_time_hours]]&gt;1.5,"Slow", "Fast")</f>
        <v>Slow</v>
      </c>
      <c r="K26" t="s">
        <v>2821</v>
      </c>
      <c r="L26" s="3">
        <v>0</v>
      </c>
      <c r="M26" t="str">
        <f>IF(Table1[[#This Row],[delayed]]=1,"Delayed","On Time")</f>
        <v>On Time</v>
      </c>
      <c r="N26" t="str">
        <f>IF(AND(Table1[[#This Row],[delayed]]=1,Table1[[#This Row],[weather_condition]]="Storm"),"High Risk", IF(Table1[[#This Row],[delayed]]=1,"Medium Risk","Low Risk"))</f>
        <v>Low Risk</v>
      </c>
    </row>
    <row r="27" spans="1:14" x14ac:dyDescent="0.35">
      <c r="A27">
        <v>26</v>
      </c>
      <c r="B27" s="1">
        <v>44928.041666666664</v>
      </c>
      <c r="C27" s="2">
        <v>4.5138888888888888E-2</v>
      </c>
      <c r="D27" s="3">
        <v>2011</v>
      </c>
      <c r="E27" s="3">
        <v>393</v>
      </c>
      <c r="F27" s="2">
        <v>81.75</v>
      </c>
      <c r="G27" t="s">
        <v>2816</v>
      </c>
      <c r="H27" t="s">
        <v>2813</v>
      </c>
      <c r="I27" s="2">
        <v>2.7958333333333329</v>
      </c>
      <c r="J27" s="4" t="str">
        <f>IF(Table1[[#This Row],[processing_time_hours]]&gt;1.5,"Slow", "Fast")</f>
        <v>Slow</v>
      </c>
      <c r="K27" t="s">
        <v>2814</v>
      </c>
      <c r="L27" s="3">
        <v>0</v>
      </c>
      <c r="M27" t="str">
        <f>IF(Table1[[#This Row],[delayed]]=1,"Delayed","On Time")</f>
        <v>On Time</v>
      </c>
      <c r="N27" t="str">
        <f>IF(AND(Table1[[#This Row],[delayed]]=1,Table1[[#This Row],[weather_condition]]="Storm"),"High Risk", IF(Table1[[#This Row],[delayed]]=1,"Medium Risk","Low Risk"))</f>
        <v>Low Risk</v>
      </c>
    </row>
    <row r="28" spans="1:14" x14ac:dyDescent="0.35">
      <c r="A28">
        <v>27</v>
      </c>
      <c r="B28" s="1">
        <v>44928.083333333336</v>
      </c>
      <c r="C28" s="2">
        <v>5.6250000000000001E-2</v>
      </c>
      <c r="D28" s="3">
        <v>4161</v>
      </c>
      <c r="E28" s="3">
        <v>346</v>
      </c>
      <c r="F28" s="2">
        <v>10.586805555555555</v>
      </c>
      <c r="G28" t="s">
        <v>2815</v>
      </c>
      <c r="H28" t="s">
        <v>2817</v>
      </c>
      <c r="I28" s="2">
        <v>2.6694444444444443</v>
      </c>
      <c r="J28" s="4" t="str">
        <f>IF(Table1[[#This Row],[processing_time_hours]]&gt;1.5,"Slow", "Fast")</f>
        <v>Slow</v>
      </c>
      <c r="K28" t="s">
        <v>2821</v>
      </c>
      <c r="L28" s="3">
        <v>0</v>
      </c>
      <c r="M28" t="str">
        <f>IF(Table1[[#This Row],[delayed]]=1,"Delayed","On Time")</f>
        <v>On Time</v>
      </c>
      <c r="N28" t="str">
        <f>IF(AND(Table1[[#This Row],[delayed]]=1,Table1[[#This Row],[weather_condition]]="Storm"),"High Risk", IF(Table1[[#This Row],[delayed]]=1,"Medium Risk","Low Risk"))</f>
        <v>Low Risk</v>
      </c>
    </row>
    <row r="29" spans="1:14" x14ac:dyDescent="0.35">
      <c r="A29">
        <v>28</v>
      </c>
      <c r="B29" s="1">
        <v>44928.125</v>
      </c>
      <c r="C29" s="2">
        <v>6.2499999999999995E-3</v>
      </c>
      <c r="D29" s="3">
        <v>303</v>
      </c>
      <c r="E29" s="3">
        <v>455</v>
      </c>
      <c r="F29" s="2">
        <v>2.7951388888888888</v>
      </c>
      <c r="G29" t="s">
        <v>2812</v>
      </c>
      <c r="H29" t="s">
        <v>2813</v>
      </c>
      <c r="I29" s="2">
        <v>0.75624999999999998</v>
      </c>
      <c r="J29" s="4" t="str">
        <f>IF(Table1[[#This Row],[processing_time_hours]]&gt;1.5,"Slow", "Fast")</f>
        <v>Fast</v>
      </c>
      <c r="K29" t="s">
        <v>2814</v>
      </c>
      <c r="L29" s="3">
        <v>1</v>
      </c>
      <c r="M29" t="str">
        <f>IF(Table1[[#This Row],[delayed]]=1,"Delayed","On Time")</f>
        <v>Delayed</v>
      </c>
      <c r="N29" t="str">
        <f>IF(AND(Table1[[#This Row],[delayed]]=1,Table1[[#This Row],[weather_condition]]="Storm"),"High Risk", IF(Table1[[#This Row],[delayed]]=1,"Medium Risk","Low Risk"))</f>
        <v>Medium Risk</v>
      </c>
    </row>
    <row r="30" spans="1:14" x14ac:dyDescent="0.35">
      <c r="A30">
        <v>29</v>
      </c>
      <c r="B30" s="1">
        <v>44928.166666666664</v>
      </c>
      <c r="C30" s="2">
        <v>6.0416666666666667E-2</v>
      </c>
      <c r="D30" s="3">
        <v>3180</v>
      </c>
      <c r="E30" s="3">
        <v>121</v>
      </c>
      <c r="F30" s="2">
        <v>37.50277777777778</v>
      </c>
      <c r="G30" t="s">
        <v>2819</v>
      </c>
      <c r="H30" t="s">
        <v>2820</v>
      </c>
      <c r="I30" s="2">
        <v>1.1305555555555555</v>
      </c>
      <c r="J30" s="4" t="str">
        <f>IF(Table1[[#This Row],[processing_time_hours]]&gt;1.5,"Slow", "Fast")</f>
        <v>Fast</v>
      </c>
      <c r="K30" t="s">
        <v>2818</v>
      </c>
      <c r="L30" s="3">
        <v>0</v>
      </c>
      <c r="M30" t="str">
        <f>IF(Table1[[#This Row],[delayed]]=1,"Delayed","On Time")</f>
        <v>On Time</v>
      </c>
      <c r="N30" t="str">
        <f>IF(AND(Table1[[#This Row],[delayed]]=1,Table1[[#This Row],[weather_condition]]="Storm"),"High Risk", IF(Table1[[#This Row],[delayed]]=1,"Medium Risk","Low Risk"))</f>
        <v>Low Risk</v>
      </c>
    </row>
    <row r="31" spans="1:14" x14ac:dyDescent="0.35">
      <c r="A31">
        <v>30</v>
      </c>
      <c r="B31" s="1">
        <v>44928.208333333336</v>
      </c>
      <c r="C31" s="2">
        <v>5.486111111111111E-2</v>
      </c>
      <c r="D31" s="3">
        <v>3364</v>
      </c>
      <c r="E31" s="3">
        <v>290</v>
      </c>
      <c r="F31" s="2">
        <v>71.922222222222231</v>
      </c>
      <c r="G31" t="s">
        <v>2816</v>
      </c>
      <c r="H31" t="s">
        <v>2820</v>
      </c>
      <c r="I31" s="2">
        <v>2.1284722222222223</v>
      </c>
      <c r="J31" s="4" t="str">
        <f>IF(Table1[[#This Row],[processing_time_hours]]&gt;1.5,"Slow", "Fast")</f>
        <v>Slow</v>
      </c>
      <c r="K31" t="s">
        <v>2818</v>
      </c>
      <c r="L31" s="3">
        <v>0</v>
      </c>
      <c r="M31" t="str">
        <f>IF(Table1[[#This Row],[delayed]]=1,"Delayed","On Time")</f>
        <v>On Time</v>
      </c>
      <c r="N31" t="str">
        <f>IF(AND(Table1[[#This Row],[delayed]]=1,Table1[[#This Row],[weather_condition]]="Storm"),"High Risk", IF(Table1[[#This Row],[delayed]]=1,"Medium Risk","Low Risk"))</f>
        <v>Low Risk</v>
      </c>
    </row>
    <row r="32" spans="1:14" x14ac:dyDescent="0.35">
      <c r="A32">
        <v>31</v>
      </c>
      <c r="B32" s="1">
        <v>44928.25</v>
      </c>
      <c r="C32" s="2">
        <v>4.7222222222222221E-2</v>
      </c>
      <c r="D32" s="3">
        <v>361</v>
      </c>
      <c r="E32" s="3">
        <v>265</v>
      </c>
      <c r="F32" s="2">
        <v>23.295138888888889</v>
      </c>
      <c r="G32" t="s">
        <v>2815</v>
      </c>
      <c r="H32" t="s">
        <v>2817</v>
      </c>
      <c r="I32" s="2">
        <v>0.25347222222222221</v>
      </c>
      <c r="J32" s="4" t="str">
        <f>IF(Table1[[#This Row],[processing_time_hours]]&gt;1.5,"Slow", "Fast")</f>
        <v>Fast</v>
      </c>
      <c r="K32" t="s">
        <v>2814</v>
      </c>
      <c r="L32" s="3">
        <v>1</v>
      </c>
      <c r="M32" t="str">
        <f>IF(Table1[[#This Row],[delayed]]=1,"Delayed","On Time")</f>
        <v>Delayed</v>
      </c>
      <c r="N32" t="str">
        <f>IF(AND(Table1[[#This Row],[delayed]]=1,Table1[[#This Row],[weather_condition]]="Storm"),"High Risk", IF(Table1[[#This Row],[delayed]]=1,"Medium Risk","Low Risk"))</f>
        <v>High Risk</v>
      </c>
    </row>
    <row r="33" spans="1:14" x14ac:dyDescent="0.35">
      <c r="A33">
        <v>32</v>
      </c>
      <c r="B33" s="1">
        <v>44928.291666666664</v>
      </c>
      <c r="C33" s="2">
        <v>5.5555555555555558E-3</v>
      </c>
      <c r="D33" s="3">
        <v>3415</v>
      </c>
      <c r="E33" s="3">
        <v>136</v>
      </c>
      <c r="F33" s="2">
        <v>27.212500000000002</v>
      </c>
      <c r="G33" t="s">
        <v>2815</v>
      </c>
      <c r="H33" t="s">
        <v>2813</v>
      </c>
      <c r="I33" s="2">
        <v>0.79305555555555562</v>
      </c>
      <c r="J33" s="4" t="str">
        <f>IF(Table1[[#This Row],[processing_time_hours]]&gt;1.5,"Slow", "Fast")</f>
        <v>Fast</v>
      </c>
      <c r="K33" t="s">
        <v>2814</v>
      </c>
      <c r="L33" s="3">
        <v>0</v>
      </c>
      <c r="M33" t="str">
        <f>IF(Table1[[#This Row],[delayed]]=1,"Delayed","On Time")</f>
        <v>On Time</v>
      </c>
      <c r="N33" t="str">
        <f>IF(AND(Table1[[#This Row],[delayed]]=1,Table1[[#This Row],[weather_condition]]="Storm"),"High Risk", IF(Table1[[#This Row],[delayed]]=1,"Medium Risk","Low Risk"))</f>
        <v>Low Risk</v>
      </c>
    </row>
    <row r="34" spans="1:14" x14ac:dyDescent="0.35">
      <c r="A34">
        <v>33</v>
      </c>
      <c r="B34" s="1">
        <v>44928.333333333336</v>
      </c>
      <c r="C34" s="2">
        <v>5.2083333333333336E-2</v>
      </c>
      <c r="D34" s="3">
        <v>4898</v>
      </c>
      <c r="E34" s="3">
        <v>317</v>
      </c>
      <c r="F34" s="2">
        <v>65.922222222222231</v>
      </c>
      <c r="G34" t="s">
        <v>2812</v>
      </c>
      <c r="H34" t="s">
        <v>2820</v>
      </c>
      <c r="I34" s="2">
        <v>0.12916666666666668</v>
      </c>
      <c r="J34" s="4" t="str">
        <f>IF(Table1[[#This Row],[processing_time_hours]]&gt;1.5,"Slow", "Fast")</f>
        <v>Fast</v>
      </c>
      <c r="K34" t="s">
        <v>2818</v>
      </c>
      <c r="L34" s="3">
        <v>0</v>
      </c>
      <c r="M34" t="str">
        <f>IF(Table1[[#This Row],[delayed]]=1,"Delayed","On Time")</f>
        <v>On Time</v>
      </c>
      <c r="N34" t="str">
        <f>IF(AND(Table1[[#This Row],[delayed]]=1,Table1[[#This Row],[weather_condition]]="Storm"),"High Risk", IF(Table1[[#This Row],[delayed]]=1,"Medium Risk","Low Risk"))</f>
        <v>Low Risk</v>
      </c>
    </row>
    <row r="35" spans="1:14" x14ac:dyDescent="0.35">
      <c r="A35">
        <v>34</v>
      </c>
      <c r="B35" s="1">
        <v>44928.375</v>
      </c>
      <c r="C35" s="2">
        <v>5.486111111111111E-2</v>
      </c>
      <c r="D35" s="3">
        <v>2899</v>
      </c>
      <c r="E35" s="3">
        <v>148</v>
      </c>
      <c r="F35" s="2">
        <v>67.296527777777769</v>
      </c>
      <c r="G35" t="s">
        <v>2816</v>
      </c>
      <c r="H35" t="s">
        <v>2817</v>
      </c>
      <c r="I35" s="2">
        <v>1.3361111111111112</v>
      </c>
      <c r="J35" s="4" t="str">
        <f>IF(Table1[[#This Row],[processing_time_hours]]&gt;1.5,"Slow", "Fast")</f>
        <v>Fast</v>
      </c>
      <c r="K35" t="s">
        <v>2818</v>
      </c>
      <c r="L35" s="3">
        <v>1</v>
      </c>
      <c r="M35" t="str">
        <f>IF(Table1[[#This Row],[delayed]]=1,"Delayed","On Time")</f>
        <v>Delayed</v>
      </c>
      <c r="N35" t="str">
        <f>IF(AND(Table1[[#This Row],[delayed]]=1,Table1[[#This Row],[weather_condition]]="Storm"),"High Risk", IF(Table1[[#This Row],[delayed]]=1,"Medium Risk","Low Risk"))</f>
        <v>High Risk</v>
      </c>
    </row>
    <row r="36" spans="1:14" x14ac:dyDescent="0.35">
      <c r="A36">
        <v>35</v>
      </c>
      <c r="B36" s="1">
        <v>44928.416666666664</v>
      </c>
      <c r="C36" s="2">
        <v>5.2083333333333336E-2</v>
      </c>
      <c r="D36" s="3">
        <v>407</v>
      </c>
      <c r="E36" s="3">
        <v>485</v>
      </c>
      <c r="F36" s="2">
        <v>34.631250000000001</v>
      </c>
      <c r="G36" t="s">
        <v>2812</v>
      </c>
      <c r="H36" t="s">
        <v>2817</v>
      </c>
      <c r="I36" s="2">
        <v>1.4222222222222223</v>
      </c>
      <c r="J36" s="4" t="str">
        <f>IF(Table1[[#This Row],[processing_time_hours]]&gt;1.5,"Slow", "Fast")</f>
        <v>Fast</v>
      </c>
      <c r="K36" t="s">
        <v>2818</v>
      </c>
      <c r="L36" s="3">
        <v>1</v>
      </c>
      <c r="M36" t="str">
        <f>IF(Table1[[#This Row],[delayed]]=1,"Delayed","On Time")</f>
        <v>Delayed</v>
      </c>
      <c r="N36" t="str">
        <f>IF(AND(Table1[[#This Row],[delayed]]=1,Table1[[#This Row],[weather_condition]]="Storm"),"High Risk", IF(Table1[[#This Row],[delayed]]=1,"Medium Risk","Low Risk"))</f>
        <v>High Risk</v>
      </c>
    </row>
    <row r="37" spans="1:14" x14ac:dyDescent="0.35">
      <c r="A37">
        <v>36</v>
      </c>
      <c r="B37" s="1">
        <v>44928.458333333336</v>
      </c>
      <c r="C37" s="2">
        <v>6.5277777777777782E-2</v>
      </c>
      <c r="D37" s="3">
        <v>4559</v>
      </c>
      <c r="E37" s="3">
        <v>360</v>
      </c>
      <c r="F37" s="2">
        <v>5.7118055555555562</v>
      </c>
      <c r="G37" t="s">
        <v>2819</v>
      </c>
      <c r="H37" t="s">
        <v>2820</v>
      </c>
      <c r="I37" s="2">
        <v>1.9229166666666666</v>
      </c>
      <c r="J37" s="4" t="str">
        <f>IF(Table1[[#This Row],[processing_time_hours]]&gt;1.5,"Slow", "Fast")</f>
        <v>Slow</v>
      </c>
      <c r="K37" t="s">
        <v>2814</v>
      </c>
      <c r="L37" s="3">
        <v>1</v>
      </c>
      <c r="M37" t="str">
        <f>IF(Table1[[#This Row],[delayed]]=1,"Delayed","On Time")</f>
        <v>Delayed</v>
      </c>
      <c r="N37" t="str">
        <f>IF(AND(Table1[[#This Row],[delayed]]=1,Table1[[#This Row],[weather_condition]]="Storm"),"High Risk", IF(Table1[[#This Row],[delayed]]=1,"Medium Risk","Low Risk"))</f>
        <v>Medium Risk</v>
      </c>
    </row>
    <row r="38" spans="1:14" x14ac:dyDescent="0.35">
      <c r="A38">
        <v>37</v>
      </c>
      <c r="B38" s="1">
        <v>44928.5</v>
      </c>
      <c r="C38" s="2">
        <v>6.3194444444444442E-2</v>
      </c>
      <c r="D38" s="3">
        <v>2124</v>
      </c>
      <c r="E38" s="3">
        <v>434</v>
      </c>
      <c r="F38" s="2">
        <v>77.667361111111106</v>
      </c>
      <c r="G38" t="s">
        <v>2819</v>
      </c>
      <c r="H38" t="s">
        <v>2822</v>
      </c>
      <c r="I38" s="2">
        <v>2.3354166666666667</v>
      </c>
      <c r="J38" s="4" t="str">
        <f>IF(Table1[[#This Row],[processing_time_hours]]&gt;1.5,"Slow", "Fast")</f>
        <v>Slow</v>
      </c>
      <c r="K38" t="s">
        <v>2821</v>
      </c>
      <c r="L38" s="3">
        <v>1</v>
      </c>
      <c r="M38" t="str">
        <f>IF(Table1[[#This Row],[delayed]]=1,"Delayed","On Time")</f>
        <v>Delayed</v>
      </c>
      <c r="N38" t="str">
        <f>IF(AND(Table1[[#This Row],[delayed]]=1,Table1[[#This Row],[weather_condition]]="Storm"),"High Risk", IF(Table1[[#This Row],[delayed]]=1,"Medium Risk","Low Risk"))</f>
        <v>Medium Risk</v>
      </c>
    </row>
    <row r="39" spans="1:14" x14ac:dyDescent="0.35">
      <c r="A39">
        <v>38</v>
      </c>
      <c r="B39" s="1">
        <v>44928.541666666664</v>
      </c>
      <c r="C39" s="2">
        <v>5.0694444444444438E-2</v>
      </c>
      <c r="D39" s="3">
        <v>775</v>
      </c>
      <c r="E39" s="3">
        <v>478</v>
      </c>
      <c r="F39" s="2">
        <v>58.12638888888889</v>
      </c>
      <c r="G39" t="s">
        <v>2815</v>
      </c>
      <c r="H39" t="s">
        <v>2817</v>
      </c>
      <c r="I39" s="2">
        <v>2.9618055555555554</v>
      </c>
      <c r="J39" s="4" t="str">
        <f>IF(Table1[[#This Row],[processing_time_hours]]&gt;1.5,"Slow", "Fast")</f>
        <v>Slow</v>
      </c>
      <c r="K39" t="s">
        <v>2818</v>
      </c>
      <c r="L39" s="3">
        <v>0</v>
      </c>
      <c r="M39" t="str">
        <f>IF(Table1[[#This Row],[delayed]]=1,"Delayed","On Time")</f>
        <v>On Time</v>
      </c>
      <c r="N39" t="str">
        <f>IF(AND(Table1[[#This Row],[delayed]]=1,Table1[[#This Row],[weather_condition]]="Storm"),"High Risk", IF(Table1[[#This Row],[delayed]]=1,"Medium Risk","Low Risk"))</f>
        <v>Low Risk</v>
      </c>
    </row>
    <row r="40" spans="1:14" x14ac:dyDescent="0.35">
      <c r="A40">
        <v>39</v>
      </c>
      <c r="B40" s="1">
        <v>44928.583333333336</v>
      </c>
      <c r="C40" s="2">
        <v>5.7638888888888885E-2</v>
      </c>
      <c r="D40" s="3">
        <v>1148</v>
      </c>
      <c r="E40" s="3">
        <v>433</v>
      </c>
      <c r="F40" s="2">
        <v>57.918055555555554</v>
      </c>
      <c r="G40" t="s">
        <v>2812</v>
      </c>
      <c r="H40" t="s">
        <v>2822</v>
      </c>
      <c r="I40" s="2">
        <v>1.4611111111111112</v>
      </c>
      <c r="J40" s="4" t="str">
        <f>IF(Table1[[#This Row],[processing_time_hours]]&gt;1.5,"Slow", "Fast")</f>
        <v>Fast</v>
      </c>
      <c r="K40" t="s">
        <v>2818</v>
      </c>
      <c r="L40" s="3">
        <v>1</v>
      </c>
      <c r="M40" t="str">
        <f>IF(Table1[[#This Row],[delayed]]=1,"Delayed","On Time")</f>
        <v>Delayed</v>
      </c>
      <c r="N40" t="str">
        <f>IF(AND(Table1[[#This Row],[delayed]]=1,Table1[[#This Row],[weather_condition]]="Storm"),"High Risk", IF(Table1[[#This Row],[delayed]]=1,"Medium Risk","Low Risk"))</f>
        <v>Medium Risk</v>
      </c>
    </row>
    <row r="41" spans="1:14" x14ac:dyDescent="0.35">
      <c r="A41">
        <v>40</v>
      </c>
      <c r="B41" s="1">
        <v>44928.625</v>
      </c>
      <c r="C41" s="2">
        <v>4.9305555555555554E-2</v>
      </c>
      <c r="D41" s="3">
        <v>4245</v>
      </c>
      <c r="E41" s="3">
        <v>41</v>
      </c>
      <c r="F41" s="2">
        <v>10.25</v>
      </c>
      <c r="G41" t="s">
        <v>2815</v>
      </c>
      <c r="H41" t="s">
        <v>2822</v>
      </c>
      <c r="I41" s="2">
        <v>0.75624999999999998</v>
      </c>
      <c r="J41" s="4" t="str">
        <f>IF(Table1[[#This Row],[processing_time_hours]]&gt;1.5,"Slow", "Fast")</f>
        <v>Fast</v>
      </c>
      <c r="K41" t="s">
        <v>2814</v>
      </c>
      <c r="L41" s="3">
        <v>0</v>
      </c>
      <c r="M41" t="str">
        <f>IF(Table1[[#This Row],[delayed]]=1,"Delayed","On Time")</f>
        <v>On Time</v>
      </c>
      <c r="N41" t="str">
        <f>IF(AND(Table1[[#This Row],[delayed]]=1,Table1[[#This Row],[weather_condition]]="Storm"),"High Risk", IF(Table1[[#This Row],[delayed]]=1,"Medium Risk","Low Risk"))</f>
        <v>Low Risk</v>
      </c>
    </row>
    <row r="42" spans="1:14" x14ac:dyDescent="0.35">
      <c r="A42">
        <v>41</v>
      </c>
      <c r="B42" s="1">
        <v>44928.666666666664</v>
      </c>
      <c r="C42" s="2">
        <v>5.4166666666666669E-2</v>
      </c>
      <c r="D42" s="3">
        <v>865</v>
      </c>
      <c r="E42" s="3">
        <v>115</v>
      </c>
      <c r="F42" s="2">
        <v>10.714583333333332</v>
      </c>
      <c r="G42" t="s">
        <v>2815</v>
      </c>
      <c r="H42" t="s">
        <v>2817</v>
      </c>
      <c r="I42" s="2">
        <v>1.5840277777777778</v>
      </c>
      <c r="J42" s="4" t="str">
        <f>IF(Table1[[#This Row],[processing_time_hours]]&gt;1.5,"Slow", "Fast")</f>
        <v>Slow</v>
      </c>
      <c r="K42" t="s">
        <v>2821</v>
      </c>
      <c r="L42" s="3">
        <v>1</v>
      </c>
      <c r="M42" t="str">
        <f>IF(Table1[[#This Row],[delayed]]=1,"Delayed","On Time")</f>
        <v>Delayed</v>
      </c>
      <c r="N42" t="str">
        <f>IF(AND(Table1[[#This Row],[delayed]]=1,Table1[[#This Row],[weather_condition]]="Storm"),"High Risk", IF(Table1[[#This Row],[delayed]]=1,"Medium Risk","Low Risk"))</f>
        <v>High Risk</v>
      </c>
    </row>
    <row r="43" spans="1:14" x14ac:dyDescent="0.35">
      <c r="A43">
        <v>42</v>
      </c>
      <c r="B43" s="1">
        <v>44928.708333333336</v>
      </c>
      <c r="C43" s="2">
        <v>5.1388888888888894E-2</v>
      </c>
      <c r="D43" s="3">
        <v>4680</v>
      </c>
      <c r="E43" s="3">
        <v>286</v>
      </c>
      <c r="F43" s="2">
        <v>35.583333333333336</v>
      </c>
      <c r="G43" t="s">
        <v>2812</v>
      </c>
      <c r="H43" t="s">
        <v>2822</v>
      </c>
      <c r="I43" s="2">
        <v>2.8812500000000001</v>
      </c>
      <c r="J43" s="4" t="str">
        <f>IF(Table1[[#This Row],[processing_time_hours]]&gt;1.5,"Slow", "Fast")</f>
        <v>Slow</v>
      </c>
      <c r="K43" t="s">
        <v>2821</v>
      </c>
      <c r="L43" s="3">
        <v>1</v>
      </c>
      <c r="M43" t="str">
        <f>IF(Table1[[#This Row],[delayed]]=1,"Delayed","On Time")</f>
        <v>Delayed</v>
      </c>
      <c r="N43" t="str">
        <f>IF(AND(Table1[[#This Row],[delayed]]=1,Table1[[#This Row],[weather_condition]]="Storm"),"High Risk", IF(Table1[[#This Row],[delayed]]=1,"Medium Risk","Low Risk"))</f>
        <v>Medium Risk</v>
      </c>
    </row>
    <row r="44" spans="1:14" x14ac:dyDescent="0.35">
      <c r="A44">
        <v>43</v>
      </c>
      <c r="B44" s="1">
        <v>44928.75</v>
      </c>
      <c r="C44" s="2">
        <v>5.9722222222222225E-2</v>
      </c>
      <c r="D44" s="3">
        <v>1658</v>
      </c>
      <c r="E44" s="3">
        <v>191</v>
      </c>
      <c r="F44" s="2">
        <v>32.297222222222224</v>
      </c>
      <c r="G44" t="s">
        <v>2815</v>
      </c>
      <c r="H44" t="s">
        <v>2820</v>
      </c>
      <c r="I44" s="2">
        <v>2.1701388888888888</v>
      </c>
      <c r="J44" s="4" t="str">
        <f>IF(Table1[[#This Row],[processing_time_hours]]&gt;1.5,"Slow", "Fast")</f>
        <v>Slow</v>
      </c>
      <c r="K44" t="s">
        <v>2814</v>
      </c>
      <c r="L44" s="3">
        <v>0</v>
      </c>
      <c r="M44" t="str">
        <f>IF(Table1[[#This Row],[delayed]]=1,"Delayed","On Time")</f>
        <v>On Time</v>
      </c>
      <c r="N44" t="str">
        <f>IF(AND(Table1[[#This Row],[delayed]]=1,Table1[[#This Row],[weather_condition]]="Storm"),"High Risk", IF(Table1[[#This Row],[delayed]]=1,"Medium Risk","Low Risk"))</f>
        <v>Low Risk</v>
      </c>
    </row>
    <row r="45" spans="1:14" x14ac:dyDescent="0.35">
      <c r="A45">
        <v>44</v>
      </c>
      <c r="B45" s="1">
        <v>44928.791666666664</v>
      </c>
      <c r="C45" s="2">
        <v>5.2083333333333336E-2</v>
      </c>
      <c r="D45" s="3">
        <v>642</v>
      </c>
      <c r="E45" s="3">
        <v>193</v>
      </c>
      <c r="F45" s="2">
        <v>13.339583333333332</v>
      </c>
      <c r="G45" t="s">
        <v>2812</v>
      </c>
      <c r="H45" t="s">
        <v>2817</v>
      </c>
      <c r="I45" s="2">
        <v>1.7958333333333334</v>
      </c>
      <c r="J45" s="4" t="str">
        <f>IF(Table1[[#This Row],[processing_time_hours]]&gt;1.5,"Slow", "Fast")</f>
        <v>Slow</v>
      </c>
      <c r="K45" t="s">
        <v>2814</v>
      </c>
      <c r="L45" s="3">
        <v>0</v>
      </c>
      <c r="M45" t="str">
        <f>IF(Table1[[#This Row],[delayed]]=1,"Delayed","On Time")</f>
        <v>On Time</v>
      </c>
      <c r="N45" t="str">
        <f>IF(AND(Table1[[#This Row],[delayed]]=1,Table1[[#This Row],[weather_condition]]="Storm"),"High Risk", IF(Table1[[#This Row],[delayed]]=1,"Medium Risk","Low Risk"))</f>
        <v>Low Risk</v>
      </c>
    </row>
    <row r="46" spans="1:14" x14ac:dyDescent="0.35">
      <c r="A46">
        <v>45</v>
      </c>
      <c r="B46" s="1">
        <v>44928.833333333336</v>
      </c>
      <c r="C46" s="2">
        <v>5.4166666666666669E-2</v>
      </c>
      <c r="D46" s="3">
        <v>537</v>
      </c>
      <c r="E46" s="3">
        <v>457</v>
      </c>
      <c r="F46" s="2">
        <v>31.376388888888886</v>
      </c>
      <c r="G46" t="s">
        <v>2815</v>
      </c>
      <c r="H46" t="s">
        <v>2822</v>
      </c>
      <c r="I46" s="2">
        <v>0.29305555555555557</v>
      </c>
      <c r="J46" s="4" t="str">
        <f>IF(Table1[[#This Row],[processing_time_hours]]&gt;1.5,"Slow", "Fast")</f>
        <v>Fast</v>
      </c>
      <c r="K46" t="s">
        <v>2814</v>
      </c>
      <c r="L46" s="3">
        <v>0</v>
      </c>
      <c r="M46" t="str">
        <f>IF(Table1[[#This Row],[delayed]]=1,"Delayed","On Time")</f>
        <v>On Time</v>
      </c>
      <c r="N46" t="str">
        <f>IF(AND(Table1[[#This Row],[delayed]]=1,Table1[[#This Row],[weather_condition]]="Storm"),"High Risk", IF(Table1[[#This Row],[delayed]]=1,"Medium Risk","Low Risk"))</f>
        <v>Low Risk</v>
      </c>
    </row>
    <row r="47" spans="1:14" x14ac:dyDescent="0.35">
      <c r="A47">
        <v>46</v>
      </c>
      <c r="B47" s="1">
        <v>44928.875</v>
      </c>
      <c r="C47" s="2">
        <v>6.1805555555555558E-2</v>
      </c>
      <c r="D47" s="3">
        <v>3086</v>
      </c>
      <c r="E47" s="3">
        <v>351</v>
      </c>
      <c r="F47" s="2">
        <v>39.625</v>
      </c>
      <c r="G47" t="s">
        <v>2819</v>
      </c>
      <c r="H47" t="s">
        <v>2813</v>
      </c>
      <c r="I47" s="2">
        <v>2.5861111111111112</v>
      </c>
      <c r="J47" s="4" t="str">
        <f>IF(Table1[[#This Row],[processing_time_hours]]&gt;1.5,"Slow", "Fast")</f>
        <v>Slow</v>
      </c>
      <c r="K47" t="s">
        <v>2814</v>
      </c>
      <c r="L47" s="3">
        <v>0</v>
      </c>
      <c r="M47" t="str">
        <f>IF(Table1[[#This Row],[delayed]]=1,"Delayed","On Time")</f>
        <v>On Time</v>
      </c>
      <c r="N47" t="str">
        <f>IF(AND(Table1[[#This Row],[delayed]]=1,Table1[[#This Row],[weather_condition]]="Storm"),"High Risk", IF(Table1[[#This Row],[delayed]]=1,"Medium Risk","Low Risk"))</f>
        <v>Low Risk</v>
      </c>
    </row>
    <row r="48" spans="1:14" x14ac:dyDescent="0.35">
      <c r="A48">
        <v>47</v>
      </c>
      <c r="B48" s="1">
        <v>44928.916666666664</v>
      </c>
      <c r="C48" s="2">
        <v>5.3472222222222227E-2</v>
      </c>
      <c r="D48" s="3">
        <v>757</v>
      </c>
      <c r="E48" s="3">
        <v>201</v>
      </c>
      <c r="F48" s="2">
        <v>38.962499999999999</v>
      </c>
      <c r="G48" t="s">
        <v>2812</v>
      </c>
      <c r="H48" t="s">
        <v>2813</v>
      </c>
      <c r="I48" s="2">
        <v>1.16875</v>
      </c>
      <c r="J48" s="4" t="str">
        <f>IF(Table1[[#This Row],[processing_time_hours]]&gt;1.5,"Slow", "Fast")</f>
        <v>Fast</v>
      </c>
      <c r="K48" t="s">
        <v>2814</v>
      </c>
      <c r="L48" s="3">
        <v>0</v>
      </c>
      <c r="M48" t="str">
        <f>IF(Table1[[#This Row],[delayed]]=1,"Delayed","On Time")</f>
        <v>On Time</v>
      </c>
      <c r="N48" t="str">
        <f>IF(AND(Table1[[#This Row],[delayed]]=1,Table1[[#This Row],[weather_condition]]="Storm"),"High Risk", IF(Table1[[#This Row],[delayed]]=1,"Medium Risk","Low Risk"))</f>
        <v>Low Risk</v>
      </c>
    </row>
    <row r="49" spans="1:14" x14ac:dyDescent="0.35">
      <c r="A49">
        <v>48</v>
      </c>
      <c r="B49" s="1">
        <v>44928.958333333336</v>
      </c>
      <c r="C49" s="2">
        <v>6.6666666666666666E-2</v>
      </c>
      <c r="D49" s="3">
        <v>1743</v>
      </c>
      <c r="E49" s="3">
        <v>460</v>
      </c>
      <c r="F49" s="2">
        <v>1.7944444444444445</v>
      </c>
      <c r="G49" t="s">
        <v>2815</v>
      </c>
      <c r="H49" t="s">
        <v>2822</v>
      </c>
      <c r="I49" s="2">
        <v>0.25416666666666665</v>
      </c>
      <c r="J49" s="4" t="str">
        <f>IF(Table1[[#This Row],[processing_time_hours]]&gt;1.5,"Slow", "Fast")</f>
        <v>Fast</v>
      </c>
      <c r="K49" t="s">
        <v>2818</v>
      </c>
      <c r="L49" s="3">
        <v>0</v>
      </c>
      <c r="M49" t="str">
        <f>IF(Table1[[#This Row],[delayed]]=1,"Delayed","On Time")</f>
        <v>On Time</v>
      </c>
      <c r="N49" t="str">
        <f>IF(AND(Table1[[#This Row],[delayed]]=1,Table1[[#This Row],[weather_condition]]="Storm"),"High Risk", IF(Table1[[#This Row],[delayed]]=1,"Medium Risk","Low Risk"))</f>
        <v>Low Risk</v>
      </c>
    </row>
    <row r="50" spans="1:14" x14ac:dyDescent="0.35">
      <c r="A50">
        <v>49</v>
      </c>
      <c r="B50" s="1">
        <v>44929</v>
      </c>
      <c r="C50" s="2">
        <v>4.6527777777777779E-2</v>
      </c>
      <c r="D50" s="3">
        <v>3206</v>
      </c>
      <c r="E50" s="3">
        <v>252</v>
      </c>
      <c r="F50" s="2">
        <v>82.918055555555554</v>
      </c>
      <c r="G50" t="s">
        <v>2815</v>
      </c>
      <c r="H50" t="s">
        <v>2817</v>
      </c>
      <c r="I50" s="2">
        <v>0.58819444444444446</v>
      </c>
      <c r="J50" s="4" t="str">
        <f>IF(Table1[[#This Row],[processing_time_hours]]&gt;1.5,"Slow", "Fast")</f>
        <v>Fast</v>
      </c>
      <c r="K50" t="s">
        <v>2814</v>
      </c>
      <c r="L50" s="3">
        <v>0</v>
      </c>
      <c r="M50" t="str">
        <f>IF(Table1[[#This Row],[delayed]]=1,"Delayed","On Time")</f>
        <v>On Time</v>
      </c>
      <c r="N50" t="str">
        <f>IF(AND(Table1[[#This Row],[delayed]]=1,Table1[[#This Row],[weather_condition]]="Storm"),"High Risk", IF(Table1[[#This Row],[delayed]]=1,"Medium Risk","Low Risk"))</f>
        <v>Low Risk</v>
      </c>
    </row>
    <row r="51" spans="1:14" x14ac:dyDescent="0.35">
      <c r="A51">
        <v>50</v>
      </c>
      <c r="B51" s="1">
        <v>44929.041666666664</v>
      </c>
      <c r="C51" s="2">
        <v>6.2499999999999995E-3</v>
      </c>
      <c r="D51" s="3">
        <v>3889</v>
      </c>
      <c r="E51" s="3">
        <v>105</v>
      </c>
      <c r="F51" s="2">
        <v>14.045833333333334</v>
      </c>
      <c r="G51" t="s">
        <v>2815</v>
      </c>
      <c r="H51" t="s">
        <v>2820</v>
      </c>
      <c r="I51" s="2">
        <v>0.3347222222222222</v>
      </c>
      <c r="J51" s="4" t="str">
        <f>IF(Table1[[#This Row],[processing_time_hours]]&gt;1.5,"Slow", "Fast")</f>
        <v>Fast</v>
      </c>
      <c r="K51" t="s">
        <v>2814</v>
      </c>
      <c r="L51" s="3">
        <v>0</v>
      </c>
      <c r="M51" t="str">
        <f>IF(Table1[[#This Row],[delayed]]=1,"Delayed","On Time")</f>
        <v>On Time</v>
      </c>
      <c r="N51" t="str">
        <f>IF(AND(Table1[[#This Row],[delayed]]=1,Table1[[#This Row],[weather_condition]]="Storm"),"High Risk", IF(Table1[[#This Row],[delayed]]=1,"Medium Risk","Low Risk"))</f>
        <v>Low Risk</v>
      </c>
    </row>
    <row r="52" spans="1:14" x14ac:dyDescent="0.35">
      <c r="A52">
        <v>51</v>
      </c>
      <c r="B52" s="1">
        <v>44929.083333333336</v>
      </c>
      <c r="C52" s="2">
        <v>5.3472222222222227E-2</v>
      </c>
      <c r="D52" s="3">
        <v>522</v>
      </c>
      <c r="E52" s="3">
        <v>38</v>
      </c>
      <c r="F52" s="2">
        <v>30.709722222222222</v>
      </c>
      <c r="G52" t="s">
        <v>2815</v>
      </c>
      <c r="H52" t="s">
        <v>2822</v>
      </c>
      <c r="I52" s="2">
        <v>1.8361111111111112</v>
      </c>
      <c r="J52" s="4" t="str">
        <f>IF(Table1[[#This Row],[processing_time_hours]]&gt;1.5,"Slow", "Fast")</f>
        <v>Slow</v>
      </c>
      <c r="K52" t="s">
        <v>2818</v>
      </c>
      <c r="L52" s="3">
        <v>0</v>
      </c>
      <c r="M52" t="str">
        <f>IF(Table1[[#This Row],[delayed]]=1,"Delayed","On Time")</f>
        <v>On Time</v>
      </c>
      <c r="N52" t="str">
        <f>IF(AND(Table1[[#This Row],[delayed]]=1,Table1[[#This Row],[weather_condition]]="Storm"),"High Risk", IF(Table1[[#This Row],[delayed]]=1,"Medium Risk","Low Risk"))</f>
        <v>Low Risk</v>
      </c>
    </row>
    <row r="53" spans="1:14" x14ac:dyDescent="0.35">
      <c r="A53">
        <v>52</v>
      </c>
      <c r="B53" s="1">
        <v>44929.125</v>
      </c>
      <c r="C53" s="2">
        <v>5.3472222222222227E-2</v>
      </c>
      <c r="D53" s="3">
        <v>3285</v>
      </c>
      <c r="E53" s="3">
        <v>492</v>
      </c>
      <c r="F53" s="2">
        <v>76.377083333333331</v>
      </c>
      <c r="G53" t="s">
        <v>2819</v>
      </c>
      <c r="H53" t="s">
        <v>2813</v>
      </c>
      <c r="I53" s="2">
        <v>2.8361111111111108</v>
      </c>
      <c r="J53" s="4" t="str">
        <f>IF(Table1[[#This Row],[processing_time_hours]]&gt;1.5,"Slow", "Fast")</f>
        <v>Slow</v>
      </c>
      <c r="K53" t="s">
        <v>2821</v>
      </c>
      <c r="L53" s="3">
        <v>0</v>
      </c>
      <c r="M53" t="str">
        <f>IF(Table1[[#This Row],[delayed]]=1,"Delayed","On Time")</f>
        <v>On Time</v>
      </c>
      <c r="N53" t="str">
        <f>IF(AND(Table1[[#This Row],[delayed]]=1,Table1[[#This Row],[weather_condition]]="Storm"),"High Risk", IF(Table1[[#This Row],[delayed]]=1,"Medium Risk","Low Risk"))</f>
        <v>Low Risk</v>
      </c>
    </row>
    <row r="54" spans="1:14" x14ac:dyDescent="0.35">
      <c r="A54">
        <v>53</v>
      </c>
      <c r="B54" s="1">
        <v>44929.166666666664</v>
      </c>
      <c r="C54" s="2">
        <v>5.9027777777777783E-2</v>
      </c>
      <c r="D54" s="3">
        <v>2374</v>
      </c>
      <c r="E54" s="3">
        <v>185</v>
      </c>
      <c r="F54" s="2">
        <v>79.420833333333334</v>
      </c>
      <c r="G54" t="s">
        <v>2815</v>
      </c>
      <c r="H54" t="s">
        <v>2813</v>
      </c>
      <c r="I54" s="2">
        <v>0.58472222222222225</v>
      </c>
      <c r="J54" s="4" t="str">
        <f>IF(Table1[[#This Row],[processing_time_hours]]&gt;1.5,"Slow", "Fast")</f>
        <v>Fast</v>
      </c>
      <c r="K54" t="s">
        <v>2818</v>
      </c>
      <c r="L54" s="3">
        <v>1</v>
      </c>
      <c r="M54" t="str">
        <f>IF(Table1[[#This Row],[delayed]]=1,"Delayed","On Time")</f>
        <v>Delayed</v>
      </c>
      <c r="N54" t="str">
        <f>IF(AND(Table1[[#This Row],[delayed]]=1,Table1[[#This Row],[weather_condition]]="Storm"),"High Risk", IF(Table1[[#This Row],[delayed]]=1,"Medium Risk","Low Risk"))</f>
        <v>Medium Risk</v>
      </c>
    </row>
    <row r="55" spans="1:14" x14ac:dyDescent="0.35">
      <c r="A55">
        <v>54</v>
      </c>
      <c r="B55" s="1">
        <v>44929.208333333336</v>
      </c>
      <c r="C55" s="2">
        <v>5.6250000000000001E-2</v>
      </c>
      <c r="D55" s="3">
        <v>2889</v>
      </c>
      <c r="E55" s="3">
        <v>410</v>
      </c>
      <c r="F55" s="2">
        <v>28.797916666666666</v>
      </c>
      <c r="G55" t="s">
        <v>2815</v>
      </c>
      <c r="H55" t="s">
        <v>2817</v>
      </c>
      <c r="I55" s="2">
        <v>0.42222222222222222</v>
      </c>
      <c r="J55" s="4" t="str">
        <f>IF(Table1[[#This Row],[processing_time_hours]]&gt;1.5,"Slow", "Fast")</f>
        <v>Fast</v>
      </c>
      <c r="K55" t="s">
        <v>2814</v>
      </c>
      <c r="L55" s="3">
        <v>0</v>
      </c>
      <c r="M55" t="str">
        <f>IF(Table1[[#This Row],[delayed]]=1,"Delayed","On Time")</f>
        <v>On Time</v>
      </c>
      <c r="N55" t="str">
        <f>IF(AND(Table1[[#This Row],[delayed]]=1,Table1[[#This Row],[weather_condition]]="Storm"),"High Risk", IF(Table1[[#This Row],[delayed]]=1,"Medium Risk","Low Risk"))</f>
        <v>Low Risk</v>
      </c>
    </row>
    <row r="56" spans="1:14" x14ac:dyDescent="0.35">
      <c r="A56">
        <v>55</v>
      </c>
      <c r="B56" s="1">
        <v>44929.25</v>
      </c>
      <c r="C56" s="2">
        <v>5.3472222222222227E-2</v>
      </c>
      <c r="D56" s="3">
        <v>2967</v>
      </c>
      <c r="E56" s="3">
        <v>14</v>
      </c>
      <c r="F56" s="2">
        <v>20.211805555555554</v>
      </c>
      <c r="G56" t="s">
        <v>2815</v>
      </c>
      <c r="H56" t="s">
        <v>2817</v>
      </c>
      <c r="I56" s="2">
        <v>1.1729166666666666</v>
      </c>
      <c r="J56" s="4" t="str">
        <f>IF(Table1[[#This Row],[processing_time_hours]]&gt;1.5,"Slow", "Fast")</f>
        <v>Fast</v>
      </c>
      <c r="K56" t="s">
        <v>2818</v>
      </c>
      <c r="L56" s="3">
        <v>0</v>
      </c>
      <c r="M56" t="str">
        <f>IF(Table1[[#This Row],[delayed]]=1,"Delayed","On Time")</f>
        <v>On Time</v>
      </c>
      <c r="N56" t="str">
        <f>IF(AND(Table1[[#This Row],[delayed]]=1,Table1[[#This Row],[weather_condition]]="Storm"),"High Risk", IF(Table1[[#This Row],[delayed]]=1,"Medium Risk","Low Risk"))</f>
        <v>Low Risk</v>
      </c>
    </row>
    <row r="57" spans="1:14" x14ac:dyDescent="0.35">
      <c r="A57">
        <v>56</v>
      </c>
      <c r="B57" s="1">
        <v>44929.291666666664</v>
      </c>
      <c r="C57" s="2">
        <v>4.1666666666666666E-3</v>
      </c>
      <c r="D57" s="3">
        <v>4363</v>
      </c>
      <c r="E57" s="3">
        <v>293</v>
      </c>
      <c r="F57" s="2">
        <v>30.709027777777777</v>
      </c>
      <c r="G57" t="s">
        <v>2815</v>
      </c>
      <c r="H57" t="s">
        <v>2813</v>
      </c>
      <c r="I57" s="2">
        <v>1.5013888888888889</v>
      </c>
      <c r="J57" s="4" t="str">
        <f>IF(Table1[[#This Row],[processing_time_hours]]&gt;1.5,"Slow", "Fast")</f>
        <v>Slow</v>
      </c>
      <c r="K57" t="s">
        <v>2818</v>
      </c>
      <c r="L57" s="3">
        <v>0</v>
      </c>
      <c r="M57" t="str">
        <f>IF(Table1[[#This Row],[delayed]]=1,"Delayed","On Time")</f>
        <v>On Time</v>
      </c>
      <c r="N57" t="str">
        <f>IF(AND(Table1[[#This Row],[delayed]]=1,Table1[[#This Row],[weather_condition]]="Storm"),"High Risk", IF(Table1[[#This Row],[delayed]]=1,"Medium Risk","Low Risk"))</f>
        <v>Low Risk</v>
      </c>
    </row>
    <row r="58" spans="1:14" x14ac:dyDescent="0.35">
      <c r="A58">
        <v>57</v>
      </c>
      <c r="B58" s="1">
        <v>44929.333333333336</v>
      </c>
      <c r="C58" s="2">
        <v>4.4444444444444446E-2</v>
      </c>
      <c r="D58" s="3">
        <v>3305</v>
      </c>
      <c r="E58" s="3">
        <v>79</v>
      </c>
      <c r="F58" s="2">
        <v>20.418749999999999</v>
      </c>
      <c r="G58" t="s">
        <v>2812</v>
      </c>
      <c r="H58" t="s">
        <v>2813</v>
      </c>
      <c r="I58" s="2">
        <v>0.25277777777777777</v>
      </c>
      <c r="J58" s="4" t="str">
        <f>IF(Table1[[#This Row],[processing_time_hours]]&gt;1.5,"Slow", "Fast")</f>
        <v>Fast</v>
      </c>
      <c r="K58" t="s">
        <v>2814</v>
      </c>
      <c r="L58" s="3">
        <v>0</v>
      </c>
      <c r="M58" t="str">
        <f>IF(Table1[[#This Row],[delayed]]=1,"Delayed","On Time")</f>
        <v>On Time</v>
      </c>
      <c r="N58" t="str">
        <f>IF(AND(Table1[[#This Row],[delayed]]=1,Table1[[#This Row],[weather_condition]]="Storm"),"High Risk", IF(Table1[[#This Row],[delayed]]=1,"Medium Risk","Low Risk"))</f>
        <v>Low Risk</v>
      </c>
    </row>
    <row r="59" spans="1:14" x14ac:dyDescent="0.35">
      <c r="A59">
        <v>58</v>
      </c>
      <c r="B59" s="1">
        <v>44929.375</v>
      </c>
      <c r="C59" s="2">
        <v>6.1111111111111109E-2</v>
      </c>
      <c r="D59" s="3">
        <v>3799</v>
      </c>
      <c r="E59" s="3">
        <v>183</v>
      </c>
      <c r="F59" s="2">
        <v>71.58819444444444</v>
      </c>
      <c r="G59" t="s">
        <v>2819</v>
      </c>
      <c r="H59" t="s">
        <v>2822</v>
      </c>
      <c r="I59" s="2">
        <v>2.129861111111111</v>
      </c>
      <c r="J59" s="4" t="str">
        <f>IF(Table1[[#This Row],[processing_time_hours]]&gt;1.5,"Slow", "Fast")</f>
        <v>Slow</v>
      </c>
      <c r="K59" t="s">
        <v>2814</v>
      </c>
      <c r="L59" s="3">
        <v>0</v>
      </c>
      <c r="M59" t="str">
        <f>IF(Table1[[#This Row],[delayed]]=1,"Delayed","On Time")</f>
        <v>On Time</v>
      </c>
      <c r="N59" t="str">
        <f>IF(AND(Table1[[#This Row],[delayed]]=1,Table1[[#This Row],[weather_condition]]="Storm"),"High Risk", IF(Table1[[#This Row],[delayed]]=1,"Medium Risk","Low Risk"))</f>
        <v>Low Risk</v>
      </c>
    </row>
    <row r="60" spans="1:14" x14ac:dyDescent="0.35">
      <c r="A60">
        <v>59</v>
      </c>
      <c r="B60" s="1">
        <v>44929.416666666664</v>
      </c>
      <c r="C60" s="2">
        <v>5.6250000000000001E-2</v>
      </c>
      <c r="D60" s="3">
        <v>2799</v>
      </c>
      <c r="E60" s="3">
        <v>83</v>
      </c>
      <c r="F60" s="2">
        <v>7.0868055555555562</v>
      </c>
      <c r="G60" t="s">
        <v>2815</v>
      </c>
      <c r="H60" t="s">
        <v>2822</v>
      </c>
      <c r="I60" s="2">
        <v>1.7145833333333333</v>
      </c>
      <c r="J60" s="4" t="str">
        <f>IF(Table1[[#This Row],[processing_time_hours]]&gt;1.5,"Slow", "Fast")</f>
        <v>Slow</v>
      </c>
      <c r="K60" t="s">
        <v>2814</v>
      </c>
      <c r="L60" s="3">
        <v>0</v>
      </c>
      <c r="M60" t="str">
        <f>IF(Table1[[#This Row],[delayed]]=1,"Delayed","On Time")</f>
        <v>On Time</v>
      </c>
      <c r="N60" t="str">
        <f>IF(AND(Table1[[#This Row],[delayed]]=1,Table1[[#This Row],[weather_condition]]="Storm"),"High Risk", IF(Table1[[#This Row],[delayed]]=1,"Medium Risk","Low Risk"))</f>
        <v>Low Risk</v>
      </c>
    </row>
    <row r="61" spans="1:14" x14ac:dyDescent="0.35">
      <c r="A61">
        <v>60</v>
      </c>
      <c r="B61" s="1">
        <v>44929.458333333336</v>
      </c>
      <c r="C61" s="2">
        <v>6.1111111111111109E-2</v>
      </c>
      <c r="D61" s="3">
        <v>650</v>
      </c>
      <c r="E61" s="3">
        <v>181</v>
      </c>
      <c r="F61" s="2">
        <v>63.50138888888889</v>
      </c>
      <c r="G61" t="s">
        <v>2815</v>
      </c>
      <c r="H61" t="s">
        <v>2817</v>
      </c>
      <c r="I61" s="2">
        <v>0.25138888888888888</v>
      </c>
      <c r="J61" s="4" t="str">
        <f>IF(Table1[[#This Row],[processing_time_hours]]&gt;1.5,"Slow", "Fast")</f>
        <v>Fast</v>
      </c>
      <c r="K61" t="s">
        <v>2818</v>
      </c>
      <c r="L61" s="3">
        <v>1</v>
      </c>
      <c r="M61" t="str">
        <f>IF(Table1[[#This Row],[delayed]]=1,"Delayed","On Time")</f>
        <v>Delayed</v>
      </c>
      <c r="N61" t="str">
        <f>IF(AND(Table1[[#This Row],[delayed]]=1,Table1[[#This Row],[weather_condition]]="Storm"),"High Risk", IF(Table1[[#This Row],[delayed]]=1,"Medium Risk","Low Risk"))</f>
        <v>High Risk</v>
      </c>
    </row>
    <row r="62" spans="1:14" x14ac:dyDescent="0.35">
      <c r="A62">
        <v>61</v>
      </c>
      <c r="B62" s="1">
        <v>44929.5</v>
      </c>
      <c r="C62" s="2">
        <v>6.805555555555555E-2</v>
      </c>
      <c r="D62" s="3">
        <v>843</v>
      </c>
      <c r="E62" s="3">
        <v>442</v>
      </c>
      <c r="F62" s="2">
        <v>41.834722222222219</v>
      </c>
      <c r="G62" t="s">
        <v>2815</v>
      </c>
      <c r="H62" t="s">
        <v>2813</v>
      </c>
      <c r="I62" s="2">
        <v>2.5013888888888887</v>
      </c>
      <c r="J62" s="4" t="str">
        <f>IF(Table1[[#This Row],[processing_time_hours]]&gt;1.5,"Slow", "Fast")</f>
        <v>Slow</v>
      </c>
      <c r="K62" t="s">
        <v>2814</v>
      </c>
      <c r="L62" s="3">
        <v>0</v>
      </c>
      <c r="M62" t="str">
        <f>IF(Table1[[#This Row],[delayed]]=1,"Delayed","On Time")</f>
        <v>On Time</v>
      </c>
      <c r="N62" t="str">
        <f>IF(AND(Table1[[#This Row],[delayed]]=1,Table1[[#This Row],[weather_condition]]="Storm"),"High Risk", IF(Table1[[#This Row],[delayed]]=1,"Medium Risk","Low Risk"))</f>
        <v>Low Risk</v>
      </c>
    </row>
    <row r="63" spans="1:14" x14ac:dyDescent="0.35">
      <c r="A63">
        <v>62</v>
      </c>
      <c r="B63" s="1">
        <v>44929.541666666664</v>
      </c>
      <c r="C63" s="2">
        <v>6.0416666666666667E-2</v>
      </c>
      <c r="D63" s="3">
        <v>1948</v>
      </c>
      <c r="E63" s="3">
        <v>346</v>
      </c>
      <c r="F63" s="2">
        <v>77.086805555555557</v>
      </c>
      <c r="G63" t="s">
        <v>2819</v>
      </c>
      <c r="H63" t="s">
        <v>2817</v>
      </c>
      <c r="I63" s="2">
        <v>0.21388888888888891</v>
      </c>
      <c r="J63" s="4" t="str">
        <f>IF(Table1[[#This Row],[processing_time_hours]]&gt;1.5,"Slow", "Fast")</f>
        <v>Fast</v>
      </c>
      <c r="K63" t="s">
        <v>2821</v>
      </c>
      <c r="L63" s="3">
        <v>1</v>
      </c>
      <c r="M63" t="str">
        <f>IF(Table1[[#This Row],[delayed]]=1,"Delayed","On Time")</f>
        <v>Delayed</v>
      </c>
      <c r="N63" t="str">
        <f>IF(AND(Table1[[#This Row],[delayed]]=1,Table1[[#This Row],[weather_condition]]="Storm"),"High Risk", IF(Table1[[#This Row],[delayed]]=1,"Medium Risk","Low Risk"))</f>
        <v>High Risk</v>
      </c>
    </row>
    <row r="64" spans="1:14" x14ac:dyDescent="0.35">
      <c r="A64">
        <v>63</v>
      </c>
      <c r="B64" s="1">
        <v>44929.583333333336</v>
      </c>
      <c r="C64" s="2">
        <v>4.3055555555555562E-2</v>
      </c>
      <c r="D64" s="3">
        <v>140</v>
      </c>
      <c r="E64" s="3">
        <v>208</v>
      </c>
      <c r="F64" s="2">
        <v>62.920138888888886</v>
      </c>
      <c r="G64" t="s">
        <v>2819</v>
      </c>
      <c r="H64" t="s">
        <v>2822</v>
      </c>
      <c r="I64" s="2">
        <v>1.4215277777777777</v>
      </c>
      <c r="J64" s="4" t="str">
        <f>IF(Table1[[#This Row],[processing_time_hours]]&gt;1.5,"Slow", "Fast")</f>
        <v>Fast</v>
      </c>
      <c r="K64" t="s">
        <v>2818</v>
      </c>
      <c r="L64" s="3">
        <v>1</v>
      </c>
      <c r="M64" t="str">
        <f>IF(Table1[[#This Row],[delayed]]=1,"Delayed","On Time")</f>
        <v>Delayed</v>
      </c>
      <c r="N64" t="str">
        <f>IF(AND(Table1[[#This Row],[delayed]]=1,Table1[[#This Row],[weather_condition]]="Storm"),"High Risk", IF(Table1[[#This Row],[delayed]]=1,"Medium Risk","Low Risk"))</f>
        <v>Medium Risk</v>
      </c>
    </row>
    <row r="65" spans="1:14" x14ac:dyDescent="0.35">
      <c r="A65">
        <v>64</v>
      </c>
      <c r="B65" s="1">
        <v>44929.625</v>
      </c>
      <c r="C65" s="2">
        <v>4.9999999999999996E-2</v>
      </c>
      <c r="D65" s="3">
        <v>2098</v>
      </c>
      <c r="E65" s="3">
        <v>112</v>
      </c>
      <c r="F65" s="2">
        <v>37.502083333333331</v>
      </c>
      <c r="G65" t="s">
        <v>2812</v>
      </c>
      <c r="H65" t="s">
        <v>2817</v>
      </c>
      <c r="I65" s="2">
        <v>1.2979166666666666</v>
      </c>
      <c r="J65" s="4" t="str">
        <f>IF(Table1[[#This Row],[processing_time_hours]]&gt;1.5,"Slow", "Fast")</f>
        <v>Fast</v>
      </c>
      <c r="K65" t="s">
        <v>2821</v>
      </c>
      <c r="L65" s="3">
        <v>0</v>
      </c>
      <c r="M65" t="str">
        <f>IF(Table1[[#This Row],[delayed]]=1,"Delayed","On Time")</f>
        <v>On Time</v>
      </c>
      <c r="N65" t="str">
        <f>IF(AND(Table1[[#This Row],[delayed]]=1,Table1[[#This Row],[weather_condition]]="Storm"),"High Risk", IF(Table1[[#This Row],[delayed]]=1,"Medium Risk","Low Risk"))</f>
        <v>Low Risk</v>
      </c>
    </row>
    <row r="66" spans="1:14" x14ac:dyDescent="0.35">
      <c r="A66">
        <v>65</v>
      </c>
      <c r="B66" s="1">
        <v>44929.666666666664</v>
      </c>
      <c r="C66" s="2">
        <v>5.8333333333333327E-2</v>
      </c>
      <c r="D66" s="3">
        <v>1317</v>
      </c>
      <c r="E66" s="3">
        <v>131</v>
      </c>
      <c r="F66" s="2">
        <v>0.95833333333333337</v>
      </c>
      <c r="G66" t="s">
        <v>2815</v>
      </c>
      <c r="H66" t="s">
        <v>2817</v>
      </c>
      <c r="I66" s="2">
        <v>1.5062499999999999</v>
      </c>
      <c r="J66" s="4" t="str">
        <f>IF(Table1[[#This Row],[processing_time_hours]]&gt;1.5,"Slow", "Fast")</f>
        <v>Slow</v>
      </c>
      <c r="K66" t="s">
        <v>2821</v>
      </c>
      <c r="L66" s="3">
        <v>1</v>
      </c>
      <c r="M66" t="str">
        <f>IF(Table1[[#This Row],[delayed]]=1,"Delayed","On Time")</f>
        <v>Delayed</v>
      </c>
      <c r="N66" t="str">
        <f>IF(AND(Table1[[#This Row],[delayed]]=1,Table1[[#This Row],[weather_condition]]="Storm"),"High Risk", IF(Table1[[#This Row],[delayed]]=1,"Medium Risk","Low Risk"))</f>
        <v>High Risk</v>
      </c>
    </row>
    <row r="67" spans="1:14" x14ac:dyDescent="0.35">
      <c r="A67">
        <v>66</v>
      </c>
      <c r="B67" s="1">
        <v>44929.708333333336</v>
      </c>
      <c r="C67" s="2">
        <v>4.7916666666666663E-2</v>
      </c>
      <c r="D67" s="3">
        <v>566</v>
      </c>
      <c r="E67" s="3">
        <v>476</v>
      </c>
      <c r="F67" s="2">
        <v>78.501388888888883</v>
      </c>
      <c r="G67" t="s">
        <v>2815</v>
      </c>
      <c r="H67" t="s">
        <v>2822</v>
      </c>
      <c r="I67" s="2">
        <v>1.9590277777777778</v>
      </c>
      <c r="J67" s="4" t="str">
        <f>IF(Table1[[#This Row],[processing_time_hours]]&gt;1.5,"Slow", "Fast")</f>
        <v>Slow</v>
      </c>
      <c r="K67" t="s">
        <v>2818</v>
      </c>
      <c r="L67" s="3">
        <v>0</v>
      </c>
      <c r="M67" t="str">
        <f>IF(Table1[[#This Row],[delayed]]=1,"Delayed","On Time")</f>
        <v>On Time</v>
      </c>
      <c r="N67" t="str">
        <f>IF(AND(Table1[[#This Row],[delayed]]=1,Table1[[#This Row],[weather_condition]]="Storm"),"High Risk", IF(Table1[[#This Row],[delayed]]=1,"Medium Risk","Low Risk"))</f>
        <v>Low Risk</v>
      </c>
    </row>
    <row r="68" spans="1:14" x14ac:dyDescent="0.35">
      <c r="A68">
        <v>67</v>
      </c>
      <c r="B68" s="1">
        <v>44929.75</v>
      </c>
      <c r="C68" s="2">
        <v>6.8749999999999992E-2</v>
      </c>
      <c r="D68" s="3">
        <v>4058</v>
      </c>
      <c r="E68" s="3">
        <v>73</v>
      </c>
      <c r="F68" s="2">
        <v>61.13055555555556</v>
      </c>
      <c r="G68" t="s">
        <v>2816</v>
      </c>
      <c r="H68" t="s">
        <v>2820</v>
      </c>
      <c r="I68" s="2">
        <v>2.5451388888888888</v>
      </c>
      <c r="J68" s="4" t="str">
        <f>IF(Table1[[#This Row],[processing_time_hours]]&gt;1.5,"Slow", "Fast")</f>
        <v>Slow</v>
      </c>
      <c r="K68" t="s">
        <v>2814</v>
      </c>
      <c r="L68" s="3">
        <v>1</v>
      </c>
      <c r="M68" t="str">
        <f>IF(Table1[[#This Row],[delayed]]=1,"Delayed","On Time")</f>
        <v>Delayed</v>
      </c>
      <c r="N68" t="str">
        <f>IF(AND(Table1[[#This Row],[delayed]]=1,Table1[[#This Row],[weather_condition]]="Storm"),"High Risk", IF(Table1[[#This Row],[delayed]]=1,"Medium Risk","Low Risk"))</f>
        <v>Medium Risk</v>
      </c>
    </row>
    <row r="69" spans="1:14" x14ac:dyDescent="0.35">
      <c r="A69">
        <v>68</v>
      </c>
      <c r="B69" s="1">
        <v>44929.791666666664</v>
      </c>
      <c r="C69" s="2">
        <v>6.805555555555555E-2</v>
      </c>
      <c r="D69" s="3">
        <v>2727</v>
      </c>
      <c r="E69" s="3">
        <v>260</v>
      </c>
      <c r="F69" s="2">
        <v>37.378472222222221</v>
      </c>
      <c r="G69" t="s">
        <v>2816</v>
      </c>
      <c r="H69" t="s">
        <v>2813</v>
      </c>
      <c r="I69" s="2">
        <v>2.9597222222222221</v>
      </c>
      <c r="J69" s="4" t="str">
        <f>IF(Table1[[#This Row],[processing_time_hours]]&gt;1.5,"Slow", "Fast")</f>
        <v>Slow</v>
      </c>
      <c r="K69" t="s">
        <v>2818</v>
      </c>
      <c r="L69" s="3">
        <v>1</v>
      </c>
      <c r="M69" t="str">
        <f>IF(Table1[[#This Row],[delayed]]=1,"Delayed","On Time")</f>
        <v>Delayed</v>
      </c>
      <c r="N69" t="str">
        <f>IF(AND(Table1[[#This Row],[delayed]]=1,Table1[[#This Row],[weather_condition]]="Storm"),"High Risk", IF(Table1[[#This Row],[delayed]]=1,"Medium Risk","Low Risk"))</f>
        <v>Medium Risk</v>
      </c>
    </row>
    <row r="70" spans="1:14" x14ac:dyDescent="0.35">
      <c r="A70">
        <v>69</v>
      </c>
      <c r="B70" s="1">
        <v>44929.833333333336</v>
      </c>
      <c r="C70" s="2">
        <v>6.5277777777777782E-2</v>
      </c>
      <c r="D70" s="3">
        <v>4673</v>
      </c>
      <c r="E70" s="3">
        <v>143</v>
      </c>
      <c r="F70" s="2">
        <v>10.625694444444445</v>
      </c>
      <c r="G70" t="s">
        <v>2812</v>
      </c>
      <c r="H70" t="s">
        <v>2820</v>
      </c>
      <c r="I70" s="2">
        <v>2.3791666666666669</v>
      </c>
      <c r="J70" s="4" t="str">
        <f>IF(Table1[[#This Row],[processing_time_hours]]&gt;1.5,"Slow", "Fast")</f>
        <v>Slow</v>
      </c>
      <c r="K70" t="s">
        <v>2814</v>
      </c>
      <c r="L70" s="3">
        <v>1</v>
      </c>
      <c r="M70" t="str">
        <f>IF(Table1[[#This Row],[delayed]]=1,"Delayed","On Time")</f>
        <v>Delayed</v>
      </c>
      <c r="N70" t="str">
        <f>IF(AND(Table1[[#This Row],[delayed]]=1,Table1[[#This Row],[weather_condition]]="Storm"),"High Risk", IF(Table1[[#This Row],[delayed]]=1,"Medium Risk","Low Risk"))</f>
        <v>Medium Risk</v>
      </c>
    </row>
    <row r="71" spans="1:14" x14ac:dyDescent="0.35">
      <c r="A71">
        <v>70</v>
      </c>
      <c r="B71" s="1">
        <v>44929.875</v>
      </c>
      <c r="C71" s="2">
        <v>5.486111111111111E-2</v>
      </c>
      <c r="D71" s="3">
        <v>871</v>
      </c>
      <c r="E71" s="3">
        <v>257</v>
      </c>
      <c r="F71" s="2">
        <v>38.25416666666667</v>
      </c>
      <c r="G71" t="s">
        <v>2815</v>
      </c>
      <c r="H71" t="s">
        <v>2822</v>
      </c>
      <c r="I71" s="2">
        <v>1.125</v>
      </c>
      <c r="J71" s="4" t="str">
        <f>IF(Table1[[#This Row],[processing_time_hours]]&gt;1.5,"Slow", "Fast")</f>
        <v>Fast</v>
      </c>
      <c r="K71" t="s">
        <v>2814</v>
      </c>
      <c r="L71" s="3">
        <v>0</v>
      </c>
      <c r="M71" t="str">
        <f>IF(Table1[[#This Row],[delayed]]=1,"Delayed","On Time")</f>
        <v>On Time</v>
      </c>
      <c r="N71" t="str">
        <f>IF(AND(Table1[[#This Row],[delayed]]=1,Table1[[#This Row],[weather_condition]]="Storm"),"High Risk", IF(Table1[[#This Row],[delayed]]=1,"Medium Risk","Low Risk"))</f>
        <v>Low Risk</v>
      </c>
    </row>
    <row r="72" spans="1:14" x14ac:dyDescent="0.35">
      <c r="A72">
        <v>71</v>
      </c>
      <c r="B72" s="1">
        <v>44929.916666666664</v>
      </c>
      <c r="C72" s="2">
        <v>6.5277777777777782E-2</v>
      </c>
      <c r="D72" s="3">
        <v>2836</v>
      </c>
      <c r="E72" s="3">
        <v>270</v>
      </c>
      <c r="F72" s="2">
        <v>53.254166666666663</v>
      </c>
      <c r="G72" t="s">
        <v>2819</v>
      </c>
      <c r="H72" t="s">
        <v>2817</v>
      </c>
      <c r="I72" s="2">
        <v>2.463888888888889</v>
      </c>
      <c r="J72" s="4" t="str">
        <f>IF(Table1[[#This Row],[processing_time_hours]]&gt;1.5,"Slow", "Fast")</f>
        <v>Slow</v>
      </c>
      <c r="K72" t="s">
        <v>2821</v>
      </c>
      <c r="L72" s="3">
        <v>0</v>
      </c>
      <c r="M72" t="str">
        <f>IF(Table1[[#This Row],[delayed]]=1,"Delayed","On Time")</f>
        <v>On Time</v>
      </c>
      <c r="N72" t="str">
        <f>IF(AND(Table1[[#This Row],[delayed]]=1,Table1[[#This Row],[weather_condition]]="Storm"),"High Risk", IF(Table1[[#This Row],[delayed]]=1,"Medium Risk","Low Risk"))</f>
        <v>Low Risk</v>
      </c>
    </row>
    <row r="73" spans="1:14" x14ac:dyDescent="0.35">
      <c r="A73">
        <v>72</v>
      </c>
      <c r="B73" s="1">
        <v>44929.958333333336</v>
      </c>
      <c r="C73" s="2">
        <v>4.5138888888888888E-2</v>
      </c>
      <c r="D73" s="3">
        <v>3693</v>
      </c>
      <c r="E73" s="3">
        <v>177</v>
      </c>
      <c r="F73" s="2">
        <v>11.961805555555555</v>
      </c>
      <c r="G73" t="s">
        <v>2819</v>
      </c>
      <c r="H73" t="s">
        <v>2822</v>
      </c>
      <c r="I73" s="2">
        <v>1.4229166666666666</v>
      </c>
      <c r="J73" s="4" t="str">
        <f>IF(Table1[[#This Row],[processing_time_hours]]&gt;1.5,"Slow", "Fast")</f>
        <v>Fast</v>
      </c>
      <c r="K73" t="s">
        <v>2814</v>
      </c>
      <c r="L73" s="3">
        <v>0</v>
      </c>
      <c r="M73" t="str">
        <f>IF(Table1[[#This Row],[delayed]]=1,"Delayed","On Time")</f>
        <v>On Time</v>
      </c>
      <c r="N73" t="str">
        <f>IF(AND(Table1[[#This Row],[delayed]]=1,Table1[[#This Row],[weather_condition]]="Storm"),"High Risk", IF(Table1[[#This Row],[delayed]]=1,"Medium Risk","Low Risk"))</f>
        <v>Low Risk</v>
      </c>
    </row>
    <row r="74" spans="1:14" x14ac:dyDescent="0.35">
      <c r="A74">
        <v>73</v>
      </c>
      <c r="B74" s="1">
        <v>44930</v>
      </c>
      <c r="C74" s="2">
        <v>4.9999999999999996E-2</v>
      </c>
      <c r="D74" s="3">
        <v>1119</v>
      </c>
      <c r="E74" s="3">
        <v>99</v>
      </c>
      <c r="F74" s="2">
        <v>36.547916666666666</v>
      </c>
      <c r="G74" t="s">
        <v>2819</v>
      </c>
      <c r="H74" t="s">
        <v>2813</v>
      </c>
      <c r="I74" s="2">
        <v>0.79791666666666661</v>
      </c>
      <c r="J74" s="4" t="str">
        <f>IF(Table1[[#This Row],[processing_time_hours]]&gt;1.5,"Slow", "Fast")</f>
        <v>Fast</v>
      </c>
      <c r="K74" t="s">
        <v>2814</v>
      </c>
      <c r="L74" s="3">
        <v>1</v>
      </c>
      <c r="M74" t="str">
        <f>IF(Table1[[#This Row],[delayed]]=1,"Delayed","On Time")</f>
        <v>Delayed</v>
      </c>
      <c r="N74" t="str">
        <f>IF(AND(Table1[[#This Row],[delayed]]=1,Table1[[#This Row],[weather_condition]]="Storm"),"High Risk", IF(Table1[[#This Row],[delayed]]=1,"Medium Risk","Low Risk"))</f>
        <v>Medium Risk</v>
      </c>
    </row>
    <row r="75" spans="1:14" x14ac:dyDescent="0.35">
      <c r="A75">
        <v>74</v>
      </c>
      <c r="B75" s="1">
        <v>44930.041666666664</v>
      </c>
      <c r="C75" s="2">
        <v>5.486111111111111E-2</v>
      </c>
      <c r="D75" s="3">
        <v>66</v>
      </c>
      <c r="E75" s="3">
        <v>136</v>
      </c>
      <c r="F75" s="2">
        <v>23.502083333333331</v>
      </c>
      <c r="G75" t="s">
        <v>2812</v>
      </c>
      <c r="H75" t="s">
        <v>2822</v>
      </c>
      <c r="I75" s="2">
        <v>1.0854166666666667</v>
      </c>
      <c r="J75" s="4" t="str">
        <f>IF(Table1[[#This Row],[processing_time_hours]]&gt;1.5,"Slow", "Fast")</f>
        <v>Fast</v>
      </c>
      <c r="K75" t="s">
        <v>2821</v>
      </c>
      <c r="L75" s="3">
        <v>0</v>
      </c>
      <c r="M75" t="str">
        <f>IF(Table1[[#This Row],[delayed]]=1,"Delayed","On Time")</f>
        <v>On Time</v>
      </c>
      <c r="N75" t="str">
        <f>IF(AND(Table1[[#This Row],[delayed]]=1,Table1[[#This Row],[weather_condition]]="Storm"),"High Risk", IF(Table1[[#This Row],[delayed]]=1,"Medium Risk","Low Risk"))</f>
        <v>Low Risk</v>
      </c>
    </row>
    <row r="76" spans="1:14" x14ac:dyDescent="0.35">
      <c r="A76">
        <v>75</v>
      </c>
      <c r="B76" s="1">
        <v>44930.083333333336</v>
      </c>
      <c r="C76" s="2">
        <v>6.2499999999999995E-3</v>
      </c>
      <c r="D76" s="3">
        <v>4279</v>
      </c>
      <c r="E76" s="3">
        <v>134</v>
      </c>
      <c r="F76" s="2">
        <v>26.291666666666668</v>
      </c>
      <c r="G76" t="s">
        <v>2812</v>
      </c>
      <c r="H76" t="s">
        <v>2820</v>
      </c>
      <c r="I76" s="2">
        <v>1.5048611111111112</v>
      </c>
      <c r="J76" s="4" t="str">
        <f>IF(Table1[[#This Row],[processing_time_hours]]&gt;1.5,"Slow", "Fast")</f>
        <v>Slow</v>
      </c>
      <c r="K76" t="s">
        <v>2814</v>
      </c>
      <c r="L76" s="3">
        <v>0</v>
      </c>
      <c r="M76" t="str">
        <f>IF(Table1[[#This Row],[delayed]]=1,"Delayed","On Time")</f>
        <v>On Time</v>
      </c>
      <c r="N76" t="str">
        <f>IF(AND(Table1[[#This Row],[delayed]]=1,Table1[[#This Row],[weather_condition]]="Storm"),"High Risk", IF(Table1[[#This Row],[delayed]]=1,"Medium Risk","Low Risk"))</f>
        <v>Low Risk</v>
      </c>
    </row>
    <row r="77" spans="1:14" x14ac:dyDescent="0.35">
      <c r="A77">
        <v>76</v>
      </c>
      <c r="B77" s="1">
        <v>44930.125</v>
      </c>
      <c r="C77" s="2">
        <v>5.486111111111111E-2</v>
      </c>
      <c r="D77" s="3">
        <v>3592</v>
      </c>
      <c r="E77" s="3">
        <v>164</v>
      </c>
      <c r="F77" s="2">
        <v>37.75138888888889</v>
      </c>
      <c r="G77" t="s">
        <v>2812</v>
      </c>
      <c r="H77" t="s">
        <v>2813</v>
      </c>
      <c r="I77" s="2">
        <v>0.37777777777777777</v>
      </c>
      <c r="J77" s="4" t="str">
        <f>IF(Table1[[#This Row],[processing_time_hours]]&gt;1.5,"Slow", "Fast")</f>
        <v>Fast</v>
      </c>
      <c r="K77" t="s">
        <v>2814</v>
      </c>
      <c r="L77" s="3">
        <v>1</v>
      </c>
      <c r="M77" t="str">
        <f>IF(Table1[[#This Row],[delayed]]=1,"Delayed","On Time")</f>
        <v>Delayed</v>
      </c>
      <c r="N77" t="str">
        <f>IF(AND(Table1[[#This Row],[delayed]]=1,Table1[[#This Row],[weather_condition]]="Storm"),"High Risk", IF(Table1[[#This Row],[delayed]]=1,"Medium Risk","Low Risk"))</f>
        <v>Medium Risk</v>
      </c>
    </row>
    <row r="78" spans="1:14" x14ac:dyDescent="0.35">
      <c r="A78">
        <v>77</v>
      </c>
      <c r="B78" s="1">
        <v>44930.166666666664</v>
      </c>
      <c r="C78" s="2">
        <v>4.5138888888888888E-2</v>
      </c>
      <c r="D78" s="3">
        <v>3857</v>
      </c>
      <c r="E78" s="3">
        <v>270</v>
      </c>
      <c r="F78" s="2">
        <v>54.75</v>
      </c>
      <c r="G78" t="s">
        <v>2819</v>
      </c>
      <c r="H78" t="s">
        <v>2820</v>
      </c>
      <c r="I78" s="2">
        <v>0.7104166666666667</v>
      </c>
      <c r="J78" s="4" t="str">
        <f>IF(Table1[[#This Row],[processing_time_hours]]&gt;1.5,"Slow", "Fast")</f>
        <v>Fast</v>
      </c>
      <c r="K78" t="s">
        <v>2818</v>
      </c>
      <c r="L78" s="3">
        <v>0</v>
      </c>
      <c r="M78" t="str">
        <f>IF(Table1[[#This Row],[delayed]]=1,"Delayed","On Time")</f>
        <v>On Time</v>
      </c>
      <c r="N78" t="str">
        <f>IF(AND(Table1[[#This Row],[delayed]]=1,Table1[[#This Row],[weather_condition]]="Storm"),"High Risk", IF(Table1[[#This Row],[delayed]]=1,"Medium Risk","Low Risk"))</f>
        <v>Low Risk</v>
      </c>
    </row>
    <row r="79" spans="1:14" x14ac:dyDescent="0.35">
      <c r="A79">
        <v>78</v>
      </c>
      <c r="B79" s="1">
        <v>44930.208333333336</v>
      </c>
      <c r="C79" s="2">
        <v>5.1388888888888894E-2</v>
      </c>
      <c r="D79" s="3">
        <v>2378</v>
      </c>
      <c r="E79" s="3">
        <v>230</v>
      </c>
      <c r="F79" s="2">
        <v>60.83819444444444</v>
      </c>
      <c r="G79" t="s">
        <v>2812</v>
      </c>
      <c r="H79" t="s">
        <v>2820</v>
      </c>
      <c r="I79" s="2">
        <v>1.7090277777777778</v>
      </c>
      <c r="J79" s="4" t="str">
        <f>IF(Table1[[#This Row],[processing_time_hours]]&gt;1.5,"Slow", "Fast")</f>
        <v>Slow</v>
      </c>
      <c r="K79" t="s">
        <v>2821</v>
      </c>
      <c r="L79" s="3">
        <v>0</v>
      </c>
      <c r="M79" t="str">
        <f>IF(Table1[[#This Row],[delayed]]=1,"Delayed","On Time")</f>
        <v>On Time</v>
      </c>
      <c r="N79" t="str">
        <f>IF(AND(Table1[[#This Row],[delayed]]=1,Table1[[#This Row],[weather_condition]]="Storm"),"High Risk", IF(Table1[[#This Row],[delayed]]=1,"Medium Risk","Low Risk"))</f>
        <v>Low Risk</v>
      </c>
    </row>
    <row r="80" spans="1:14" x14ac:dyDescent="0.35">
      <c r="A80">
        <v>79</v>
      </c>
      <c r="B80" s="1">
        <v>44930.25</v>
      </c>
      <c r="C80" s="2">
        <v>5.0694444444444438E-2</v>
      </c>
      <c r="D80" s="3">
        <v>3598</v>
      </c>
      <c r="E80" s="3">
        <v>306</v>
      </c>
      <c r="F80" s="2">
        <v>69.127083333333331</v>
      </c>
      <c r="G80" t="s">
        <v>2812</v>
      </c>
      <c r="H80" t="s">
        <v>2813</v>
      </c>
      <c r="I80" s="2">
        <v>1.8388888888888888</v>
      </c>
      <c r="J80" s="4" t="str">
        <f>IF(Table1[[#This Row],[processing_time_hours]]&gt;1.5,"Slow", "Fast")</f>
        <v>Slow</v>
      </c>
      <c r="K80" t="s">
        <v>2818</v>
      </c>
      <c r="L80" s="3">
        <v>0</v>
      </c>
      <c r="M80" t="str">
        <f>IF(Table1[[#This Row],[delayed]]=1,"Delayed","On Time")</f>
        <v>On Time</v>
      </c>
      <c r="N80" t="str">
        <f>IF(AND(Table1[[#This Row],[delayed]]=1,Table1[[#This Row],[weather_condition]]="Storm"),"High Risk", IF(Table1[[#This Row],[delayed]]=1,"Medium Risk","Low Risk"))</f>
        <v>Low Risk</v>
      </c>
    </row>
    <row r="81" spans="1:14" x14ac:dyDescent="0.35">
      <c r="A81">
        <v>80</v>
      </c>
      <c r="B81" s="1">
        <v>44930.291666666664</v>
      </c>
      <c r="C81" s="2">
        <v>4.9999999999999996E-2</v>
      </c>
      <c r="D81" s="3">
        <v>1241</v>
      </c>
      <c r="E81" s="3">
        <v>2</v>
      </c>
      <c r="F81" s="2">
        <v>45.791666666666664</v>
      </c>
      <c r="G81" t="s">
        <v>2816</v>
      </c>
      <c r="H81" t="s">
        <v>2820</v>
      </c>
      <c r="I81" s="2">
        <v>0.75347222222222221</v>
      </c>
      <c r="J81" s="4" t="str">
        <f>IF(Table1[[#This Row],[processing_time_hours]]&gt;1.5,"Slow", "Fast")</f>
        <v>Fast</v>
      </c>
      <c r="K81" t="s">
        <v>2818</v>
      </c>
      <c r="L81" s="3">
        <v>0</v>
      </c>
      <c r="M81" t="str">
        <f>IF(Table1[[#This Row],[delayed]]=1,"Delayed","On Time")</f>
        <v>On Time</v>
      </c>
      <c r="N81" t="str">
        <f>IF(AND(Table1[[#This Row],[delayed]]=1,Table1[[#This Row],[weather_condition]]="Storm"),"High Risk", IF(Table1[[#This Row],[delayed]]=1,"Medium Risk","Low Risk"))</f>
        <v>Low Risk</v>
      </c>
    </row>
    <row r="82" spans="1:14" x14ac:dyDescent="0.35">
      <c r="A82">
        <v>81</v>
      </c>
      <c r="B82" s="1">
        <v>44930.333333333336</v>
      </c>
      <c r="C82" s="2">
        <v>4.6527777777777779E-2</v>
      </c>
      <c r="D82" s="3">
        <v>269</v>
      </c>
      <c r="E82" s="3">
        <v>227</v>
      </c>
      <c r="F82" s="2">
        <v>64.296527777777769</v>
      </c>
      <c r="G82" t="s">
        <v>2816</v>
      </c>
      <c r="H82" t="s">
        <v>2817</v>
      </c>
      <c r="I82" s="2">
        <v>1.6729166666666666</v>
      </c>
      <c r="J82" s="4" t="str">
        <f>IF(Table1[[#This Row],[processing_time_hours]]&gt;1.5,"Slow", "Fast")</f>
        <v>Slow</v>
      </c>
      <c r="K82" t="s">
        <v>2818</v>
      </c>
      <c r="L82" s="3">
        <v>0</v>
      </c>
      <c r="M82" t="str">
        <f>IF(Table1[[#This Row],[delayed]]=1,"Delayed","On Time")</f>
        <v>On Time</v>
      </c>
      <c r="N82" t="str">
        <f>IF(AND(Table1[[#This Row],[delayed]]=1,Table1[[#This Row],[weather_condition]]="Storm"),"High Risk", IF(Table1[[#This Row],[delayed]]=1,"Medium Risk","Low Risk"))</f>
        <v>Low Risk</v>
      </c>
    </row>
    <row r="83" spans="1:14" x14ac:dyDescent="0.35">
      <c r="A83">
        <v>82</v>
      </c>
      <c r="B83" s="1">
        <v>44930.375</v>
      </c>
      <c r="C83" s="2">
        <v>5.3472222222222227E-2</v>
      </c>
      <c r="D83" s="3">
        <v>587</v>
      </c>
      <c r="E83" s="3">
        <v>252</v>
      </c>
      <c r="F83" s="2">
        <v>68.08541666666666</v>
      </c>
      <c r="G83" t="s">
        <v>2815</v>
      </c>
      <c r="H83" t="s">
        <v>2813</v>
      </c>
      <c r="I83" s="2">
        <v>0.42291666666666666</v>
      </c>
      <c r="J83" s="4" t="str">
        <f>IF(Table1[[#This Row],[processing_time_hours]]&gt;1.5,"Slow", "Fast")</f>
        <v>Fast</v>
      </c>
      <c r="K83" t="s">
        <v>2814</v>
      </c>
      <c r="L83" s="3">
        <v>0</v>
      </c>
      <c r="M83" t="str">
        <f>IF(Table1[[#This Row],[delayed]]=1,"Delayed","On Time")</f>
        <v>On Time</v>
      </c>
      <c r="N83" t="str">
        <f>IF(AND(Table1[[#This Row],[delayed]]=1,Table1[[#This Row],[weather_condition]]="Storm"),"High Risk", IF(Table1[[#This Row],[delayed]]=1,"Medium Risk","Low Risk"))</f>
        <v>Low Risk</v>
      </c>
    </row>
    <row r="84" spans="1:14" x14ac:dyDescent="0.35">
      <c r="A84">
        <v>83</v>
      </c>
      <c r="B84" s="1">
        <v>44930.416666666664</v>
      </c>
      <c r="C84" s="2">
        <v>5.4166666666666669E-2</v>
      </c>
      <c r="D84" s="3">
        <v>1085</v>
      </c>
      <c r="E84" s="3">
        <v>253</v>
      </c>
      <c r="F84" s="2">
        <v>48.506250000000001</v>
      </c>
      <c r="G84" t="s">
        <v>2819</v>
      </c>
      <c r="H84" t="s">
        <v>2813</v>
      </c>
      <c r="I84" s="2">
        <v>0.12847222222222224</v>
      </c>
      <c r="J84" s="4" t="str">
        <f>IF(Table1[[#This Row],[processing_time_hours]]&gt;1.5,"Slow", "Fast")</f>
        <v>Fast</v>
      </c>
      <c r="K84" t="s">
        <v>2821</v>
      </c>
      <c r="L84" s="3">
        <v>0</v>
      </c>
      <c r="M84" t="str">
        <f>IF(Table1[[#This Row],[delayed]]=1,"Delayed","On Time")</f>
        <v>On Time</v>
      </c>
      <c r="N84" t="str">
        <f>IF(AND(Table1[[#This Row],[delayed]]=1,Table1[[#This Row],[weather_condition]]="Storm"),"High Risk", IF(Table1[[#This Row],[delayed]]=1,"Medium Risk","Low Risk"))</f>
        <v>Low Risk</v>
      </c>
    </row>
    <row r="85" spans="1:14" x14ac:dyDescent="0.35">
      <c r="A85">
        <v>84</v>
      </c>
      <c r="B85" s="1">
        <v>44930.458333333336</v>
      </c>
      <c r="C85" s="2">
        <v>6.3194444444444442E-2</v>
      </c>
      <c r="D85" s="3">
        <v>1522</v>
      </c>
      <c r="E85" s="3">
        <v>493</v>
      </c>
      <c r="F85" s="2">
        <v>74.961805555555557</v>
      </c>
      <c r="G85" t="s">
        <v>2812</v>
      </c>
      <c r="H85" t="s">
        <v>2813</v>
      </c>
      <c r="I85" s="2">
        <v>0.71458333333333324</v>
      </c>
      <c r="J85" s="4" t="str">
        <f>IF(Table1[[#This Row],[processing_time_hours]]&gt;1.5,"Slow", "Fast")</f>
        <v>Fast</v>
      </c>
      <c r="K85" t="s">
        <v>2821</v>
      </c>
      <c r="L85" s="3">
        <v>0</v>
      </c>
      <c r="M85" t="str">
        <f>IF(Table1[[#This Row],[delayed]]=1,"Delayed","On Time")</f>
        <v>On Time</v>
      </c>
      <c r="N85" t="str">
        <f>IF(AND(Table1[[#This Row],[delayed]]=1,Table1[[#This Row],[weather_condition]]="Storm"),"High Risk", IF(Table1[[#This Row],[delayed]]=1,"Medium Risk","Low Risk"))</f>
        <v>Low Risk</v>
      </c>
    </row>
    <row r="86" spans="1:14" x14ac:dyDescent="0.35">
      <c r="A86">
        <v>85</v>
      </c>
      <c r="B86" s="1">
        <v>44930.5</v>
      </c>
      <c r="C86" s="2">
        <v>6.3888888888888898E-2</v>
      </c>
      <c r="D86" s="3">
        <v>879</v>
      </c>
      <c r="E86" s="3">
        <v>450</v>
      </c>
      <c r="F86" s="2">
        <v>75.042361111111106</v>
      </c>
      <c r="G86" t="s">
        <v>2812</v>
      </c>
      <c r="H86" t="s">
        <v>2820</v>
      </c>
      <c r="I86" s="2">
        <v>1.5034722222222223</v>
      </c>
      <c r="J86" s="4" t="str">
        <f>IF(Table1[[#This Row],[processing_time_hours]]&gt;1.5,"Slow", "Fast")</f>
        <v>Slow</v>
      </c>
      <c r="K86" t="s">
        <v>2818</v>
      </c>
      <c r="L86" s="3">
        <v>0</v>
      </c>
      <c r="M86" t="str">
        <f>IF(Table1[[#This Row],[delayed]]=1,"Delayed","On Time")</f>
        <v>On Time</v>
      </c>
      <c r="N86" t="str">
        <f>IF(AND(Table1[[#This Row],[delayed]]=1,Table1[[#This Row],[weather_condition]]="Storm"),"High Risk", IF(Table1[[#This Row],[delayed]]=1,"Medium Risk","Low Risk"))</f>
        <v>Low Risk</v>
      </c>
    </row>
    <row r="87" spans="1:14" x14ac:dyDescent="0.35">
      <c r="A87">
        <v>86</v>
      </c>
      <c r="B87" s="1">
        <v>44930.541666666664</v>
      </c>
      <c r="C87" s="2">
        <v>5.6250000000000001E-2</v>
      </c>
      <c r="D87" s="3">
        <v>753</v>
      </c>
      <c r="E87" s="3">
        <v>472</v>
      </c>
      <c r="F87" s="2">
        <v>56.63055555555556</v>
      </c>
      <c r="G87" t="s">
        <v>2815</v>
      </c>
      <c r="H87" t="s">
        <v>2813</v>
      </c>
      <c r="I87" s="2">
        <v>0.91875000000000007</v>
      </c>
      <c r="J87" s="4" t="str">
        <f>IF(Table1[[#This Row],[processing_time_hours]]&gt;1.5,"Slow", "Fast")</f>
        <v>Fast</v>
      </c>
      <c r="K87" t="s">
        <v>2821</v>
      </c>
      <c r="L87" s="3">
        <v>1</v>
      </c>
      <c r="M87" t="str">
        <f>IF(Table1[[#This Row],[delayed]]=1,"Delayed","On Time")</f>
        <v>Delayed</v>
      </c>
      <c r="N87" t="str">
        <f>IF(AND(Table1[[#This Row],[delayed]]=1,Table1[[#This Row],[weather_condition]]="Storm"),"High Risk", IF(Table1[[#This Row],[delayed]]=1,"Medium Risk","Low Risk"))</f>
        <v>Medium Risk</v>
      </c>
    </row>
    <row r="88" spans="1:14" x14ac:dyDescent="0.35">
      <c r="A88">
        <v>87</v>
      </c>
      <c r="B88" s="1">
        <v>44930.583333333336</v>
      </c>
      <c r="C88" s="2">
        <v>5.4166666666666669E-2</v>
      </c>
      <c r="D88" s="3">
        <v>2746</v>
      </c>
      <c r="E88" s="3">
        <v>283</v>
      </c>
      <c r="F88" s="2">
        <v>66.295138888888886</v>
      </c>
      <c r="G88" t="s">
        <v>2819</v>
      </c>
      <c r="H88" t="s">
        <v>2813</v>
      </c>
      <c r="I88" s="2">
        <v>1.7555555555555555</v>
      </c>
      <c r="J88" s="4" t="str">
        <f>IF(Table1[[#This Row],[processing_time_hours]]&gt;1.5,"Slow", "Fast")</f>
        <v>Slow</v>
      </c>
      <c r="K88" t="s">
        <v>2818</v>
      </c>
      <c r="L88" s="3">
        <v>0</v>
      </c>
      <c r="M88" t="str">
        <f>IF(Table1[[#This Row],[delayed]]=1,"Delayed","On Time")</f>
        <v>On Time</v>
      </c>
      <c r="N88" t="str">
        <f>IF(AND(Table1[[#This Row],[delayed]]=1,Table1[[#This Row],[weather_condition]]="Storm"),"High Risk", IF(Table1[[#This Row],[delayed]]=1,"Medium Risk","Low Risk"))</f>
        <v>Low Risk</v>
      </c>
    </row>
    <row r="89" spans="1:14" x14ac:dyDescent="0.35">
      <c r="A89">
        <v>88</v>
      </c>
      <c r="B89" s="1">
        <v>44930.625</v>
      </c>
      <c r="C89" s="2">
        <v>6.3194444444444442E-2</v>
      </c>
      <c r="D89" s="3">
        <v>2802</v>
      </c>
      <c r="E89" s="3">
        <v>285</v>
      </c>
      <c r="F89" s="2">
        <v>30.504166666666666</v>
      </c>
      <c r="G89" t="s">
        <v>2819</v>
      </c>
      <c r="H89" t="s">
        <v>2822</v>
      </c>
      <c r="I89" s="2">
        <v>2.754861111111111</v>
      </c>
      <c r="J89" s="4" t="str">
        <f>IF(Table1[[#This Row],[processing_time_hours]]&gt;1.5,"Slow", "Fast")</f>
        <v>Slow</v>
      </c>
      <c r="K89" t="s">
        <v>2818</v>
      </c>
      <c r="L89" s="3">
        <v>0</v>
      </c>
      <c r="M89" t="str">
        <f>IF(Table1[[#This Row],[delayed]]=1,"Delayed","On Time")</f>
        <v>On Time</v>
      </c>
      <c r="N89" t="str">
        <f>IF(AND(Table1[[#This Row],[delayed]]=1,Table1[[#This Row],[weather_condition]]="Storm"),"High Risk", IF(Table1[[#This Row],[delayed]]=1,"Medium Risk","Low Risk"))</f>
        <v>Low Risk</v>
      </c>
    </row>
    <row r="90" spans="1:14" x14ac:dyDescent="0.35">
      <c r="A90">
        <v>89</v>
      </c>
      <c r="B90" s="1">
        <v>44930.666666666664</v>
      </c>
      <c r="C90" s="2">
        <v>6.5972222222222224E-2</v>
      </c>
      <c r="D90" s="3">
        <v>2256</v>
      </c>
      <c r="E90" s="3">
        <v>400</v>
      </c>
      <c r="F90" s="2">
        <v>44.33680555555555</v>
      </c>
      <c r="G90" t="s">
        <v>2819</v>
      </c>
      <c r="H90" t="s">
        <v>2817</v>
      </c>
      <c r="I90" s="2">
        <v>2.2083333333333335</v>
      </c>
      <c r="J90" s="4" t="str">
        <f>IF(Table1[[#This Row],[processing_time_hours]]&gt;1.5,"Slow", "Fast")</f>
        <v>Slow</v>
      </c>
      <c r="K90" t="s">
        <v>2821</v>
      </c>
      <c r="L90" s="3">
        <v>0</v>
      </c>
      <c r="M90" t="str">
        <f>IF(Table1[[#This Row],[delayed]]=1,"Delayed","On Time")</f>
        <v>On Time</v>
      </c>
      <c r="N90" t="str">
        <f>IF(AND(Table1[[#This Row],[delayed]]=1,Table1[[#This Row],[weather_condition]]="Storm"),"High Risk", IF(Table1[[#This Row],[delayed]]=1,"Medium Risk","Low Risk"))</f>
        <v>Low Risk</v>
      </c>
    </row>
    <row r="91" spans="1:14" x14ac:dyDescent="0.35">
      <c r="A91">
        <v>90</v>
      </c>
      <c r="B91" s="1">
        <v>44930.708333333336</v>
      </c>
      <c r="C91" s="2">
        <v>6.0416666666666667E-2</v>
      </c>
      <c r="D91" s="3">
        <v>3442</v>
      </c>
      <c r="E91" s="3">
        <v>180</v>
      </c>
      <c r="F91" s="2">
        <v>34.125</v>
      </c>
      <c r="G91" t="s">
        <v>2812</v>
      </c>
      <c r="H91" t="s">
        <v>2813</v>
      </c>
      <c r="I91" s="2">
        <v>1.9645833333333333</v>
      </c>
      <c r="J91" s="4" t="str">
        <f>IF(Table1[[#This Row],[processing_time_hours]]&gt;1.5,"Slow", "Fast")</f>
        <v>Slow</v>
      </c>
      <c r="K91" t="s">
        <v>2814</v>
      </c>
      <c r="L91" s="3">
        <v>0</v>
      </c>
      <c r="M91" t="str">
        <f>IF(Table1[[#This Row],[delayed]]=1,"Delayed","On Time")</f>
        <v>On Time</v>
      </c>
      <c r="N91" t="str">
        <f>IF(AND(Table1[[#This Row],[delayed]]=1,Table1[[#This Row],[weather_condition]]="Storm"),"High Risk", IF(Table1[[#This Row],[delayed]]=1,"Medium Risk","Low Risk"))</f>
        <v>Low Risk</v>
      </c>
    </row>
    <row r="92" spans="1:14" x14ac:dyDescent="0.35">
      <c r="A92">
        <v>91</v>
      </c>
      <c r="B92" s="1">
        <v>44930.75</v>
      </c>
      <c r="C92" s="2">
        <v>6.3888888888888898E-2</v>
      </c>
      <c r="D92" s="3">
        <v>2117</v>
      </c>
      <c r="E92" s="3">
        <v>58</v>
      </c>
      <c r="F92" s="2">
        <v>39.250694444444441</v>
      </c>
      <c r="G92" t="s">
        <v>2815</v>
      </c>
      <c r="H92" t="s">
        <v>2813</v>
      </c>
      <c r="I92" s="2">
        <v>0.79791666666666661</v>
      </c>
      <c r="J92" s="4" t="str">
        <f>IF(Table1[[#This Row],[processing_time_hours]]&gt;1.5,"Slow", "Fast")</f>
        <v>Fast</v>
      </c>
      <c r="K92" t="s">
        <v>2814</v>
      </c>
      <c r="L92" s="3">
        <v>0</v>
      </c>
      <c r="M92" t="str">
        <f>IF(Table1[[#This Row],[delayed]]=1,"Delayed","On Time")</f>
        <v>On Time</v>
      </c>
      <c r="N92" t="str">
        <f>IF(AND(Table1[[#This Row],[delayed]]=1,Table1[[#This Row],[weather_condition]]="Storm"),"High Risk", IF(Table1[[#This Row],[delayed]]=1,"Medium Risk","Low Risk"))</f>
        <v>Low Risk</v>
      </c>
    </row>
    <row r="93" spans="1:14" x14ac:dyDescent="0.35">
      <c r="A93">
        <v>92</v>
      </c>
      <c r="B93" s="1">
        <v>44930.791666666664</v>
      </c>
      <c r="C93" s="2">
        <v>6.805555555555555E-2</v>
      </c>
      <c r="D93" s="3">
        <v>864</v>
      </c>
      <c r="E93" s="3">
        <v>61</v>
      </c>
      <c r="F93" s="2">
        <v>61.13055555555556</v>
      </c>
      <c r="G93" t="s">
        <v>2816</v>
      </c>
      <c r="H93" t="s">
        <v>2813</v>
      </c>
      <c r="I93" s="2">
        <v>0.41805555555555557</v>
      </c>
      <c r="J93" s="4" t="str">
        <f>IF(Table1[[#This Row],[processing_time_hours]]&gt;1.5,"Slow", "Fast")</f>
        <v>Fast</v>
      </c>
      <c r="K93" t="s">
        <v>2818</v>
      </c>
      <c r="L93" s="3">
        <v>0</v>
      </c>
      <c r="M93" t="str">
        <f>IF(Table1[[#This Row],[delayed]]=1,"Delayed","On Time")</f>
        <v>On Time</v>
      </c>
      <c r="N93" t="str">
        <f>IF(AND(Table1[[#This Row],[delayed]]=1,Table1[[#This Row],[weather_condition]]="Storm"),"High Risk", IF(Table1[[#This Row],[delayed]]=1,"Medium Risk","Low Risk"))</f>
        <v>Low Risk</v>
      </c>
    </row>
    <row r="94" spans="1:14" x14ac:dyDescent="0.35">
      <c r="A94">
        <v>93</v>
      </c>
      <c r="B94" s="1">
        <v>44930.833333333336</v>
      </c>
      <c r="C94" s="2">
        <v>4.3055555555555562E-2</v>
      </c>
      <c r="D94" s="3">
        <v>4681</v>
      </c>
      <c r="E94" s="3">
        <v>388</v>
      </c>
      <c r="F94" s="2">
        <v>18.461111111111112</v>
      </c>
      <c r="G94" t="s">
        <v>2815</v>
      </c>
      <c r="H94" t="s">
        <v>2813</v>
      </c>
      <c r="I94" s="2">
        <v>8.4027777777777771E-2</v>
      </c>
      <c r="J94" s="4" t="str">
        <f>IF(Table1[[#This Row],[processing_time_hours]]&gt;1.5,"Slow", "Fast")</f>
        <v>Fast</v>
      </c>
      <c r="K94" t="s">
        <v>2814</v>
      </c>
      <c r="L94" s="3">
        <v>0</v>
      </c>
      <c r="M94" t="str">
        <f>IF(Table1[[#This Row],[delayed]]=1,"Delayed","On Time")</f>
        <v>On Time</v>
      </c>
      <c r="N94" t="str">
        <f>IF(AND(Table1[[#This Row],[delayed]]=1,Table1[[#This Row],[weather_condition]]="Storm"),"High Risk", IF(Table1[[#This Row],[delayed]]=1,"Medium Risk","Low Risk"))</f>
        <v>Low Risk</v>
      </c>
    </row>
    <row r="95" spans="1:14" x14ac:dyDescent="0.35">
      <c r="A95">
        <v>94</v>
      </c>
      <c r="B95" s="1">
        <v>44930.875</v>
      </c>
      <c r="C95" s="2">
        <v>6.5972222222222224E-2</v>
      </c>
      <c r="D95" s="3">
        <v>3091</v>
      </c>
      <c r="E95" s="3">
        <v>174</v>
      </c>
      <c r="F95" s="2">
        <v>28.210416666666664</v>
      </c>
      <c r="G95" t="s">
        <v>2819</v>
      </c>
      <c r="H95" t="s">
        <v>2822</v>
      </c>
      <c r="I95" s="2">
        <v>2.9604166666666667</v>
      </c>
      <c r="J95" s="4" t="str">
        <f>IF(Table1[[#This Row],[processing_time_hours]]&gt;1.5,"Slow", "Fast")</f>
        <v>Slow</v>
      </c>
      <c r="K95" t="s">
        <v>2818</v>
      </c>
      <c r="L95" s="3">
        <v>0</v>
      </c>
      <c r="M95" t="str">
        <f>IF(Table1[[#This Row],[delayed]]=1,"Delayed","On Time")</f>
        <v>On Time</v>
      </c>
      <c r="N95" t="str">
        <f>IF(AND(Table1[[#This Row],[delayed]]=1,Table1[[#This Row],[weather_condition]]="Storm"),"High Risk", IF(Table1[[#This Row],[delayed]]=1,"Medium Risk","Low Risk"))</f>
        <v>Low Risk</v>
      </c>
    </row>
    <row r="96" spans="1:14" x14ac:dyDescent="0.35">
      <c r="A96">
        <v>95</v>
      </c>
      <c r="B96" s="1">
        <v>44930.916666666664</v>
      </c>
      <c r="C96" s="2">
        <v>4.9305555555555554E-2</v>
      </c>
      <c r="D96" s="3">
        <v>2594</v>
      </c>
      <c r="E96" s="3">
        <v>111</v>
      </c>
      <c r="F96" s="2">
        <v>5.2520833333333332</v>
      </c>
      <c r="G96" t="s">
        <v>2812</v>
      </c>
      <c r="H96" t="s">
        <v>2813</v>
      </c>
      <c r="I96" s="2">
        <v>1.2125000000000001</v>
      </c>
      <c r="J96" s="4" t="str">
        <f>IF(Table1[[#This Row],[processing_time_hours]]&gt;1.5,"Slow", "Fast")</f>
        <v>Fast</v>
      </c>
      <c r="K96" t="s">
        <v>2821</v>
      </c>
      <c r="L96" s="3">
        <v>0</v>
      </c>
      <c r="M96" t="str">
        <f>IF(Table1[[#This Row],[delayed]]=1,"Delayed","On Time")</f>
        <v>On Time</v>
      </c>
      <c r="N96" t="str">
        <f>IF(AND(Table1[[#This Row],[delayed]]=1,Table1[[#This Row],[weather_condition]]="Storm"),"High Risk", IF(Table1[[#This Row],[delayed]]=1,"Medium Risk","Low Risk"))</f>
        <v>Low Risk</v>
      </c>
    </row>
    <row r="97" spans="1:14" x14ac:dyDescent="0.35">
      <c r="A97">
        <v>96</v>
      </c>
      <c r="B97" s="1">
        <v>44930.958333333336</v>
      </c>
      <c r="C97" s="2">
        <v>5.486111111111111E-2</v>
      </c>
      <c r="D97" s="3">
        <v>4825</v>
      </c>
      <c r="E97" s="3">
        <v>237</v>
      </c>
      <c r="F97" s="2">
        <v>48.752777777777773</v>
      </c>
      <c r="G97" t="s">
        <v>2815</v>
      </c>
      <c r="H97" t="s">
        <v>2822</v>
      </c>
      <c r="I97" s="2">
        <v>0.46180555555555558</v>
      </c>
      <c r="J97" s="4" t="str">
        <f>IF(Table1[[#This Row],[processing_time_hours]]&gt;1.5,"Slow", "Fast")</f>
        <v>Fast</v>
      </c>
      <c r="K97" t="s">
        <v>2814</v>
      </c>
      <c r="L97" s="3">
        <v>0</v>
      </c>
      <c r="M97" t="str">
        <f>IF(Table1[[#This Row],[delayed]]=1,"Delayed","On Time")</f>
        <v>On Time</v>
      </c>
      <c r="N97" t="str">
        <f>IF(AND(Table1[[#This Row],[delayed]]=1,Table1[[#This Row],[weather_condition]]="Storm"),"High Risk", IF(Table1[[#This Row],[delayed]]=1,"Medium Risk","Low Risk"))</f>
        <v>Low Risk</v>
      </c>
    </row>
    <row r="98" spans="1:14" x14ac:dyDescent="0.35">
      <c r="A98">
        <v>97</v>
      </c>
      <c r="B98" s="1">
        <v>44931</v>
      </c>
      <c r="C98" s="2">
        <v>6.3888888888888898E-2</v>
      </c>
      <c r="D98" s="3">
        <v>2591</v>
      </c>
      <c r="E98" s="3">
        <v>386</v>
      </c>
      <c r="F98" s="2">
        <v>75.711111111111109</v>
      </c>
      <c r="G98" t="s">
        <v>2819</v>
      </c>
      <c r="H98" t="s">
        <v>2813</v>
      </c>
      <c r="I98" s="2">
        <v>0.67083333333333339</v>
      </c>
      <c r="J98" s="4" t="str">
        <f>IF(Table1[[#This Row],[processing_time_hours]]&gt;1.5,"Slow", "Fast")</f>
        <v>Fast</v>
      </c>
      <c r="K98" t="s">
        <v>2818</v>
      </c>
      <c r="L98" s="3">
        <v>0</v>
      </c>
      <c r="M98" t="str">
        <f>IF(Table1[[#This Row],[delayed]]=1,"Delayed","On Time")</f>
        <v>On Time</v>
      </c>
      <c r="N98" t="str">
        <f>IF(AND(Table1[[#This Row],[delayed]]=1,Table1[[#This Row],[weather_condition]]="Storm"),"High Risk", IF(Table1[[#This Row],[delayed]]=1,"Medium Risk","Low Risk"))</f>
        <v>Low Risk</v>
      </c>
    </row>
    <row r="99" spans="1:14" x14ac:dyDescent="0.35">
      <c r="A99">
        <v>98</v>
      </c>
      <c r="B99" s="1">
        <v>44931.041666666664</v>
      </c>
      <c r="C99" s="2">
        <v>6.1805555555555558E-2</v>
      </c>
      <c r="D99" s="3">
        <v>3212</v>
      </c>
      <c r="E99" s="3">
        <v>232</v>
      </c>
      <c r="F99" s="2">
        <v>38.961111111111116</v>
      </c>
      <c r="G99" t="s">
        <v>2815</v>
      </c>
      <c r="H99" t="s">
        <v>2813</v>
      </c>
      <c r="I99" s="2">
        <v>1.7090277777777778</v>
      </c>
      <c r="J99" s="4" t="str">
        <f>IF(Table1[[#This Row],[processing_time_hours]]&gt;1.5,"Slow", "Fast")</f>
        <v>Slow</v>
      </c>
      <c r="K99" t="s">
        <v>2818</v>
      </c>
      <c r="L99" s="3">
        <v>1</v>
      </c>
      <c r="M99" t="str">
        <f>IF(Table1[[#This Row],[delayed]]=1,"Delayed","On Time")</f>
        <v>Delayed</v>
      </c>
      <c r="N99" t="str">
        <f>IF(AND(Table1[[#This Row],[delayed]]=1,Table1[[#This Row],[weather_condition]]="Storm"),"High Risk", IF(Table1[[#This Row],[delayed]]=1,"Medium Risk","Low Risk"))</f>
        <v>Medium Risk</v>
      </c>
    </row>
    <row r="100" spans="1:14" x14ac:dyDescent="0.35">
      <c r="A100">
        <v>99</v>
      </c>
      <c r="B100" s="1">
        <v>44931.083333333336</v>
      </c>
      <c r="C100" s="2">
        <v>4.5833333333333337E-2</v>
      </c>
      <c r="D100" s="3">
        <v>564</v>
      </c>
      <c r="E100" s="3">
        <v>282</v>
      </c>
      <c r="F100" s="2">
        <v>66.295833333333334</v>
      </c>
      <c r="G100" t="s">
        <v>2815</v>
      </c>
      <c r="H100" t="s">
        <v>2820</v>
      </c>
      <c r="I100" s="2">
        <v>2.3333333333333335</v>
      </c>
      <c r="J100" s="4" t="str">
        <f>IF(Table1[[#This Row],[processing_time_hours]]&gt;1.5,"Slow", "Fast")</f>
        <v>Slow</v>
      </c>
      <c r="K100" t="s">
        <v>2814</v>
      </c>
      <c r="L100" s="3">
        <v>1</v>
      </c>
      <c r="M100" t="str">
        <f>IF(Table1[[#This Row],[delayed]]=1,"Delayed","On Time")</f>
        <v>Delayed</v>
      </c>
      <c r="N100" t="str">
        <f>IF(AND(Table1[[#This Row],[delayed]]=1,Table1[[#This Row],[weather_condition]]="Storm"),"High Risk", IF(Table1[[#This Row],[delayed]]=1,"Medium Risk","Low Risk"))</f>
        <v>Medium Risk</v>
      </c>
    </row>
    <row r="101" spans="1:14" x14ac:dyDescent="0.35">
      <c r="A101">
        <v>100</v>
      </c>
      <c r="B101" s="1">
        <v>44931.125</v>
      </c>
      <c r="C101" s="2">
        <v>5.9722222222222225E-2</v>
      </c>
      <c r="D101" s="3">
        <v>1289</v>
      </c>
      <c r="E101" s="3">
        <v>291</v>
      </c>
      <c r="F101" s="2">
        <v>34.043749999999996</v>
      </c>
      <c r="G101" t="s">
        <v>2819</v>
      </c>
      <c r="H101" t="s">
        <v>2820</v>
      </c>
      <c r="I101" s="2">
        <v>1.0006944444444443</v>
      </c>
      <c r="J101" s="4" t="str">
        <f>IF(Table1[[#This Row],[processing_time_hours]]&gt;1.5,"Slow", "Fast")</f>
        <v>Fast</v>
      </c>
      <c r="K101" t="s">
        <v>2814</v>
      </c>
      <c r="L101" s="3">
        <v>1</v>
      </c>
      <c r="M101" t="str">
        <f>IF(Table1[[#This Row],[delayed]]=1,"Delayed","On Time")</f>
        <v>Delayed</v>
      </c>
      <c r="N101" t="str">
        <f>IF(AND(Table1[[#This Row],[delayed]]=1,Table1[[#This Row],[weather_condition]]="Storm"),"High Risk", IF(Table1[[#This Row],[delayed]]=1,"Medium Risk","Low Risk"))</f>
        <v>Medium Risk</v>
      </c>
    </row>
    <row r="102" spans="1:14" x14ac:dyDescent="0.35">
      <c r="A102">
        <v>101</v>
      </c>
      <c r="B102" s="1">
        <v>44931.166666666664</v>
      </c>
      <c r="C102" s="2">
        <v>4.3750000000000004E-2</v>
      </c>
      <c r="D102" s="3">
        <v>1826</v>
      </c>
      <c r="E102" s="3">
        <v>86</v>
      </c>
      <c r="F102" s="2">
        <v>79.379861111111111</v>
      </c>
      <c r="G102" t="s">
        <v>2815</v>
      </c>
      <c r="H102" t="s">
        <v>2813</v>
      </c>
      <c r="I102" s="2">
        <v>2.7916666666666665</v>
      </c>
      <c r="J102" s="4" t="str">
        <f>IF(Table1[[#This Row],[processing_time_hours]]&gt;1.5,"Slow", "Fast")</f>
        <v>Slow</v>
      </c>
      <c r="K102" t="s">
        <v>2821</v>
      </c>
      <c r="L102" s="3">
        <v>0</v>
      </c>
      <c r="M102" t="str">
        <f>IF(Table1[[#This Row],[delayed]]=1,"Delayed","On Time")</f>
        <v>On Time</v>
      </c>
      <c r="N102" t="str">
        <f>IF(AND(Table1[[#This Row],[delayed]]=1,Table1[[#This Row],[weather_condition]]="Storm"),"High Risk", IF(Table1[[#This Row],[delayed]]=1,"Medium Risk","Low Risk"))</f>
        <v>Low Risk</v>
      </c>
    </row>
    <row r="103" spans="1:14" x14ac:dyDescent="0.35">
      <c r="A103">
        <v>102</v>
      </c>
      <c r="B103" s="1">
        <v>44931.208333333336</v>
      </c>
      <c r="C103" s="2">
        <v>5.1388888888888894E-2</v>
      </c>
      <c r="D103" s="3">
        <v>4940</v>
      </c>
      <c r="E103" s="3">
        <v>20</v>
      </c>
      <c r="F103" s="2">
        <v>55.044444444444444</v>
      </c>
      <c r="G103" t="s">
        <v>2812</v>
      </c>
      <c r="H103" t="s">
        <v>2813</v>
      </c>
      <c r="I103" s="2">
        <v>1.5</v>
      </c>
      <c r="J103" s="4" t="str">
        <f>IF(Table1[[#This Row],[processing_time_hours]]&gt;1.5,"Slow", "Fast")</f>
        <v>Fast</v>
      </c>
      <c r="K103" t="s">
        <v>2818</v>
      </c>
      <c r="L103" s="3">
        <v>1</v>
      </c>
      <c r="M103" t="str">
        <f>IF(Table1[[#This Row],[delayed]]=1,"Delayed","On Time")</f>
        <v>Delayed</v>
      </c>
      <c r="N103" t="str">
        <f>IF(AND(Table1[[#This Row],[delayed]]=1,Table1[[#This Row],[weather_condition]]="Storm"),"High Risk", IF(Table1[[#This Row],[delayed]]=1,"Medium Risk","Low Risk"))</f>
        <v>Medium Risk</v>
      </c>
    </row>
    <row r="104" spans="1:14" x14ac:dyDescent="0.35">
      <c r="A104">
        <v>103</v>
      </c>
      <c r="B104" s="1">
        <v>44931.25</v>
      </c>
      <c r="C104" s="2">
        <v>6.458333333333334E-2</v>
      </c>
      <c r="D104" s="3">
        <v>3371</v>
      </c>
      <c r="E104" s="3">
        <v>13</v>
      </c>
      <c r="F104" s="2">
        <v>47.08680555555555</v>
      </c>
      <c r="G104" t="s">
        <v>2816</v>
      </c>
      <c r="H104" t="s">
        <v>2813</v>
      </c>
      <c r="I104" s="2">
        <v>2.963888888888889</v>
      </c>
      <c r="J104" s="4" t="str">
        <f>IF(Table1[[#This Row],[processing_time_hours]]&gt;1.5,"Slow", "Fast")</f>
        <v>Slow</v>
      </c>
      <c r="K104" t="s">
        <v>2814</v>
      </c>
      <c r="L104" s="3">
        <v>1</v>
      </c>
      <c r="M104" t="str">
        <f>IF(Table1[[#This Row],[delayed]]=1,"Delayed","On Time")</f>
        <v>Delayed</v>
      </c>
      <c r="N104" t="str">
        <f>IF(AND(Table1[[#This Row],[delayed]]=1,Table1[[#This Row],[weather_condition]]="Storm"),"High Risk", IF(Table1[[#This Row],[delayed]]=1,"Medium Risk","Low Risk"))</f>
        <v>Medium Risk</v>
      </c>
    </row>
    <row r="105" spans="1:14" x14ac:dyDescent="0.35">
      <c r="A105">
        <v>104</v>
      </c>
      <c r="B105" s="1">
        <v>44931.291666666664</v>
      </c>
      <c r="C105" s="2">
        <v>5.3472222222222227E-2</v>
      </c>
      <c r="D105" s="3">
        <v>450</v>
      </c>
      <c r="E105" s="3">
        <v>316</v>
      </c>
      <c r="F105" s="2">
        <v>42.336111111111116</v>
      </c>
      <c r="G105" t="s">
        <v>2819</v>
      </c>
      <c r="H105" t="s">
        <v>2820</v>
      </c>
      <c r="I105" s="2">
        <v>2.6312500000000001</v>
      </c>
      <c r="J105" s="4" t="str">
        <f>IF(Table1[[#This Row],[processing_time_hours]]&gt;1.5,"Slow", "Fast")</f>
        <v>Slow</v>
      </c>
      <c r="K105" t="s">
        <v>2821</v>
      </c>
      <c r="L105" s="3">
        <v>0</v>
      </c>
      <c r="M105" t="str">
        <f>IF(Table1[[#This Row],[delayed]]=1,"Delayed","On Time")</f>
        <v>On Time</v>
      </c>
      <c r="N105" t="str">
        <f>IF(AND(Table1[[#This Row],[delayed]]=1,Table1[[#This Row],[weather_condition]]="Storm"),"High Risk", IF(Table1[[#This Row],[delayed]]=1,"Medium Risk","Low Risk"))</f>
        <v>Low Risk</v>
      </c>
    </row>
    <row r="106" spans="1:14" x14ac:dyDescent="0.35">
      <c r="A106">
        <v>105</v>
      </c>
      <c r="B106" s="1">
        <v>44931.333333333336</v>
      </c>
      <c r="C106" s="2">
        <v>5.8333333333333327E-2</v>
      </c>
      <c r="D106" s="3">
        <v>3594</v>
      </c>
      <c r="E106" s="3">
        <v>280</v>
      </c>
      <c r="F106" s="2">
        <v>49.506250000000001</v>
      </c>
      <c r="G106" t="s">
        <v>2816</v>
      </c>
      <c r="H106" t="s">
        <v>2820</v>
      </c>
      <c r="I106" s="2">
        <v>0.92083333333333339</v>
      </c>
      <c r="J106" s="4" t="str">
        <f>IF(Table1[[#This Row],[processing_time_hours]]&gt;1.5,"Slow", "Fast")</f>
        <v>Fast</v>
      </c>
      <c r="K106" t="s">
        <v>2821</v>
      </c>
      <c r="L106" s="3">
        <v>1</v>
      </c>
      <c r="M106" t="str">
        <f>IF(Table1[[#This Row],[delayed]]=1,"Delayed","On Time")</f>
        <v>Delayed</v>
      </c>
      <c r="N106" t="str">
        <f>IF(AND(Table1[[#This Row],[delayed]]=1,Table1[[#This Row],[weather_condition]]="Storm"),"High Risk", IF(Table1[[#This Row],[delayed]]=1,"Medium Risk","Low Risk"))</f>
        <v>Medium Risk</v>
      </c>
    </row>
    <row r="107" spans="1:14" x14ac:dyDescent="0.35">
      <c r="A107">
        <v>106</v>
      </c>
      <c r="B107" s="1">
        <v>44931.375</v>
      </c>
      <c r="C107" s="2">
        <v>6.1805555555555558E-2</v>
      </c>
      <c r="D107" s="3">
        <v>3152</v>
      </c>
      <c r="E107" s="3">
        <v>357</v>
      </c>
      <c r="F107" s="2">
        <v>65.002083333333331</v>
      </c>
      <c r="G107" t="s">
        <v>2812</v>
      </c>
      <c r="H107" t="s">
        <v>2820</v>
      </c>
      <c r="I107" s="2">
        <v>0.42222222222222222</v>
      </c>
      <c r="J107" s="4" t="str">
        <f>IF(Table1[[#This Row],[processing_time_hours]]&gt;1.5,"Slow", "Fast")</f>
        <v>Fast</v>
      </c>
      <c r="K107" t="s">
        <v>2814</v>
      </c>
      <c r="L107" s="3">
        <v>0</v>
      </c>
      <c r="M107" t="str">
        <f>IF(Table1[[#This Row],[delayed]]=1,"Delayed","On Time")</f>
        <v>On Time</v>
      </c>
      <c r="N107" t="str">
        <f>IF(AND(Table1[[#This Row],[delayed]]=1,Table1[[#This Row],[weather_condition]]="Storm"),"High Risk", IF(Table1[[#This Row],[delayed]]=1,"Medium Risk","Low Risk"))</f>
        <v>Low Risk</v>
      </c>
    </row>
    <row r="108" spans="1:14" x14ac:dyDescent="0.35">
      <c r="A108">
        <v>107</v>
      </c>
      <c r="B108" s="1">
        <v>44931.416666666664</v>
      </c>
      <c r="C108" s="2">
        <v>6.458333333333334E-2</v>
      </c>
      <c r="D108" s="3">
        <v>3401</v>
      </c>
      <c r="E108" s="3">
        <v>382</v>
      </c>
      <c r="F108" s="2">
        <v>78.752083333333331</v>
      </c>
      <c r="G108" t="s">
        <v>2812</v>
      </c>
      <c r="H108" t="s">
        <v>2820</v>
      </c>
      <c r="I108" s="2">
        <v>2.338888888888889</v>
      </c>
      <c r="J108" s="4" t="str">
        <f>IF(Table1[[#This Row],[processing_time_hours]]&gt;1.5,"Slow", "Fast")</f>
        <v>Slow</v>
      </c>
      <c r="K108" t="s">
        <v>2818</v>
      </c>
      <c r="L108" s="3">
        <v>0</v>
      </c>
      <c r="M108" t="str">
        <f>IF(Table1[[#This Row],[delayed]]=1,"Delayed","On Time")</f>
        <v>On Time</v>
      </c>
      <c r="N108" t="str">
        <f>IF(AND(Table1[[#This Row],[delayed]]=1,Table1[[#This Row],[weather_condition]]="Storm"),"High Risk", IF(Table1[[#This Row],[delayed]]=1,"Medium Risk","Low Risk"))</f>
        <v>Low Risk</v>
      </c>
    </row>
    <row r="109" spans="1:14" x14ac:dyDescent="0.35">
      <c r="A109">
        <v>108</v>
      </c>
      <c r="B109" s="1">
        <v>44931.458333333336</v>
      </c>
      <c r="C109" s="2">
        <v>6.2499999999999995E-3</v>
      </c>
      <c r="D109" s="3">
        <v>1377</v>
      </c>
      <c r="E109" s="3">
        <v>56</v>
      </c>
      <c r="F109" s="2">
        <v>32.046527777777776</v>
      </c>
      <c r="G109" t="s">
        <v>2816</v>
      </c>
      <c r="H109" t="s">
        <v>2817</v>
      </c>
      <c r="I109" s="2">
        <v>2.1673611111111111</v>
      </c>
      <c r="J109" s="4" t="str">
        <f>IF(Table1[[#This Row],[processing_time_hours]]&gt;1.5,"Slow", "Fast")</f>
        <v>Slow</v>
      </c>
      <c r="K109" t="s">
        <v>2818</v>
      </c>
      <c r="L109" s="3">
        <v>0</v>
      </c>
      <c r="M109" t="str">
        <f>IF(Table1[[#This Row],[delayed]]=1,"Delayed","On Time")</f>
        <v>On Time</v>
      </c>
      <c r="N109" t="str">
        <f>IF(AND(Table1[[#This Row],[delayed]]=1,Table1[[#This Row],[weather_condition]]="Storm"),"High Risk", IF(Table1[[#This Row],[delayed]]=1,"Medium Risk","Low Risk"))</f>
        <v>Low Risk</v>
      </c>
    </row>
    <row r="110" spans="1:14" x14ac:dyDescent="0.35">
      <c r="A110">
        <v>109</v>
      </c>
      <c r="B110" s="1">
        <v>44931.5</v>
      </c>
      <c r="C110" s="2">
        <v>4.1666666666666666E-3</v>
      </c>
      <c r="D110" s="3">
        <v>649</v>
      </c>
      <c r="E110" s="3">
        <v>18</v>
      </c>
      <c r="F110" s="2">
        <v>17.043749999999999</v>
      </c>
      <c r="G110" t="s">
        <v>2812</v>
      </c>
      <c r="H110" t="s">
        <v>2813</v>
      </c>
      <c r="I110" s="2">
        <v>0.7104166666666667</v>
      </c>
      <c r="J110" s="4" t="str">
        <f>IF(Table1[[#This Row],[processing_time_hours]]&gt;1.5,"Slow", "Fast")</f>
        <v>Fast</v>
      </c>
      <c r="K110" t="s">
        <v>2818</v>
      </c>
      <c r="L110" s="3">
        <v>0</v>
      </c>
      <c r="M110" t="str">
        <f>IF(Table1[[#This Row],[delayed]]=1,"Delayed","On Time")</f>
        <v>On Time</v>
      </c>
      <c r="N110" t="str">
        <f>IF(AND(Table1[[#This Row],[delayed]]=1,Table1[[#This Row],[weather_condition]]="Storm"),"High Risk", IF(Table1[[#This Row],[delayed]]=1,"Medium Risk","Low Risk"))</f>
        <v>Low Risk</v>
      </c>
    </row>
    <row r="111" spans="1:14" x14ac:dyDescent="0.35">
      <c r="A111">
        <v>110</v>
      </c>
      <c r="B111" s="1">
        <v>44931.541666666664</v>
      </c>
      <c r="C111" s="2">
        <v>5.3472222222222227E-2</v>
      </c>
      <c r="D111" s="3">
        <v>3114</v>
      </c>
      <c r="E111" s="3">
        <v>310</v>
      </c>
      <c r="F111" s="2">
        <v>63.416666666666664</v>
      </c>
      <c r="G111" t="s">
        <v>2815</v>
      </c>
      <c r="H111" t="s">
        <v>2820</v>
      </c>
      <c r="I111" s="2">
        <v>2.875</v>
      </c>
      <c r="J111" s="4" t="str">
        <f>IF(Table1[[#This Row],[processing_time_hours]]&gt;1.5,"Slow", "Fast")</f>
        <v>Slow</v>
      </c>
      <c r="K111" t="s">
        <v>2814</v>
      </c>
      <c r="L111" s="3">
        <v>0</v>
      </c>
      <c r="M111" t="str">
        <f>IF(Table1[[#This Row],[delayed]]=1,"Delayed","On Time")</f>
        <v>On Time</v>
      </c>
      <c r="N111" t="str">
        <f>IF(AND(Table1[[#This Row],[delayed]]=1,Table1[[#This Row],[weather_condition]]="Storm"),"High Risk", IF(Table1[[#This Row],[delayed]]=1,"Medium Risk","Low Risk"))</f>
        <v>Low Risk</v>
      </c>
    </row>
    <row r="112" spans="1:14" x14ac:dyDescent="0.35">
      <c r="A112">
        <v>111</v>
      </c>
      <c r="B112" s="1">
        <v>44931.583333333336</v>
      </c>
      <c r="C112" s="2">
        <v>5.486111111111111E-2</v>
      </c>
      <c r="D112" s="3">
        <v>2369</v>
      </c>
      <c r="E112" s="3">
        <v>298</v>
      </c>
      <c r="F112" s="2">
        <v>1.7104166666666665</v>
      </c>
      <c r="G112" t="s">
        <v>2816</v>
      </c>
      <c r="H112" t="s">
        <v>2820</v>
      </c>
      <c r="I112" s="2">
        <v>1.0416666666666667</v>
      </c>
      <c r="J112" s="4" t="str">
        <f>IF(Table1[[#This Row],[processing_time_hours]]&gt;1.5,"Slow", "Fast")</f>
        <v>Fast</v>
      </c>
      <c r="K112" t="s">
        <v>2821</v>
      </c>
      <c r="L112" s="3">
        <v>0</v>
      </c>
      <c r="M112" t="str">
        <f>IF(Table1[[#This Row],[delayed]]=1,"Delayed","On Time")</f>
        <v>On Time</v>
      </c>
      <c r="N112" t="str">
        <f>IF(AND(Table1[[#This Row],[delayed]]=1,Table1[[#This Row],[weather_condition]]="Storm"),"High Risk", IF(Table1[[#This Row],[delayed]]=1,"Medium Risk","Low Risk"))</f>
        <v>Low Risk</v>
      </c>
    </row>
    <row r="113" spans="1:14" x14ac:dyDescent="0.35">
      <c r="A113">
        <v>112</v>
      </c>
      <c r="B113" s="1">
        <v>44931.625</v>
      </c>
      <c r="C113" s="2">
        <v>4.3055555555555562E-2</v>
      </c>
      <c r="D113" s="3">
        <v>1256</v>
      </c>
      <c r="E113" s="3">
        <v>241</v>
      </c>
      <c r="F113" s="2">
        <v>7.9645833333333336</v>
      </c>
      <c r="G113" t="s">
        <v>2815</v>
      </c>
      <c r="H113" t="s">
        <v>2822</v>
      </c>
      <c r="I113" s="2">
        <v>1.2916666666666667</v>
      </c>
      <c r="J113" s="4" t="str">
        <f>IF(Table1[[#This Row],[processing_time_hours]]&gt;1.5,"Slow", "Fast")</f>
        <v>Fast</v>
      </c>
      <c r="K113" t="s">
        <v>2821</v>
      </c>
      <c r="L113" s="3">
        <v>0</v>
      </c>
      <c r="M113" t="str">
        <f>IF(Table1[[#This Row],[delayed]]=1,"Delayed","On Time")</f>
        <v>On Time</v>
      </c>
      <c r="N113" t="str">
        <f>IF(AND(Table1[[#This Row],[delayed]]=1,Table1[[#This Row],[weather_condition]]="Storm"),"High Risk", IF(Table1[[#This Row],[delayed]]=1,"Medium Risk","Low Risk"))</f>
        <v>Low Risk</v>
      </c>
    </row>
    <row r="114" spans="1:14" x14ac:dyDescent="0.35">
      <c r="A114">
        <v>113</v>
      </c>
      <c r="B114" s="1">
        <v>44931.666666666664</v>
      </c>
      <c r="C114" s="2">
        <v>5.6944444444444443E-2</v>
      </c>
      <c r="D114" s="3">
        <v>2789</v>
      </c>
      <c r="E114" s="3">
        <v>38</v>
      </c>
      <c r="F114" s="2">
        <v>68.419444444444437</v>
      </c>
      <c r="G114" t="s">
        <v>2819</v>
      </c>
      <c r="H114" t="s">
        <v>2813</v>
      </c>
      <c r="I114" s="2">
        <v>0.75277777777777777</v>
      </c>
      <c r="J114" s="4" t="str">
        <f>IF(Table1[[#This Row],[processing_time_hours]]&gt;1.5,"Slow", "Fast")</f>
        <v>Fast</v>
      </c>
      <c r="K114" t="s">
        <v>2818</v>
      </c>
      <c r="L114" s="3">
        <v>1</v>
      </c>
      <c r="M114" t="str">
        <f>IF(Table1[[#This Row],[delayed]]=1,"Delayed","On Time")</f>
        <v>Delayed</v>
      </c>
      <c r="N114" t="str">
        <f>IF(AND(Table1[[#This Row],[delayed]]=1,Table1[[#This Row],[weather_condition]]="Storm"),"High Risk", IF(Table1[[#This Row],[delayed]]=1,"Medium Risk","Low Risk"))</f>
        <v>Medium Risk</v>
      </c>
    </row>
    <row r="115" spans="1:14" x14ac:dyDescent="0.35">
      <c r="A115">
        <v>114</v>
      </c>
      <c r="B115" s="1">
        <v>44931.708333333336</v>
      </c>
      <c r="C115" s="2">
        <v>5.8333333333333327E-2</v>
      </c>
      <c r="D115" s="3">
        <v>512</v>
      </c>
      <c r="E115" s="3">
        <v>297</v>
      </c>
      <c r="F115" s="2">
        <v>15.879166666666668</v>
      </c>
      <c r="G115" t="s">
        <v>2816</v>
      </c>
      <c r="H115" t="s">
        <v>2813</v>
      </c>
      <c r="I115" s="2">
        <v>0.5</v>
      </c>
      <c r="J115" s="4" t="str">
        <f>IF(Table1[[#This Row],[processing_time_hours]]&gt;1.5,"Slow", "Fast")</f>
        <v>Fast</v>
      </c>
      <c r="K115" t="s">
        <v>2818</v>
      </c>
      <c r="L115" s="3">
        <v>0</v>
      </c>
      <c r="M115" t="str">
        <f>IF(Table1[[#This Row],[delayed]]=1,"Delayed","On Time")</f>
        <v>On Time</v>
      </c>
      <c r="N115" t="str">
        <f>IF(AND(Table1[[#This Row],[delayed]]=1,Table1[[#This Row],[weather_condition]]="Storm"),"High Risk", IF(Table1[[#This Row],[delayed]]=1,"Medium Risk","Low Risk"))</f>
        <v>Low Risk</v>
      </c>
    </row>
    <row r="116" spans="1:14" x14ac:dyDescent="0.35">
      <c r="A116">
        <v>115</v>
      </c>
      <c r="B116" s="1">
        <v>44931.75</v>
      </c>
      <c r="C116" s="2">
        <v>6.458333333333334E-2</v>
      </c>
      <c r="D116" s="3">
        <v>784</v>
      </c>
      <c r="E116" s="3">
        <v>309</v>
      </c>
      <c r="F116" s="2">
        <v>14.7125</v>
      </c>
      <c r="G116" t="s">
        <v>2815</v>
      </c>
      <c r="H116" t="s">
        <v>2820</v>
      </c>
      <c r="I116" s="2">
        <v>1.3791666666666667</v>
      </c>
      <c r="J116" s="4" t="str">
        <f>IF(Table1[[#This Row],[processing_time_hours]]&gt;1.5,"Slow", "Fast")</f>
        <v>Fast</v>
      </c>
      <c r="K116" t="s">
        <v>2814</v>
      </c>
      <c r="L116" s="3">
        <v>0</v>
      </c>
      <c r="M116" t="str">
        <f>IF(Table1[[#This Row],[delayed]]=1,"Delayed","On Time")</f>
        <v>On Time</v>
      </c>
      <c r="N116" t="str">
        <f>IF(AND(Table1[[#This Row],[delayed]]=1,Table1[[#This Row],[weather_condition]]="Storm"),"High Risk", IF(Table1[[#This Row],[delayed]]=1,"Medium Risk","Low Risk"))</f>
        <v>Low Risk</v>
      </c>
    </row>
    <row r="117" spans="1:14" x14ac:dyDescent="0.35">
      <c r="A117">
        <v>116</v>
      </c>
      <c r="B117" s="1">
        <v>44931.791666666664</v>
      </c>
      <c r="C117" s="2">
        <v>6.805555555555555E-2</v>
      </c>
      <c r="D117" s="3">
        <v>1892</v>
      </c>
      <c r="E117" s="3">
        <v>479</v>
      </c>
      <c r="F117" s="2">
        <v>60.418749999999996</v>
      </c>
      <c r="G117" t="s">
        <v>2815</v>
      </c>
      <c r="H117" t="s">
        <v>2813</v>
      </c>
      <c r="I117" s="2">
        <v>2.2520833333333332</v>
      </c>
      <c r="J117" s="4" t="str">
        <f>IF(Table1[[#This Row],[processing_time_hours]]&gt;1.5,"Slow", "Fast")</f>
        <v>Slow</v>
      </c>
      <c r="K117" t="s">
        <v>2814</v>
      </c>
      <c r="L117" s="3">
        <v>0</v>
      </c>
      <c r="M117" t="str">
        <f>IF(Table1[[#This Row],[delayed]]=1,"Delayed","On Time")</f>
        <v>On Time</v>
      </c>
      <c r="N117" t="str">
        <f>IF(AND(Table1[[#This Row],[delayed]]=1,Table1[[#This Row],[weather_condition]]="Storm"),"High Risk", IF(Table1[[#This Row],[delayed]]=1,"Medium Risk","Low Risk"))</f>
        <v>Low Risk</v>
      </c>
    </row>
    <row r="118" spans="1:14" x14ac:dyDescent="0.35">
      <c r="A118">
        <v>117</v>
      </c>
      <c r="B118" s="1">
        <v>44931.833333333336</v>
      </c>
      <c r="C118" s="2">
        <v>4.5138888888888888E-2</v>
      </c>
      <c r="D118" s="3">
        <v>3711</v>
      </c>
      <c r="E118" s="3">
        <v>78</v>
      </c>
      <c r="F118" s="2">
        <v>6.0854166666666671</v>
      </c>
      <c r="G118" t="s">
        <v>2815</v>
      </c>
      <c r="H118" t="s">
        <v>2813</v>
      </c>
      <c r="I118" s="2">
        <v>2.838194444444444</v>
      </c>
      <c r="J118" s="4" t="str">
        <f>IF(Table1[[#This Row],[processing_time_hours]]&gt;1.5,"Slow", "Fast")</f>
        <v>Slow</v>
      </c>
      <c r="K118" t="s">
        <v>2821</v>
      </c>
      <c r="L118" s="3">
        <v>0</v>
      </c>
      <c r="M118" t="str">
        <f>IF(Table1[[#This Row],[delayed]]=1,"Delayed","On Time")</f>
        <v>On Time</v>
      </c>
      <c r="N118" t="str">
        <f>IF(AND(Table1[[#This Row],[delayed]]=1,Table1[[#This Row],[weather_condition]]="Storm"),"High Risk", IF(Table1[[#This Row],[delayed]]=1,"Medium Risk","Low Risk"))</f>
        <v>Low Risk</v>
      </c>
    </row>
    <row r="119" spans="1:14" x14ac:dyDescent="0.35">
      <c r="A119">
        <v>118</v>
      </c>
      <c r="B119" s="1">
        <v>44931.875</v>
      </c>
      <c r="C119" s="2">
        <v>4.7916666666666663E-2</v>
      </c>
      <c r="D119" s="3">
        <v>4346</v>
      </c>
      <c r="E119" s="3">
        <v>259</v>
      </c>
      <c r="F119" s="2">
        <v>41.922916666666666</v>
      </c>
      <c r="G119" t="s">
        <v>2812</v>
      </c>
      <c r="H119" t="s">
        <v>2820</v>
      </c>
      <c r="I119" s="2">
        <v>1.752777777777778</v>
      </c>
      <c r="J119" s="4" t="str">
        <f>IF(Table1[[#This Row],[processing_time_hours]]&gt;1.5,"Slow", "Fast")</f>
        <v>Slow</v>
      </c>
      <c r="K119" t="s">
        <v>2818</v>
      </c>
      <c r="L119" s="3">
        <v>0</v>
      </c>
      <c r="M119" t="str">
        <f>IF(Table1[[#This Row],[delayed]]=1,"Delayed","On Time")</f>
        <v>On Time</v>
      </c>
      <c r="N119" t="str">
        <f>IF(AND(Table1[[#This Row],[delayed]]=1,Table1[[#This Row],[weather_condition]]="Storm"),"High Risk", IF(Table1[[#This Row],[delayed]]=1,"Medium Risk","Low Risk"))</f>
        <v>Low Risk</v>
      </c>
    </row>
    <row r="120" spans="1:14" x14ac:dyDescent="0.35">
      <c r="A120">
        <v>119</v>
      </c>
      <c r="B120" s="1">
        <v>44931.916666666664</v>
      </c>
      <c r="C120" s="2">
        <v>5.9722222222222225E-2</v>
      </c>
      <c r="D120" s="3">
        <v>3496</v>
      </c>
      <c r="E120" s="3">
        <v>153</v>
      </c>
      <c r="F120" s="2">
        <v>11.416666666666666</v>
      </c>
      <c r="G120" t="s">
        <v>2812</v>
      </c>
      <c r="H120" t="s">
        <v>2817</v>
      </c>
      <c r="I120" s="2">
        <v>0.58819444444444446</v>
      </c>
      <c r="J120" s="4" t="str">
        <f>IF(Table1[[#This Row],[processing_time_hours]]&gt;1.5,"Slow", "Fast")</f>
        <v>Fast</v>
      </c>
      <c r="K120" t="s">
        <v>2821</v>
      </c>
      <c r="L120" s="3">
        <v>1</v>
      </c>
      <c r="M120" t="str">
        <f>IF(Table1[[#This Row],[delayed]]=1,"Delayed","On Time")</f>
        <v>Delayed</v>
      </c>
      <c r="N120" t="str">
        <f>IF(AND(Table1[[#This Row],[delayed]]=1,Table1[[#This Row],[weather_condition]]="Storm"),"High Risk", IF(Table1[[#This Row],[delayed]]=1,"Medium Risk","Low Risk"))</f>
        <v>High Risk</v>
      </c>
    </row>
    <row r="121" spans="1:14" x14ac:dyDescent="0.35">
      <c r="A121">
        <v>120</v>
      </c>
      <c r="B121" s="1">
        <v>44931.958333333336</v>
      </c>
      <c r="C121" s="2">
        <v>4.5138888888888888E-2</v>
      </c>
      <c r="D121" s="3">
        <v>3339</v>
      </c>
      <c r="E121" s="3">
        <v>290</v>
      </c>
      <c r="F121" s="2">
        <v>22.251388888888886</v>
      </c>
      <c r="G121" t="s">
        <v>2819</v>
      </c>
      <c r="H121" t="s">
        <v>2813</v>
      </c>
      <c r="I121" s="2">
        <v>0.42291666666666666</v>
      </c>
      <c r="J121" s="4" t="str">
        <f>IF(Table1[[#This Row],[processing_time_hours]]&gt;1.5,"Slow", "Fast")</f>
        <v>Fast</v>
      </c>
      <c r="K121" t="s">
        <v>2821</v>
      </c>
      <c r="L121" s="3">
        <v>1</v>
      </c>
      <c r="M121" t="str">
        <f>IF(Table1[[#This Row],[delayed]]=1,"Delayed","On Time")</f>
        <v>Delayed</v>
      </c>
      <c r="N121" t="str">
        <f>IF(AND(Table1[[#This Row],[delayed]]=1,Table1[[#This Row],[weather_condition]]="Storm"),"High Risk", IF(Table1[[#This Row],[delayed]]=1,"Medium Risk","Low Risk"))</f>
        <v>Medium Risk</v>
      </c>
    </row>
    <row r="122" spans="1:14" x14ac:dyDescent="0.35">
      <c r="A122">
        <v>121</v>
      </c>
      <c r="B122" s="1">
        <v>44932</v>
      </c>
      <c r="C122" s="2">
        <v>4.7916666666666663E-2</v>
      </c>
      <c r="D122" s="3">
        <v>2831</v>
      </c>
      <c r="E122" s="3">
        <v>196</v>
      </c>
      <c r="F122" s="2">
        <v>66.586805555555557</v>
      </c>
      <c r="G122" t="s">
        <v>2816</v>
      </c>
      <c r="H122" t="s">
        <v>2817</v>
      </c>
      <c r="I122" s="2">
        <v>1.2541666666666667</v>
      </c>
      <c r="J122" s="4" t="str">
        <f>IF(Table1[[#This Row],[processing_time_hours]]&gt;1.5,"Slow", "Fast")</f>
        <v>Fast</v>
      </c>
      <c r="K122" t="s">
        <v>2821</v>
      </c>
      <c r="L122" s="3">
        <v>1</v>
      </c>
      <c r="M122" t="str">
        <f>IF(Table1[[#This Row],[delayed]]=1,"Delayed","On Time")</f>
        <v>Delayed</v>
      </c>
      <c r="N122" t="str">
        <f>IF(AND(Table1[[#This Row],[delayed]]=1,Table1[[#This Row],[weather_condition]]="Storm"),"High Risk", IF(Table1[[#This Row],[delayed]]=1,"Medium Risk","Low Risk"))</f>
        <v>High Risk</v>
      </c>
    </row>
    <row r="123" spans="1:14" x14ac:dyDescent="0.35">
      <c r="A123">
        <v>122</v>
      </c>
      <c r="B123" s="1">
        <v>44932.041666666664</v>
      </c>
      <c r="C123" s="2">
        <v>5.7638888888888885E-2</v>
      </c>
      <c r="D123" s="3">
        <v>2427</v>
      </c>
      <c r="E123" s="3">
        <v>80</v>
      </c>
      <c r="F123" s="2">
        <v>2.5874999999999999</v>
      </c>
      <c r="G123" t="s">
        <v>2812</v>
      </c>
      <c r="H123" t="s">
        <v>2813</v>
      </c>
      <c r="I123" s="2">
        <v>1.9194444444444445</v>
      </c>
      <c r="J123" s="4" t="str">
        <f>IF(Table1[[#This Row],[processing_time_hours]]&gt;1.5,"Slow", "Fast")</f>
        <v>Slow</v>
      </c>
      <c r="K123" t="s">
        <v>2814</v>
      </c>
      <c r="L123" s="3">
        <v>1</v>
      </c>
      <c r="M123" t="str">
        <f>IF(Table1[[#This Row],[delayed]]=1,"Delayed","On Time")</f>
        <v>Delayed</v>
      </c>
      <c r="N123" t="str">
        <f>IF(AND(Table1[[#This Row],[delayed]]=1,Table1[[#This Row],[weather_condition]]="Storm"),"High Risk", IF(Table1[[#This Row],[delayed]]=1,"Medium Risk","Low Risk"))</f>
        <v>Medium Risk</v>
      </c>
    </row>
    <row r="124" spans="1:14" x14ac:dyDescent="0.35">
      <c r="A124">
        <v>123</v>
      </c>
      <c r="B124" s="1">
        <v>44932.083333333336</v>
      </c>
      <c r="C124" s="2">
        <v>4.6527777777777779E-2</v>
      </c>
      <c r="D124" s="3">
        <v>1721</v>
      </c>
      <c r="E124" s="3">
        <v>371</v>
      </c>
      <c r="F124" s="2">
        <v>27.750694444444445</v>
      </c>
      <c r="G124" t="s">
        <v>2819</v>
      </c>
      <c r="H124" t="s">
        <v>2820</v>
      </c>
      <c r="I124" s="2">
        <v>1.7513888888888889</v>
      </c>
      <c r="J124" s="4" t="str">
        <f>IF(Table1[[#This Row],[processing_time_hours]]&gt;1.5,"Slow", "Fast")</f>
        <v>Slow</v>
      </c>
      <c r="K124" t="s">
        <v>2814</v>
      </c>
      <c r="L124" s="3">
        <v>0</v>
      </c>
      <c r="M124" t="str">
        <f>IF(Table1[[#This Row],[delayed]]=1,"Delayed","On Time")</f>
        <v>On Time</v>
      </c>
      <c r="N124" t="str">
        <f>IF(AND(Table1[[#This Row],[delayed]]=1,Table1[[#This Row],[weather_condition]]="Storm"),"High Risk", IF(Table1[[#This Row],[delayed]]=1,"Medium Risk","Low Risk"))</f>
        <v>Low Risk</v>
      </c>
    </row>
    <row r="125" spans="1:14" x14ac:dyDescent="0.35">
      <c r="A125">
        <v>124</v>
      </c>
      <c r="B125" s="1">
        <v>44932.125</v>
      </c>
      <c r="C125" s="2">
        <v>6.3194444444444442E-2</v>
      </c>
      <c r="D125" s="3">
        <v>1286</v>
      </c>
      <c r="E125" s="3">
        <v>489</v>
      </c>
      <c r="F125" s="2">
        <v>65.046527777777769</v>
      </c>
      <c r="G125" t="s">
        <v>2815</v>
      </c>
      <c r="H125" t="s">
        <v>2817</v>
      </c>
      <c r="I125" s="2">
        <v>8.819444444444445E-2</v>
      </c>
      <c r="J125" s="4" t="str">
        <f>IF(Table1[[#This Row],[processing_time_hours]]&gt;1.5,"Slow", "Fast")</f>
        <v>Fast</v>
      </c>
      <c r="K125" t="s">
        <v>2821</v>
      </c>
      <c r="L125" s="3">
        <v>1</v>
      </c>
      <c r="M125" t="str">
        <f>IF(Table1[[#This Row],[delayed]]=1,"Delayed","On Time")</f>
        <v>Delayed</v>
      </c>
      <c r="N125" t="str">
        <f>IF(AND(Table1[[#This Row],[delayed]]=1,Table1[[#This Row],[weather_condition]]="Storm"),"High Risk", IF(Table1[[#This Row],[delayed]]=1,"Medium Risk","Low Risk"))</f>
        <v>High Risk</v>
      </c>
    </row>
    <row r="126" spans="1:14" x14ac:dyDescent="0.35">
      <c r="A126">
        <v>125</v>
      </c>
      <c r="B126" s="1">
        <v>44932.166666666664</v>
      </c>
      <c r="C126" s="2">
        <v>6.5277777777777782E-2</v>
      </c>
      <c r="D126" s="3">
        <v>2726</v>
      </c>
      <c r="E126" s="3">
        <v>2</v>
      </c>
      <c r="F126" s="2">
        <v>74.627083333333331</v>
      </c>
      <c r="G126" t="s">
        <v>2816</v>
      </c>
      <c r="H126" t="s">
        <v>2817</v>
      </c>
      <c r="I126" s="2">
        <v>1.2506944444444443</v>
      </c>
      <c r="J126" s="4" t="str">
        <f>IF(Table1[[#This Row],[processing_time_hours]]&gt;1.5,"Slow", "Fast")</f>
        <v>Fast</v>
      </c>
      <c r="K126" t="s">
        <v>2818</v>
      </c>
      <c r="L126" s="3">
        <v>0</v>
      </c>
      <c r="M126" t="str">
        <f>IF(Table1[[#This Row],[delayed]]=1,"Delayed","On Time")</f>
        <v>On Time</v>
      </c>
      <c r="N126" t="str">
        <f>IF(AND(Table1[[#This Row],[delayed]]=1,Table1[[#This Row],[weather_condition]]="Storm"),"High Risk", IF(Table1[[#This Row],[delayed]]=1,"Medium Risk","Low Risk"))</f>
        <v>Low Risk</v>
      </c>
    </row>
    <row r="127" spans="1:14" x14ac:dyDescent="0.35">
      <c r="A127">
        <v>126</v>
      </c>
      <c r="B127" s="1">
        <v>44932.208333333336</v>
      </c>
      <c r="C127" s="2">
        <v>4.2361111111111106E-2</v>
      </c>
      <c r="D127" s="3">
        <v>4848</v>
      </c>
      <c r="E127" s="3">
        <v>38</v>
      </c>
      <c r="F127" s="2">
        <v>1.91875</v>
      </c>
      <c r="G127" t="s">
        <v>2815</v>
      </c>
      <c r="H127" t="s">
        <v>2817</v>
      </c>
      <c r="I127" s="2">
        <v>0.29652777777777778</v>
      </c>
      <c r="J127" s="4" t="str">
        <f>IF(Table1[[#This Row],[processing_time_hours]]&gt;1.5,"Slow", "Fast")</f>
        <v>Fast</v>
      </c>
      <c r="K127" t="s">
        <v>2821</v>
      </c>
      <c r="L127" s="3">
        <v>0</v>
      </c>
      <c r="M127" t="str">
        <f>IF(Table1[[#This Row],[delayed]]=1,"Delayed","On Time")</f>
        <v>On Time</v>
      </c>
      <c r="N127" t="str">
        <f>IF(AND(Table1[[#This Row],[delayed]]=1,Table1[[#This Row],[weather_condition]]="Storm"),"High Risk", IF(Table1[[#This Row],[delayed]]=1,"Medium Risk","Low Risk"))</f>
        <v>Low Risk</v>
      </c>
    </row>
    <row r="128" spans="1:14" x14ac:dyDescent="0.35">
      <c r="A128">
        <v>127</v>
      </c>
      <c r="B128" s="1">
        <v>44932.25</v>
      </c>
      <c r="C128" s="2">
        <v>5.6250000000000001E-2</v>
      </c>
      <c r="D128" s="3">
        <v>3338</v>
      </c>
      <c r="E128" s="3">
        <v>150</v>
      </c>
      <c r="F128" s="2">
        <v>66.877083333333331</v>
      </c>
      <c r="G128" t="s">
        <v>2819</v>
      </c>
      <c r="H128" t="s">
        <v>2813</v>
      </c>
      <c r="I128" s="2">
        <v>2.5874999999999999</v>
      </c>
      <c r="J128" s="4" t="str">
        <f>IF(Table1[[#This Row],[processing_time_hours]]&gt;1.5,"Slow", "Fast")</f>
        <v>Slow</v>
      </c>
      <c r="K128" t="s">
        <v>2814</v>
      </c>
      <c r="L128" s="3">
        <v>0</v>
      </c>
      <c r="M128" t="str">
        <f>IF(Table1[[#This Row],[delayed]]=1,"Delayed","On Time")</f>
        <v>On Time</v>
      </c>
      <c r="N128" t="str">
        <f>IF(AND(Table1[[#This Row],[delayed]]=1,Table1[[#This Row],[weather_condition]]="Storm"),"High Risk", IF(Table1[[#This Row],[delayed]]=1,"Medium Risk","Low Risk"))</f>
        <v>Low Risk</v>
      </c>
    </row>
    <row r="129" spans="1:14" x14ac:dyDescent="0.35">
      <c r="A129">
        <v>128</v>
      </c>
      <c r="B129" s="1">
        <v>44932.291666666664</v>
      </c>
      <c r="C129" s="2">
        <v>6.3888888888888898E-2</v>
      </c>
      <c r="D129" s="3">
        <v>2693</v>
      </c>
      <c r="E129" s="3">
        <v>239</v>
      </c>
      <c r="F129" s="2">
        <v>56.833333333333336</v>
      </c>
      <c r="G129" t="s">
        <v>2816</v>
      </c>
      <c r="H129" t="s">
        <v>2817</v>
      </c>
      <c r="I129" s="2">
        <v>4.5833333333333337E-2</v>
      </c>
      <c r="J129" s="4" t="str">
        <f>IF(Table1[[#This Row],[processing_time_hours]]&gt;1.5,"Slow", "Fast")</f>
        <v>Fast</v>
      </c>
      <c r="K129" t="s">
        <v>2818</v>
      </c>
      <c r="L129" s="3">
        <v>0</v>
      </c>
      <c r="M129" t="str">
        <f>IF(Table1[[#This Row],[delayed]]=1,"Delayed","On Time")</f>
        <v>On Time</v>
      </c>
      <c r="N129" t="str">
        <f>IF(AND(Table1[[#This Row],[delayed]]=1,Table1[[#This Row],[weather_condition]]="Storm"),"High Risk", IF(Table1[[#This Row],[delayed]]=1,"Medium Risk","Low Risk"))</f>
        <v>Low Risk</v>
      </c>
    </row>
    <row r="130" spans="1:14" x14ac:dyDescent="0.35">
      <c r="A130">
        <v>129</v>
      </c>
      <c r="B130" s="1">
        <v>44932.333333333336</v>
      </c>
      <c r="C130" s="2">
        <v>6.8749999999999992E-2</v>
      </c>
      <c r="D130" s="3">
        <v>1061</v>
      </c>
      <c r="E130" s="3">
        <v>257</v>
      </c>
      <c r="F130" s="2">
        <v>66.25</v>
      </c>
      <c r="G130" t="s">
        <v>2816</v>
      </c>
      <c r="H130" t="s">
        <v>2822</v>
      </c>
      <c r="I130" s="2">
        <v>2.5062500000000001</v>
      </c>
      <c r="J130" s="4" t="str">
        <f>IF(Table1[[#This Row],[processing_time_hours]]&gt;1.5,"Slow", "Fast")</f>
        <v>Slow</v>
      </c>
      <c r="K130" t="s">
        <v>2818</v>
      </c>
      <c r="L130" s="3">
        <v>1</v>
      </c>
      <c r="M130" t="str">
        <f>IF(Table1[[#This Row],[delayed]]=1,"Delayed","On Time")</f>
        <v>Delayed</v>
      </c>
      <c r="N130" t="str">
        <f>IF(AND(Table1[[#This Row],[delayed]]=1,Table1[[#This Row],[weather_condition]]="Storm"),"High Risk", IF(Table1[[#This Row],[delayed]]=1,"Medium Risk","Low Risk"))</f>
        <v>Medium Risk</v>
      </c>
    </row>
    <row r="131" spans="1:14" x14ac:dyDescent="0.35">
      <c r="A131">
        <v>130</v>
      </c>
      <c r="B131" s="1">
        <v>44932.375</v>
      </c>
      <c r="C131" s="2">
        <v>4.9305555555555554E-2</v>
      </c>
      <c r="D131" s="3">
        <v>3501</v>
      </c>
      <c r="E131" s="3">
        <v>185</v>
      </c>
      <c r="F131" s="2">
        <v>35.875694444444441</v>
      </c>
      <c r="G131" t="s">
        <v>2816</v>
      </c>
      <c r="H131" t="s">
        <v>2817</v>
      </c>
      <c r="I131" s="2">
        <v>2.7562500000000001</v>
      </c>
      <c r="J131" s="4" t="str">
        <f>IF(Table1[[#This Row],[processing_time_hours]]&gt;1.5,"Slow", "Fast")</f>
        <v>Slow</v>
      </c>
      <c r="K131" t="s">
        <v>2818</v>
      </c>
      <c r="L131" s="3">
        <v>0</v>
      </c>
      <c r="M131" t="str">
        <f>IF(Table1[[#This Row],[delayed]]=1,"Delayed","On Time")</f>
        <v>On Time</v>
      </c>
      <c r="N131" t="str">
        <f>IF(AND(Table1[[#This Row],[delayed]]=1,Table1[[#This Row],[weather_condition]]="Storm"),"High Risk", IF(Table1[[#This Row],[delayed]]=1,"Medium Risk","Low Risk"))</f>
        <v>Low Risk</v>
      </c>
    </row>
    <row r="132" spans="1:14" x14ac:dyDescent="0.35">
      <c r="A132">
        <v>131</v>
      </c>
      <c r="B132" s="1">
        <v>44932.416666666664</v>
      </c>
      <c r="C132" s="2">
        <v>4.6527777777777779E-2</v>
      </c>
      <c r="D132" s="3">
        <v>2435</v>
      </c>
      <c r="E132" s="3">
        <v>270</v>
      </c>
      <c r="F132" s="2">
        <v>15.753472222222221</v>
      </c>
      <c r="G132" t="s">
        <v>2819</v>
      </c>
      <c r="H132" t="s">
        <v>2822</v>
      </c>
      <c r="I132" s="2">
        <v>4.7222222222222221E-2</v>
      </c>
      <c r="J132" s="4" t="str">
        <f>IF(Table1[[#This Row],[processing_time_hours]]&gt;1.5,"Slow", "Fast")</f>
        <v>Fast</v>
      </c>
      <c r="K132" t="s">
        <v>2814</v>
      </c>
      <c r="L132" s="3">
        <v>1</v>
      </c>
      <c r="M132" t="str">
        <f>IF(Table1[[#This Row],[delayed]]=1,"Delayed","On Time")</f>
        <v>Delayed</v>
      </c>
      <c r="N132" t="str">
        <f>IF(AND(Table1[[#This Row],[delayed]]=1,Table1[[#This Row],[weather_condition]]="Storm"),"High Risk", IF(Table1[[#This Row],[delayed]]=1,"Medium Risk","Low Risk"))</f>
        <v>Medium Risk</v>
      </c>
    </row>
    <row r="133" spans="1:14" x14ac:dyDescent="0.35">
      <c r="A133">
        <v>132</v>
      </c>
      <c r="B133" s="1">
        <v>44932.458333333336</v>
      </c>
      <c r="C133" s="2">
        <v>6.5972222222222224E-2</v>
      </c>
      <c r="D133" s="3">
        <v>4994</v>
      </c>
      <c r="E133" s="3">
        <v>252</v>
      </c>
      <c r="F133" s="2">
        <v>3.3347222222222221</v>
      </c>
      <c r="G133" t="s">
        <v>2812</v>
      </c>
      <c r="H133" t="s">
        <v>2817</v>
      </c>
      <c r="I133" s="2">
        <v>2.6291666666666669</v>
      </c>
      <c r="J133" s="4" t="str">
        <f>IF(Table1[[#This Row],[processing_time_hours]]&gt;1.5,"Slow", "Fast")</f>
        <v>Slow</v>
      </c>
      <c r="K133" t="s">
        <v>2814</v>
      </c>
      <c r="L133" s="3">
        <v>0</v>
      </c>
      <c r="M133" t="str">
        <f>IF(Table1[[#This Row],[delayed]]=1,"Delayed","On Time")</f>
        <v>On Time</v>
      </c>
      <c r="N133" t="str">
        <f>IF(AND(Table1[[#This Row],[delayed]]=1,Table1[[#This Row],[weather_condition]]="Storm"),"High Risk", IF(Table1[[#This Row],[delayed]]=1,"Medium Risk","Low Risk"))</f>
        <v>Low Risk</v>
      </c>
    </row>
    <row r="134" spans="1:14" x14ac:dyDescent="0.35">
      <c r="A134">
        <v>133</v>
      </c>
      <c r="B134" s="1">
        <v>44932.5</v>
      </c>
      <c r="C134" s="2">
        <v>6.6666666666666666E-2</v>
      </c>
      <c r="D134" s="3">
        <v>1517</v>
      </c>
      <c r="E134" s="3">
        <v>128</v>
      </c>
      <c r="F134" s="2">
        <v>23.543055555555554</v>
      </c>
      <c r="G134" t="s">
        <v>2816</v>
      </c>
      <c r="H134" t="s">
        <v>2822</v>
      </c>
      <c r="I134" s="2">
        <v>1.7979166666666666</v>
      </c>
      <c r="J134" s="4" t="str">
        <f>IF(Table1[[#This Row],[processing_time_hours]]&gt;1.5,"Slow", "Fast")</f>
        <v>Slow</v>
      </c>
      <c r="K134" t="s">
        <v>2818</v>
      </c>
      <c r="L134" s="3">
        <v>1</v>
      </c>
      <c r="M134" t="str">
        <f>IF(Table1[[#This Row],[delayed]]=1,"Delayed","On Time")</f>
        <v>Delayed</v>
      </c>
      <c r="N134" t="str">
        <f>IF(AND(Table1[[#This Row],[delayed]]=1,Table1[[#This Row],[weather_condition]]="Storm"),"High Risk", IF(Table1[[#This Row],[delayed]]=1,"Medium Risk","Low Risk"))</f>
        <v>Medium Risk</v>
      </c>
    </row>
    <row r="135" spans="1:14" x14ac:dyDescent="0.35">
      <c r="A135">
        <v>134</v>
      </c>
      <c r="B135" s="1">
        <v>44932.541666666664</v>
      </c>
      <c r="C135" s="2">
        <v>4.7222222222222221E-2</v>
      </c>
      <c r="D135" s="3">
        <v>2335</v>
      </c>
      <c r="E135" s="3">
        <v>146</v>
      </c>
      <c r="F135" s="2">
        <v>69.08819444444444</v>
      </c>
      <c r="G135" t="s">
        <v>2815</v>
      </c>
      <c r="H135" t="s">
        <v>2817</v>
      </c>
      <c r="I135" s="2">
        <v>2.9187499999999997</v>
      </c>
      <c r="J135" s="4" t="str">
        <f>IF(Table1[[#This Row],[processing_time_hours]]&gt;1.5,"Slow", "Fast")</f>
        <v>Slow</v>
      </c>
      <c r="K135" t="s">
        <v>2821</v>
      </c>
      <c r="L135" s="3">
        <v>0</v>
      </c>
      <c r="M135" t="str">
        <f>IF(Table1[[#This Row],[delayed]]=1,"Delayed","On Time")</f>
        <v>On Time</v>
      </c>
      <c r="N135" t="str">
        <f>IF(AND(Table1[[#This Row],[delayed]]=1,Table1[[#This Row],[weather_condition]]="Storm"),"High Risk", IF(Table1[[#This Row],[delayed]]=1,"Medium Risk","Low Risk"))</f>
        <v>Low Risk</v>
      </c>
    </row>
    <row r="136" spans="1:14" x14ac:dyDescent="0.35">
      <c r="A136">
        <v>135</v>
      </c>
      <c r="B136" s="1">
        <v>44932.583333333336</v>
      </c>
      <c r="C136" s="2">
        <v>5.4166666666666669E-2</v>
      </c>
      <c r="D136" s="3">
        <v>1183</v>
      </c>
      <c r="E136" s="3">
        <v>483</v>
      </c>
      <c r="F136" s="2">
        <v>61.922916666666673</v>
      </c>
      <c r="G136" t="s">
        <v>2815</v>
      </c>
      <c r="H136" t="s">
        <v>2820</v>
      </c>
      <c r="I136" s="2">
        <v>1.6694444444444445</v>
      </c>
      <c r="J136" s="4" t="str">
        <f>IF(Table1[[#This Row],[processing_time_hours]]&gt;1.5,"Slow", "Fast")</f>
        <v>Slow</v>
      </c>
      <c r="K136" t="s">
        <v>2818</v>
      </c>
      <c r="L136" s="3">
        <v>0</v>
      </c>
      <c r="M136" t="str">
        <f>IF(Table1[[#This Row],[delayed]]=1,"Delayed","On Time")</f>
        <v>On Time</v>
      </c>
      <c r="N136" t="str">
        <f>IF(AND(Table1[[#This Row],[delayed]]=1,Table1[[#This Row],[weather_condition]]="Storm"),"High Risk", IF(Table1[[#This Row],[delayed]]=1,"Medium Risk","Low Risk"))</f>
        <v>Low Risk</v>
      </c>
    </row>
    <row r="137" spans="1:14" x14ac:dyDescent="0.35">
      <c r="A137">
        <v>136</v>
      </c>
      <c r="B137" s="1">
        <v>44932.625</v>
      </c>
      <c r="C137" s="2">
        <v>6.1805555555555558E-2</v>
      </c>
      <c r="D137" s="3">
        <v>4562</v>
      </c>
      <c r="E137" s="3">
        <v>68</v>
      </c>
      <c r="F137" s="2">
        <v>71.87777777777778</v>
      </c>
      <c r="G137" t="s">
        <v>2816</v>
      </c>
      <c r="H137" t="s">
        <v>2817</v>
      </c>
      <c r="I137" s="2">
        <v>0.54375000000000007</v>
      </c>
      <c r="J137" s="4" t="str">
        <f>IF(Table1[[#This Row],[processing_time_hours]]&gt;1.5,"Slow", "Fast")</f>
        <v>Fast</v>
      </c>
      <c r="K137" t="s">
        <v>2821</v>
      </c>
      <c r="L137" s="3">
        <v>1</v>
      </c>
      <c r="M137" t="str">
        <f>IF(Table1[[#This Row],[delayed]]=1,"Delayed","On Time")</f>
        <v>Delayed</v>
      </c>
      <c r="N137" t="str">
        <f>IF(AND(Table1[[#This Row],[delayed]]=1,Table1[[#This Row],[weather_condition]]="Storm"),"High Risk", IF(Table1[[#This Row],[delayed]]=1,"Medium Risk","Low Risk"))</f>
        <v>High Risk</v>
      </c>
    </row>
    <row r="138" spans="1:14" x14ac:dyDescent="0.35">
      <c r="A138">
        <v>137</v>
      </c>
      <c r="B138" s="1">
        <v>44932.666666666664</v>
      </c>
      <c r="C138" s="2">
        <v>6.5277777777777782E-2</v>
      </c>
      <c r="D138" s="3">
        <v>1246</v>
      </c>
      <c r="E138" s="3">
        <v>109</v>
      </c>
      <c r="F138" s="2">
        <v>16.712500000000002</v>
      </c>
      <c r="G138" t="s">
        <v>2816</v>
      </c>
      <c r="H138" t="s">
        <v>2822</v>
      </c>
      <c r="I138" s="2">
        <v>2.0416666666666665</v>
      </c>
      <c r="J138" s="4" t="str">
        <f>IF(Table1[[#This Row],[processing_time_hours]]&gt;1.5,"Slow", "Fast")</f>
        <v>Slow</v>
      </c>
      <c r="K138" t="s">
        <v>2821</v>
      </c>
      <c r="L138" s="3">
        <v>0</v>
      </c>
      <c r="M138" t="str">
        <f>IF(Table1[[#This Row],[delayed]]=1,"Delayed","On Time")</f>
        <v>On Time</v>
      </c>
      <c r="N138" t="str">
        <f>IF(AND(Table1[[#This Row],[delayed]]=1,Table1[[#This Row],[weather_condition]]="Storm"),"High Risk", IF(Table1[[#This Row],[delayed]]=1,"Medium Risk","Low Risk"))</f>
        <v>Low Risk</v>
      </c>
    </row>
    <row r="139" spans="1:14" x14ac:dyDescent="0.35">
      <c r="A139">
        <v>138</v>
      </c>
      <c r="B139" s="1">
        <v>44932.708333333336</v>
      </c>
      <c r="C139" s="2">
        <v>4.6527777777777779E-2</v>
      </c>
      <c r="D139" s="3">
        <v>2072</v>
      </c>
      <c r="E139" s="3">
        <v>67</v>
      </c>
      <c r="F139" s="2">
        <v>13.293750000000001</v>
      </c>
      <c r="G139" t="s">
        <v>2819</v>
      </c>
      <c r="H139" t="s">
        <v>2813</v>
      </c>
      <c r="I139" s="2">
        <v>0.33958333333333335</v>
      </c>
      <c r="J139" s="4" t="str">
        <f>IF(Table1[[#This Row],[processing_time_hours]]&gt;1.5,"Slow", "Fast")</f>
        <v>Fast</v>
      </c>
      <c r="K139" t="s">
        <v>2821</v>
      </c>
      <c r="L139" s="3">
        <v>0</v>
      </c>
      <c r="M139" t="str">
        <f>IF(Table1[[#This Row],[delayed]]=1,"Delayed","On Time")</f>
        <v>On Time</v>
      </c>
      <c r="N139" t="str">
        <f>IF(AND(Table1[[#This Row],[delayed]]=1,Table1[[#This Row],[weather_condition]]="Storm"),"High Risk", IF(Table1[[#This Row],[delayed]]=1,"Medium Risk","Low Risk"))</f>
        <v>Low Risk</v>
      </c>
    </row>
    <row r="140" spans="1:14" x14ac:dyDescent="0.35">
      <c r="A140">
        <v>139</v>
      </c>
      <c r="B140" s="1">
        <v>44932.75</v>
      </c>
      <c r="C140" s="2">
        <v>6.0416666666666667E-2</v>
      </c>
      <c r="D140" s="3">
        <v>4417</v>
      </c>
      <c r="E140" s="3">
        <v>290</v>
      </c>
      <c r="F140" s="2">
        <v>53.464583333333337</v>
      </c>
      <c r="G140" t="s">
        <v>2812</v>
      </c>
      <c r="H140" t="s">
        <v>2820</v>
      </c>
      <c r="I140" s="2">
        <v>2.8756944444444446</v>
      </c>
      <c r="J140" s="4" t="str">
        <f>IF(Table1[[#This Row],[processing_time_hours]]&gt;1.5,"Slow", "Fast")</f>
        <v>Slow</v>
      </c>
      <c r="K140" t="s">
        <v>2821</v>
      </c>
      <c r="L140" s="3">
        <v>0</v>
      </c>
      <c r="M140" t="str">
        <f>IF(Table1[[#This Row],[delayed]]=1,"Delayed","On Time")</f>
        <v>On Time</v>
      </c>
      <c r="N140" t="str">
        <f>IF(AND(Table1[[#This Row],[delayed]]=1,Table1[[#This Row],[weather_condition]]="Storm"),"High Risk", IF(Table1[[#This Row],[delayed]]=1,"Medium Risk","Low Risk"))</f>
        <v>Low Risk</v>
      </c>
    </row>
    <row r="141" spans="1:14" x14ac:dyDescent="0.35">
      <c r="A141">
        <v>140</v>
      </c>
      <c r="B141" s="1">
        <v>44932.791666666664</v>
      </c>
      <c r="C141" s="2">
        <v>6.3888888888888898E-2</v>
      </c>
      <c r="D141" s="3">
        <v>4530</v>
      </c>
      <c r="E141" s="3">
        <v>49</v>
      </c>
      <c r="F141" s="2">
        <v>19.838194444444444</v>
      </c>
      <c r="G141" t="s">
        <v>2812</v>
      </c>
      <c r="H141" t="s">
        <v>2817</v>
      </c>
      <c r="I141" s="2">
        <v>1.8805555555555555</v>
      </c>
      <c r="J141" s="4" t="str">
        <f>IF(Table1[[#This Row],[processing_time_hours]]&gt;1.5,"Slow", "Fast")</f>
        <v>Slow</v>
      </c>
      <c r="K141" t="s">
        <v>2818</v>
      </c>
      <c r="L141" s="3">
        <v>0</v>
      </c>
      <c r="M141" t="str">
        <f>IF(Table1[[#This Row],[delayed]]=1,"Delayed","On Time")</f>
        <v>On Time</v>
      </c>
      <c r="N141" t="str">
        <f>IF(AND(Table1[[#This Row],[delayed]]=1,Table1[[#This Row],[weather_condition]]="Storm"),"High Risk", IF(Table1[[#This Row],[delayed]]=1,"Medium Risk","Low Risk"))</f>
        <v>Low Risk</v>
      </c>
    </row>
    <row r="142" spans="1:14" x14ac:dyDescent="0.35">
      <c r="A142">
        <v>141</v>
      </c>
      <c r="B142" s="1">
        <v>44932.833333333336</v>
      </c>
      <c r="C142" s="2">
        <v>5.6944444444444443E-2</v>
      </c>
      <c r="D142" s="3">
        <v>2330</v>
      </c>
      <c r="E142" s="3">
        <v>490</v>
      </c>
      <c r="F142" s="2">
        <v>65.839583333333337</v>
      </c>
      <c r="G142" t="s">
        <v>2815</v>
      </c>
      <c r="H142" t="s">
        <v>2817</v>
      </c>
      <c r="I142" s="2">
        <v>1.0895833333333333</v>
      </c>
      <c r="J142" s="4" t="str">
        <f>IF(Table1[[#This Row],[processing_time_hours]]&gt;1.5,"Slow", "Fast")</f>
        <v>Fast</v>
      </c>
      <c r="K142" t="s">
        <v>2818</v>
      </c>
      <c r="L142" s="3">
        <v>0</v>
      </c>
      <c r="M142" t="str">
        <f>IF(Table1[[#This Row],[delayed]]=1,"Delayed","On Time")</f>
        <v>On Time</v>
      </c>
      <c r="N142" t="str">
        <f>IF(AND(Table1[[#This Row],[delayed]]=1,Table1[[#This Row],[weather_condition]]="Storm"),"High Risk", IF(Table1[[#This Row],[delayed]]=1,"Medium Risk","Low Risk"))</f>
        <v>Low Risk</v>
      </c>
    </row>
    <row r="143" spans="1:14" x14ac:dyDescent="0.35">
      <c r="A143">
        <v>142</v>
      </c>
      <c r="B143" s="1">
        <v>44932.875</v>
      </c>
      <c r="C143" s="2">
        <v>4.6527777777777779E-2</v>
      </c>
      <c r="D143" s="3">
        <v>2811</v>
      </c>
      <c r="E143" s="3">
        <v>474</v>
      </c>
      <c r="F143" s="2">
        <v>28.292361111111109</v>
      </c>
      <c r="G143" t="s">
        <v>2812</v>
      </c>
      <c r="H143" t="s">
        <v>2822</v>
      </c>
      <c r="I143" s="2">
        <v>0.12569444444444444</v>
      </c>
      <c r="J143" s="4" t="str">
        <f>IF(Table1[[#This Row],[processing_time_hours]]&gt;1.5,"Slow", "Fast")</f>
        <v>Fast</v>
      </c>
      <c r="K143" t="s">
        <v>2818</v>
      </c>
      <c r="L143" s="3">
        <v>0</v>
      </c>
      <c r="M143" t="str">
        <f>IF(Table1[[#This Row],[delayed]]=1,"Delayed","On Time")</f>
        <v>On Time</v>
      </c>
      <c r="N143" t="str">
        <f>IF(AND(Table1[[#This Row],[delayed]]=1,Table1[[#This Row],[weather_condition]]="Storm"),"High Risk", IF(Table1[[#This Row],[delayed]]=1,"Medium Risk","Low Risk"))</f>
        <v>Low Risk</v>
      </c>
    </row>
    <row r="144" spans="1:14" x14ac:dyDescent="0.35">
      <c r="A144">
        <v>143</v>
      </c>
      <c r="B144" s="1">
        <v>44932.916666666664</v>
      </c>
      <c r="C144" s="2">
        <v>4.2361111111111106E-2</v>
      </c>
      <c r="D144" s="3">
        <v>4816</v>
      </c>
      <c r="E144" s="3">
        <v>146</v>
      </c>
      <c r="F144" s="2">
        <v>48.502777777777773</v>
      </c>
      <c r="G144" t="s">
        <v>2816</v>
      </c>
      <c r="H144" t="s">
        <v>2820</v>
      </c>
      <c r="I144" s="2">
        <v>1.1694444444444445</v>
      </c>
      <c r="J144" s="4" t="str">
        <f>IF(Table1[[#This Row],[processing_time_hours]]&gt;1.5,"Slow", "Fast")</f>
        <v>Fast</v>
      </c>
      <c r="K144" t="s">
        <v>2814</v>
      </c>
      <c r="L144" s="3">
        <v>1</v>
      </c>
      <c r="M144" t="str">
        <f>IF(Table1[[#This Row],[delayed]]=1,"Delayed","On Time")</f>
        <v>Delayed</v>
      </c>
      <c r="N144" t="str">
        <f>IF(AND(Table1[[#This Row],[delayed]]=1,Table1[[#This Row],[weather_condition]]="Storm"),"High Risk", IF(Table1[[#This Row],[delayed]]=1,"Medium Risk","Low Risk"))</f>
        <v>Medium Risk</v>
      </c>
    </row>
    <row r="145" spans="1:14" x14ac:dyDescent="0.35">
      <c r="A145">
        <v>144</v>
      </c>
      <c r="B145" s="1">
        <v>44932.958333333336</v>
      </c>
      <c r="C145" s="2">
        <v>4.9305555555555554E-2</v>
      </c>
      <c r="D145" s="3">
        <v>1448</v>
      </c>
      <c r="E145" s="3">
        <v>67</v>
      </c>
      <c r="F145" s="2">
        <v>75.839583333333337</v>
      </c>
      <c r="G145" t="s">
        <v>2815</v>
      </c>
      <c r="H145" t="s">
        <v>2817</v>
      </c>
      <c r="I145" s="2">
        <v>0.66805555555555562</v>
      </c>
      <c r="J145" s="4" t="str">
        <f>IF(Table1[[#This Row],[processing_time_hours]]&gt;1.5,"Slow", "Fast")</f>
        <v>Fast</v>
      </c>
      <c r="K145" t="s">
        <v>2818</v>
      </c>
      <c r="L145" s="3">
        <v>1</v>
      </c>
      <c r="M145" t="str">
        <f>IF(Table1[[#This Row],[delayed]]=1,"Delayed","On Time")</f>
        <v>Delayed</v>
      </c>
      <c r="N145" t="str">
        <f>IF(AND(Table1[[#This Row],[delayed]]=1,Table1[[#This Row],[weather_condition]]="Storm"),"High Risk", IF(Table1[[#This Row],[delayed]]=1,"Medium Risk","Low Risk"))</f>
        <v>High Risk</v>
      </c>
    </row>
    <row r="146" spans="1:14" x14ac:dyDescent="0.35">
      <c r="A146">
        <v>145</v>
      </c>
      <c r="B146" s="1">
        <v>44933</v>
      </c>
      <c r="C146" s="2">
        <v>6.3888888888888898E-2</v>
      </c>
      <c r="D146" s="3">
        <v>4547</v>
      </c>
      <c r="E146" s="3">
        <v>89</v>
      </c>
      <c r="F146" s="2">
        <v>49.046527777777776</v>
      </c>
      <c r="G146" t="s">
        <v>2819</v>
      </c>
      <c r="H146" t="s">
        <v>2820</v>
      </c>
      <c r="I146" s="2">
        <v>0.50277777777777777</v>
      </c>
      <c r="J146" s="4" t="str">
        <f>IF(Table1[[#This Row],[processing_time_hours]]&gt;1.5,"Slow", "Fast")</f>
        <v>Fast</v>
      </c>
      <c r="K146" t="s">
        <v>2814</v>
      </c>
      <c r="L146" s="3">
        <v>0</v>
      </c>
      <c r="M146" t="str">
        <f>IF(Table1[[#This Row],[delayed]]=1,"Delayed","On Time")</f>
        <v>On Time</v>
      </c>
      <c r="N146" t="str">
        <f>IF(AND(Table1[[#This Row],[delayed]]=1,Table1[[#This Row],[weather_condition]]="Storm"),"High Risk", IF(Table1[[#This Row],[delayed]]=1,"Medium Risk","Low Risk"))</f>
        <v>Low Risk</v>
      </c>
    </row>
    <row r="147" spans="1:14" x14ac:dyDescent="0.35">
      <c r="A147">
        <v>146</v>
      </c>
      <c r="B147" s="1">
        <v>44933.041666666664</v>
      </c>
      <c r="C147" s="2">
        <v>4.3055555555555562E-2</v>
      </c>
      <c r="D147" s="3">
        <v>2101</v>
      </c>
      <c r="E147" s="3">
        <v>201</v>
      </c>
      <c r="F147" s="2">
        <v>65.631250000000009</v>
      </c>
      <c r="G147" t="s">
        <v>2816</v>
      </c>
      <c r="H147" t="s">
        <v>2820</v>
      </c>
      <c r="I147" s="2">
        <v>0.62916666666666665</v>
      </c>
      <c r="J147" s="4" t="str">
        <f>IF(Table1[[#This Row],[processing_time_hours]]&gt;1.5,"Slow", "Fast")</f>
        <v>Fast</v>
      </c>
      <c r="K147" t="s">
        <v>2821</v>
      </c>
      <c r="L147" s="3">
        <v>1</v>
      </c>
      <c r="M147" t="str">
        <f>IF(Table1[[#This Row],[delayed]]=1,"Delayed","On Time")</f>
        <v>Delayed</v>
      </c>
      <c r="N147" t="str">
        <f>IF(AND(Table1[[#This Row],[delayed]]=1,Table1[[#This Row],[weather_condition]]="Storm"),"High Risk", IF(Table1[[#This Row],[delayed]]=1,"Medium Risk","Low Risk"))</f>
        <v>Medium Risk</v>
      </c>
    </row>
    <row r="148" spans="1:14" x14ac:dyDescent="0.35">
      <c r="A148">
        <v>147</v>
      </c>
      <c r="B148" s="1">
        <v>44933.083333333336</v>
      </c>
      <c r="C148" s="2">
        <v>4.1666666666666666E-3</v>
      </c>
      <c r="D148" s="3">
        <v>1515</v>
      </c>
      <c r="E148" s="3">
        <v>40</v>
      </c>
      <c r="F148" s="2">
        <v>13.459027777777777</v>
      </c>
      <c r="G148" t="s">
        <v>2812</v>
      </c>
      <c r="H148" t="s">
        <v>2813</v>
      </c>
      <c r="I148" s="2">
        <v>0.91805555555555562</v>
      </c>
      <c r="J148" s="4" t="str">
        <f>IF(Table1[[#This Row],[processing_time_hours]]&gt;1.5,"Slow", "Fast")</f>
        <v>Fast</v>
      </c>
      <c r="K148" t="s">
        <v>2821</v>
      </c>
      <c r="L148" s="3">
        <v>1</v>
      </c>
      <c r="M148" t="str">
        <f>IF(Table1[[#This Row],[delayed]]=1,"Delayed","On Time")</f>
        <v>Delayed</v>
      </c>
      <c r="N148" t="str">
        <f>IF(AND(Table1[[#This Row],[delayed]]=1,Table1[[#This Row],[weather_condition]]="Storm"),"High Risk", IF(Table1[[#This Row],[delayed]]=1,"Medium Risk","Low Risk"))</f>
        <v>Medium Risk</v>
      </c>
    </row>
    <row r="149" spans="1:14" x14ac:dyDescent="0.35">
      <c r="A149">
        <v>148</v>
      </c>
      <c r="B149" s="1">
        <v>44933.125</v>
      </c>
      <c r="C149" s="2">
        <v>5.1388888888888894E-2</v>
      </c>
      <c r="D149" s="3">
        <v>4723</v>
      </c>
      <c r="E149" s="3">
        <v>250</v>
      </c>
      <c r="F149" s="2">
        <v>22.170138888888889</v>
      </c>
      <c r="G149" t="s">
        <v>2819</v>
      </c>
      <c r="H149" t="s">
        <v>2813</v>
      </c>
      <c r="I149" s="2">
        <v>2.129861111111111</v>
      </c>
      <c r="J149" s="4" t="str">
        <f>IF(Table1[[#This Row],[processing_time_hours]]&gt;1.5,"Slow", "Fast")</f>
        <v>Slow</v>
      </c>
      <c r="K149" t="s">
        <v>2818</v>
      </c>
      <c r="L149" s="3">
        <v>0</v>
      </c>
      <c r="M149" t="str">
        <f>IF(Table1[[#This Row],[delayed]]=1,"Delayed","On Time")</f>
        <v>On Time</v>
      </c>
      <c r="N149" t="str">
        <f>IF(AND(Table1[[#This Row],[delayed]]=1,Table1[[#This Row],[weather_condition]]="Storm"),"High Risk", IF(Table1[[#This Row],[delayed]]=1,"Medium Risk","Low Risk"))</f>
        <v>Low Risk</v>
      </c>
    </row>
    <row r="150" spans="1:14" x14ac:dyDescent="0.35">
      <c r="A150">
        <v>149</v>
      </c>
      <c r="B150" s="1">
        <v>44933.166666666664</v>
      </c>
      <c r="C150" s="2">
        <v>4.3750000000000004E-2</v>
      </c>
      <c r="D150" s="3">
        <v>1300</v>
      </c>
      <c r="E150" s="3">
        <v>431</v>
      </c>
      <c r="F150" s="2">
        <v>53.714583333333337</v>
      </c>
      <c r="G150" t="s">
        <v>2819</v>
      </c>
      <c r="H150" t="s">
        <v>2817</v>
      </c>
      <c r="I150" s="2">
        <v>0.12569444444444444</v>
      </c>
      <c r="J150" s="4" t="str">
        <f>IF(Table1[[#This Row],[processing_time_hours]]&gt;1.5,"Slow", "Fast")</f>
        <v>Fast</v>
      </c>
      <c r="K150" t="s">
        <v>2814</v>
      </c>
      <c r="L150" s="3">
        <v>0</v>
      </c>
      <c r="M150" t="str">
        <f>IF(Table1[[#This Row],[delayed]]=1,"Delayed","On Time")</f>
        <v>On Time</v>
      </c>
      <c r="N150" t="str">
        <f>IF(AND(Table1[[#This Row],[delayed]]=1,Table1[[#This Row],[weather_condition]]="Storm"),"High Risk", IF(Table1[[#This Row],[delayed]]=1,"Medium Risk","Low Risk"))</f>
        <v>Low Risk</v>
      </c>
    </row>
    <row r="151" spans="1:14" x14ac:dyDescent="0.35">
      <c r="A151">
        <v>150</v>
      </c>
      <c r="B151" s="1">
        <v>44933.208333333336</v>
      </c>
      <c r="C151" s="2">
        <v>4.5833333333333337E-2</v>
      </c>
      <c r="D151" s="3">
        <v>2228</v>
      </c>
      <c r="E151" s="3">
        <v>453</v>
      </c>
      <c r="F151" s="2">
        <v>19.838194444444444</v>
      </c>
      <c r="G151" t="s">
        <v>2819</v>
      </c>
      <c r="H151" t="s">
        <v>2820</v>
      </c>
      <c r="I151" s="2">
        <v>0.62847222222222221</v>
      </c>
      <c r="J151" s="4" t="str">
        <f>IF(Table1[[#This Row],[processing_time_hours]]&gt;1.5,"Slow", "Fast")</f>
        <v>Fast</v>
      </c>
      <c r="K151" t="s">
        <v>2814</v>
      </c>
      <c r="L151" s="3">
        <v>0</v>
      </c>
      <c r="M151" t="str">
        <f>IF(Table1[[#This Row],[delayed]]=1,"Delayed","On Time")</f>
        <v>On Time</v>
      </c>
      <c r="N151" t="str">
        <f>IF(AND(Table1[[#This Row],[delayed]]=1,Table1[[#This Row],[weather_condition]]="Storm"),"High Risk", IF(Table1[[#This Row],[delayed]]=1,"Medium Risk","Low Risk"))</f>
        <v>Low Risk</v>
      </c>
    </row>
    <row r="152" spans="1:14" x14ac:dyDescent="0.35">
      <c r="A152">
        <v>151</v>
      </c>
      <c r="B152" s="1">
        <v>44933.25</v>
      </c>
      <c r="C152" s="2">
        <v>4.2361111111111106E-2</v>
      </c>
      <c r="D152" s="3">
        <v>2645</v>
      </c>
      <c r="E152" s="3">
        <v>16</v>
      </c>
      <c r="F152" s="2">
        <v>4.7124999999999995</v>
      </c>
      <c r="G152" t="s">
        <v>2815</v>
      </c>
      <c r="H152" t="s">
        <v>2822</v>
      </c>
      <c r="I152" s="2">
        <v>1.2513888888888889</v>
      </c>
      <c r="J152" s="4" t="str">
        <f>IF(Table1[[#This Row],[processing_time_hours]]&gt;1.5,"Slow", "Fast")</f>
        <v>Fast</v>
      </c>
      <c r="K152" t="s">
        <v>2821</v>
      </c>
      <c r="L152" s="3">
        <v>0</v>
      </c>
      <c r="M152" t="str">
        <f>IF(Table1[[#This Row],[delayed]]=1,"Delayed","On Time")</f>
        <v>On Time</v>
      </c>
      <c r="N152" t="str">
        <f>IF(AND(Table1[[#This Row],[delayed]]=1,Table1[[#This Row],[weather_condition]]="Storm"),"High Risk", IF(Table1[[#This Row],[delayed]]=1,"Medium Risk","Low Risk"))</f>
        <v>Low Risk</v>
      </c>
    </row>
    <row r="153" spans="1:14" x14ac:dyDescent="0.35">
      <c r="A153">
        <v>152</v>
      </c>
      <c r="B153" s="1">
        <v>44933.291666666664</v>
      </c>
      <c r="C153" s="2">
        <v>5.6250000000000001E-2</v>
      </c>
      <c r="D153" s="3">
        <v>4942</v>
      </c>
      <c r="E153" s="3">
        <v>29</v>
      </c>
      <c r="F153" s="2">
        <v>46.381250000000001</v>
      </c>
      <c r="G153" t="s">
        <v>2815</v>
      </c>
      <c r="H153" t="s">
        <v>2817</v>
      </c>
      <c r="I153" s="2">
        <v>2</v>
      </c>
      <c r="J153" s="4" t="str">
        <f>IF(Table1[[#This Row],[processing_time_hours]]&gt;1.5,"Slow", "Fast")</f>
        <v>Slow</v>
      </c>
      <c r="K153" t="s">
        <v>2818</v>
      </c>
      <c r="L153" s="3">
        <v>0</v>
      </c>
      <c r="M153" t="str">
        <f>IF(Table1[[#This Row],[delayed]]=1,"Delayed","On Time")</f>
        <v>On Time</v>
      </c>
      <c r="N153" t="str">
        <f>IF(AND(Table1[[#This Row],[delayed]]=1,Table1[[#This Row],[weather_condition]]="Storm"),"High Risk", IF(Table1[[#This Row],[delayed]]=1,"Medium Risk","Low Risk"))</f>
        <v>Low Risk</v>
      </c>
    </row>
    <row r="154" spans="1:14" x14ac:dyDescent="0.35">
      <c r="A154">
        <v>153</v>
      </c>
      <c r="B154" s="1">
        <v>44933.333333333336</v>
      </c>
      <c r="C154" s="2">
        <v>6.1111111111111109E-2</v>
      </c>
      <c r="D154" s="3">
        <v>4403</v>
      </c>
      <c r="E154" s="3">
        <v>315</v>
      </c>
      <c r="F154" s="2">
        <v>54.50555555555556</v>
      </c>
      <c r="G154" t="s">
        <v>2812</v>
      </c>
      <c r="H154" t="s">
        <v>2813</v>
      </c>
      <c r="I154" s="2">
        <v>0.54305555555555551</v>
      </c>
      <c r="J154" s="4" t="str">
        <f>IF(Table1[[#This Row],[processing_time_hours]]&gt;1.5,"Slow", "Fast")</f>
        <v>Fast</v>
      </c>
      <c r="K154" t="s">
        <v>2818</v>
      </c>
      <c r="L154" s="3">
        <v>0</v>
      </c>
      <c r="M154" t="str">
        <f>IF(Table1[[#This Row],[delayed]]=1,"Delayed","On Time")</f>
        <v>On Time</v>
      </c>
      <c r="N154" t="str">
        <f>IF(AND(Table1[[#This Row],[delayed]]=1,Table1[[#This Row],[weather_condition]]="Storm"),"High Risk", IF(Table1[[#This Row],[delayed]]=1,"Medium Risk","Low Risk"))</f>
        <v>Low Risk</v>
      </c>
    </row>
    <row r="155" spans="1:14" x14ac:dyDescent="0.35">
      <c r="A155">
        <v>154</v>
      </c>
      <c r="B155" s="1">
        <v>44933.375</v>
      </c>
      <c r="C155" s="2">
        <v>5.3472222222222227E-2</v>
      </c>
      <c r="D155" s="3">
        <v>4674</v>
      </c>
      <c r="E155" s="3">
        <v>133</v>
      </c>
      <c r="F155" s="2">
        <v>49.5</v>
      </c>
      <c r="G155" t="s">
        <v>2816</v>
      </c>
      <c r="H155" t="s">
        <v>2813</v>
      </c>
      <c r="I155" s="2">
        <v>1.4645833333333333</v>
      </c>
      <c r="J155" s="4" t="str">
        <f>IF(Table1[[#This Row],[processing_time_hours]]&gt;1.5,"Slow", "Fast")</f>
        <v>Fast</v>
      </c>
      <c r="K155" t="s">
        <v>2814</v>
      </c>
      <c r="L155" s="3">
        <v>0</v>
      </c>
      <c r="M155" t="str">
        <f>IF(Table1[[#This Row],[delayed]]=1,"Delayed","On Time")</f>
        <v>On Time</v>
      </c>
      <c r="N155" t="str">
        <f>IF(AND(Table1[[#This Row],[delayed]]=1,Table1[[#This Row],[weather_condition]]="Storm"),"High Risk", IF(Table1[[#This Row],[delayed]]=1,"Medium Risk","Low Risk"))</f>
        <v>Low Risk</v>
      </c>
    </row>
    <row r="156" spans="1:14" x14ac:dyDescent="0.35">
      <c r="A156">
        <v>155</v>
      </c>
      <c r="B156" s="1">
        <v>44933.416666666664</v>
      </c>
      <c r="C156" s="2">
        <v>4.5138888888888888E-2</v>
      </c>
      <c r="D156" s="3">
        <v>2032</v>
      </c>
      <c r="E156" s="3">
        <v>365</v>
      </c>
      <c r="F156" s="2">
        <v>41.713888888888889</v>
      </c>
      <c r="G156" t="s">
        <v>2812</v>
      </c>
      <c r="H156" t="s">
        <v>2817</v>
      </c>
      <c r="I156" s="2">
        <v>1.0055555555555555</v>
      </c>
      <c r="J156" s="4" t="str">
        <f>IF(Table1[[#This Row],[processing_time_hours]]&gt;1.5,"Slow", "Fast")</f>
        <v>Fast</v>
      </c>
      <c r="K156" t="s">
        <v>2814</v>
      </c>
      <c r="L156" s="3">
        <v>1</v>
      </c>
      <c r="M156" t="str">
        <f>IF(Table1[[#This Row],[delayed]]=1,"Delayed","On Time")</f>
        <v>Delayed</v>
      </c>
      <c r="N156" t="str">
        <f>IF(AND(Table1[[#This Row],[delayed]]=1,Table1[[#This Row],[weather_condition]]="Storm"),"High Risk", IF(Table1[[#This Row],[delayed]]=1,"Medium Risk","Low Risk"))</f>
        <v>High Risk</v>
      </c>
    </row>
    <row r="157" spans="1:14" x14ac:dyDescent="0.35">
      <c r="A157">
        <v>156</v>
      </c>
      <c r="B157" s="1">
        <v>44933.458333333336</v>
      </c>
      <c r="C157" s="2">
        <v>5.0694444444444438E-2</v>
      </c>
      <c r="D157" s="3">
        <v>1451</v>
      </c>
      <c r="E157" s="3">
        <v>25</v>
      </c>
      <c r="F157" s="2">
        <v>0.33888888888888885</v>
      </c>
      <c r="G157" t="s">
        <v>2819</v>
      </c>
      <c r="H157" t="s">
        <v>2820</v>
      </c>
      <c r="I157" s="2">
        <v>2.75</v>
      </c>
      <c r="J157" s="4" t="str">
        <f>IF(Table1[[#This Row],[processing_time_hours]]&gt;1.5,"Slow", "Fast")</f>
        <v>Slow</v>
      </c>
      <c r="K157" t="s">
        <v>2818</v>
      </c>
      <c r="L157" s="3">
        <v>0</v>
      </c>
      <c r="M157" t="str">
        <f>IF(Table1[[#This Row],[delayed]]=1,"Delayed","On Time")</f>
        <v>On Time</v>
      </c>
      <c r="N157" t="str">
        <f>IF(AND(Table1[[#This Row],[delayed]]=1,Table1[[#This Row],[weather_condition]]="Storm"),"High Risk", IF(Table1[[#This Row],[delayed]]=1,"Medium Risk","Low Risk"))</f>
        <v>Low Risk</v>
      </c>
    </row>
    <row r="158" spans="1:14" x14ac:dyDescent="0.35">
      <c r="A158">
        <v>157</v>
      </c>
      <c r="B158" s="1">
        <v>44933.5</v>
      </c>
      <c r="C158" s="2">
        <v>5.8333333333333327E-2</v>
      </c>
      <c r="D158" s="3">
        <v>148</v>
      </c>
      <c r="E158" s="3">
        <v>482</v>
      </c>
      <c r="F158" s="2">
        <v>39.377083333333331</v>
      </c>
      <c r="G158" t="s">
        <v>2816</v>
      </c>
      <c r="H158" t="s">
        <v>2820</v>
      </c>
      <c r="I158" s="2">
        <v>2.2506944444444446</v>
      </c>
      <c r="J158" s="4" t="str">
        <f>IF(Table1[[#This Row],[processing_time_hours]]&gt;1.5,"Slow", "Fast")</f>
        <v>Slow</v>
      </c>
      <c r="K158" t="s">
        <v>2818</v>
      </c>
      <c r="L158" s="3">
        <v>0</v>
      </c>
      <c r="M158" t="str">
        <f>IF(Table1[[#This Row],[delayed]]=1,"Delayed","On Time")</f>
        <v>On Time</v>
      </c>
      <c r="N158" t="str">
        <f>IF(AND(Table1[[#This Row],[delayed]]=1,Table1[[#This Row],[weather_condition]]="Storm"),"High Risk", IF(Table1[[#This Row],[delayed]]=1,"Medium Risk","Low Risk"))</f>
        <v>Low Risk</v>
      </c>
    </row>
    <row r="159" spans="1:14" x14ac:dyDescent="0.35">
      <c r="A159">
        <v>158</v>
      </c>
      <c r="B159" s="1">
        <v>44933.541666666664</v>
      </c>
      <c r="C159" s="2">
        <v>6.805555555555555E-2</v>
      </c>
      <c r="D159" s="3">
        <v>1916</v>
      </c>
      <c r="E159" s="3">
        <v>109</v>
      </c>
      <c r="F159" s="2">
        <v>63.042361111111113</v>
      </c>
      <c r="G159" t="s">
        <v>2819</v>
      </c>
      <c r="H159" t="s">
        <v>2822</v>
      </c>
      <c r="I159" s="2">
        <v>2.3361111111111112</v>
      </c>
      <c r="J159" s="4" t="str">
        <f>IF(Table1[[#This Row],[processing_time_hours]]&gt;1.5,"Slow", "Fast")</f>
        <v>Slow</v>
      </c>
      <c r="K159" t="s">
        <v>2818</v>
      </c>
      <c r="L159" s="3">
        <v>0</v>
      </c>
      <c r="M159" t="str">
        <f>IF(Table1[[#This Row],[delayed]]=1,"Delayed","On Time")</f>
        <v>On Time</v>
      </c>
      <c r="N159" t="str">
        <f>IF(AND(Table1[[#This Row],[delayed]]=1,Table1[[#This Row],[weather_condition]]="Storm"),"High Risk", IF(Table1[[#This Row],[delayed]]=1,"Medium Risk","Low Risk"))</f>
        <v>Low Risk</v>
      </c>
    </row>
    <row r="160" spans="1:14" x14ac:dyDescent="0.35">
      <c r="A160">
        <v>159</v>
      </c>
      <c r="B160" s="1">
        <v>44933.583333333336</v>
      </c>
      <c r="C160" s="2">
        <v>4.1666666666666664E-2</v>
      </c>
      <c r="D160" s="3">
        <v>2390</v>
      </c>
      <c r="E160" s="3">
        <v>472</v>
      </c>
      <c r="F160" s="2">
        <v>79.421527777777769</v>
      </c>
      <c r="G160" t="s">
        <v>2815</v>
      </c>
      <c r="H160" t="s">
        <v>2820</v>
      </c>
      <c r="I160" s="2">
        <v>0.7090277777777777</v>
      </c>
      <c r="J160" s="4" t="str">
        <f>IF(Table1[[#This Row],[processing_time_hours]]&gt;1.5,"Slow", "Fast")</f>
        <v>Fast</v>
      </c>
      <c r="K160" t="s">
        <v>2821</v>
      </c>
      <c r="L160" s="3">
        <v>0</v>
      </c>
      <c r="M160" t="str">
        <f>IF(Table1[[#This Row],[delayed]]=1,"Delayed","On Time")</f>
        <v>On Time</v>
      </c>
      <c r="N160" t="str">
        <f>IF(AND(Table1[[#This Row],[delayed]]=1,Table1[[#This Row],[weather_condition]]="Storm"),"High Risk", IF(Table1[[#This Row],[delayed]]=1,"Medium Risk","Low Risk"))</f>
        <v>Low Risk</v>
      </c>
    </row>
    <row r="161" spans="1:14" x14ac:dyDescent="0.35">
      <c r="A161">
        <v>160</v>
      </c>
      <c r="B161" s="1">
        <v>44933.625</v>
      </c>
      <c r="C161" s="2">
        <v>4.8611111111111112E-3</v>
      </c>
      <c r="D161" s="3">
        <v>760</v>
      </c>
      <c r="E161" s="3">
        <v>393</v>
      </c>
      <c r="F161" s="2">
        <v>0.21388888888888891</v>
      </c>
      <c r="G161" t="s">
        <v>2816</v>
      </c>
      <c r="H161" t="s">
        <v>2820</v>
      </c>
      <c r="I161" s="2">
        <v>1.6284722222222223</v>
      </c>
      <c r="J161" s="4" t="str">
        <f>IF(Table1[[#This Row],[processing_time_hours]]&gt;1.5,"Slow", "Fast")</f>
        <v>Slow</v>
      </c>
      <c r="K161" t="s">
        <v>2821</v>
      </c>
      <c r="L161" s="3">
        <v>0</v>
      </c>
      <c r="M161" t="str">
        <f>IF(Table1[[#This Row],[delayed]]=1,"Delayed","On Time")</f>
        <v>On Time</v>
      </c>
      <c r="N161" t="str">
        <f>IF(AND(Table1[[#This Row],[delayed]]=1,Table1[[#This Row],[weather_condition]]="Storm"),"High Risk", IF(Table1[[#This Row],[delayed]]=1,"Medium Risk","Low Risk"))</f>
        <v>Low Risk</v>
      </c>
    </row>
    <row r="162" spans="1:14" x14ac:dyDescent="0.35">
      <c r="A162">
        <v>161</v>
      </c>
      <c r="B162" s="1">
        <v>44933.666666666664</v>
      </c>
      <c r="C162" s="2">
        <v>4.1666666666666666E-3</v>
      </c>
      <c r="D162" s="3">
        <v>3643</v>
      </c>
      <c r="E162" s="3">
        <v>312</v>
      </c>
      <c r="F162" s="2">
        <v>72.794444444444437</v>
      </c>
      <c r="G162" t="s">
        <v>2815</v>
      </c>
      <c r="H162" t="s">
        <v>2820</v>
      </c>
      <c r="I162" s="2">
        <v>1.8784722222222223</v>
      </c>
      <c r="J162" s="4" t="str">
        <f>IF(Table1[[#This Row],[processing_time_hours]]&gt;1.5,"Slow", "Fast")</f>
        <v>Slow</v>
      </c>
      <c r="K162" t="s">
        <v>2821</v>
      </c>
      <c r="L162" s="3">
        <v>0</v>
      </c>
      <c r="M162" t="str">
        <f>IF(Table1[[#This Row],[delayed]]=1,"Delayed","On Time")</f>
        <v>On Time</v>
      </c>
      <c r="N162" t="str">
        <f>IF(AND(Table1[[#This Row],[delayed]]=1,Table1[[#This Row],[weather_condition]]="Storm"),"High Risk", IF(Table1[[#This Row],[delayed]]=1,"Medium Risk","Low Risk"))</f>
        <v>Low Risk</v>
      </c>
    </row>
    <row r="163" spans="1:14" x14ac:dyDescent="0.35">
      <c r="A163">
        <v>162</v>
      </c>
      <c r="B163" s="1">
        <v>44933.708333333336</v>
      </c>
      <c r="C163" s="2">
        <v>6.458333333333334E-2</v>
      </c>
      <c r="D163" s="3">
        <v>276</v>
      </c>
      <c r="E163" s="3">
        <v>259</v>
      </c>
      <c r="F163" s="2">
        <v>49.96180555555555</v>
      </c>
      <c r="G163" t="s">
        <v>2819</v>
      </c>
      <c r="H163" t="s">
        <v>2817</v>
      </c>
      <c r="I163" s="2">
        <v>0.71319444444444446</v>
      </c>
      <c r="J163" s="4" t="str">
        <f>IF(Table1[[#This Row],[processing_time_hours]]&gt;1.5,"Slow", "Fast")</f>
        <v>Fast</v>
      </c>
      <c r="K163" t="s">
        <v>2814</v>
      </c>
      <c r="L163" s="3">
        <v>0</v>
      </c>
      <c r="M163" t="str">
        <f>IF(Table1[[#This Row],[delayed]]=1,"Delayed","On Time")</f>
        <v>On Time</v>
      </c>
      <c r="N163" t="str">
        <f>IF(AND(Table1[[#This Row],[delayed]]=1,Table1[[#This Row],[weather_condition]]="Storm"),"High Risk", IF(Table1[[#This Row],[delayed]]=1,"Medium Risk","Low Risk"))</f>
        <v>Low Risk</v>
      </c>
    </row>
    <row r="164" spans="1:14" x14ac:dyDescent="0.35">
      <c r="A164">
        <v>163</v>
      </c>
      <c r="B164" s="1">
        <v>44933.75</v>
      </c>
      <c r="C164" s="2">
        <v>6.7361111111111108E-2</v>
      </c>
      <c r="D164" s="3">
        <v>1336</v>
      </c>
      <c r="E164" s="3">
        <v>251</v>
      </c>
      <c r="F164" s="2">
        <v>76.834722222222226</v>
      </c>
      <c r="G164" t="s">
        <v>2815</v>
      </c>
      <c r="H164" t="s">
        <v>2820</v>
      </c>
      <c r="I164" s="2">
        <v>1.8388888888888888</v>
      </c>
      <c r="J164" s="4" t="str">
        <f>IF(Table1[[#This Row],[processing_time_hours]]&gt;1.5,"Slow", "Fast")</f>
        <v>Slow</v>
      </c>
      <c r="K164" t="s">
        <v>2814</v>
      </c>
      <c r="L164" s="3">
        <v>0</v>
      </c>
      <c r="M164" t="str">
        <f>IF(Table1[[#This Row],[delayed]]=1,"Delayed","On Time")</f>
        <v>On Time</v>
      </c>
      <c r="N164" t="str">
        <f>IF(AND(Table1[[#This Row],[delayed]]=1,Table1[[#This Row],[weather_condition]]="Storm"),"High Risk", IF(Table1[[#This Row],[delayed]]=1,"Medium Risk","Low Risk"))</f>
        <v>Low Risk</v>
      </c>
    </row>
    <row r="165" spans="1:14" x14ac:dyDescent="0.35">
      <c r="A165">
        <v>164</v>
      </c>
      <c r="B165" s="1">
        <v>44933.791666666664</v>
      </c>
      <c r="C165" s="2">
        <v>5.4166666666666669E-2</v>
      </c>
      <c r="D165" s="3">
        <v>4055</v>
      </c>
      <c r="E165" s="3">
        <v>143</v>
      </c>
      <c r="F165" s="2">
        <v>42.833333333333336</v>
      </c>
      <c r="G165" t="s">
        <v>2819</v>
      </c>
      <c r="H165" t="s">
        <v>2820</v>
      </c>
      <c r="I165" s="2">
        <v>1.9590277777777778</v>
      </c>
      <c r="J165" s="4" t="str">
        <f>IF(Table1[[#This Row],[processing_time_hours]]&gt;1.5,"Slow", "Fast")</f>
        <v>Slow</v>
      </c>
      <c r="K165" t="s">
        <v>2821</v>
      </c>
      <c r="L165" s="3">
        <v>1</v>
      </c>
      <c r="M165" t="str">
        <f>IF(Table1[[#This Row],[delayed]]=1,"Delayed","On Time")</f>
        <v>Delayed</v>
      </c>
      <c r="N165" t="str">
        <f>IF(AND(Table1[[#This Row],[delayed]]=1,Table1[[#This Row],[weather_condition]]="Storm"),"High Risk", IF(Table1[[#This Row],[delayed]]=1,"Medium Risk","Low Risk"))</f>
        <v>Medium Risk</v>
      </c>
    </row>
    <row r="166" spans="1:14" x14ac:dyDescent="0.35">
      <c r="A166">
        <v>165</v>
      </c>
      <c r="B166" s="1">
        <v>44933.833333333336</v>
      </c>
      <c r="C166" s="2">
        <v>6.3194444444444442E-2</v>
      </c>
      <c r="D166" s="3">
        <v>2490</v>
      </c>
      <c r="E166" s="3">
        <v>91</v>
      </c>
      <c r="F166" s="2">
        <v>40.170138888888893</v>
      </c>
      <c r="G166" t="s">
        <v>2819</v>
      </c>
      <c r="H166" t="s">
        <v>2813</v>
      </c>
      <c r="I166" s="2">
        <v>1.5055555555555555</v>
      </c>
      <c r="J166" s="4" t="str">
        <f>IF(Table1[[#This Row],[processing_time_hours]]&gt;1.5,"Slow", "Fast")</f>
        <v>Slow</v>
      </c>
      <c r="K166" t="s">
        <v>2818</v>
      </c>
      <c r="L166" s="3">
        <v>0</v>
      </c>
      <c r="M166" t="str">
        <f>IF(Table1[[#This Row],[delayed]]=1,"Delayed","On Time")</f>
        <v>On Time</v>
      </c>
      <c r="N166" t="str">
        <f>IF(AND(Table1[[#This Row],[delayed]]=1,Table1[[#This Row],[weather_condition]]="Storm"),"High Risk", IF(Table1[[#This Row],[delayed]]=1,"Medium Risk","Low Risk"))</f>
        <v>Low Risk</v>
      </c>
    </row>
    <row r="167" spans="1:14" x14ac:dyDescent="0.35">
      <c r="A167">
        <v>166</v>
      </c>
      <c r="B167" s="1">
        <v>44933.875</v>
      </c>
      <c r="C167" s="2">
        <v>6.5972222222222224E-2</v>
      </c>
      <c r="D167" s="3">
        <v>4732</v>
      </c>
      <c r="E167" s="3">
        <v>208</v>
      </c>
      <c r="F167" s="2">
        <v>82.379166666666663</v>
      </c>
      <c r="G167" t="s">
        <v>2812</v>
      </c>
      <c r="H167" t="s">
        <v>2813</v>
      </c>
      <c r="I167" s="2">
        <v>2.3381944444444445</v>
      </c>
      <c r="J167" s="4" t="str">
        <f>IF(Table1[[#This Row],[processing_time_hours]]&gt;1.5,"Slow", "Fast")</f>
        <v>Slow</v>
      </c>
      <c r="K167" t="s">
        <v>2818</v>
      </c>
      <c r="L167" s="3">
        <v>1</v>
      </c>
      <c r="M167" t="str">
        <f>IF(Table1[[#This Row],[delayed]]=1,"Delayed","On Time")</f>
        <v>Delayed</v>
      </c>
      <c r="N167" t="str">
        <f>IF(AND(Table1[[#This Row],[delayed]]=1,Table1[[#This Row],[weather_condition]]="Storm"),"High Risk", IF(Table1[[#This Row],[delayed]]=1,"Medium Risk","Low Risk"))</f>
        <v>Medium Risk</v>
      </c>
    </row>
    <row r="168" spans="1:14" x14ac:dyDescent="0.35">
      <c r="A168">
        <v>167</v>
      </c>
      <c r="B168" s="1">
        <v>44933.916666666664</v>
      </c>
      <c r="C168" s="2">
        <v>5.8333333333333327E-2</v>
      </c>
      <c r="D168" s="3">
        <v>2576</v>
      </c>
      <c r="E168" s="3">
        <v>46</v>
      </c>
      <c r="F168" s="2">
        <v>60.875694444444441</v>
      </c>
      <c r="G168" t="s">
        <v>2815</v>
      </c>
      <c r="H168" t="s">
        <v>2813</v>
      </c>
      <c r="I168" s="2">
        <v>0.67291666666666661</v>
      </c>
      <c r="J168" s="4" t="str">
        <f>IF(Table1[[#This Row],[processing_time_hours]]&gt;1.5,"Slow", "Fast")</f>
        <v>Fast</v>
      </c>
      <c r="K168" t="s">
        <v>2818</v>
      </c>
      <c r="L168" s="3">
        <v>0</v>
      </c>
      <c r="M168" t="str">
        <f>IF(Table1[[#This Row],[delayed]]=1,"Delayed","On Time")</f>
        <v>On Time</v>
      </c>
      <c r="N168" t="str">
        <f>IF(AND(Table1[[#This Row],[delayed]]=1,Table1[[#This Row],[weather_condition]]="Storm"),"High Risk", IF(Table1[[#This Row],[delayed]]=1,"Medium Risk","Low Risk"))</f>
        <v>Low Risk</v>
      </c>
    </row>
    <row r="169" spans="1:14" x14ac:dyDescent="0.35">
      <c r="A169">
        <v>168</v>
      </c>
      <c r="B169" s="1">
        <v>44933.958333333336</v>
      </c>
      <c r="C169" s="2">
        <v>6.5972222222222224E-2</v>
      </c>
      <c r="D169" s="3">
        <v>3539</v>
      </c>
      <c r="E169" s="3">
        <v>50</v>
      </c>
      <c r="F169" s="2">
        <v>52.667361111111113</v>
      </c>
      <c r="G169" t="s">
        <v>2816</v>
      </c>
      <c r="H169" t="s">
        <v>2817</v>
      </c>
      <c r="I169" s="2">
        <v>1.7979166666666666</v>
      </c>
      <c r="J169" s="4" t="str">
        <f>IF(Table1[[#This Row],[processing_time_hours]]&gt;1.5,"Slow", "Fast")</f>
        <v>Slow</v>
      </c>
      <c r="K169" t="s">
        <v>2814</v>
      </c>
      <c r="L169" s="3">
        <v>0</v>
      </c>
      <c r="M169" t="str">
        <f>IF(Table1[[#This Row],[delayed]]=1,"Delayed","On Time")</f>
        <v>On Time</v>
      </c>
      <c r="N169" t="str">
        <f>IF(AND(Table1[[#This Row],[delayed]]=1,Table1[[#This Row],[weather_condition]]="Storm"),"High Risk", IF(Table1[[#This Row],[delayed]]=1,"Medium Risk","Low Risk"))</f>
        <v>Low Risk</v>
      </c>
    </row>
    <row r="170" spans="1:14" x14ac:dyDescent="0.35">
      <c r="A170">
        <v>169</v>
      </c>
      <c r="B170" s="1">
        <v>44934</v>
      </c>
      <c r="C170" s="2">
        <v>4.2361111111111106E-2</v>
      </c>
      <c r="D170" s="3">
        <v>3444</v>
      </c>
      <c r="E170" s="3">
        <v>208</v>
      </c>
      <c r="F170" s="2">
        <v>8.7972222222222225</v>
      </c>
      <c r="G170" t="s">
        <v>2816</v>
      </c>
      <c r="H170" t="s">
        <v>2820</v>
      </c>
      <c r="I170" s="2">
        <v>1.4201388888888891</v>
      </c>
      <c r="J170" s="4" t="str">
        <f>IF(Table1[[#This Row],[processing_time_hours]]&gt;1.5,"Slow", "Fast")</f>
        <v>Fast</v>
      </c>
      <c r="K170" t="s">
        <v>2821</v>
      </c>
      <c r="L170" s="3">
        <v>0</v>
      </c>
      <c r="M170" t="str">
        <f>IF(Table1[[#This Row],[delayed]]=1,"Delayed","On Time")</f>
        <v>On Time</v>
      </c>
      <c r="N170" t="str">
        <f>IF(AND(Table1[[#This Row],[delayed]]=1,Table1[[#This Row],[weather_condition]]="Storm"),"High Risk", IF(Table1[[#This Row],[delayed]]=1,"Medium Risk","Low Risk"))</f>
        <v>Low Risk</v>
      </c>
    </row>
    <row r="171" spans="1:14" x14ac:dyDescent="0.35">
      <c r="A171">
        <v>170</v>
      </c>
      <c r="B171" s="1">
        <v>44934.041666666664</v>
      </c>
      <c r="C171" s="2">
        <v>4.9305555555555554E-2</v>
      </c>
      <c r="D171" s="3">
        <v>2055</v>
      </c>
      <c r="E171" s="3">
        <v>225</v>
      </c>
      <c r="F171" s="2">
        <v>23.213194444444444</v>
      </c>
      <c r="G171" t="s">
        <v>2812</v>
      </c>
      <c r="H171" t="s">
        <v>2822</v>
      </c>
      <c r="I171" s="2">
        <v>1.5006944444444443</v>
      </c>
      <c r="J171" s="4" t="str">
        <f>IF(Table1[[#This Row],[processing_time_hours]]&gt;1.5,"Slow", "Fast")</f>
        <v>Slow</v>
      </c>
      <c r="K171" t="s">
        <v>2821</v>
      </c>
      <c r="L171" s="3">
        <v>1</v>
      </c>
      <c r="M171" t="str">
        <f>IF(Table1[[#This Row],[delayed]]=1,"Delayed","On Time")</f>
        <v>Delayed</v>
      </c>
      <c r="N171" t="str">
        <f>IF(AND(Table1[[#This Row],[delayed]]=1,Table1[[#This Row],[weather_condition]]="Storm"),"High Risk", IF(Table1[[#This Row],[delayed]]=1,"Medium Risk","Low Risk"))</f>
        <v>Medium Risk</v>
      </c>
    </row>
    <row r="172" spans="1:14" x14ac:dyDescent="0.35">
      <c r="A172">
        <v>171</v>
      </c>
      <c r="B172" s="1">
        <v>44934.083333333336</v>
      </c>
      <c r="C172" s="2">
        <v>4.9305555555555554E-2</v>
      </c>
      <c r="D172" s="3">
        <v>934</v>
      </c>
      <c r="E172" s="3">
        <v>175</v>
      </c>
      <c r="F172" s="2">
        <v>8.5013888888888882</v>
      </c>
      <c r="G172" t="s">
        <v>2816</v>
      </c>
      <c r="H172" t="s">
        <v>2822</v>
      </c>
      <c r="I172" s="2">
        <v>1.7979166666666666</v>
      </c>
      <c r="J172" s="4" t="str">
        <f>IF(Table1[[#This Row],[processing_time_hours]]&gt;1.5,"Slow", "Fast")</f>
        <v>Slow</v>
      </c>
      <c r="K172" t="s">
        <v>2821</v>
      </c>
      <c r="L172" s="3">
        <v>0</v>
      </c>
      <c r="M172" t="str">
        <f>IF(Table1[[#This Row],[delayed]]=1,"Delayed","On Time")</f>
        <v>On Time</v>
      </c>
      <c r="N172" t="str">
        <f>IF(AND(Table1[[#This Row],[delayed]]=1,Table1[[#This Row],[weather_condition]]="Storm"),"High Risk", IF(Table1[[#This Row],[delayed]]=1,"Medium Risk","Low Risk"))</f>
        <v>Low Risk</v>
      </c>
    </row>
    <row r="173" spans="1:14" x14ac:dyDescent="0.35">
      <c r="A173">
        <v>172</v>
      </c>
      <c r="B173" s="1">
        <v>44934.125</v>
      </c>
      <c r="C173" s="2">
        <v>4.5138888888888888E-2</v>
      </c>
      <c r="D173" s="3">
        <v>819</v>
      </c>
      <c r="E173" s="3">
        <v>103</v>
      </c>
      <c r="F173" s="2">
        <v>41.125</v>
      </c>
      <c r="G173" t="s">
        <v>2819</v>
      </c>
      <c r="H173" t="s">
        <v>2813</v>
      </c>
      <c r="I173" s="2">
        <v>1.6680555555555554</v>
      </c>
      <c r="J173" s="4" t="str">
        <f>IF(Table1[[#This Row],[processing_time_hours]]&gt;1.5,"Slow", "Fast")</f>
        <v>Slow</v>
      </c>
      <c r="K173" t="s">
        <v>2814</v>
      </c>
      <c r="L173" s="3">
        <v>0</v>
      </c>
      <c r="M173" t="str">
        <f>IF(Table1[[#This Row],[delayed]]=1,"Delayed","On Time")</f>
        <v>On Time</v>
      </c>
      <c r="N173" t="str">
        <f>IF(AND(Table1[[#This Row],[delayed]]=1,Table1[[#This Row],[weather_condition]]="Storm"),"High Risk", IF(Table1[[#This Row],[delayed]]=1,"Medium Risk","Low Risk"))</f>
        <v>Low Risk</v>
      </c>
    </row>
    <row r="174" spans="1:14" x14ac:dyDescent="0.35">
      <c r="A174">
        <v>173</v>
      </c>
      <c r="B174" s="1">
        <v>44934.166666666664</v>
      </c>
      <c r="C174" s="2">
        <v>6.6666666666666666E-2</v>
      </c>
      <c r="D174" s="3">
        <v>3854</v>
      </c>
      <c r="E174" s="3">
        <v>349</v>
      </c>
      <c r="F174" s="2">
        <v>15.709027777777777</v>
      </c>
      <c r="G174" t="s">
        <v>2816</v>
      </c>
      <c r="H174" t="s">
        <v>2813</v>
      </c>
      <c r="I174" s="2">
        <v>0.96111111111111114</v>
      </c>
      <c r="J174" s="4" t="str">
        <f>IF(Table1[[#This Row],[processing_time_hours]]&gt;1.5,"Slow", "Fast")</f>
        <v>Fast</v>
      </c>
      <c r="K174" t="s">
        <v>2818</v>
      </c>
      <c r="L174" s="3">
        <v>0</v>
      </c>
      <c r="M174" t="str">
        <f>IF(Table1[[#This Row],[delayed]]=1,"Delayed","On Time")</f>
        <v>On Time</v>
      </c>
      <c r="N174" t="str">
        <f>IF(AND(Table1[[#This Row],[delayed]]=1,Table1[[#This Row],[weather_condition]]="Storm"),"High Risk", IF(Table1[[#This Row],[delayed]]=1,"Medium Risk","Low Risk"))</f>
        <v>Low Risk</v>
      </c>
    </row>
    <row r="175" spans="1:14" x14ac:dyDescent="0.35">
      <c r="A175">
        <v>174</v>
      </c>
      <c r="B175" s="1">
        <v>44934.208333333336</v>
      </c>
      <c r="C175" s="2">
        <v>4.2361111111111106E-2</v>
      </c>
      <c r="D175" s="3">
        <v>3491</v>
      </c>
      <c r="E175" s="3">
        <v>281</v>
      </c>
      <c r="F175" s="2">
        <v>11.752083333333333</v>
      </c>
      <c r="G175" t="s">
        <v>2819</v>
      </c>
      <c r="H175" t="s">
        <v>2820</v>
      </c>
      <c r="I175" s="2">
        <v>1.0055555555555555</v>
      </c>
      <c r="J175" s="4" t="str">
        <f>IF(Table1[[#This Row],[processing_time_hours]]&gt;1.5,"Slow", "Fast")</f>
        <v>Fast</v>
      </c>
      <c r="K175" t="s">
        <v>2814</v>
      </c>
      <c r="L175" s="3">
        <v>0</v>
      </c>
      <c r="M175" t="str">
        <f>IF(Table1[[#This Row],[delayed]]=1,"Delayed","On Time")</f>
        <v>On Time</v>
      </c>
      <c r="N175" t="str">
        <f>IF(AND(Table1[[#This Row],[delayed]]=1,Table1[[#This Row],[weather_condition]]="Storm"),"High Risk", IF(Table1[[#This Row],[delayed]]=1,"Medium Risk","Low Risk"))</f>
        <v>Low Risk</v>
      </c>
    </row>
    <row r="176" spans="1:14" x14ac:dyDescent="0.35">
      <c r="A176">
        <v>175</v>
      </c>
      <c r="B176" s="1">
        <v>44934.25</v>
      </c>
      <c r="C176" s="2">
        <v>6.0416666666666667E-2</v>
      </c>
      <c r="D176" s="3">
        <v>553</v>
      </c>
      <c r="E176" s="3">
        <v>334</v>
      </c>
      <c r="F176" s="2">
        <v>12.836805555555555</v>
      </c>
      <c r="G176" t="s">
        <v>2819</v>
      </c>
      <c r="H176" t="s">
        <v>2822</v>
      </c>
      <c r="I176" s="2">
        <v>1.7951388888888891</v>
      </c>
      <c r="J176" s="4" t="str">
        <f>IF(Table1[[#This Row],[processing_time_hours]]&gt;1.5,"Slow", "Fast")</f>
        <v>Slow</v>
      </c>
      <c r="K176" t="s">
        <v>2821</v>
      </c>
      <c r="L176" s="3">
        <v>0</v>
      </c>
      <c r="M176" t="str">
        <f>IF(Table1[[#This Row],[delayed]]=1,"Delayed","On Time")</f>
        <v>On Time</v>
      </c>
      <c r="N176" t="str">
        <f>IF(AND(Table1[[#This Row],[delayed]]=1,Table1[[#This Row],[weather_condition]]="Storm"),"High Risk", IF(Table1[[#This Row],[delayed]]=1,"Medium Risk","Low Risk"))</f>
        <v>Low Risk</v>
      </c>
    </row>
    <row r="177" spans="1:14" x14ac:dyDescent="0.35">
      <c r="A177">
        <v>176</v>
      </c>
      <c r="B177" s="1">
        <v>44934.291666666664</v>
      </c>
      <c r="C177" s="2">
        <v>4.3750000000000004E-2</v>
      </c>
      <c r="D177" s="3">
        <v>4134</v>
      </c>
      <c r="E177" s="3">
        <v>455</v>
      </c>
      <c r="F177" s="2">
        <v>32.710416666666667</v>
      </c>
      <c r="G177" t="s">
        <v>2812</v>
      </c>
      <c r="H177" t="s">
        <v>2813</v>
      </c>
      <c r="I177" s="2">
        <v>1.1256944444444443</v>
      </c>
      <c r="J177" s="4" t="str">
        <f>IF(Table1[[#This Row],[processing_time_hours]]&gt;1.5,"Slow", "Fast")</f>
        <v>Fast</v>
      </c>
      <c r="K177" t="s">
        <v>2818</v>
      </c>
      <c r="L177" s="3">
        <v>1</v>
      </c>
      <c r="M177" t="str">
        <f>IF(Table1[[#This Row],[delayed]]=1,"Delayed","On Time")</f>
        <v>Delayed</v>
      </c>
      <c r="N177" t="str">
        <f>IF(AND(Table1[[#This Row],[delayed]]=1,Table1[[#This Row],[weather_condition]]="Storm"),"High Risk", IF(Table1[[#This Row],[delayed]]=1,"Medium Risk","Low Risk"))</f>
        <v>Medium Risk</v>
      </c>
    </row>
    <row r="178" spans="1:14" x14ac:dyDescent="0.35">
      <c r="A178">
        <v>177</v>
      </c>
      <c r="B178" s="1">
        <v>44934.333333333336</v>
      </c>
      <c r="C178" s="2">
        <v>5.1388888888888894E-2</v>
      </c>
      <c r="D178" s="3">
        <v>1918</v>
      </c>
      <c r="E178" s="3">
        <v>401</v>
      </c>
      <c r="F178" s="2">
        <v>39.417361111111113</v>
      </c>
      <c r="G178" t="s">
        <v>2812</v>
      </c>
      <c r="H178" t="s">
        <v>2813</v>
      </c>
      <c r="I178" s="2">
        <v>2.9618055555555554</v>
      </c>
      <c r="J178" s="4" t="str">
        <f>IF(Table1[[#This Row],[processing_time_hours]]&gt;1.5,"Slow", "Fast")</f>
        <v>Slow</v>
      </c>
      <c r="K178" t="s">
        <v>2814</v>
      </c>
      <c r="L178" s="3">
        <v>0</v>
      </c>
      <c r="M178" t="str">
        <f>IF(Table1[[#This Row],[delayed]]=1,"Delayed","On Time")</f>
        <v>On Time</v>
      </c>
      <c r="N178" t="str">
        <f>IF(AND(Table1[[#This Row],[delayed]]=1,Table1[[#This Row],[weather_condition]]="Storm"),"High Risk", IF(Table1[[#This Row],[delayed]]=1,"Medium Risk","Low Risk"))</f>
        <v>Low Risk</v>
      </c>
    </row>
    <row r="179" spans="1:14" x14ac:dyDescent="0.35">
      <c r="A179">
        <v>178</v>
      </c>
      <c r="B179" s="1">
        <v>44934.375</v>
      </c>
      <c r="C179" s="2">
        <v>5.3472222222222227E-2</v>
      </c>
      <c r="D179" s="3">
        <v>914</v>
      </c>
      <c r="E179" s="3">
        <v>210</v>
      </c>
      <c r="F179" s="2">
        <v>35.37777777777778</v>
      </c>
      <c r="G179" t="s">
        <v>2819</v>
      </c>
      <c r="H179" t="s">
        <v>2813</v>
      </c>
      <c r="I179" s="2">
        <v>0.58472222222222225</v>
      </c>
      <c r="J179" s="4" t="str">
        <f>IF(Table1[[#This Row],[processing_time_hours]]&gt;1.5,"Slow", "Fast")</f>
        <v>Fast</v>
      </c>
      <c r="K179" t="s">
        <v>2821</v>
      </c>
      <c r="L179" s="3">
        <v>0</v>
      </c>
      <c r="M179" t="str">
        <f>IF(Table1[[#This Row],[delayed]]=1,"Delayed","On Time")</f>
        <v>On Time</v>
      </c>
      <c r="N179" t="str">
        <f>IF(AND(Table1[[#This Row],[delayed]]=1,Table1[[#This Row],[weather_condition]]="Storm"),"High Risk", IF(Table1[[#This Row],[delayed]]=1,"Medium Risk","Low Risk"))</f>
        <v>Low Risk</v>
      </c>
    </row>
    <row r="180" spans="1:14" x14ac:dyDescent="0.35">
      <c r="A180">
        <v>179</v>
      </c>
      <c r="B180" s="1">
        <v>44934.416666666664</v>
      </c>
      <c r="C180" s="2">
        <v>4.6527777777777779E-2</v>
      </c>
      <c r="D180" s="3">
        <v>518</v>
      </c>
      <c r="E180" s="3">
        <v>133</v>
      </c>
      <c r="F180" s="2">
        <v>19.25138888888889</v>
      </c>
      <c r="G180" t="s">
        <v>2815</v>
      </c>
      <c r="H180" t="s">
        <v>2822</v>
      </c>
      <c r="I180" s="2">
        <v>2.2916666666666665</v>
      </c>
      <c r="J180" s="4" t="str">
        <f>IF(Table1[[#This Row],[processing_time_hours]]&gt;1.5,"Slow", "Fast")</f>
        <v>Slow</v>
      </c>
      <c r="K180" t="s">
        <v>2814</v>
      </c>
      <c r="L180" s="3">
        <v>1</v>
      </c>
      <c r="M180" t="str">
        <f>IF(Table1[[#This Row],[delayed]]=1,"Delayed","On Time")</f>
        <v>Delayed</v>
      </c>
      <c r="N180" t="str">
        <f>IF(AND(Table1[[#This Row],[delayed]]=1,Table1[[#This Row],[weather_condition]]="Storm"),"High Risk", IF(Table1[[#This Row],[delayed]]=1,"Medium Risk","Low Risk"))</f>
        <v>Medium Risk</v>
      </c>
    </row>
    <row r="181" spans="1:14" x14ac:dyDescent="0.35">
      <c r="A181">
        <v>180</v>
      </c>
      <c r="B181" s="1">
        <v>44934.458333333336</v>
      </c>
      <c r="C181" s="2">
        <v>5.6250000000000001E-2</v>
      </c>
      <c r="D181" s="3">
        <v>4485</v>
      </c>
      <c r="E181" s="3">
        <v>344</v>
      </c>
      <c r="F181" s="2">
        <v>23.834722222222222</v>
      </c>
      <c r="G181" t="s">
        <v>2815</v>
      </c>
      <c r="H181" t="s">
        <v>2820</v>
      </c>
      <c r="I181" s="2">
        <v>2.5430555555555556</v>
      </c>
      <c r="J181" s="4" t="str">
        <f>IF(Table1[[#This Row],[processing_time_hours]]&gt;1.5,"Slow", "Fast")</f>
        <v>Slow</v>
      </c>
      <c r="K181" t="s">
        <v>2818</v>
      </c>
      <c r="L181" s="3">
        <v>0</v>
      </c>
      <c r="M181" t="str">
        <f>IF(Table1[[#This Row],[delayed]]=1,"Delayed","On Time")</f>
        <v>On Time</v>
      </c>
      <c r="N181" t="str">
        <f>IF(AND(Table1[[#This Row],[delayed]]=1,Table1[[#This Row],[weather_condition]]="Storm"),"High Risk", IF(Table1[[#This Row],[delayed]]=1,"Medium Risk","Low Risk"))</f>
        <v>Low Risk</v>
      </c>
    </row>
    <row r="182" spans="1:14" x14ac:dyDescent="0.35">
      <c r="A182">
        <v>181</v>
      </c>
      <c r="B182" s="1">
        <v>44934.5</v>
      </c>
      <c r="C182" s="2">
        <v>5.6250000000000001E-2</v>
      </c>
      <c r="D182" s="3">
        <v>2439</v>
      </c>
      <c r="E182" s="3">
        <v>490</v>
      </c>
      <c r="F182" s="2">
        <v>62.085416666666667</v>
      </c>
      <c r="G182" t="s">
        <v>2819</v>
      </c>
      <c r="H182" t="s">
        <v>2820</v>
      </c>
      <c r="I182" s="2">
        <v>1.5895833333333333</v>
      </c>
      <c r="J182" s="4" t="str">
        <f>IF(Table1[[#This Row],[processing_time_hours]]&gt;1.5,"Slow", "Fast")</f>
        <v>Slow</v>
      </c>
      <c r="K182" t="s">
        <v>2814</v>
      </c>
      <c r="L182" s="3">
        <v>0</v>
      </c>
      <c r="M182" t="str">
        <f>IF(Table1[[#This Row],[delayed]]=1,"Delayed","On Time")</f>
        <v>On Time</v>
      </c>
      <c r="N182" t="str">
        <f>IF(AND(Table1[[#This Row],[delayed]]=1,Table1[[#This Row],[weather_condition]]="Storm"),"High Risk", IF(Table1[[#This Row],[delayed]]=1,"Medium Risk","Low Risk"))</f>
        <v>Low Risk</v>
      </c>
    </row>
    <row r="183" spans="1:14" x14ac:dyDescent="0.35">
      <c r="A183">
        <v>182</v>
      </c>
      <c r="B183" s="1">
        <v>44934.541666666664</v>
      </c>
      <c r="C183" s="2">
        <v>5.0694444444444438E-2</v>
      </c>
      <c r="D183" s="3">
        <v>3565</v>
      </c>
      <c r="E183" s="3">
        <v>157</v>
      </c>
      <c r="F183" s="2">
        <v>28.420833333333334</v>
      </c>
      <c r="G183" t="s">
        <v>2815</v>
      </c>
      <c r="H183" t="s">
        <v>2822</v>
      </c>
      <c r="I183" s="2">
        <v>2.4229166666666666</v>
      </c>
      <c r="J183" s="4" t="str">
        <f>IF(Table1[[#This Row],[processing_time_hours]]&gt;1.5,"Slow", "Fast")</f>
        <v>Slow</v>
      </c>
      <c r="K183" t="s">
        <v>2814</v>
      </c>
      <c r="L183" s="3">
        <v>0</v>
      </c>
      <c r="M183" t="str">
        <f>IF(Table1[[#This Row],[delayed]]=1,"Delayed","On Time")</f>
        <v>On Time</v>
      </c>
      <c r="N183" t="str">
        <f>IF(AND(Table1[[#This Row],[delayed]]=1,Table1[[#This Row],[weather_condition]]="Storm"),"High Risk", IF(Table1[[#This Row],[delayed]]=1,"Medium Risk","Low Risk"))</f>
        <v>Low Risk</v>
      </c>
    </row>
    <row r="184" spans="1:14" x14ac:dyDescent="0.35">
      <c r="A184">
        <v>183</v>
      </c>
      <c r="B184" s="1">
        <v>44934.583333333336</v>
      </c>
      <c r="C184" s="2">
        <v>6.1805555555555558E-2</v>
      </c>
      <c r="D184" s="3">
        <v>4907</v>
      </c>
      <c r="E184" s="3">
        <v>291</v>
      </c>
      <c r="F184" s="2">
        <v>47</v>
      </c>
      <c r="G184" t="s">
        <v>2812</v>
      </c>
      <c r="H184" t="s">
        <v>2817</v>
      </c>
      <c r="I184" s="2">
        <v>0.79652777777777783</v>
      </c>
      <c r="J184" s="4" t="str">
        <f>IF(Table1[[#This Row],[processing_time_hours]]&gt;1.5,"Slow", "Fast")</f>
        <v>Fast</v>
      </c>
      <c r="K184" t="s">
        <v>2818</v>
      </c>
      <c r="L184" s="3">
        <v>0</v>
      </c>
      <c r="M184" t="str">
        <f>IF(Table1[[#This Row],[delayed]]=1,"Delayed","On Time")</f>
        <v>On Time</v>
      </c>
      <c r="N184" t="str">
        <f>IF(AND(Table1[[#This Row],[delayed]]=1,Table1[[#This Row],[weather_condition]]="Storm"),"High Risk", IF(Table1[[#This Row],[delayed]]=1,"Medium Risk","Low Risk"))</f>
        <v>Low Risk</v>
      </c>
    </row>
    <row r="185" spans="1:14" x14ac:dyDescent="0.35">
      <c r="A185">
        <v>184</v>
      </c>
      <c r="B185" s="1">
        <v>44934.625</v>
      </c>
      <c r="C185" s="2">
        <v>4.5833333333333337E-2</v>
      </c>
      <c r="D185" s="3">
        <v>4566</v>
      </c>
      <c r="E185" s="3">
        <v>323</v>
      </c>
      <c r="F185" s="2">
        <v>42.296527777777776</v>
      </c>
      <c r="G185" t="s">
        <v>2816</v>
      </c>
      <c r="H185" t="s">
        <v>2813</v>
      </c>
      <c r="I185" s="2">
        <v>2.2972222222222221</v>
      </c>
      <c r="J185" s="4" t="str">
        <f>IF(Table1[[#This Row],[processing_time_hours]]&gt;1.5,"Slow", "Fast")</f>
        <v>Slow</v>
      </c>
      <c r="K185" t="s">
        <v>2818</v>
      </c>
      <c r="L185" s="3">
        <v>0</v>
      </c>
      <c r="M185" t="str">
        <f>IF(Table1[[#This Row],[delayed]]=1,"Delayed","On Time")</f>
        <v>On Time</v>
      </c>
      <c r="N185" t="str">
        <f>IF(AND(Table1[[#This Row],[delayed]]=1,Table1[[#This Row],[weather_condition]]="Storm"),"High Risk", IF(Table1[[#This Row],[delayed]]=1,"Medium Risk","Low Risk"))</f>
        <v>Low Risk</v>
      </c>
    </row>
    <row r="186" spans="1:14" x14ac:dyDescent="0.35">
      <c r="A186">
        <v>185</v>
      </c>
      <c r="B186" s="1">
        <v>44934.666666666664</v>
      </c>
      <c r="C186" s="2">
        <v>4.7222222222222221E-2</v>
      </c>
      <c r="D186" s="3">
        <v>3653</v>
      </c>
      <c r="E186" s="3">
        <v>79</v>
      </c>
      <c r="F186" s="2">
        <v>54.044444444444444</v>
      </c>
      <c r="G186" t="s">
        <v>2815</v>
      </c>
      <c r="H186" t="s">
        <v>2817</v>
      </c>
      <c r="I186" s="2">
        <v>2.3791666666666669</v>
      </c>
      <c r="J186" s="4" t="str">
        <f>IF(Table1[[#This Row],[processing_time_hours]]&gt;1.5,"Slow", "Fast")</f>
        <v>Slow</v>
      </c>
      <c r="K186" t="s">
        <v>2814</v>
      </c>
      <c r="L186" s="3">
        <v>0</v>
      </c>
      <c r="M186" t="str">
        <f>IF(Table1[[#This Row],[delayed]]=1,"Delayed","On Time")</f>
        <v>On Time</v>
      </c>
      <c r="N186" t="str">
        <f>IF(AND(Table1[[#This Row],[delayed]]=1,Table1[[#This Row],[weather_condition]]="Storm"),"High Risk", IF(Table1[[#This Row],[delayed]]=1,"Medium Risk","Low Risk"))</f>
        <v>Low Risk</v>
      </c>
    </row>
    <row r="187" spans="1:14" x14ac:dyDescent="0.35">
      <c r="A187">
        <v>186</v>
      </c>
      <c r="B187" s="1">
        <v>44934.708333333336</v>
      </c>
      <c r="C187" s="2">
        <v>5.1388888888888894E-2</v>
      </c>
      <c r="D187" s="3">
        <v>2879</v>
      </c>
      <c r="E187" s="3">
        <v>475</v>
      </c>
      <c r="F187" s="2">
        <v>51.046527777777776</v>
      </c>
      <c r="G187" t="s">
        <v>2819</v>
      </c>
      <c r="H187" t="s">
        <v>2817</v>
      </c>
      <c r="I187" s="2">
        <v>1.0479166666666666</v>
      </c>
      <c r="J187" s="4" t="str">
        <f>IF(Table1[[#This Row],[processing_time_hours]]&gt;1.5,"Slow", "Fast")</f>
        <v>Fast</v>
      </c>
      <c r="K187" t="s">
        <v>2814</v>
      </c>
      <c r="L187" s="3">
        <v>0</v>
      </c>
      <c r="M187" t="str">
        <f>IF(Table1[[#This Row],[delayed]]=1,"Delayed","On Time")</f>
        <v>On Time</v>
      </c>
      <c r="N187" t="str">
        <f>IF(AND(Table1[[#This Row],[delayed]]=1,Table1[[#This Row],[weather_condition]]="Storm"),"High Risk", IF(Table1[[#This Row],[delayed]]=1,"Medium Risk","Low Risk"))</f>
        <v>Low Risk</v>
      </c>
    </row>
    <row r="188" spans="1:14" x14ac:dyDescent="0.35">
      <c r="A188">
        <v>187</v>
      </c>
      <c r="B188" s="1">
        <v>44934.75</v>
      </c>
      <c r="C188" s="2">
        <v>5.2083333333333336E-2</v>
      </c>
      <c r="D188" s="3">
        <v>2464</v>
      </c>
      <c r="E188" s="3">
        <v>430</v>
      </c>
      <c r="F188" s="2">
        <v>16.588194444444444</v>
      </c>
      <c r="G188" t="s">
        <v>2816</v>
      </c>
      <c r="H188" t="s">
        <v>2820</v>
      </c>
      <c r="I188" s="2">
        <v>2.6305555555555555</v>
      </c>
      <c r="J188" s="4" t="str">
        <f>IF(Table1[[#This Row],[processing_time_hours]]&gt;1.5,"Slow", "Fast")</f>
        <v>Slow</v>
      </c>
      <c r="K188" t="s">
        <v>2821</v>
      </c>
      <c r="L188" s="3">
        <v>0</v>
      </c>
      <c r="M188" t="str">
        <f>IF(Table1[[#This Row],[delayed]]=1,"Delayed","On Time")</f>
        <v>On Time</v>
      </c>
      <c r="N188" t="str">
        <f>IF(AND(Table1[[#This Row],[delayed]]=1,Table1[[#This Row],[weather_condition]]="Storm"),"High Risk", IF(Table1[[#This Row],[delayed]]=1,"Medium Risk","Low Risk"))</f>
        <v>Low Risk</v>
      </c>
    </row>
    <row r="189" spans="1:14" x14ac:dyDescent="0.35">
      <c r="A189">
        <v>188</v>
      </c>
      <c r="B189" s="1">
        <v>44934.791666666664</v>
      </c>
      <c r="C189" s="2">
        <v>4.7222222222222221E-2</v>
      </c>
      <c r="D189" s="3">
        <v>4486</v>
      </c>
      <c r="E189" s="3">
        <v>280</v>
      </c>
      <c r="F189" s="2">
        <v>10.418750000000001</v>
      </c>
      <c r="G189" t="s">
        <v>2815</v>
      </c>
      <c r="H189" t="s">
        <v>2813</v>
      </c>
      <c r="I189" s="2">
        <v>1.4173611111111111</v>
      </c>
      <c r="J189" s="4" t="str">
        <f>IF(Table1[[#This Row],[processing_time_hours]]&gt;1.5,"Slow", "Fast")</f>
        <v>Fast</v>
      </c>
      <c r="K189" t="s">
        <v>2818</v>
      </c>
      <c r="L189" s="3">
        <v>0</v>
      </c>
      <c r="M189" t="str">
        <f>IF(Table1[[#This Row],[delayed]]=1,"Delayed","On Time")</f>
        <v>On Time</v>
      </c>
      <c r="N189" t="str">
        <f>IF(AND(Table1[[#This Row],[delayed]]=1,Table1[[#This Row],[weather_condition]]="Storm"),"High Risk", IF(Table1[[#This Row],[delayed]]=1,"Medium Risk","Low Risk"))</f>
        <v>Low Risk</v>
      </c>
    </row>
    <row r="190" spans="1:14" x14ac:dyDescent="0.35">
      <c r="A190">
        <v>189</v>
      </c>
      <c r="B190" s="1">
        <v>44934.833333333336</v>
      </c>
      <c r="C190" s="2">
        <v>6.7361111111111108E-2</v>
      </c>
      <c r="D190" s="3">
        <v>2153</v>
      </c>
      <c r="E190" s="3">
        <v>62</v>
      </c>
      <c r="F190" s="2">
        <v>51.334027777777777</v>
      </c>
      <c r="G190" t="s">
        <v>2816</v>
      </c>
      <c r="H190" t="s">
        <v>2822</v>
      </c>
      <c r="I190" s="2">
        <v>1.2548611111111112</v>
      </c>
      <c r="J190" s="4" t="str">
        <f>IF(Table1[[#This Row],[processing_time_hours]]&gt;1.5,"Slow", "Fast")</f>
        <v>Fast</v>
      </c>
      <c r="K190" t="s">
        <v>2814</v>
      </c>
      <c r="L190" s="3">
        <v>0</v>
      </c>
      <c r="M190" t="str">
        <f>IF(Table1[[#This Row],[delayed]]=1,"Delayed","On Time")</f>
        <v>On Time</v>
      </c>
      <c r="N190" t="str">
        <f>IF(AND(Table1[[#This Row],[delayed]]=1,Table1[[#This Row],[weather_condition]]="Storm"),"High Risk", IF(Table1[[#This Row],[delayed]]=1,"Medium Risk","Low Risk"))</f>
        <v>Low Risk</v>
      </c>
    </row>
    <row r="191" spans="1:14" x14ac:dyDescent="0.35">
      <c r="A191">
        <v>190</v>
      </c>
      <c r="B191" s="1">
        <v>44934.875</v>
      </c>
      <c r="C191" s="2">
        <v>6.458333333333334E-2</v>
      </c>
      <c r="D191" s="3">
        <v>3624</v>
      </c>
      <c r="E191" s="3">
        <v>168</v>
      </c>
      <c r="F191" s="2">
        <v>43.333333333333336</v>
      </c>
      <c r="G191" t="s">
        <v>2816</v>
      </c>
      <c r="H191" t="s">
        <v>2813</v>
      </c>
      <c r="I191" s="2">
        <v>2.9208333333333329</v>
      </c>
      <c r="J191" s="4" t="str">
        <f>IF(Table1[[#This Row],[processing_time_hours]]&gt;1.5,"Slow", "Fast")</f>
        <v>Slow</v>
      </c>
      <c r="K191" t="s">
        <v>2818</v>
      </c>
      <c r="L191" s="3">
        <v>0</v>
      </c>
      <c r="M191" t="str">
        <f>IF(Table1[[#This Row],[delayed]]=1,"Delayed","On Time")</f>
        <v>On Time</v>
      </c>
      <c r="N191" t="str">
        <f>IF(AND(Table1[[#This Row],[delayed]]=1,Table1[[#This Row],[weather_condition]]="Storm"),"High Risk", IF(Table1[[#This Row],[delayed]]=1,"Medium Risk","Low Risk"))</f>
        <v>Low Risk</v>
      </c>
    </row>
    <row r="192" spans="1:14" x14ac:dyDescent="0.35">
      <c r="A192">
        <v>191</v>
      </c>
      <c r="B192" s="1">
        <v>44934.916666666664</v>
      </c>
      <c r="C192" s="2">
        <v>4.4444444444444446E-2</v>
      </c>
      <c r="D192" s="3">
        <v>1336</v>
      </c>
      <c r="E192" s="3">
        <v>468</v>
      </c>
      <c r="F192" s="2">
        <v>44.297916666666673</v>
      </c>
      <c r="G192" t="s">
        <v>2819</v>
      </c>
      <c r="H192" t="s">
        <v>2817</v>
      </c>
      <c r="I192" s="2">
        <v>2.6722222222222225</v>
      </c>
      <c r="J192" s="4" t="str">
        <f>IF(Table1[[#This Row],[processing_time_hours]]&gt;1.5,"Slow", "Fast")</f>
        <v>Slow</v>
      </c>
      <c r="K192" t="s">
        <v>2821</v>
      </c>
      <c r="L192" s="3">
        <v>1</v>
      </c>
      <c r="M192" t="str">
        <f>IF(Table1[[#This Row],[delayed]]=1,"Delayed","On Time")</f>
        <v>Delayed</v>
      </c>
      <c r="N192" t="str">
        <f>IF(AND(Table1[[#This Row],[delayed]]=1,Table1[[#This Row],[weather_condition]]="Storm"),"High Risk", IF(Table1[[#This Row],[delayed]]=1,"Medium Risk","Low Risk"))</f>
        <v>High Risk</v>
      </c>
    </row>
    <row r="193" spans="1:14" x14ac:dyDescent="0.35">
      <c r="A193">
        <v>192</v>
      </c>
      <c r="B193" s="1">
        <v>44934.958333333336</v>
      </c>
      <c r="C193" s="2">
        <v>5.2083333333333336E-2</v>
      </c>
      <c r="D193" s="3">
        <v>291</v>
      </c>
      <c r="E193" s="3">
        <v>109</v>
      </c>
      <c r="F193" s="2">
        <v>44.922222222222224</v>
      </c>
      <c r="G193" t="s">
        <v>2819</v>
      </c>
      <c r="H193" t="s">
        <v>2820</v>
      </c>
      <c r="I193" s="2">
        <v>2.5854166666666667</v>
      </c>
      <c r="J193" s="4" t="str">
        <f>IF(Table1[[#This Row],[processing_time_hours]]&gt;1.5,"Slow", "Fast")</f>
        <v>Slow</v>
      </c>
      <c r="K193" t="s">
        <v>2814</v>
      </c>
      <c r="L193" s="3">
        <v>0</v>
      </c>
      <c r="M193" t="str">
        <f>IF(Table1[[#This Row],[delayed]]=1,"Delayed","On Time")</f>
        <v>On Time</v>
      </c>
      <c r="N193" t="str">
        <f>IF(AND(Table1[[#This Row],[delayed]]=1,Table1[[#This Row],[weather_condition]]="Storm"),"High Risk", IF(Table1[[#This Row],[delayed]]=1,"Medium Risk","Low Risk"))</f>
        <v>Low Risk</v>
      </c>
    </row>
    <row r="194" spans="1:14" x14ac:dyDescent="0.35">
      <c r="A194">
        <v>193</v>
      </c>
      <c r="B194" s="1">
        <v>44935</v>
      </c>
      <c r="C194" s="2">
        <v>4.7916666666666663E-2</v>
      </c>
      <c r="D194" s="3">
        <v>4091</v>
      </c>
      <c r="E194" s="3">
        <v>337</v>
      </c>
      <c r="F194" s="2">
        <v>10.213194444444445</v>
      </c>
      <c r="G194" t="s">
        <v>2812</v>
      </c>
      <c r="H194" t="s">
        <v>2820</v>
      </c>
      <c r="I194" s="2">
        <v>1.3784722222222223</v>
      </c>
      <c r="J194" s="4" t="str">
        <f>IF(Table1[[#This Row],[processing_time_hours]]&gt;1.5,"Slow", "Fast")</f>
        <v>Fast</v>
      </c>
      <c r="K194" t="s">
        <v>2818</v>
      </c>
      <c r="L194" s="3">
        <v>0</v>
      </c>
      <c r="M194" t="str">
        <f>IF(Table1[[#This Row],[delayed]]=1,"Delayed","On Time")</f>
        <v>On Time</v>
      </c>
      <c r="N194" t="str">
        <f>IF(AND(Table1[[#This Row],[delayed]]=1,Table1[[#This Row],[weather_condition]]="Storm"),"High Risk", IF(Table1[[#This Row],[delayed]]=1,"Medium Risk","Low Risk"))</f>
        <v>Low Risk</v>
      </c>
    </row>
    <row r="195" spans="1:14" x14ac:dyDescent="0.35">
      <c r="A195">
        <v>194</v>
      </c>
      <c r="B195" s="1">
        <v>44935.041666666664</v>
      </c>
      <c r="C195" s="2">
        <v>5.4166666666666669E-2</v>
      </c>
      <c r="D195" s="3">
        <v>2372</v>
      </c>
      <c r="E195" s="3">
        <v>111</v>
      </c>
      <c r="F195" s="2">
        <v>69.169444444444437</v>
      </c>
      <c r="G195" t="s">
        <v>2819</v>
      </c>
      <c r="H195" t="s">
        <v>2817</v>
      </c>
      <c r="I195" s="2">
        <v>0.92152777777777783</v>
      </c>
      <c r="J195" s="4" t="str">
        <f>IF(Table1[[#This Row],[processing_time_hours]]&gt;1.5,"Slow", "Fast")</f>
        <v>Fast</v>
      </c>
      <c r="K195" t="s">
        <v>2814</v>
      </c>
      <c r="L195" s="3">
        <v>1</v>
      </c>
      <c r="M195" t="str">
        <f>IF(Table1[[#This Row],[delayed]]=1,"Delayed","On Time")</f>
        <v>Delayed</v>
      </c>
      <c r="N195" t="str">
        <f>IF(AND(Table1[[#This Row],[delayed]]=1,Table1[[#This Row],[weather_condition]]="Storm"),"High Risk", IF(Table1[[#This Row],[delayed]]=1,"Medium Risk","Low Risk"))</f>
        <v>High Risk</v>
      </c>
    </row>
    <row r="196" spans="1:14" x14ac:dyDescent="0.35">
      <c r="A196">
        <v>195</v>
      </c>
      <c r="B196" s="1">
        <v>44935.083333333336</v>
      </c>
      <c r="C196" s="2">
        <v>4.9305555555555554E-2</v>
      </c>
      <c r="D196" s="3">
        <v>2867</v>
      </c>
      <c r="E196" s="3">
        <v>192</v>
      </c>
      <c r="F196" s="2">
        <v>79.211111111111109</v>
      </c>
      <c r="G196" t="s">
        <v>2819</v>
      </c>
      <c r="H196" t="s">
        <v>2813</v>
      </c>
      <c r="I196" s="2">
        <v>1.7145833333333333</v>
      </c>
      <c r="J196" s="4" t="str">
        <f>IF(Table1[[#This Row],[processing_time_hours]]&gt;1.5,"Slow", "Fast")</f>
        <v>Slow</v>
      </c>
      <c r="K196" t="s">
        <v>2814</v>
      </c>
      <c r="L196" s="3">
        <v>1</v>
      </c>
      <c r="M196" t="str">
        <f>IF(Table1[[#This Row],[delayed]]=1,"Delayed","On Time")</f>
        <v>Delayed</v>
      </c>
      <c r="N196" t="str">
        <f>IF(AND(Table1[[#This Row],[delayed]]=1,Table1[[#This Row],[weather_condition]]="Storm"),"High Risk", IF(Table1[[#This Row],[delayed]]=1,"Medium Risk","Low Risk"))</f>
        <v>Medium Risk</v>
      </c>
    </row>
    <row r="197" spans="1:14" x14ac:dyDescent="0.35">
      <c r="A197">
        <v>196</v>
      </c>
      <c r="B197" s="1">
        <v>44935.125</v>
      </c>
      <c r="C197" s="2">
        <v>5.5555555555555558E-3</v>
      </c>
      <c r="D197" s="3">
        <v>3422</v>
      </c>
      <c r="E197" s="3">
        <v>422</v>
      </c>
      <c r="F197" s="2">
        <v>55.587499999999999</v>
      </c>
      <c r="G197" t="s">
        <v>2815</v>
      </c>
      <c r="H197" t="s">
        <v>2820</v>
      </c>
      <c r="I197" s="2">
        <v>0.54652777777777783</v>
      </c>
      <c r="J197" s="4" t="str">
        <f>IF(Table1[[#This Row],[processing_time_hours]]&gt;1.5,"Slow", "Fast")</f>
        <v>Fast</v>
      </c>
      <c r="K197" t="s">
        <v>2818</v>
      </c>
      <c r="L197" s="3">
        <v>0</v>
      </c>
      <c r="M197" t="str">
        <f>IF(Table1[[#This Row],[delayed]]=1,"Delayed","On Time")</f>
        <v>On Time</v>
      </c>
      <c r="N197" t="str">
        <f>IF(AND(Table1[[#This Row],[delayed]]=1,Table1[[#This Row],[weather_condition]]="Storm"),"High Risk", IF(Table1[[#This Row],[delayed]]=1,"Medium Risk","Low Risk"))</f>
        <v>Low Risk</v>
      </c>
    </row>
    <row r="198" spans="1:14" x14ac:dyDescent="0.35">
      <c r="A198">
        <v>197</v>
      </c>
      <c r="B198" s="1">
        <v>44935.166666666664</v>
      </c>
      <c r="C198" s="2">
        <v>6.7361111111111108E-2</v>
      </c>
      <c r="D198" s="3">
        <v>3238</v>
      </c>
      <c r="E198" s="3">
        <v>348</v>
      </c>
      <c r="F198" s="2">
        <v>64.669444444444437</v>
      </c>
      <c r="G198" t="s">
        <v>2815</v>
      </c>
      <c r="H198" t="s">
        <v>2813</v>
      </c>
      <c r="I198" s="2">
        <v>0.67222222222222217</v>
      </c>
      <c r="J198" s="4" t="str">
        <f>IF(Table1[[#This Row],[processing_time_hours]]&gt;1.5,"Slow", "Fast")</f>
        <v>Fast</v>
      </c>
      <c r="K198" t="s">
        <v>2818</v>
      </c>
      <c r="L198" s="3">
        <v>0</v>
      </c>
      <c r="M198" t="str">
        <f>IF(Table1[[#This Row],[delayed]]=1,"Delayed","On Time")</f>
        <v>On Time</v>
      </c>
      <c r="N198" t="str">
        <f>IF(AND(Table1[[#This Row],[delayed]]=1,Table1[[#This Row],[weather_condition]]="Storm"),"High Risk", IF(Table1[[#This Row],[delayed]]=1,"Medium Risk","Low Risk"))</f>
        <v>Low Risk</v>
      </c>
    </row>
    <row r="199" spans="1:14" x14ac:dyDescent="0.35">
      <c r="A199">
        <v>198</v>
      </c>
      <c r="B199" s="1">
        <v>44935.208333333336</v>
      </c>
      <c r="C199" s="2">
        <v>5.2083333333333336E-2</v>
      </c>
      <c r="D199" s="3">
        <v>1338</v>
      </c>
      <c r="E199" s="3">
        <v>360</v>
      </c>
      <c r="F199" s="2">
        <v>43.838888888888896</v>
      </c>
      <c r="G199" t="s">
        <v>2815</v>
      </c>
      <c r="H199" t="s">
        <v>2813</v>
      </c>
      <c r="I199" s="2">
        <v>4.7222222222222221E-2</v>
      </c>
      <c r="J199" s="4" t="str">
        <f>IF(Table1[[#This Row],[processing_time_hours]]&gt;1.5,"Slow", "Fast")</f>
        <v>Fast</v>
      </c>
      <c r="K199" t="s">
        <v>2818</v>
      </c>
      <c r="L199" s="3">
        <v>0</v>
      </c>
      <c r="M199" t="str">
        <f>IF(Table1[[#This Row],[delayed]]=1,"Delayed","On Time")</f>
        <v>On Time</v>
      </c>
      <c r="N199" t="str">
        <f>IF(AND(Table1[[#This Row],[delayed]]=1,Table1[[#This Row],[weather_condition]]="Storm"),"High Risk", IF(Table1[[#This Row],[delayed]]=1,"Medium Risk","Low Risk"))</f>
        <v>Low Risk</v>
      </c>
    </row>
    <row r="200" spans="1:14" x14ac:dyDescent="0.35">
      <c r="A200">
        <v>199</v>
      </c>
      <c r="B200" s="1">
        <v>44935.25</v>
      </c>
      <c r="C200" s="2">
        <v>5.9722222222222225E-2</v>
      </c>
      <c r="D200" s="3">
        <v>2369</v>
      </c>
      <c r="E200" s="3">
        <v>279</v>
      </c>
      <c r="F200" s="2">
        <v>43.295833333333327</v>
      </c>
      <c r="G200" t="s">
        <v>2812</v>
      </c>
      <c r="H200" t="s">
        <v>2813</v>
      </c>
      <c r="I200" s="2">
        <v>1.9590277777777778</v>
      </c>
      <c r="J200" s="4" t="str">
        <f>IF(Table1[[#This Row],[processing_time_hours]]&gt;1.5,"Slow", "Fast")</f>
        <v>Slow</v>
      </c>
      <c r="K200" t="s">
        <v>2818</v>
      </c>
      <c r="L200" s="3">
        <v>1</v>
      </c>
      <c r="M200" t="str">
        <f>IF(Table1[[#This Row],[delayed]]=1,"Delayed","On Time")</f>
        <v>Delayed</v>
      </c>
      <c r="N200" t="str">
        <f>IF(AND(Table1[[#This Row],[delayed]]=1,Table1[[#This Row],[weather_condition]]="Storm"),"High Risk", IF(Table1[[#This Row],[delayed]]=1,"Medium Risk","Low Risk"))</f>
        <v>Medium Risk</v>
      </c>
    </row>
    <row r="201" spans="1:14" x14ac:dyDescent="0.35">
      <c r="A201">
        <v>200</v>
      </c>
      <c r="B201" s="1">
        <v>44935.291666666664</v>
      </c>
      <c r="C201" s="2">
        <v>5.8333333333333327E-2</v>
      </c>
      <c r="D201" s="3">
        <v>2756</v>
      </c>
      <c r="E201" s="3">
        <v>55</v>
      </c>
      <c r="F201" s="2">
        <v>26.043749999999999</v>
      </c>
      <c r="G201" t="s">
        <v>2816</v>
      </c>
      <c r="H201" t="s">
        <v>2817</v>
      </c>
      <c r="I201" s="2">
        <v>0.54166666666666663</v>
      </c>
      <c r="J201" s="4" t="str">
        <f>IF(Table1[[#This Row],[processing_time_hours]]&gt;1.5,"Slow", "Fast")</f>
        <v>Fast</v>
      </c>
      <c r="K201" t="s">
        <v>2821</v>
      </c>
      <c r="L201" s="3">
        <v>0</v>
      </c>
      <c r="M201" t="str">
        <f>IF(Table1[[#This Row],[delayed]]=1,"Delayed","On Time")</f>
        <v>On Time</v>
      </c>
      <c r="N201" t="str">
        <f>IF(AND(Table1[[#This Row],[delayed]]=1,Table1[[#This Row],[weather_condition]]="Storm"),"High Risk", IF(Table1[[#This Row],[delayed]]=1,"Medium Risk","Low Risk"))</f>
        <v>Low Risk</v>
      </c>
    </row>
    <row r="202" spans="1:14" x14ac:dyDescent="0.35">
      <c r="A202">
        <v>201</v>
      </c>
      <c r="B202" s="1">
        <v>44935.333333333336</v>
      </c>
      <c r="C202" s="2">
        <v>6.2499999999999995E-3</v>
      </c>
      <c r="D202" s="3">
        <v>2406</v>
      </c>
      <c r="E202" s="3">
        <v>250</v>
      </c>
      <c r="F202" s="2">
        <v>68.088888888888889</v>
      </c>
      <c r="G202" t="s">
        <v>2815</v>
      </c>
      <c r="H202" t="s">
        <v>2822</v>
      </c>
      <c r="I202" s="2">
        <v>2.2916666666666665</v>
      </c>
      <c r="J202" s="4" t="str">
        <f>IF(Table1[[#This Row],[processing_time_hours]]&gt;1.5,"Slow", "Fast")</f>
        <v>Slow</v>
      </c>
      <c r="K202" t="s">
        <v>2821</v>
      </c>
      <c r="L202" s="3">
        <v>0</v>
      </c>
      <c r="M202" t="str">
        <f>IF(Table1[[#This Row],[delayed]]=1,"Delayed","On Time")</f>
        <v>On Time</v>
      </c>
      <c r="N202" t="str">
        <f>IF(AND(Table1[[#This Row],[delayed]]=1,Table1[[#This Row],[weather_condition]]="Storm"),"High Risk", IF(Table1[[#This Row],[delayed]]=1,"Medium Risk","Low Risk"))</f>
        <v>Low Risk</v>
      </c>
    </row>
    <row r="203" spans="1:14" x14ac:dyDescent="0.35">
      <c r="A203">
        <v>202</v>
      </c>
      <c r="B203" s="1">
        <v>44935.375</v>
      </c>
      <c r="C203" s="2">
        <v>4.3055555555555562E-2</v>
      </c>
      <c r="D203" s="3">
        <v>600</v>
      </c>
      <c r="E203" s="3">
        <v>281</v>
      </c>
      <c r="F203" s="2">
        <v>1.1305555555555555</v>
      </c>
      <c r="G203" t="s">
        <v>2819</v>
      </c>
      <c r="H203" t="s">
        <v>2820</v>
      </c>
      <c r="I203" s="2">
        <v>0.79236111111111107</v>
      </c>
      <c r="J203" s="4" t="str">
        <f>IF(Table1[[#This Row],[processing_time_hours]]&gt;1.5,"Slow", "Fast")</f>
        <v>Fast</v>
      </c>
      <c r="K203" t="s">
        <v>2814</v>
      </c>
      <c r="L203" s="3">
        <v>0</v>
      </c>
      <c r="M203" t="str">
        <f>IF(Table1[[#This Row],[delayed]]=1,"Delayed","On Time")</f>
        <v>On Time</v>
      </c>
      <c r="N203" t="str">
        <f>IF(AND(Table1[[#This Row],[delayed]]=1,Table1[[#This Row],[weather_condition]]="Storm"),"High Risk", IF(Table1[[#This Row],[delayed]]=1,"Medium Risk","Low Risk"))</f>
        <v>Low Risk</v>
      </c>
    </row>
    <row r="204" spans="1:14" x14ac:dyDescent="0.35">
      <c r="A204">
        <v>203</v>
      </c>
      <c r="B204" s="1">
        <v>44935.416666666664</v>
      </c>
      <c r="C204" s="2">
        <v>6.2499999999999995E-3</v>
      </c>
      <c r="D204" s="3">
        <v>2848</v>
      </c>
      <c r="E204" s="3">
        <v>238</v>
      </c>
      <c r="F204" s="2">
        <v>44.419444444444444</v>
      </c>
      <c r="G204" t="s">
        <v>2815</v>
      </c>
      <c r="H204" t="s">
        <v>2813</v>
      </c>
      <c r="I204" s="2">
        <v>2.7513888888888887</v>
      </c>
      <c r="J204" s="4" t="str">
        <f>IF(Table1[[#This Row],[processing_time_hours]]&gt;1.5,"Slow", "Fast")</f>
        <v>Slow</v>
      </c>
      <c r="K204" t="s">
        <v>2814</v>
      </c>
      <c r="L204" s="3">
        <v>0</v>
      </c>
      <c r="M204" t="str">
        <f>IF(Table1[[#This Row],[delayed]]=1,"Delayed","On Time")</f>
        <v>On Time</v>
      </c>
      <c r="N204" t="str">
        <f>IF(AND(Table1[[#This Row],[delayed]]=1,Table1[[#This Row],[weather_condition]]="Storm"),"High Risk", IF(Table1[[#This Row],[delayed]]=1,"Medium Risk","Low Risk"))</f>
        <v>Low Risk</v>
      </c>
    </row>
    <row r="205" spans="1:14" x14ac:dyDescent="0.35">
      <c r="A205">
        <v>204</v>
      </c>
      <c r="B205" s="1">
        <v>44935.458333333336</v>
      </c>
      <c r="C205" s="2">
        <v>6.805555555555555E-2</v>
      </c>
      <c r="D205" s="3">
        <v>1857</v>
      </c>
      <c r="E205" s="3">
        <v>467</v>
      </c>
      <c r="F205" s="2">
        <v>72.879861111111111</v>
      </c>
      <c r="G205" t="s">
        <v>2819</v>
      </c>
      <c r="H205" t="s">
        <v>2820</v>
      </c>
      <c r="I205" s="2">
        <v>2.3340277777777776</v>
      </c>
      <c r="J205" s="4" t="str">
        <f>IF(Table1[[#This Row],[processing_time_hours]]&gt;1.5,"Slow", "Fast")</f>
        <v>Slow</v>
      </c>
      <c r="K205" t="s">
        <v>2821</v>
      </c>
      <c r="L205" s="3">
        <v>0</v>
      </c>
      <c r="M205" t="str">
        <f>IF(Table1[[#This Row],[delayed]]=1,"Delayed","On Time")</f>
        <v>On Time</v>
      </c>
      <c r="N205" t="str">
        <f>IF(AND(Table1[[#This Row],[delayed]]=1,Table1[[#This Row],[weather_condition]]="Storm"),"High Risk", IF(Table1[[#This Row],[delayed]]=1,"Medium Risk","Low Risk"))</f>
        <v>Low Risk</v>
      </c>
    </row>
    <row r="206" spans="1:14" x14ac:dyDescent="0.35">
      <c r="A206">
        <v>205</v>
      </c>
      <c r="B206" s="1">
        <v>44935.5</v>
      </c>
      <c r="C206" s="2">
        <v>5.8333333333333327E-2</v>
      </c>
      <c r="D206" s="3">
        <v>1432</v>
      </c>
      <c r="E206" s="3">
        <v>169</v>
      </c>
      <c r="F206" s="2">
        <v>77.793750000000003</v>
      </c>
      <c r="G206" t="s">
        <v>2819</v>
      </c>
      <c r="H206" t="s">
        <v>2813</v>
      </c>
      <c r="I206" s="2">
        <v>1.8395833333333333</v>
      </c>
      <c r="J206" s="4" t="str">
        <f>IF(Table1[[#This Row],[processing_time_hours]]&gt;1.5,"Slow", "Fast")</f>
        <v>Slow</v>
      </c>
      <c r="K206" t="s">
        <v>2821</v>
      </c>
      <c r="L206" s="3">
        <v>0</v>
      </c>
      <c r="M206" t="str">
        <f>IF(Table1[[#This Row],[delayed]]=1,"Delayed","On Time")</f>
        <v>On Time</v>
      </c>
      <c r="N206" t="str">
        <f>IF(AND(Table1[[#This Row],[delayed]]=1,Table1[[#This Row],[weather_condition]]="Storm"),"High Risk", IF(Table1[[#This Row],[delayed]]=1,"Medium Risk","Low Risk"))</f>
        <v>Low Risk</v>
      </c>
    </row>
    <row r="207" spans="1:14" x14ac:dyDescent="0.35">
      <c r="A207">
        <v>206</v>
      </c>
      <c r="B207" s="1">
        <v>44935.541666666664</v>
      </c>
      <c r="C207" s="2">
        <v>4.9999999999999996E-2</v>
      </c>
      <c r="D207" s="3">
        <v>3912</v>
      </c>
      <c r="E207" s="3">
        <v>268</v>
      </c>
      <c r="F207" s="2">
        <v>55.791666666666664</v>
      </c>
      <c r="G207" t="s">
        <v>2816</v>
      </c>
      <c r="H207" t="s">
        <v>2820</v>
      </c>
      <c r="I207" s="2">
        <v>0.83680555555555547</v>
      </c>
      <c r="J207" s="4" t="str">
        <f>IF(Table1[[#This Row],[processing_time_hours]]&gt;1.5,"Slow", "Fast")</f>
        <v>Fast</v>
      </c>
      <c r="K207" t="s">
        <v>2821</v>
      </c>
      <c r="L207" s="3">
        <v>0</v>
      </c>
      <c r="M207" t="str">
        <f>IF(Table1[[#This Row],[delayed]]=1,"Delayed","On Time")</f>
        <v>On Time</v>
      </c>
      <c r="N207" t="str">
        <f>IF(AND(Table1[[#This Row],[delayed]]=1,Table1[[#This Row],[weather_condition]]="Storm"),"High Risk", IF(Table1[[#This Row],[delayed]]=1,"Medium Risk","Low Risk"))</f>
        <v>Low Risk</v>
      </c>
    </row>
    <row r="208" spans="1:14" x14ac:dyDescent="0.35">
      <c r="A208">
        <v>207</v>
      </c>
      <c r="B208" s="1">
        <v>44935.583333333336</v>
      </c>
      <c r="C208" s="2">
        <v>6.0416666666666667E-2</v>
      </c>
      <c r="D208" s="3">
        <v>121</v>
      </c>
      <c r="E208" s="3">
        <v>301</v>
      </c>
      <c r="F208" s="2">
        <v>48.920833333333327</v>
      </c>
      <c r="G208" t="s">
        <v>2819</v>
      </c>
      <c r="H208" t="s">
        <v>2820</v>
      </c>
      <c r="I208" s="2">
        <v>0.50347222222222221</v>
      </c>
      <c r="J208" s="4" t="str">
        <f>IF(Table1[[#This Row],[processing_time_hours]]&gt;1.5,"Slow", "Fast")</f>
        <v>Fast</v>
      </c>
      <c r="K208" t="s">
        <v>2814</v>
      </c>
      <c r="L208" s="3">
        <v>0</v>
      </c>
      <c r="M208" t="str">
        <f>IF(Table1[[#This Row],[delayed]]=1,"Delayed","On Time")</f>
        <v>On Time</v>
      </c>
      <c r="N208" t="str">
        <f>IF(AND(Table1[[#This Row],[delayed]]=1,Table1[[#This Row],[weather_condition]]="Storm"),"High Risk", IF(Table1[[#This Row],[delayed]]=1,"Medium Risk","Low Risk"))</f>
        <v>Low Risk</v>
      </c>
    </row>
    <row r="209" spans="1:14" x14ac:dyDescent="0.35">
      <c r="A209">
        <v>208</v>
      </c>
      <c r="B209" s="1">
        <v>44935.625</v>
      </c>
      <c r="C209" s="2">
        <v>6.1111111111111109E-2</v>
      </c>
      <c r="D209" s="3">
        <v>2405</v>
      </c>
      <c r="E209" s="3">
        <v>27</v>
      </c>
      <c r="F209" s="2">
        <v>82.797222222222231</v>
      </c>
      <c r="G209" t="s">
        <v>2816</v>
      </c>
      <c r="H209" t="s">
        <v>2817</v>
      </c>
      <c r="I209" s="2">
        <v>0.3354166666666667</v>
      </c>
      <c r="J209" s="4" t="str">
        <f>IF(Table1[[#This Row],[processing_time_hours]]&gt;1.5,"Slow", "Fast")</f>
        <v>Fast</v>
      </c>
      <c r="K209" t="s">
        <v>2821</v>
      </c>
      <c r="L209" s="3">
        <v>0</v>
      </c>
      <c r="M209" t="str">
        <f>IF(Table1[[#This Row],[delayed]]=1,"Delayed","On Time")</f>
        <v>On Time</v>
      </c>
      <c r="N209" t="str">
        <f>IF(AND(Table1[[#This Row],[delayed]]=1,Table1[[#This Row],[weather_condition]]="Storm"),"High Risk", IF(Table1[[#This Row],[delayed]]=1,"Medium Risk","Low Risk"))</f>
        <v>Low Risk</v>
      </c>
    </row>
    <row r="210" spans="1:14" x14ac:dyDescent="0.35">
      <c r="A210">
        <v>209</v>
      </c>
      <c r="B210" s="1">
        <v>44935.666666666664</v>
      </c>
      <c r="C210" s="2">
        <v>5.9722222222222225E-2</v>
      </c>
      <c r="D210" s="3">
        <v>4803</v>
      </c>
      <c r="E210" s="3">
        <v>434</v>
      </c>
      <c r="F210" s="2">
        <v>5.584027777777778</v>
      </c>
      <c r="G210" t="s">
        <v>2816</v>
      </c>
      <c r="H210" t="s">
        <v>2813</v>
      </c>
      <c r="I210" s="2">
        <v>2</v>
      </c>
      <c r="J210" s="4" t="str">
        <f>IF(Table1[[#This Row],[processing_time_hours]]&gt;1.5,"Slow", "Fast")</f>
        <v>Slow</v>
      </c>
      <c r="K210" t="s">
        <v>2818</v>
      </c>
      <c r="L210" s="3">
        <v>1</v>
      </c>
      <c r="M210" t="str">
        <f>IF(Table1[[#This Row],[delayed]]=1,"Delayed","On Time")</f>
        <v>Delayed</v>
      </c>
      <c r="N210" t="str">
        <f>IF(AND(Table1[[#This Row],[delayed]]=1,Table1[[#This Row],[weather_condition]]="Storm"),"High Risk", IF(Table1[[#This Row],[delayed]]=1,"Medium Risk","Low Risk"))</f>
        <v>Medium Risk</v>
      </c>
    </row>
    <row r="211" spans="1:14" x14ac:dyDescent="0.35">
      <c r="A211">
        <v>210</v>
      </c>
      <c r="B211" s="1">
        <v>44935.708333333336</v>
      </c>
      <c r="C211" s="2">
        <v>4.5833333333333337E-2</v>
      </c>
      <c r="D211" s="3">
        <v>4588</v>
      </c>
      <c r="E211" s="3">
        <v>169</v>
      </c>
      <c r="F211" s="2">
        <v>21.00138888888889</v>
      </c>
      <c r="G211" t="s">
        <v>2815</v>
      </c>
      <c r="H211" t="s">
        <v>2820</v>
      </c>
      <c r="I211" s="2">
        <v>1.7979166666666666</v>
      </c>
      <c r="J211" s="4" t="str">
        <f>IF(Table1[[#This Row],[processing_time_hours]]&gt;1.5,"Slow", "Fast")</f>
        <v>Slow</v>
      </c>
      <c r="K211" t="s">
        <v>2818</v>
      </c>
      <c r="L211" s="3">
        <v>0</v>
      </c>
      <c r="M211" t="str">
        <f>IF(Table1[[#This Row],[delayed]]=1,"Delayed","On Time")</f>
        <v>On Time</v>
      </c>
      <c r="N211" t="str">
        <f>IF(AND(Table1[[#This Row],[delayed]]=1,Table1[[#This Row],[weather_condition]]="Storm"),"High Risk", IF(Table1[[#This Row],[delayed]]=1,"Medium Risk","Low Risk"))</f>
        <v>Low Risk</v>
      </c>
    </row>
    <row r="212" spans="1:14" x14ac:dyDescent="0.35">
      <c r="A212">
        <v>211</v>
      </c>
      <c r="B212" s="1">
        <v>44935.75</v>
      </c>
      <c r="C212" s="2">
        <v>6.8749999999999992E-2</v>
      </c>
      <c r="D212" s="3">
        <v>3028</v>
      </c>
      <c r="E212" s="3">
        <v>465</v>
      </c>
      <c r="F212" s="2">
        <v>37.836805555555557</v>
      </c>
      <c r="G212" t="s">
        <v>2815</v>
      </c>
      <c r="H212" t="s">
        <v>2822</v>
      </c>
      <c r="I212" s="2">
        <v>0.46319444444444446</v>
      </c>
      <c r="J212" s="4" t="str">
        <f>IF(Table1[[#This Row],[processing_time_hours]]&gt;1.5,"Slow", "Fast")</f>
        <v>Fast</v>
      </c>
      <c r="K212" t="s">
        <v>2818</v>
      </c>
      <c r="L212" s="3">
        <v>0</v>
      </c>
      <c r="M212" t="str">
        <f>IF(Table1[[#This Row],[delayed]]=1,"Delayed","On Time")</f>
        <v>On Time</v>
      </c>
      <c r="N212" t="str">
        <f>IF(AND(Table1[[#This Row],[delayed]]=1,Table1[[#This Row],[weather_condition]]="Storm"),"High Risk", IF(Table1[[#This Row],[delayed]]=1,"Medium Risk","Low Risk"))</f>
        <v>Low Risk</v>
      </c>
    </row>
    <row r="213" spans="1:14" x14ac:dyDescent="0.35">
      <c r="A213">
        <v>212</v>
      </c>
      <c r="B213" s="1">
        <v>44935.791666666664</v>
      </c>
      <c r="C213" s="2">
        <v>6.805555555555555E-2</v>
      </c>
      <c r="D213" s="3">
        <v>4975</v>
      </c>
      <c r="E213" s="3">
        <v>193</v>
      </c>
      <c r="F213" s="2">
        <v>37.293055555555554</v>
      </c>
      <c r="G213" t="s">
        <v>2819</v>
      </c>
      <c r="H213" t="s">
        <v>2820</v>
      </c>
      <c r="I213" s="2">
        <v>2.0416666666666665</v>
      </c>
      <c r="J213" s="4" t="str">
        <f>IF(Table1[[#This Row],[processing_time_hours]]&gt;1.5,"Slow", "Fast")</f>
        <v>Slow</v>
      </c>
      <c r="K213" t="s">
        <v>2814</v>
      </c>
      <c r="L213" s="3">
        <v>0</v>
      </c>
      <c r="M213" t="str">
        <f>IF(Table1[[#This Row],[delayed]]=1,"Delayed","On Time")</f>
        <v>On Time</v>
      </c>
      <c r="N213" t="str">
        <f>IF(AND(Table1[[#This Row],[delayed]]=1,Table1[[#This Row],[weather_condition]]="Storm"),"High Risk", IF(Table1[[#This Row],[delayed]]=1,"Medium Risk","Low Risk"))</f>
        <v>Low Risk</v>
      </c>
    </row>
    <row r="214" spans="1:14" x14ac:dyDescent="0.35">
      <c r="A214">
        <v>213</v>
      </c>
      <c r="B214" s="1">
        <v>44935.833333333336</v>
      </c>
      <c r="C214" s="2">
        <v>5.3472222222222227E-2</v>
      </c>
      <c r="D214" s="3">
        <v>283</v>
      </c>
      <c r="E214" s="3">
        <v>146</v>
      </c>
      <c r="F214" s="2">
        <v>71.128472222222214</v>
      </c>
      <c r="G214" t="s">
        <v>2815</v>
      </c>
      <c r="H214" t="s">
        <v>2820</v>
      </c>
      <c r="I214" s="2">
        <v>2.5416666666666665</v>
      </c>
      <c r="J214" s="4" t="str">
        <f>IF(Table1[[#This Row],[processing_time_hours]]&gt;1.5,"Slow", "Fast")</f>
        <v>Slow</v>
      </c>
      <c r="K214" t="s">
        <v>2818</v>
      </c>
      <c r="L214" s="3">
        <v>1</v>
      </c>
      <c r="M214" t="str">
        <f>IF(Table1[[#This Row],[delayed]]=1,"Delayed","On Time")</f>
        <v>Delayed</v>
      </c>
      <c r="N214" t="str">
        <f>IF(AND(Table1[[#This Row],[delayed]]=1,Table1[[#This Row],[weather_condition]]="Storm"),"High Risk", IF(Table1[[#This Row],[delayed]]=1,"Medium Risk","Low Risk"))</f>
        <v>Medium Risk</v>
      </c>
    </row>
    <row r="215" spans="1:14" x14ac:dyDescent="0.35">
      <c r="A215">
        <v>214</v>
      </c>
      <c r="B215" s="1">
        <v>44935.875</v>
      </c>
      <c r="C215" s="2">
        <v>5.8333333333333327E-2</v>
      </c>
      <c r="D215" s="3">
        <v>2025</v>
      </c>
      <c r="E215" s="3">
        <v>31</v>
      </c>
      <c r="F215" s="2">
        <v>54.500694444444441</v>
      </c>
      <c r="G215" t="s">
        <v>2819</v>
      </c>
      <c r="H215" t="s">
        <v>2822</v>
      </c>
      <c r="I215" s="2">
        <v>2.7916666666666665</v>
      </c>
      <c r="J215" s="4" t="str">
        <f>IF(Table1[[#This Row],[processing_time_hours]]&gt;1.5,"Slow", "Fast")</f>
        <v>Slow</v>
      </c>
      <c r="K215" t="s">
        <v>2814</v>
      </c>
      <c r="L215" s="3">
        <v>0</v>
      </c>
      <c r="M215" t="str">
        <f>IF(Table1[[#This Row],[delayed]]=1,"Delayed","On Time")</f>
        <v>On Time</v>
      </c>
      <c r="N215" t="str">
        <f>IF(AND(Table1[[#This Row],[delayed]]=1,Table1[[#This Row],[weather_condition]]="Storm"),"High Risk", IF(Table1[[#This Row],[delayed]]=1,"Medium Risk","Low Risk"))</f>
        <v>Low Risk</v>
      </c>
    </row>
    <row r="216" spans="1:14" x14ac:dyDescent="0.35">
      <c r="A216">
        <v>215</v>
      </c>
      <c r="B216" s="1">
        <v>44935.916666666664</v>
      </c>
      <c r="C216" s="2">
        <v>4.3055555555555562E-2</v>
      </c>
      <c r="D216" s="3">
        <v>72</v>
      </c>
      <c r="E216" s="3">
        <v>1</v>
      </c>
      <c r="F216" s="2">
        <v>14.046527777777778</v>
      </c>
      <c r="G216" t="s">
        <v>2819</v>
      </c>
      <c r="H216" t="s">
        <v>2813</v>
      </c>
      <c r="I216" s="2">
        <v>2.7097222222222221</v>
      </c>
      <c r="J216" s="4" t="str">
        <f>IF(Table1[[#This Row],[processing_time_hours]]&gt;1.5,"Slow", "Fast")</f>
        <v>Slow</v>
      </c>
      <c r="K216" t="s">
        <v>2821</v>
      </c>
      <c r="L216" s="3">
        <v>1</v>
      </c>
      <c r="M216" t="str">
        <f>IF(Table1[[#This Row],[delayed]]=1,"Delayed","On Time")</f>
        <v>Delayed</v>
      </c>
      <c r="N216" t="str">
        <f>IF(AND(Table1[[#This Row],[delayed]]=1,Table1[[#This Row],[weather_condition]]="Storm"),"High Risk", IF(Table1[[#This Row],[delayed]]=1,"Medium Risk","Low Risk"))</f>
        <v>Medium Risk</v>
      </c>
    </row>
    <row r="217" spans="1:14" x14ac:dyDescent="0.35">
      <c r="A217">
        <v>216</v>
      </c>
      <c r="B217" s="1">
        <v>44935.958333333336</v>
      </c>
      <c r="C217" s="2">
        <v>4.1666666666666664E-2</v>
      </c>
      <c r="D217" s="3">
        <v>4021</v>
      </c>
      <c r="E217" s="3">
        <v>68</v>
      </c>
      <c r="F217" s="2">
        <v>49.420138888888886</v>
      </c>
      <c r="G217" t="s">
        <v>2816</v>
      </c>
      <c r="H217" t="s">
        <v>2813</v>
      </c>
      <c r="I217" s="2">
        <v>2.9645833333333336</v>
      </c>
      <c r="J217" s="4" t="str">
        <f>IF(Table1[[#This Row],[processing_time_hours]]&gt;1.5,"Slow", "Fast")</f>
        <v>Slow</v>
      </c>
      <c r="K217" t="s">
        <v>2814</v>
      </c>
      <c r="L217" s="3">
        <v>0</v>
      </c>
      <c r="M217" t="str">
        <f>IF(Table1[[#This Row],[delayed]]=1,"Delayed","On Time")</f>
        <v>On Time</v>
      </c>
      <c r="N217" t="str">
        <f>IF(AND(Table1[[#This Row],[delayed]]=1,Table1[[#This Row],[weather_condition]]="Storm"),"High Risk", IF(Table1[[#This Row],[delayed]]=1,"Medium Risk","Low Risk"))</f>
        <v>Low Risk</v>
      </c>
    </row>
    <row r="218" spans="1:14" x14ac:dyDescent="0.35">
      <c r="A218">
        <v>217</v>
      </c>
      <c r="B218" s="1">
        <v>44936</v>
      </c>
      <c r="C218" s="2">
        <v>6.458333333333334E-2</v>
      </c>
      <c r="D218" s="3">
        <v>200</v>
      </c>
      <c r="E218" s="3">
        <v>215</v>
      </c>
      <c r="F218" s="2">
        <v>69.294444444444437</v>
      </c>
      <c r="G218" t="s">
        <v>2816</v>
      </c>
      <c r="H218" t="s">
        <v>2817</v>
      </c>
      <c r="I218" s="2">
        <v>0.20972222222222223</v>
      </c>
      <c r="J218" s="4" t="str">
        <f>IF(Table1[[#This Row],[processing_time_hours]]&gt;1.5,"Slow", "Fast")</f>
        <v>Fast</v>
      </c>
      <c r="K218" t="s">
        <v>2818</v>
      </c>
      <c r="L218" s="3">
        <v>0</v>
      </c>
      <c r="M218" t="str">
        <f>IF(Table1[[#This Row],[delayed]]=1,"Delayed","On Time")</f>
        <v>On Time</v>
      </c>
      <c r="N218" t="str">
        <f>IF(AND(Table1[[#This Row],[delayed]]=1,Table1[[#This Row],[weather_condition]]="Storm"),"High Risk", IF(Table1[[#This Row],[delayed]]=1,"Medium Risk","Low Risk"))</f>
        <v>Low Risk</v>
      </c>
    </row>
    <row r="219" spans="1:14" x14ac:dyDescent="0.35">
      <c r="A219">
        <v>218</v>
      </c>
      <c r="B219" s="1">
        <v>44936.041666666664</v>
      </c>
      <c r="C219" s="2">
        <v>5.9027777777777783E-2</v>
      </c>
      <c r="D219" s="3">
        <v>4956</v>
      </c>
      <c r="E219" s="3">
        <v>363</v>
      </c>
      <c r="F219" s="2">
        <v>4.334027777777778</v>
      </c>
      <c r="G219" t="s">
        <v>2815</v>
      </c>
      <c r="H219" t="s">
        <v>2820</v>
      </c>
      <c r="I219" s="2">
        <v>2.7506944444444446</v>
      </c>
      <c r="J219" s="4" t="str">
        <f>IF(Table1[[#This Row],[processing_time_hours]]&gt;1.5,"Slow", "Fast")</f>
        <v>Slow</v>
      </c>
      <c r="K219" t="s">
        <v>2818</v>
      </c>
      <c r="L219" s="3">
        <v>0</v>
      </c>
      <c r="M219" t="str">
        <f>IF(Table1[[#This Row],[delayed]]=1,"Delayed","On Time")</f>
        <v>On Time</v>
      </c>
      <c r="N219" t="str">
        <f>IF(AND(Table1[[#This Row],[delayed]]=1,Table1[[#This Row],[weather_condition]]="Storm"),"High Risk", IF(Table1[[#This Row],[delayed]]=1,"Medium Risk","Low Risk"))</f>
        <v>Low Risk</v>
      </c>
    </row>
    <row r="220" spans="1:14" x14ac:dyDescent="0.35">
      <c r="A220">
        <v>219</v>
      </c>
      <c r="B220" s="1">
        <v>44936.083333333336</v>
      </c>
      <c r="C220" s="2">
        <v>6.2499999999999995E-3</v>
      </c>
      <c r="D220" s="3">
        <v>1534</v>
      </c>
      <c r="E220" s="3">
        <v>187</v>
      </c>
      <c r="F220" s="2">
        <v>6.4597222222222221</v>
      </c>
      <c r="G220" t="s">
        <v>2815</v>
      </c>
      <c r="H220" t="s">
        <v>2813</v>
      </c>
      <c r="I220" s="2">
        <v>1.877777777777778</v>
      </c>
      <c r="J220" s="4" t="str">
        <f>IF(Table1[[#This Row],[processing_time_hours]]&gt;1.5,"Slow", "Fast")</f>
        <v>Slow</v>
      </c>
      <c r="K220" t="s">
        <v>2814</v>
      </c>
      <c r="L220" s="3">
        <v>0</v>
      </c>
      <c r="M220" t="str">
        <f>IF(Table1[[#This Row],[delayed]]=1,"Delayed","On Time")</f>
        <v>On Time</v>
      </c>
      <c r="N220" t="str">
        <f>IF(AND(Table1[[#This Row],[delayed]]=1,Table1[[#This Row],[weather_condition]]="Storm"),"High Risk", IF(Table1[[#This Row],[delayed]]=1,"Medium Risk","Low Risk"))</f>
        <v>Low Risk</v>
      </c>
    </row>
    <row r="221" spans="1:14" x14ac:dyDescent="0.35">
      <c r="A221">
        <v>220</v>
      </c>
      <c r="B221" s="1">
        <v>44936.125</v>
      </c>
      <c r="C221" s="2">
        <v>4.7222222222222221E-2</v>
      </c>
      <c r="D221" s="3">
        <v>239</v>
      </c>
      <c r="E221" s="3">
        <v>345</v>
      </c>
      <c r="F221" s="2">
        <v>45.834027777777777</v>
      </c>
      <c r="G221" t="s">
        <v>2812</v>
      </c>
      <c r="H221" t="s">
        <v>2817</v>
      </c>
      <c r="I221" s="2">
        <v>0.58680555555555558</v>
      </c>
      <c r="J221" s="4" t="str">
        <f>IF(Table1[[#This Row],[processing_time_hours]]&gt;1.5,"Slow", "Fast")</f>
        <v>Fast</v>
      </c>
      <c r="K221" t="s">
        <v>2818</v>
      </c>
      <c r="L221" s="3">
        <v>0</v>
      </c>
      <c r="M221" t="str">
        <f>IF(Table1[[#This Row],[delayed]]=1,"Delayed","On Time")</f>
        <v>On Time</v>
      </c>
      <c r="N221" t="str">
        <f>IF(AND(Table1[[#This Row],[delayed]]=1,Table1[[#This Row],[weather_condition]]="Storm"),"High Risk", IF(Table1[[#This Row],[delayed]]=1,"Medium Risk","Low Risk"))</f>
        <v>Low Risk</v>
      </c>
    </row>
    <row r="222" spans="1:14" x14ac:dyDescent="0.35">
      <c r="A222">
        <v>221</v>
      </c>
      <c r="B222" s="1">
        <v>44936.166666666664</v>
      </c>
      <c r="C222" s="2">
        <v>4.9999999999999996E-2</v>
      </c>
      <c r="D222" s="3">
        <v>4321</v>
      </c>
      <c r="E222" s="3">
        <v>45</v>
      </c>
      <c r="F222" s="2">
        <v>41.087499999999999</v>
      </c>
      <c r="G222" t="s">
        <v>2812</v>
      </c>
      <c r="H222" t="s">
        <v>2822</v>
      </c>
      <c r="I222" s="2">
        <v>0.12847222222222224</v>
      </c>
      <c r="J222" s="4" t="str">
        <f>IF(Table1[[#This Row],[processing_time_hours]]&gt;1.5,"Slow", "Fast")</f>
        <v>Fast</v>
      </c>
      <c r="K222" t="s">
        <v>2814</v>
      </c>
      <c r="L222" s="3">
        <v>0</v>
      </c>
      <c r="M222" t="str">
        <f>IF(Table1[[#This Row],[delayed]]=1,"Delayed","On Time")</f>
        <v>On Time</v>
      </c>
      <c r="N222" t="str">
        <f>IF(AND(Table1[[#This Row],[delayed]]=1,Table1[[#This Row],[weather_condition]]="Storm"),"High Risk", IF(Table1[[#This Row],[delayed]]=1,"Medium Risk","Low Risk"))</f>
        <v>Low Risk</v>
      </c>
    </row>
    <row r="223" spans="1:14" x14ac:dyDescent="0.35">
      <c r="A223">
        <v>222</v>
      </c>
      <c r="B223" s="1">
        <v>44936.208333333336</v>
      </c>
      <c r="C223" s="2">
        <v>4.8611111111111112E-3</v>
      </c>
      <c r="D223" s="3">
        <v>4354</v>
      </c>
      <c r="E223" s="3">
        <v>326</v>
      </c>
      <c r="F223" s="2">
        <v>73.586805555555557</v>
      </c>
      <c r="G223" t="s">
        <v>2812</v>
      </c>
      <c r="H223" t="s">
        <v>2820</v>
      </c>
      <c r="I223" s="2">
        <v>1.0062499999999999</v>
      </c>
      <c r="J223" s="4" t="str">
        <f>IF(Table1[[#This Row],[processing_time_hours]]&gt;1.5,"Slow", "Fast")</f>
        <v>Fast</v>
      </c>
      <c r="K223" t="s">
        <v>2821</v>
      </c>
      <c r="L223" s="3">
        <v>0</v>
      </c>
      <c r="M223" t="str">
        <f>IF(Table1[[#This Row],[delayed]]=1,"Delayed","On Time")</f>
        <v>On Time</v>
      </c>
      <c r="N223" t="str">
        <f>IF(AND(Table1[[#This Row],[delayed]]=1,Table1[[#This Row],[weather_condition]]="Storm"),"High Risk", IF(Table1[[#This Row],[delayed]]=1,"Medium Risk","Low Risk"))</f>
        <v>Low Risk</v>
      </c>
    </row>
    <row r="224" spans="1:14" x14ac:dyDescent="0.35">
      <c r="A224">
        <v>223</v>
      </c>
      <c r="B224" s="1">
        <v>44936.25</v>
      </c>
      <c r="C224" s="2">
        <v>5.8333333333333327E-2</v>
      </c>
      <c r="D224" s="3">
        <v>1681</v>
      </c>
      <c r="E224" s="3">
        <v>491</v>
      </c>
      <c r="F224" s="2">
        <v>6.1312500000000005</v>
      </c>
      <c r="G224" t="s">
        <v>2819</v>
      </c>
      <c r="H224" t="s">
        <v>2813</v>
      </c>
      <c r="I224" s="2">
        <v>0.37708333333333338</v>
      </c>
      <c r="J224" s="4" t="str">
        <f>IF(Table1[[#This Row],[processing_time_hours]]&gt;1.5,"Slow", "Fast")</f>
        <v>Fast</v>
      </c>
      <c r="K224" t="s">
        <v>2821</v>
      </c>
      <c r="L224" s="3">
        <v>0</v>
      </c>
      <c r="M224" t="str">
        <f>IF(Table1[[#This Row],[delayed]]=1,"Delayed","On Time")</f>
        <v>On Time</v>
      </c>
      <c r="N224" t="str">
        <f>IF(AND(Table1[[#This Row],[delayed]]=1,Table1[[#This Row],[weather_condition]]="Storm"),"High Risk", IF(Table1[[#This Row],[delayed]]=1,"Medium Risk","Low Risk"))</f>
        <v>Low Risk</v>
      </c>
    </row>
    <row r="225" spans="1:14" x14ac:dyDescent="0.35">
      <c r="A225">
        <v>224</v>
      </c>
      <c r="B225" s="1">
        <v>44936.291666666664</v>
      </c>
      <c r="C225" s="2">
        <v>4.4444444444444446E-2</v>
      </c>
      <c r="D225" s="3">
        <v>2238</v>
      </c>
      <c r="E225" s="3">
        <v>139</v>
      </c>
      <c r="F225" s="2">
        <v>13.584722222222224</v>
      </c>
      <c r="G225" t="s">
        <v>2819</v>
      </c>
      <c r="H225" t="s">
        <v>2820</v>
      </c>
      <c r="I225" s="2">
        <v>3</v>
      </c>
      <c r="J225" s="4" t="str">
        <f>IF(Table1[[#This Row],[processing_time_hours]]&gt;1.5,"Slow", "Fast")</f>
        <v>Slow</v>
      </c>
      <c r="K225" t="s">
        <v>2818</v>
      </c>
      <c r="L225" s="3">
        <v>0</v>
      </c>
      <c r="M225" t="str">
        <f>IF(Table1[[#This Row],[delayed]]=1,"Delayed","On Time")</f>
        <v>On Time</v>
      </c>
      <c r="N225" t="str">
        <f>IF(AND(Table1[[#This Row],[delayed]]=1,Table1[[#This Row],[weather_condition]]="Storm"),"High Risk", IF(Table1[[#This Row],[delayed]]=1,"Medium Risk","Low Risk"))</f>
        <v>Low Risk</v>
      </c>
    </row>
    <row r="226" spans="1:14" x14ac:dyDescent="0.35">
      <c r="A226">
        <v>225</v>
      </c>
      <c r="B226" s="1">
        <v>44936.333333333336</v>
      </c>
      <c r="C226" s="2">
        <v>6.6666666666666666E-2</v>
      </c>
      <c r="D226" s="3">
        <v>968</v>
      </c>
      <c r="E226" s="3">
        <v>364</v>
      </c>
      <c r="F226" s="2">
        <v>3.6256944444444446</v>
      </c>
      <c r="G226" t="s">
        <v>2819</v>
      </c>
      <c r="H226" t="s">
        <v>2822</v>
      </c>
      <c r="I226" s="2">
        <v>2.0020833333333332</v>
      </c>
      <c r="J226" s="4" t="str">
        <f>IF(Table1[[#This Row],[processing_time_hours]]&gt;1.5,"Slow", "Fast")</f>
        <v>Slow</v>
      </c>
      <c r="K226" t="s">
        <v>2818</v>
      </c>
      <c r="L226" s="3">
        <v>1</v>
      </c>
      <c r="M226" t="str">
        <f>IF(Table1[[#This Row],[delayed]]=1,"Delayed","On Time")</f>
        <v>Delayed</v>
      </c>
      <c r="N226" t="str">
        <f>IF(AND(Table1[[#This Row],[delayed]]=1,Table1[[#This Row],[weather_condition]]="Storm"),"High Risk", IF(Table1[[#This Row],[delayed]]=1,"Medium Risk","Low Risk"))</f>
        <v>Medium Risk</v>
      </c>
    </row>
    <row r="227" spans="1:14" x14ac:dyDescent="0.35">
      <c r="A227">
        <v>226</v>
      </c>
      <c r="B227" s="1">
        <v>44936.375</v>
      </c>
      <c r="C227" s="2">
        <v>5.4166666666666669E-2</v>
      </c>
      <c r="D227" s="3">
        <v>3790</v>
      </c>
      <c r="E227" s="3">
        <v>133</v>
      </c>
      <c r="F227" s="2">
        <v>34.459027777777777</v>
      </c>
      <c r="G227" t="s">
        <v>2815</v>
      </c>
      <c r="H227" t="s">
        <v>2820</v>
      </c>
      <c r="I227" s="2">
        <v>2.8340277777777776</v>
      </c>
      <c r="J227" s="4" t="str">
        <f>IF(Table1[[#This Row],[processing_time_hours]]&gt;1.5,"Slow", "Fast")</f>
        <v>Slow</v>
      </c>
      <c r="K227" t="s">
        <v>2821</v>
      </c>
      <c r="L227" s="3">
        <v>0</v>
      </c>
      <c r="M227" t="str">
        <f>IF(Table1[[#This Row],[delayed]]=1,"Delayed","On Time")</f>
        <v>On Time</v>
      </c>
      <c r="N227" t="str">
        <f>IF(AND(Table1[[#This Row],[delayed]]=1,Table1[[#This Row],[weather_condition]]="Storm"),"High Risk", IF(Table1[[#This Row],[delayed]]=1,"Medium Risk","Low Risk"))</f>
        <v>Low Risk</v>
      </c>
    </row>
    <row r="228" spans="1:14" x14ac:dyDescent="0.35">
      <c r="A228">
        <v>227</v>
      </c>
      <c r="B228" s="1">
        <v>44936.416666666664</v>
      </c>
      <c r="C228" s="2">
        <v>5.4166666666666669E-2</v>
      </c>
      <c r="D228" s="3">
        <v>2549</v>
      </c>
      <c r="E228" s="3">
        <v>195</v>
      </c>
      <c r="F228" s="2">
        <v>83.00555555555556</v>
      </c>
      <c r="G228" t="s">
        <v>2815</v>
      </c>
      <c r="H228" t="s">
        <v>2822</v>
      </c>
      <c r="I228" s="2">
        <v>1.0041666666666667</v>
      </c>
      <c r="J228" s="4" t="str">
        <f>IF(Table1[[#This Row],[processing_time_hours]]&gt;1.5,"Slow", "Fast")</f>
        <v>Fast</v>
      </c>
      <c r="K228" t="s">
        <v>2821</v>
      </c>
      <c r="L228" s="3">
        <v>1</v>
      </c>
      <c r="M228" t="str">
        <f>IF(Table1[[#This Row],[delayed]]=1,"Delayed","On Time")</f>
        <v>Delayed</v>
      </c>
      <c r="N228" t="str">
        <f>IF(AND(Table1[[#This Row],[delayed]]=1,Table1[[#This Row],[weather_condition]]="Storm"),"High Risk", IF(Table1[[#This Row],[delayed]]=1,"Medium Risk","Low Risk"))</f>
        <v>Medium Risk</v>
      </c>
    </row>
    <row r="229" spans="1:14" x14ac:dyDescent="0.35">
      <c r="A229">
        <v>228</v>
      </c>
      <c r="B229" s="1">
        <v>44936.458333333336</v>
      </c>
      <c r="C229" s="2">
        <v>4.4444444444444446E-2</v>
      </c>
      <c r="D229" s="3">
        <v>2096</v>
      </c>
      <c r="E229" s="3">
        <v>30</v>
      </c>
      <c r="F229" s="2">
        <v>5.1715277777777775</v>
      </c>
      <c r="G229" t="s">
        <v>2815</v>
      </c>
      <c r="H229" t="s">
        <v>2813</v>
      </c>
      <c r="I229" s="2">
        <v>0.66875000000000007</v>
      </c>
      <c r="J229" s="4" t="str">
        <f>IF(Table1[[#This Row],[processing_time_hours]]&gt;1.5,"Slow", "Fast")</f>
        <v>Fast</v>
      </c>
      <c r="K229" t="s">
        <v>2818</v>
      </c>
      <c r="L229" s="3">
        <v>0</v>
      </c>
      <c r="M229" t="str">
        <f>IF(Table1[[#This Row],[delayed]]=1,"Delayed","On Time")</f>
        <v>On Time</v>
      </c>
      <c r="N229" t="str">
        <f>IF(AND(Table1[[#This Row],[delayed]]=1,Table1[[#This Row],[weather_condition]]="Storm"),"High Risk", IF(Table1[[#This Row],[delayed]]=1,"Medium Risk","Low Risk"))</f>
        <v>Low Risk</v>
      </c>
    </row>
    <row r="230" spans="1:14" x14ac:dyDescent="0.35">
      <c r="A230">
        <v>229</v>
      </c>
      <c r="B230" s="1">
        <v>44936.5</v>
      </c>
      <c r="C230" s="2">
        <v>6.0416666666666667E-2</v>
      </c>
      <c r="D230" s="3">
        <v>2916</v>
      </c>
      <c r="E230" s="3">
        <v>293</v>
      </c>
      <c r="F230" s="2">
        <v>29.960416666666664</v>
      </c>
      <c r="G230" t="s">
        <v>2816</v>
      </c>
      <c r="H230" t="s">
        <v>2820</v>
      </c>
      <c r="I230" s="2">
        <v>0.75347222222222221</v>
      </c>
      <c r="J230" s="4" t="str">
        <f>IF(Table1[[#This Row],[processing_time_hours]]&gt;1.5,"Slow", "Fast")</f>
        <v>Fast</v>
      </c>
      <c r="K230" t="s">
        <v>2818</v>
      </c>
      <c r="L230" s="3">
        <v>0</v>
      </c>
      <c r="M230" t="str">
        <f>IF(Table1[[#This Row],[delayed]]=1,"Delayed","On Time")</f>
        <v>On Time</v>
      </c>
      <c r="N230" t="str">
        <f>IF(AND(Table1[[#This Row],[delayed]]=1,Table1[[#This Row],[weather_condition]]="Storm"),"High Risk", IF(Table1[[#This Row],[delayed]]=1,"Medium Risk","Low Risk"))</f>
        <v>Low Risk</v>
      </c>
    </row>
    <row r="231" spans="1:14" x14ac:dyDescent="0.35">
      <c r="A231">
        <v>230</v>
      </c>
      <c r="B231" s="1">
        <v>44936.541666666664</v>
      </c>
      <c r="C231" s="2">
        <v>6.458333333333334E-2</v>
      </c>
      <c r="D231" s="3">
        <v>3938</v>
      </c>
      <c r="E231" s="3">
        <v>311</v>
      </c>
      <c r="F231" s="2">
        <v>3.3333333333333335</v>
      </c>
      <c r="G231" t="s">
        <v>2819</v>
      </c>
      <c r="H231" t="s">
        <v>2813</v>
      </c>
      <c r="I231" s="2">
        <v>1.6291666666666667</v>
      </c>
      <c r="J231" s="4" t="str">
        <f>IF(Table1[[#This Row],[processing_time_hours]]&gt;1.5,"Slow", "Fast")</f>
        <v>Slow</v>
      </c>
      <c r="K231" t="s">
        <v>2814</v>
      </c>
      <c r="L231" s="3">
        <v>0</v>
      </c>
      <c r="M231" t="str">
        <f>IF(Table1[[#This Row],[delayed]]=1,"Delayed","On Time")</f>
        <v>On Time</v>
      </c>
      <c r="N231" t="str">
        <f>IF(AND(Table1[[#This Row],[delayed]]=1,Table1[[#This Row],[weather_condition]]="Storm"),"High Risk", IF(Table1[[#This Row],[delayed]]=1,"Medium Risk","Low Risk"))</f>
        <v>Low Risk</v>
      </c>
    </row>
    <row r="232" spans="1:14" x14ac:dyDescent="0.35">
      <c r="A232">
        <v>231</v>
      </c>
      <c r="B232" s="1">
        <v>44936.583333333336</v>
      </c>
      <c r="C232" s="2">
        <v>5.9027777777777783E-2</v>
      </c>
      <c r="D232" s="3">
        <v>3647</v>
      </c>
      <c r="E232" s="3">
        <v>466</v>
      </c>
      <c r="F232" s="2">
        <v>28.254861111111111</v>
      </c>
      <c r="G232" t="s">
        <v>2815</v>
      </c>
      <c r="H232" t="s">
        <v>2822</v>
      </c>
      <c r="I232" s="2">
        <v>0.92291666666666661</v>
      </c>
      <c r="J232" s="4" t="str">
        <f>IF(Table1[[#This Row],[processing_time_hours]]&gt;1.5,"Slow", "Fast")</f>
        <v>Fast</v>
      </c>
      <c r="K232" t="s">
        <v>2818</v>
      </c>
      <c r="L232" s="3">
        <v>0</v>
      </c>
      <c r="M232" t="str">
        <f>IF(Table1[[#This Row],[delayed]]=1,"Delayed","On Time")</f>
        <v>On Time</v>
      </c>
      <c r="N232" t="str">
        <f>IF(AND(Table1[[#This Row],[delayed]]=1,Table1[[#This Row],[weather_condition]]="Storm"),"High Risk", IF(Table1[[#This Row],[delayed]]=1,"Medium Risk","Low Risk"))</f>
        <v>Low Risk</v>
      </c>
    </row>
    <row r="233" spans="1:14" x14ac:dyDescent="0.35">
      <c r="A233">
        <v>232</v>
      </c>
      <c r="B233" s="1">
        <v>44936.625</v>
      </c>
      <c r="C233" s="2">
        <v>4.8611111111111112E-3</v>
      </c>
      <c r="D233" s="3">
        <v>4465</v>
      </c>
      <c r="E233" s="3">
        <v>386</v>
      </c>
      <c r="F233" s="2">
        <v>60.793749999999996</v>
      </c>
      <c r="G233" t="s">
        <v>2819</v>
      </c>
      <c r="H233" t="s">
        <v>2822</v>
      </c>
      <c r="I233" s="2">
        <v>0.50416666666666665</v>
      </c>
      <c r="J233" s="4" t="str">
        <f>IF(Table1[[#This Row],[processing_time_hours]]&gt;1.5,"Slow", "Fast")</f>
        <v>Fast</v>
      </c>
      <c r="K233" t="s">
        <v>2821</v>
      </c>
      <c r="L233" s="3">
        <v>0</v>
      </c>
      <c r="M233" t="str">
        <f>IF(Table1[[#This Row],[delayed]]=1,"Delayed","On Time")</f>
        <v>On Time</v>
      </c>
      <c r="N233" t="str">
        <f>IF(AND(Table1[[#This Row],[delayed]]=1,Table1[[#This Row],[weather_condition]]="Storm"),"High Risk", IF(Table1[[#This Row],[delayed]]=1,"Medium Risk","Low Risk"))</f>
        <v>Low Risk</v>
      </c>
    </row>
    <row r="234" spans="1:14" x14ac:dyDescent="0.35">
      <c r="A234">
        <v>233</v>
      </c>
      <c r="B234" s="1">
        <v>44936.666666666664</v>
      </c>
      <c r="C234" s="2">
        <v>6.3194444444444442E-2</v>
      </c>
      <c r="D234" s="3">
        <v>70</v>
      </c>
      <c r="E234" s="3">
        <v>272</v>
      </c>
      <c r="F234" s="2">
        <v>10.711805555555555</v>
      </c>
      <c r="G234" t="s">
        <v>2812</v>
      </c>
      <c r="H234" t="s">
        <v>2822</v>
      </c>
      <c r="I234" s="2">
        <v>1.4611111111111112</v>
      </c>
      <c r="J234" s="4" t="str">
        <f>IF(Table1[[#This Row],[processing_time_hours]]&gt;1.5,"Slow", "Fast")</f>
        <v>Fast</v>
      </c>
      <c r="K234" t="s">
        <v>2818</v>
      </c>
      <c r="L234" s="3">
        <v>0</v>
      </c>
      <c r="M234" t="str">
        <f>IF(Table1[[#This Row],[delayed]]=1,"Delayed","On Time")</f>
        <v>On Time</v>
      </c>
      <c r="N234" t="str">
        <f>IF(AND(Table1[[#This Row],[delayed]]=1,Table1[[#This Row],[weather_condition]]="Storm"),"High Risk", IF(Table1[[#This Row],[delayed]]=1,"Medium Risk","Low Risk"))</f>
        <v>Low Risk</v>
      </c>
    </row>
    <row r="235" spans="1:14" x14ac:dyDescent="0.35">
      <c r="A235">
        <v>234</v>
      </c>
      <c r="B235" s="1">
        <v>44936.708333333336</v>
      </c>
      <c r="C235" s="2">
        <v>4.5833333333333337E-2</v>
      </c>
      <c r="D235" s="3">
        <v>4438</v>
      </c>
      <c r="E235" s="3">
        <v>378</v>
      </c>
      <c r="F235" s="2">
        <v>8.8347222222222221</v>
      </c>
      <c r="G235" t="s">
        <v>2816</v>
      </c>
      <c r="H235" t="s">
        <v>2820</v>
      </c>
      <c r="I235" s="2">
        <v>1.4215277777777777</v>
      </c>
      <c r="J235" s="4" t="str">
        <f>IF(Table1[[#This Row],[processing_time_hours]]&gt;1.5,"Slow", "Fast")</f>
        <v>Fast</v>
      </c>
      <c r="K235" t="s">
        <v>2821</v>
      </c>
      <c r="L235" s="3">
        <v>0</v>
      </c>
      <c r="M235" t="str">
        <f>IF(Table1[[#This Row],[delayed]]=1,"Delayed","On Time")</f>
        <v>On Time</v>
      </c>
      <c r="N235" t="str">
        <f>IF(AND(Table1[[#This Row],[delayed]]=1,Table1[[#This Row],[weather_condition]]="Storm"),"High Risk", IF(Table1[[#This Row],[delayed]]=1,"Medium Risk","Low Risk"))</f>
        <v>Low Risk</v>
      </c>
    </row>
    <row r="236" spans="1:14" x14ac:dyDescent="0.35">
      <c r="A236">
        <v>235</v>
      </c>
      <c r="B236" s="1">
        <v>44936.75</v>
      </c>
      <c r="C236" s="2">
        <v>6.458333333333334E-2</v>
      </c>
      <c r="D236" s="3">
        <v>1770</v>
      </c>
      <c r="E236" s="3">
        <v>426</v>
      </c>
      <c r="F236" s="2">
        <v>6.0027777777777773</v>
      </c>
      <c r="G236" t="s">
        <v>2812</v>
      </c>
      <c r="H236" t="s">
        <v>2817</v>
      </c>
      <c r="I236" s="2">
        <v>2.4597222222222221</v>
      </c>
      <c r="J236" s="4" t="str">
        <f>IF(Table1[[#This Row],[processing_time_hours]]&gt;1.5,"Slow", "Fast")</f>
        <v>Slow</v>
      </c>
      <c r="K236" t="s">
        <v>2821</v>
      </c>
      <c r="L236" s="3">
        <v>1</v>
      </c>
      <c r="M236" t="str">
        <f>IF(Table1[[#This Row],[delayed]]=1,"Delayed","On Time")</f>
        <v>Delayed</v>
      </c>
      <c r="N236" t="str">
        <f>IF(AND(Table1[[#This Row],[delayed]]=1,Table1[[#This Row],[weather_condition]]="Storm"),"High Risk", IF(Table1[[#This Row],[delayed]]=1,"Medium Risk","Low Risk"))</f>
        <v>High Risk</v>
      </c>
    </row>
    <row r="237" spans="1:14" x14ac:dyDescent="0.35">
      <c r="A237">
        <v>236</v>
      </c>
      <c r="B237" s="1">
        <v>44936.791666666664</v>
      </c>
      <c r="C237" s="2">
        <v>5.7638888888888885E-2</v>
      </c>
      <c r="D237" s="3">
        <v>240</v>
      </c>
      <c r="E237" s="3">
        <v>271</v>
      </c>
      <c r="F237" s="2">
        <v>76.833333333333329</v>
      </c>
      <c r="G237" t="s">
        <v>2816</v>
      </c>
      <c r="H237" t="s">
        <v>2817</v>
      </c>
      <c r="I237" s="2">
        <v>1.7520833333333332</v>
      </c>
      <c r="J237" s="4" t="str">
        <f>IF(Table1[[#This Row],[processing_time_hours]]&gt;1.5,"Slow", "Fast")</f>
        <v>Slow</v>
      </c>
      <c r="K237" t="s">
        <v>2821</v>
      </c>
      <c r="L237" s="3">
        <v>1</v>
      </c>
      <c r="M237" t="str">
        <f>IF(Table1[[#This Row],[delayed]]=1,"Delayed","On Time")</f>
        <v>Delayed</v>
      </c>
      <c r="N237" t="str">
        <f>IF(AND(Table1[[#This Row],[delayed]]=1,Table1[[#This Row],[weather_condition]]="Storm"),"High Risk", IF(Table1[[#This Row],[delayed]]=1,"Medium Risk","Low Risk"))</f>
        <v>High Risk</v>
      </c>
    </row>
    <row r="238" spans="1:14" x14ac:dyDescent="0.35">
      <c r="A238">
        <v>237</v>
      </c>
      <c r="B238" s="1">
        <v>44936.833333333336</v>
      </c>
      <c r="C238" s="2">
        <v>4.9999999999999996E-2</v>
      </c>
      <c r="D238" s="3">
        <v>4100</v>
      </c>
      <c r="E238" s="3">
        <v>384</v>
      </c>
      <c r="F238" s="2">
        <v>24.5</v>
      </c>
      <c r="G238" t="s">
        <v>2815</v>
      </c>
      <c r="H238" t="s">
        <v>2820</v>
      </c>
      <c r="I238" s="2">
        <v>0.33888888888888885</v>
      </c>
      <c r="J238" s="4" t="str">
        <f>IF(Table1[[#This Row],[processing_time_hours]]&gt;1.5,"Slow", "Fast")</f>
        <v>Fast</v>
      </c>
      <c r="K238" t="s">
        <v>2821</v>
      </c>
      <c r="L238" s="3">
        <v>1</v>
      </c>
      <c r="M238" t="str">
        <f>IF(Table1[[#This Row],[delayed]]=1,"Delayed","On Time")</f>
        <v>Delayed</v>
      </c>
      <c r="N238" t="str">
        <f>IF(AND(Table1[[#This Row],[delayed]]=1,Table1[[#This Row],[weather_condition]]="Storm"),"High Risk", IF(Table1[[#This Row],[delayed]]=1,"Medium Risk","Low Risk"))</f>
        <v>Medium Risk</v>
      </c>
    </row>
    <row r="239" spans="1:14" x14ac:dyDescent="0.35">
      <c r="A239">
        <v>238</v>
      </c>
      <c r="B239" s="1">
        <v>44936.875</v>
      </c>
      <c r="C239" s="2">
        <v>5.6250000000000001E-2</v>
      </c>
      <c r="D239" s="3">
        <v>4914</v>
      </c>
      <c r="E239" s="3">
        <v>363</v>
      </c>
      <c r="F239" s="2">
        <v>81.21041666666666</v>
      </c>
      <c r="G239" t="s">
        <v>2816</v>
      </c>
      <c r="H239" t="s">
        <v>2822</v>
      </c>
      <c r="I239" s="2">
        <v>1.5423611111111111</v>
      </c>
      <c r="J239" s="4" t="str">
        <f>IF(Table1[[#This Row],[processing_time_hours]]&gt;1.5,"Slow", "Fast")</f>
        <v>Slow</v>
      </c>
      <c r="K239" t="s">
        <v>2821</v>
      </c>
      <c r="L239" s="3">
        <v>0</v>
      </c>
      <c r="M239" t="str">
        <f>IF(Table1[[#This Row],[delayed]]=1,"Delayed","On Time")</f>
        <v>On Time</v>
      </c>
      <c r="N239" t="str">
        <f>IF(AND(Table1[[#This Row],[delayed]]=1,Table1[[#This Row],[weather_condition]]="Storm"),"High Risk", IF(Table1[[#This Row],[delayed]]=1,"Medium Risk","Low Risk"))</f>
        <v>Low Risk</v>
      </c>
    </row>
    <row r="240" spans="1:14" x14ac:dyDescent="0.35">
      <c r="A240">
        <v>239</v>
      </c>
      <c r="B240" s="1">
        <v>44936.916666666664</v>
      </c>
      <c r="C240" s="2">
        <v>5.9027777777777783E-2</v>
      </c>
      <c r="D240" s="3">
        <v>2630</v>
      </c>
      <c r="E240" s="3">
        <v>165</v>
      </c>
      <c r="F240" s="2">
        <v>27.916666666666668</v>
      </c>
      <c r="G240" t="s">
        <v>2812</v>
      </c>
      <c r="H240" t="s">
        <v>2820</v>
      </c>
      <c r="I240" s="2">
        <v>2.6687499999999997</v>
      </c>
      <c r="J240" s="4" t="str">
        <f>IF(Table1[[#This Row],[processing_time_hours]]&gt;1.5,"Slow", "Fast")</f>
        <v>Slow</v>
      </c>
      <c r="K240" t="s">
        <v>2814</v>
      </c>
      <c r="L240" s="3">
        <v>1</v>
      </c>
      <c r="M240" t="str">
        <f>IF(Table1[[#This Row],[delayed]]=1,"Delayed","On Time")</f>
        <v>Delayed</v>
      </c>
      <c r="N240" t="str">
        <f>IF(AND(Table1[[#This Row],[delayed]]=1,Table1[[#This Row],[weather_condition]]="Storm"),"High Risk", IF(Table1[[#This Row],[delayed]]=1,"Medium Risk","Low Risk"))</f>
        <v>Medium Risk</v>
      </c>
    </row>
    <row r="241" spans="1:14" x14ac:dyDescent="0.35">
      <c r="A241">
        <v>240</v>
      </c>
      <c r="B241" s="1">
        <v>44936.958333333336</v>
      </c>
      <c r="C241" s="2">
        <v>4.8611111111111112E-3</v>
      </c>
      <c r="D241" s="3">
        <v>429</v>
      </c>
      <c r="E241" s="3">
        <v>261</v>
      </c>
      <c r="F241" s="2">
        <v>4.0895833333333336</v>
      </c>
      <c r="G241" t="s">
        <v>2812</v>
      </c>
      <c r="H241" t="s">
        <v>2813</v>
      </c>
      <c r="I241" s="2">
        <v>1.8368055555555556</v>
      </c>
      <c r="J241" s="4" t="str">
        <f>IF(Table1[[#This Row],[processing_time_hours]]&gt;1.5,"Slow", "Fast")</f>
        <v>Slow</v>
      </c>
      <c r="K241" t="s">
        <v>2818</v>
      </c>
      <c r="L241" s="3">
        <v>0</v>
      </c>
      <c r="M241" t="str">
        <f>IF(Table1[[#This Row],[delayed]]=1,"Delayed","On Time")</f>
        <v>On Time</v>
      </c>
      <c r="N241" t="str">
        <f>IF(AND(Table1[[#This Row],[delayed]]=1,Table1[[#This Row],[weather_condition]]="Storm"),"High Risk", IF(Table1[[#This Row],[delayed]]=1,"Medium Risk","Low Risk"))</f>
        <v>Low Risk</v>
      </c>
    </row>
    <row r="242" spans="1:14" x14ac:dyDescent="0.35">
      <c r="A242">
        <v>241</v>
      </c>
      <c r="B242" s="1">
        <v>44937</v>
      </c>
      <c r="C242" s="2">
        <v>6.5277777777777782E-2</v>
      </c>
      <c r="D242" s="3">
        <v>4296</v>
      </c>
      <c r="E242" s="3">
        <v>59</v>
      </c>
      <c r="F242" s="2">
        <v>81.00555555555556</v>
      </c>
      <c r="G242" t="s">
        <v>2816</v>
      </c>
      <c r="H242" t="s">
        <v>2817</v>
      </c>
      <c r="I242" s="2">
        <v>0.50486111111111109</v>
      </c>
      <c r="J242" s="4" t="str">
        <f>IF(Table1[[#This Row],[processing_time_hours]]&gt;1.5,"Slow", "Fast")</f>
        <v>Fast</v>
      </c>
      <c r="K242" t="s">
        <v>2818</v>
      </c>
      <c r="L242" s="3">
        <v>0</v>
      </c>
      <c r="M242" t="str">
        <f>IF(Table1[[#This Row],[delayed]]=1,"Delayed","On Time")</f>
        <v>On Time</v>
      </c>
      <c r="N242" t="str">
        <f>IF(AND(Table1[[#This Row],[delayed]]=1,Table1[[#This Row],[weather_condition]]="Storm"),"High Risk", IF(Table1[[#This Row],[delayed]]=1,"Medium Risk","Low Risk"))</f>
        <v>Low Risk</v>
      </c>
    </row>
    <row r="243" spans="1:14" x14ac:dyDescent="0.35">
      <c r="A243">
        <v>242</v>
      </c>
      <c r="B243" s="1">
        <v>44937.041666666664</v>
      </c>
      <c r="C243" s="2">
        <v>5.3472222222222227E-2</v>
      </c>
      <c r="D243" s="3">
        <v>518</v>
      </c>
      <c r="E243" s="3">
        <v>447</v>
      </c>
      <c r="F243" s="2">
        <v>72.96319444444444</v>
      </c>
      <c r="G243" t="s">
        <v>2816</v>
      </c>
      <c r="H243" t="s">
        <v>2820</v>
      </c>
      <c r="I243" s="2">
        <v>2.3756944444444446</v>
      </c>
      <c r="J243" s="4" t="str">
        <f>IF(Table1[[#This Row],[processing_time_hours]]&gt;1.5,"Slow", "Fast")</f>
        <v>Slow</v>
      </c>
      <c r="K243" t="s">
        <v>2814</v>
      </c>
      <c r="L243" s="3">
        <v>1</v>
      </c>
      <c r="M243" t="str">
        <f>IF(Table1[[#This Row],[delayed]]=1,"Delayed","On Time")</f>
        <v>Delayed</v>
      </c>
      <c r="N243" t="str">
        <f>IF(AND(Table1[[#This Row],[delayed]]=1,Table1[[#This Row],[weather_condition]]="Storm"),"High Risk", IF(Table1[[#This Row],[delayed]]=1,"Medium Risk","Low Risk"))</f>
        <v>Medium Risk</v>
      </c>
    </row>
    <row r="244" spans="1:14" x14ac:dyDescent="0.35">
      <c r="A244">
        <v>243</v>
      </c>
      <c r="B244" s="1">
        <v>44937.083333333336</v>
      </c>
      <c r="C244" s="2">
        <v>6.6666666666666666E-2</v>
      </c>
      <c r="D244" s="3">
        <v>2832</v>
      </c>
      <c r="E244" s="3">
        <v>175</v>
      </c>
      <c r="F244" s="2">
        <v>33.881250000000001</v>
      </c>
      <c r="G244" t="s">
        <v>2816</v>
      </c>
      <c r="H244" t="s">
        <v>2813</v>
      </c>
      <c r="I244" s="2">
        <v>0.83472222222222225</v>
      </c>
      <c r="J244" s="4" t="str">
        <f>IF(Table1[[#This Row],[processing_time_hours]]&gt;1.5,"Slow", "Fast")</f>
        <v>Fast</v>
      </c>
      <c r="K244" t="s">
        <v>2814</v>
      </c>
      <c r="L244" s="3">
        <v>0</v>
      </c>
      <c r="M244" t="str">
        <f>IF(Table1[[#This Row],[delayed]]=1,"Delayed","On Time")</f>
        <v>On Time</v>
      </c>
      <c r="N244" t="str">
        <f>IF(AND(Table1[[#This Row],[delayed]]=1,Table1[[#This Row],[weather_condition]]="Storm"),"High Risk", IF(Table1[[#This Row],[delayed]]=1,"Medium Risk","Low Risk"))</f>
        <v>Low Risk</v>
      </c>
    </row>
    <row r="245" spans="1:14" x14ac:dyDescent="0.35">
      <c r="A245">
        <v>244</v>
      </c>
      <c r="B245" s="1">
        <v>44937.125</v>
      </c>
      <c r="C245" s="2">
        <v>6.458333333333334E-2</v>
      </c>
      <c r="D245" s="3">
        <v>2596</v>
      </c>
      <c r="E245" s="3">
        <v>256</v>
      </c>
      <c r="F245" s="2">
        <v>43.834722222222219</v>
      </c>
      <c r="G245" t="s">
        <v>2816</v>
      </c>
      <c r="H245" t="s">
        <v>2813</v>
      </c>
      <c r="I245" s="2">
        <v>0.96250000000000002</v>
      </c>
      <c r="J245" s="4" t="str">
        <f>IF(Table1[[#This Row],[processing_time_hours]]&gt;1.5,"Slow", "Fast")</f>
        <v>Fast</v>
      </c>
      <c r="K245" t="s">
        <v>2814</v>
      </c>
      <c r="L245" s="3">
        <v>0</v>
      </c>
      <c r="M245" t="str">
        <f>IF(Table1[[#This Row],[delayed]]=1,"Delayed","On Time")</f>
        <v>On Time</v>
      </c>
      <c r="N245" t="str">
        <f>IF(AND(Table1[[#This Row],[delayed]]=1,Table1[[#This Row],[weather_condition]]="Storm"),"High Risk", IF(Table1[[#This Row],[delayed]]=1,"Medium Risk","Low Risk"))</f>
        <v>Low Risk</v>
      </c>
    </row>
    <row r="246" spans="1:14" x14ac:dyDescent="0.35">
      <c r="A246">
        <v>245</v>
      </c>
      <c r="B246" s="1">
        <v>44937.166666666664</v>
      </c>
      <c r="C246" s="2">
        <v>4.4444444444444446E-2</v>
      </c>
      <c r="D246" s="3">
        <v>548</v>
      </c>
      <c r="E246" s="3">
        <v>263</v>
      </c>
      <c r="F246" s="2">
        <v>15.422222222222222</v>
      </c>
      <c r="G246" t="s">
        <v>2812</v>
      </c>
      <c r="H246" t="s">
        <v>2813</v>
      </c>
      <c r="I246" s="2">
        <v>0.71250000000000002</v>
      </c>
      <c r="J246" s="4" t="str">
        <f>IF(Table1[[#This Row],[processing_time_hours]]&gt;1.5,"Slow", "Fast")</f>
        <v>Fast</v>
      </c>
      <c r="K246" t="s">
        <v>2818</v>
      </c>
      <c r="L246" s="3">
        <v>0</v>
      </c>
      <c r="M246" t="str">
        <f>IF(Table1[[#This Row],[delayed]]=1,"Delayed","On Time")</f>
        <v>On Time</v>
      </c>
      <c r="N246" t="str">
        <f>IF(AND(Table1[[#This Row],[delayed]]=1,Table1[[#This Row],[weather_condition]]="Storm"),"High Risk", IF(Table1[[#This Row],[delayed]]=1,"Medium Risk","Low Risk"))</f>
        <v>Low Risk</v>
      </c>
    </row>
    <row r="247" spans="1:14" x14ac:dyDescent="0.35">
      <c r="A247">
        <v>246</v>
      </c>
      <c r="B247" s="1">
        <v>44937.208333333336</v>
      </c>
      <c r="C247" s="2">
        <v>5.9722222222222225E-2</v>
      </c>
      <c r="D247" s="3">
        <v>2992</v>
      </c>
      <c r="E247" s="3">
        <v>225</v>
      </c>
      <c r="F247" s="2">
        <v>0.5</v>
      </c>
      <c r="G247" t="s">
        <v>2819</v>
      </c>
      <c r="H247" t="s">
        <v>2813</v>
      </c>
      <c r="I247" s="2">
        <v>2.4597222222222221</v>
      </c>
      <c r="J247" s="4" t="str">
        <f>IF(Table1[[#This Row],[processing_time_hours]]&gt;1.5,"Slow", "Fast")</f>
        <v>Slow</v>
      </c>
      <c r="K247" t="s">
        <v>2821</v>
      </c>
      <c r="L247" s="3">
        <v>0</v>
      </c>
      <c r="M247" t="str">
        <f>IF(Table1[[#This Row],[delayed]]=1,"Delayed","On Time")</f>
        <v>On Time</v>
      </c>
      <c r="N247" t="str">
        <f>IF(AND(Table1[[#This Row],[delayed]]=1,Table1[[#This Row],[weather_condition]]="Storm"),"High Risk", IF(Table1[[#This Row],[delayed]]=1,"Medium Risk","Low Risk"))</f>
        <v>Low Risk</v>
      </c>
    </row>
    <row r="248" spans="1:14" x14ac:dyDescent="0.35">
      <c r="A248">
        <v>247</v>
      </c>
      <c r="B248" s="1">
        <v>44937.25</v>
      </c>
      <c r="C248" s="2">
        <v>4.9999999999999996E-2</v>
      </c>
      <c r="D248" s="3">
        <v>1579</v>
      </c>
      <c r="E248" s="3">
        <v>325</v>
      </c>
      <c r="F248" s="2">
        <v>47.543055555555554</v>
      </c>
      <c r="G248" t="s">
        <v>2819</v>
      </c>
      <c r="H248" t="s">
        <v>2813</v>
      </c>
      <c r="I248" s="2">
        <v>2.2555555555555555</v>
      </c>
      <c r="J248" s="4" t="str">
        <f>IF(Table1[[#This Row],[processing_time_hours]]&gt;1.5,"Slow", "Fast")</f>
        <v>Slow</v>
      </c>
      <c r="K248" t="s">
        <v>2814</v>
      </c>
      <c r="L248" s="3">
        <v>0</v>
      </c>
      <c r="M248" t="str">
        <f>IF(Table1[[#This Row],[delayed]]=1,"Delayed","On Time")</f>
        <v>On Time</v>
      </c>
      <c r="N248" t="str">
        <f>IF(AND(Table1[[#This Row],[delayed]]=1,Table1[[#This Row],[weather_condition]]="Storm"),"High Risk", IF(Table1[[#This Row],[delayed]]=1,"Medium Risk","Low Risk"))</f>
        <v>Low Risk</v>
      </c>
    </row>
    <row r="249" spans="1:14" x14ac:dyDescent="0.35">
      <c r="A249">
        <v>248</v>
      </c>
      <c r="B249" s="1">
        <v>44937.291666666664</v>
      </c>
      <c r="C249" s="2">
        <v>6.2499999999999995E-3</v>
      </c>
      <c r="D249" s="3">
        <v>336</v>
      </c>
      <c r="E249" s="3">
        <v>20</v>
      </c>
      <c r="F249" s="2">
        <v>83.045138888888886</v>
      </c>
      <c r="G249" t="s">
        <v>2819</v>
      </c>
      <c r="H249" t="s">
        <v>2822</v>
      </c>
      <c r="I249" s="2">
        <v>1.79375</v>
      </c>
      <c r="J249" s="4" t="str">
        <f>IF(Table1[[#This Row],[processing_time_hours]]&gt;1.5,"Slow", "Fast")</f>
        <v>Slow</v>
      </c>
      <c r="K249" t="s">
        <v>2821</v>
      </c>
      <c r="L249" s="3">
        <v>0</v>
      </c>
      <c r="M249" t="str">
        <f>IF(Table1[[#This Row],[delayed]]=1,"Delayed","On Time")</f>
        <v>On Time</v>
      </c>
      <c r="N249" t="str">
        <f>IF(AND(Table1[[#This Row],[delayed]]=1,Table1[[#This Row],[weather_condition]]="Storm"),"High Risk", IF(Table1[[#This Row],[delayed]]=1,"Medium Risk","Low Risk"))</f>
        <v>Low Risk</v>
      </c>
    </row>
    <row r="250" spans="1:14" x14ac:dyDescent="0.35">
      <c r="A250">
        <v>249</v>
      </c>
      <c r="B250" s="1">
        <v>44937.333333333336</v>
      </c>
      <c r="C250" s="2">
        <v>5.6944444444444443E-2</v>
      </c>
      <c r="D250" s="3">
        <v>774</v>
      </c>
      <c r="E250" s="3">
        <v>194</v>
      </c>
      <c r="F250" s="2">
        <v>41.168749999999996</v>
      </c>
      <c r="G250" t="s">
        <v>2819</v>
      </c>
      <c r="H250" t="s">
        <v>2813</v>
      </c>
      <c r="I250" s="2">
        <v>0.54375000000000007</v>
      </c>
      <c r="J250" s="4" t="str">
        <f>IF(Table1[[#This Row],[processing_time_hours]]&gt;1.5,"Slow", "Fast")</f>
        <v>Fast</v>
      </c>
      <c r="K250" t="s">
        <v>2818</v>
      </c>
      <c r="L250" s="3">
        <v>0</v>
      </c>
      <c r="M250" t="str">
        <f>IF(Table1[[#This Row],[delayed]]=1,"Delayed","On Time")</f>
        <v>On Time</v>
      </c>
      <c r="N250" t="str">
        <f>IF(AND(Table1[[#This Row],[delayed]]=1,Table1[[#This Row],[weather_condition]]="Storm"),"High Risk", IF(Table1[[#This Row],[delayed]]=1,"Medium Risk","Low Risk"))</f>
        <v>Low Risk</v>
      </c>
    </row>
    <row r="251" spans="1:14" x14ac:dyDescent="0.35">
      <c r="A251">
        <v>250</v>
      </c>
      <c r="B251" s="1">
        <v>44937.375</v>
      </c>
      <c r="C251" s="2">
        <v>5.4166666666666669E-2</v>
      </c>
      <c r="D251" s="3">
        <v>4720</v>
      </c>
      <c r="E251" s="3">
        <v>478</v>
      </c>
      <c r="F251" s="2">
        <v>9.0881944444444454</v>
      </c>
      <c r="G251" t="s">
        <v>2815</v>
      </c>
      <c r="H251" t="s">
        <v>2820</v>
      </c>
      <c r="I251" s="2">
        <v>1.5416666666666667</v>
      </c>
      <c r="J251" s="4" t="str">
        <f>IF(Table1[[#This Row],[processing_time_hours]]&gt;1.5,"Slow", "Fast")</f>
        <v>Slow</v>
      </c>
      <c r="K251" t="s">
        <v>2818</v>
      </c>
      <c r="L251" s="3">
        <v>0</v>
      </c>
      <c r="M251" t="str">
        <f>IF(Table1[[#This Row],[delayed]]=1,"Delayed","On Time")</f>
        <v>On Time</v>
      </c>
      <c r="N251" t="str">
        <f>IF(AND(Table1[[#This Row],[delayed]]=1,Table1[[#This Row],[weather_condition]]="Storm"),"High Risk", IF(Table1[[#This Row],[delayed]]=1,"Medium Risk","Low Risk"))</f>
        <v>Low Risk</v>
      </c>
    </row>
    <row r="252" spans="1:14" x14ac:dyDescent="0.35">
      <c r="A252">
        <v>251</v>
      </c>
      <c r="B252" s="1">
        <v>44937.416666666664</v>
      </c>
      <c r="C252" s="2">
        <v>6.6666666666666666E-2</v>
      </c>
      <c r="D252" s="3">
        <v>4472</v>
      </c>
      <c r="E252" s="3">
        <v>330</v>
      </c>
      <c r="F252" s="2">
        <v>70.542361111111106</v>
      </c>
      <c r="G252" t="s">
        <v>2816</v>
      </c>
      <c r="H252" t="s">
        <v>2817</v>
      </c>
      <c r="I252" s="2">
        <v>2.3770833333333332</v>
      </c>
      <c r="J252" s="4" t="str">
        <f>IF(Table1[[#This Row],[processing_time_hours]]&gt;1.5,"Slow", "Fast")</f>
        <v>Slow</v>
      </c>
      <c r="K252" t="s">
        <v>2814</v>
      </c>
      <c r="L252" s="3">
        <v>1</v>
      </c>
      <c r="M252" t="str">
        <f>IF(Table1[[#This Row],[delayed]]=1,"Delayed","On Time")</f>
        <v>Delayed</v>
      </c>
      <c r="N252" t="str">
        <f>IF(AND(Table1[[#This Row],[delayed]]=1,Table1[[#This Row],[weather_condition]]="Storm"),"High Risk", IF(Table1[[#This Row],[delayed]]=1,"Medium Risk","Low Risk"))</f>
        <v>High Risk</v>
      </c>
    </row>
    <row r="253" spans="1:14" x14ac:dyDescent="0.35">
      <c r="A253">
        <v>252</v>
      </c>
      <c r="B253" s="1">
        <v>44937.458333333336</v>
      </c>
      <c r="C253" s="2">
        <v>4.3055555555555562E-2</v>
      </c>
      <c r="D253" s="3">
        <v>3642</v>
      </c>
      <c r="E253" s="3">
        <v>224</v>
      </c>
      <c r="F253" s="2">
        <v>1.7930555555555554</v>
      </c>
      <c r="G253" t="s">
        <v>2819</v>
      </c>
      <c r="H253" t="s">
        <v>2820</v>
      </c>
      <c r="I253" s="2">
        <v>2.9215277777777775</v>
      </c>
      <c r="J253" s="4" t="str">
        <f>IF(Table1[[#This Row],[processing_time_hours]]&gt;1.5,"Slow", "Fast")</f>
        <v>Slow</v>
      </c>
      <c r="K253" t="s">
        <v>2814</v>
      </c>
      <c r="L253" s="3">
        <v>0</v>
      </c>
      <c r="M253" t="str">
        <f>IF(Table1[[#This Row],[delayed]]=1,"Delayed","On Time")</f>
        <v>On Time</v>
      </c>
      <c r="N253" t="str">
        <f>IF(AND(Table1[[#This Row],[delayed]]=1,Table1[[#This Row],[weather_condition]]="Storm"),"High Risk", IF(Table1[[#This Row],[delayed]]=1,"Medium Risk","Low Risk"))</f>
        <v>Low Risk</v>
      </c>
    </row>
    <row r="254" spans="1:14" x14ac:dyDescent="0.35">
      <c r="A254">
        <v>253</v>
      </c>
      <c r="B254" s="1">
        <v>44937.5</v>
      </c>
      <c r="C254" s="2">
        <v>5.6944444444444443E-2</v>
      </c>
      <c r="D254" s="3">
        <v>941</v>
      </c>
      <c r="E254" s="3">
        <v>290</v>
      </c>
      <c r="F254" s="2">
        <v>30.461805555555557</v>
      </c>
      <c r="G254" t="s">
        <v>2815</v>
      </c>
      <c r="H254" t="s">
        <v>2822</v>
      </c>
      <c r="I254" s="2">
        <v>2.6277777777777778</v>
      </c>
      <c r="J254" s="4" t="str">
        <f>IF(Table1[[#This Row],[processing_time_hours]]&gt;1.5,"Slow", "Fast")</f>
        <v>Slow</v>
      </c>
      <c r="K254" t="s">
        <v>2814</v>
      </c>
      <c r="L254" s="3">
        <v>0</v>
      </c>
      <c r="M254" t="str">
        <f>IF(Table1[[#This Row],[delayed]]=1,"Delayed","On Time")</f>
        <v>On Time</v>
      </c>
      <c r="N254" t="str">
        <f>IF(AND(Table1[[#This Row],[delayed]]=1,Table1[[#This Row],[weather_condition]]="Storm"),"High Risk", IF(Table1[[#This Row],[delayed]]=1,"Medium Risk","Low Risk"))</f>
        <v>Low Risk</v>
      </c>
    </row>
    <row r="255" spans="1:14" x14ac:dyDescent="0.35">
      <c r="A255">
        <v>254</v>
      </c>
      <c r="B255" s="1">
        <v>44937.541666666664</v>
      </c>
      <c r="C255" s="2">
        <v>5.0694444444444438E-2</v>
      </c>
      <c r="D255" s="3">
        <v>574</v>
      </c>
      <c r="E255" s="3">
        <v>419</v>
      </c>
      <c r="F255" s="2">
        <v>9.1305555555555546</v>
      </c>
      <c r="G255" t="s">
        <v>2812</v>
      </c>
      <c r="H255" t="s">
        <v>2817</v>
      </c>
      <c r="I255" s="2">
        <v>1.54375</v>
      </c>
      <c r="J255" s="4" t="str">
        <f>IF(Table1[[#This Row],[processing_time_hours]]&gt;1.5,"Slow", "Fast")</f>
        <v>Slow</v>
      </c>
      <c r="K255" t="s">
        <v>2821</v>
      </c>
      <c r="L255" s="3">
        <v>1</v>
      </c>
      <c r="M255" t="str">
        <f>IF(Table1[[#This Row],[delayed]]=1,"Delayed","On Time")</f>
        <v>Delayed</v>
      </c>
      <c r="N255" t="str">
        <f>IF(AND(Table1[[#This Row],[delayed]]=1,Table1[[#This Row],[weather_condition]]="Storm"),"High Risk", IF(Table1[[#This Row],[delayed]]=1,"Medium Risk","Low Risk"))</f>
        <v>High Risk</v>
      </c>
    </row>
    <row r="256" spans="1:14" x14ac:dyDescent="0.35">
      <c r="A256">
        <v>255</v>
      </c>
      <c r="B256" s="1">
        <v>44937.583333333336</v>
      </c>
      <c r="C256" s="2">
        <v>4.2361111111111106E-2</v>
      </c>
      <c r="D256" s="3">
        <v>3296</v>
      </c>
      <c r="E256" s="3">
        <v>28</v>
      </c>
      <c r="F256" s="2">
        <v>66.796527777777769</v>
      </c>
      <c r="G256" t="s">
        <v>2815</v>
      </c>
      <c r="H256" t="s">
        <v>2817</v>
      </c>
      <c r="I256" s="2">
        <v>2.1666666666666665</v>
      </c>
      <c r="J256" s="4" t="str">
        <f>IF(Table1[[#This Row],[processing_time_hours]]&gt;1.5,"Slow", "Fast")</f>
        <v>Slow</v>
      </c>
      <c r="K256" t="s">
        <v>2821</v>
      </c>
      <c r="L256" s="3">
        <v>0</v>
      </c>
      <c r="M256" t="str">
        <f>IF(Table1[[#This Row],[delayed]]=1,"Delayed","On Time")</f>
        <v>On Time</v>
      </c>
      <c r="N256" t="str">
        <f>IF(AND(Table1[[#This Row],[delayed]]=1,Table1[[#This Row],[weather_condition]]="Storm"),"High Risk", IF(Table1[[#This Row],[delayed]]=1,"Medium Risk","Low Risk"))</f>
        <v>Low Risk</v>
      </c>
    </row>
    <row r="257" spans="1:14" x14ac:dyDescent="0.35">
      <c r="A257">
        <v>256</v>
      </c>
      <c r="B257" s="1">
        <v>44937.625</v>
      </c>
      <c r="C257" s="2">
        <v>6.2499999999999995E-3</v>
      </c>
      <c r="D257" s="3">
        <v>4021</v>
      </c>
      <c r="E257" s="3">
        <v>341</v>
      </c>
      <c r="F257" s="2">
        <v>22.254166666666666</v>
      </c>
      <c r="G257" t="s">
        <v>2819</v>
      </c>
      <c r="H257" t="s">
        <v>2820</v>
      </c>
      <c r="I257" s="2">
        <v>0.58402777777777781</v>
      </c>
      <c r="J257" s="4" t="str">
        <f>IF(Table1[[#This Row],[processing_time_hours]]&gt;1.5,"Slow", "Fast")</f>
        <v>Fast</v>
      </c>
      <c r="K257" t="s">
        <v>2818</v>
      </c>
      <c r="L257" s="3">
        <v>0</v>
      </c>
      <c r="M257" t="str">
        <f>IF(Table1[[#This Row],[delayed]]=1,"Delayed","On Time")</f>
        <v>On Time</v>
      </c>
      <c r="N257" t="str">
        <f>IF(AND(Table1[[#This Row],[delayed]]=1,Table1[[#This Row],[weather_condition]]="Storm"),"High Risk", IF(Table1[[#This Row],[delayed]]=1,"Medium Risk","Low Risk"))</f>
        <v>Low Risk</v>
      </c>
    </row>
    <row r="258" spans="1:14" x14ac:dyDescent="0.35">
      <c r="A258">
        <v>257</v>
      </c>
      <c r="B258" s="1">
        <v>44937.666666666664</v>
      </c>
      <c r="C258" s="2">
        <v>5.6944444444444443E-2</v>
      </c>
      <c r="D258" s="3">
        <v>3926</v>
      </c>
      <c r="E258" s="3">
        <v>207</v>
      </c>
      <c r="F258" s="2">
        <v>26.129166666666666</v>
      </c>
      <c r="G258" t="s">
        <v>2816</v>
      </c>
      <c r="H258" t="s">
        <v>2820</v>
      </c>
      <c r="I258" s="2">
        <v>2.3368055555555558</v>
      </c>
      <c r="J258" s="4" t="str">
        <f>IF(Table1[[#This Row],[processing_time_hours]]&gt;1.5,"Slow", "Fast")</f>
        <v>Slow</v>
      </c>
      <c r="K258" t="s">
        <v>2818</v>
      </c>
      <c r="L258" s="3">
        <v>1</v>
      </c>
      <c r="M258" t="str">
        <f>IF(Table1[[#This Row],[delayed]]=1,"Delayed","On Time")</f>
        <v>Delayed</v>
      </c>
      <c r="N258" t="str">
        <f>IF(AND(Table1[[#This Row],[delayed]]=1,Table1[[#This Row],[weather_condition]]="Storm"),"High Risk", IF(Table1[[#This Row],[delayed]]=1,"Medium Risk","Low Risk"))</f>
        <v>Medium Risk</v>
      </c>
    </row>
    <row r="259" spans="1:14" x14ac:dyDescent="0.35">
      <c r="A259">
        <v>258</v>
      </c>
      <c r="B259" s="1">
        <v>44937.708333333336</v>
      </c>
      <c r="C259" s="2">
        <v>6.6666666666666666E-2</v>
      </c>
      <c r="D259" s="3">
        <v>4571</v>
      </c>
      <c r="E259" s="3">
        <v>377</v>
      </c>
      <c r="F259" s="2">
        <v>15.545138888888888</v>
      </c>
      <c r="G259" t="s">
        <v>2819</v>
      </c>
      <c r="H259" t="s">
        <v>2817</v>
      </c>
      <c r="I259" s="2">
        <v>1.5875000000000001</v>
      </c>
      <c r="J259" s="4" t="str">
        <f>IF(Table1[[#This Row],[processing_time_hours]]&gt;1.5,"Slow", "Fast")</f>
        <v>Slow</v>
      </c>
      <c r="K259" t="s">
        <v>2818</v>
      </c>
      <c r="L259" s="3">
        <v>1</v>
      </c>
      <c r="M259" t="str">
        <f>IF(Table1[[#This Row],[delayed]]=1,"Delayed","On Time")</f>
        <v>Delayed</v>
      </c>
      <c r="N259" t="str">
        <f>IF(AND(Table1[[#This Row],[delayed]]=1,Table1[[#This Row],[weather_condition]]="Storm"),"High Risk", IF(Table1[[#This Row],[delayed]]=1,"Medium Risk","Low Risk"))</f>
        <v>High Risk</v>
      </c>
    </row>
    <row r="260" spans="1:14" x14ac:dyDescent="0.35">
      <c r="A260">
        <v>259</v>
      </c>
      <c r="B260" s="1">
        <v>44937.75</v>
      </c>
      <c r="C260" s="2">
        <v>5.8333333333333327E-2</v>
      </c>
      <c r="D260" s="3">
        <v>3468</v>
      </c>
      <c r="E260" s="3">
        <v>180</v>
      </c>
      <c r="F260" s="2">
        <v>59.834027777777777</v>
      </c>
      <c r="G260" t="s">
        <v>2816</v>
      </c>
      <c r="H260" t="s">
        <v>2813</v>
      </c>
      <c r="I260" s="2">
        <v>2.963194444444444</v>
      </c>
      <c r="J260" s="4" t="str">
        <f>IF(Table1[[#This Row],[processing_time_hours]]&gt;1.5,"Slow", "Fast")</f>
        <v>Slow</v>
      </c>
      <c r="K260" t="s">
        <v>2814</v>
      </c>
      <c r="L260" s="3">
        <v>0</v>
      </c>
      <c r="M260" t="str">
        <f>IF(Table1[[#This Row],[delayed]]=1,"Delayed","On Time")</f>
        <v>On Time</v>
      </c>
      <c r="N260" t="str">
        <f>IF(AND(Table1[[#This Row],[delayed]]=1,Table1[[#This Row],[weather_condition]]="Storm"),"High Risk", IF(Table1[[#This Row],[delayed]]=1,"Medium Risk","Low Risk"))</f>
        <v>Low Risk</v>
      </c>
    </row>
    <row r="261" spans="1:14" x14ac:dyDescent="0.35">
      <c r="A261">
        <v>260</v>
      </c>
      <c r="B261" s="1">
        <v>44937.791666666664</v>
      </c>
      <c r="C261" s="2">
        <v>5.0694444444444438E-2</v>
      </c>
      <c r="D261" s="3">
        <v>870</v>
      </c>
      <c r="E261" s="3">
        <v>121</v>
      </c>
      <c r="F261" s="2">
        <v>9.4166666666666661</v>
      </c>
      <c r="G261" t="s">
        <v>2812</v>
      </c>
      <c r="H261" t="s">
        <v>2817</v>
      </c>
      <c r="I261" s="2">
        <v>1.6694444444444445</v>
      </c>
      <c r="J261" s="4" t="str">
        <f>IF(Table1[[#This Row],[processing_time_hours]]&gt;1.5,"Slow", "Fast")</f>
        <v>Slow</v>
      </c>
      <c r="K261" t="s">
        <v>2814</v>
      </c>
      <c r="L261" s="3">
        <v>1</v>
      </c>
      <c r="M261" t="str">
        <f>IF(Table1[[#This Row],[delayed]]=1,"Delayed","On Time")</f>
        <v>Delayed</v>
      </c>
      <c r="N261" t="str">
        <f>IF(AND(Table1[[#This Row],[delayed]]=1,Table1[[#This Row],[weather_condition]]="Storm"),"High Risk", IF(Table1[[#This Row],[delayed]]=1,"Medium Risk","Low Risk"))</f>
        <v>High Risk</v>
      </c>
    </row>
    <row r="262" spans="1:14" x14ac:dyDescent="0.35">
      <c r="A262">
        <v>261</v>
      </c>
      <c r="B262" s="1">
        <v>44937.833333333336</v>
      </c>
      <c r="C262" s="2">
        <v>6.8749999999999992E-2</v>
      </c>
      <c r="D262" s="3">
        <v>2086</v>
      </c>
      <c r="E262" s="3">
        <v>344</v>
      </c>
      <c r="F262" s="2">
        <v>70.547222222222231</v>
      </c>
      <c r="G262" t="s">
        <v>2819</v>
      </c>
      <c r="H262" t="s">
        <v>2822</v>
      </c>
      <c r="I262" s="2">
        <v>2.875</v>
      </c>
      <c r="J262" s="4" t="str">
        <f>IF(Table1[[#This Row],[processing_time_hours]]&gt;1.5,"Slow", "Fast")</f>
        <v>Slow</v>
      </c>
      <c r="K262" t="s">
        <v>2821</v>
      </c>
      <c r="L262" s="3">
        <v>0</v>
      </c>
      <c r="M262" t="str">
        <f>IF(Table1[[#This Row],[delayed]]=1,"Delayed","On Time")</f>
        <v>On Time</v>
      </c>
      <c r="N262" t="str">
        <f>IF(AND(Table1[[#This Row],[delayed]]=1,Table1[[#This Row],[weather_condition]]="Storm"),"High Risk", IF(Table1[[#This Row],[delayed]]=1,"Medium Risk","Low Risk"))</f>
        <v>Low Risk</v>
      </c>
    </row>
    <row r="263" spans="1:14" x14ac:dyDescent="0.35">
      <c r="A263">
        <v>262</v>
      </c>
      <c r="B263" s="1">
        <v>44937.875</v>
      </c>
      <c r="C263" s="2">
        <v>4.5138888888888888E-2</v>
      </c>
      <c r="D263" s="3">
        <v>3467</v>
      </c>
      <c r="E263" s="3">
        <v>346</v>
      </c>
      <c r="F263" s="2">
        <v>46.25</v>
      </c>
      <c r="G263" t="s">
        <v>2816</v>
      </c>
      <c r="H263" t="s">
        <v>2820</v>
      </c>
      <c r="I263" s="2">
        <v>1.7513888888888889</v>
      </c>
      <c r="J263" s="4" t="str">
        <f>IF(Table1[[#This Row],[processing_time_hours]]&gt;1.5,"Slow", "Fast")</f>
        <v>Slow</v>
      </c>
      <c r="K263" t="s">
        <v>2818</v>
      </c>
      <c r="L263" s="3">
        <v>1</v>
      </c>
      <c r="M263" t="str">
        <f>IF(Table1[[#This Row],[delayed]]=1,"Delayed","On Time")</f>
        <v>Delayed</v>
      </c>
      <c r="N263" t="str">
        <f>IF(AND(Table1[[#This Row],[delayed]]=1,Table1[[#This Row],[weather_condition]]="Storm"),"High Risk", IF(Table1[[#This Row],[delayed]]=1,"Medium Risk","Low Risk"))</f>
        <v>Medium Risk</v>
      </c>
    </row>
    <row r="264" spans="1:14" x14ac:dyDescent="0.35">
      <c r="A264">
        <v>263</v>
      </c>
      <c r="B264" s="1">
        <v>44937.916666666664</v>
      </c>
      <c r="C264" s="2">
        <v>4.3055555555555562E-2</v>
      </c>
      <c r="D264" s="3">
        <v>334</v>
      </c>
      <c r="E264" s="3">
        <v>492</v>
      </c>
      <c r="F264" s="2">
        <v>12.797916666666666</v>
      </c>
      <c r="G264" t="s">
        <v>2819</v>
      </c>
      <c r="H264" t="s">
        <v>2822</v>
      </c>
      <c r="I264" s="2">
        <v>0.8340277777777777</v>
      </c>
      <c r="J264" s="4" t="str">
        <f>IF(Table1[[#This Row],[processing_time_hours]]&gt;1.5,"Slow", "Fast")</f>
        <v>Fast</v>
      </c>
      <c r="K264" t="s">
        <v>2814</v>
      </c>
      <c r="L264" s="3">
        <v>0</v>
      </c>
      <c r="M264" t="str">
        <f>IF(Table1[[#This Row],[delayed]]=1,"Delayed","On Time")</f>
        <v>On Time</v>
      </c>
      <c r="N264" t="str">
        <f>IF(AND(Table1[[#This Row],[delayed]]=1,Table1[[#This Row],[weather_condition]]="Storm"),"High Risk", IF(Table1[[#This Row],[delayed]]=1,"Medium Risk","Low Risk"))</f>
        <v>Low Risk</v>
      </c>
    </row>
    <row r="265" spans="1:14" x14ac:dyDescent="0.35">
      <c r="A265">
        <v>264</v>
      </c>
      <c r="B265" s="1">
        <v>44937.958333333336</v>
      </c>
      <c r="C265" s="2">
        <v>6.1805555555555558E-2</v>
      </c>
      <c r="D265" s="3">
        <v>3527</v>
      </c>
      <c r="E265" s="3">
        <v>268</v>
      </c>
      <c r="F265" s="2">
        <v>61.168749999999996</v>
      </c>
      <c r="G265" t="s">
        <v>2819</v>
      </c>
      <c r="H265" t="s">
        <v>2813</v>
      </c>
      <c r="I265" s="2">
        <v>1.7097222222222221</v>
      </c>
      <c r="J265" s="4" t="str">
        <f>IF(Table1[[#This Row],[processing_time_hours]]&gt;1.5,"Slow", "Fast")</f>
        <v>Slow</v>
      </c>
      <c r="K265" t="s">
        <v>2821</v>
      </c>
      <c r="L265" s="3">
        <v>0</v>
      </c>
      <c r="M265" t="str">
        <f>IF(Table1[[#This Row],[delayed]]=1,"Delayed","On Time")</f>
        <v>On Time</v>
      </c>
      <c r="N265" t="str">
        <f>IF(AND(Table1[[#This Row],[delayed]]=1,Table1[[#This Row],[weather_condition]]="Storm"),"High Risk", IF(Table1[[#This Row],[delayed]]=1,"Medium Risk","Low Risk"))</f>
        <v>Low Risk</v>
      </c>
    </row>
    <row r="266" spans="1:14" x14ac:dyDescent="0.35">
      <c r="A266">
        <v>265</v>
      </c>
      <c r="B266" s="1">
        <v>44938</v>
      </c>
      <c r="C266" s="2">
        <v>5.2083333333333336E-2</v>
      </c>
      <c r="D266" s="3">
        <v>4176</v>
      </c>
      <c r="E266" s="3">
        <v>266</v>
      </c>
      <c r="F266" s="2">
        <v>14.628472222222221</v>
      </c>
      <c r="G266" t="s">
        <v>2815</v>
      </c>
      <c r="H266" t="s">
        <v>2813</v>
      </c>
      <c r="I266" s="2">
        <v>2.1277777777777778</v>
      </c>
      <c r="J266" s="4" t="str">
        <f>IF(Table1[[#This Row],[processing_time_hours]]&gt;1.5,"Slow", "Fast")</f>
        <v>Slow</v>
      </c>
      <c r="K266" t="s">
        <v>2821</v>
      </c>
      <c r="L266" s="3">
        <v>0</v>
      </c>
      <c r="M266" t="str">
        <f>IF(Table1[[#This Row],[delayed]]=1,"Delayed","On Time")</f>
        <v>On Time</v>
      </c>
      <c r="N266" t="str">
        <f>IF(AND(Table1[[#This Row],[delayed]]=1,Table1[[#This Row],[weather_condition]]="Storm"),"High Risk", IF(Table1[[#This Row],[delayed]]=1,"Medium Risk","Low Risk"))</f>
        <v>Low Risk</v>
      </c>
    </row>
    <row r="267" spans="1:14" x14ac:dyDescent="0.35">
      <c r="A267">
        <v>266</v>
      </c>
      <c r="B267" s="1">
        <v>44938.041666666664</v>
      </c>
      <c r="C267" s="2">
        <v>5.1388888888888894E-2</v>
      </c>
      <c r="D267" s="3">
        <v>2543</v>
      </c>
      <c r="E267" s="3">
        <v>24</v>
      </c>
      <c r="F267" s="2">
        <v>17.544444444444444</v>
      </c>
      <c r="G267" t="s">
        <v>2819</v>
      </c>
      <c r="H267" t="s">
        <v>2813</v>
      </c>
      <c r="I267" s="2">
        <v>0.125</v>
      </c>
      <c r="J267" s="4" t="str">
        <f>IF(Table1[[#This Row],[processing_time_hours]]&gt;1.5,"Slow", "Fast")</f>
        <v>Fast</v>
      </c>
      <c r="K267" t="s">
        <v>2818</v>
      </c>
      <c r="L267" s="3">
        <v>1</v>
      </c>
      <c r="M267" t="str">
        <f>IF(Table1[[#This Row],[delayed]]=1,"Delayed","On Time")</f>
        <v>Delayed</v>
      </c>
      <c r="N267" t="str">
        <f>IF(AND(Table1[[#This Row],[delayed]]=1,Table1[[#This Row],[weather_condition]]="Storm"),"High Risk", IF(Table1[[#This Row],[delayed]]=1,"Medium Risk","Low Risk"))</f>
        <v>Medium Risk</v>
      </c>
    </row>
    <row r="268" spans="1:14" x14ac:dyDescent="0.35">
      <c r="A268">
        <v>267</v>
      </c>
      <c r="B268" s="1">
        <v>44938.083333333336</v>
      </c>
      <c r="C268" s="2">
        <v>6.5972222222222224E-2</v>
      </c>
      <c r="D268" s="3">
        <v>2953</v>
      </c>
      <c r="E268" s="3">
        <v>132</v>
      </c>
      <c r="F268" s="2">
        <v>45.96319444444444</v>
      </c>
      <c r="G268" t="s">
        <v>2812</v>
      </c>
      <c r="H268" t="s">
        <v>2822</v>
      </c>
      <c r="I268" s="2">
        <v>2.504861111111111</v>
      </c>
      <c r="J268" s="4" t="str">
        <f>IF(Table1[[#This Row],[processing_time_hours]]&gt;1.5,"Slow", "Fast")</f>
        <v>Slow</v>
      </c>
      <c r="K268" t="s">
        <v>2814</v>
      </c>
      <c r="L268" s="3">
        <v>1</v>
      </c>
      <c r="M268" t="str">
        <f>IF(Table1[[#This Row],[delayed]]=1,"Delayed","On Time")</f>
        <v>Delayed</v>
      </c>
      <c r="N268" t="str">
        <f>IF(AND(Table1[[#This Row],[delayed]]=1,Table1[[#This Row],[weather_condition]]="Storm"),"High Risk", IF(Table1[[#This Row],[delayed]]=1,"Medium Risk","Low Risk"))</f>
        <v>Medium Risk</v>
      </c>
    </row>
    <row r="269" spans="1:14" x14ac:dyDescent="0.35">
      <c r="A269">
        <v>268</v>
      </c>
      <c r="B269" s="1">
        <v>44938.125</v>
      </c>
      <c r="C269" s="2">
        <v>5.0694444444444438E-2</v>
      </c>
      <c r="D269" s="3">
        <v>2780</v>
      </c>
      <c r="E269" s="3">
        <v>468</v>
      </c>
      <c r="F269" s="2">
        <v>74.920138888888886</v>
      </c>
      <c r="G269" t="s">
        <v>2812</v>
      </c>
      <c r="H269" t="s">
        <v>2813</v>
      </c>
      <c r="I269" s="2">
        <v>2.0874999999999999</v>
      </c>
      <c r="J269" s="4" t="str">
        <f>IF(Table1[[#This Row],[processing_time_hours]]&gt;1.5,"Slow", "Fast")</f>
        <v>Slow</v>
      </c>
      <c r="K269" t="s">
        <v>2821</v>
      </c>
      <c r="L269" s="3">
        <v>0</v>
      </c>
      <c r="M269" t="str">
        <f>IF(Table1[[#This Row],[delayed]]=1,"Delayed","On Time")</f>
        <v>On Time</v>
      </c>
      <c r="N269" t="str">
        <f>IF(AND(Table1[[#This Row],[delayed]]=1,Table1[[#This Row],[weather_condition]]="Storm"),"High Risk", IF(Table1[[#This Row],[delayed]]=1,"Medium Risk","Low Risk"))</f>
        <v>Low Risk</v>
      </c>
    </row>
    <row r="270" spans="1:14" x14ac:dyDescent="0.35">
      <c r="A270">
        <v>269</v>
      </c>
      <c r="B270" s="1">
        <v>44938.166666666664</v>
      </c>
      <c r="C270" s="2">
        <v>6.6666666666666666E-2</v>
      </c>
      <c r="D270" s="3">
        <v>2295</v>
      </c>
      <c r="E270" s="3">
        <v>156</v>
      </c>
      <c r="F270" s="2">
        <v>69.543750000000003</v>
      </c>
      <c r="G270" t="s">
        <v>2819</v>
      </c>
      <c r="H270" t="s">
        <v>2817</v>
      </c>
      <c r="I270" s="2">
        <v>0.87569444444444444</v>
      </c>
      <c r="J270" s="4" t="str">
        <f>IF(Table1[[#This Row],[processing_time_hours]]&gt;1.5,"Slow", "Fast")</f>
        <v>Fast</v>
      </c>
      <c r="K270" t="s">
        <v>2821</v>
      </c>
      <c r="L270" s="3">
        <v>0</v>
      </c>
      <c r="M270" t="str">
        <f>IF(Table1[[#This Row],[delayed]]=1,"Delayed","On Time")</f>
        <v>On Time</v>
      </c>
      <c r="N270" t="str">
        <f>IF(AND(Table1[[#This Row],[delayed]]=1,Table1[[#This Row],[weather_condition]]="Storm"),"High Risk", IF(Table1[[#This Row],[delayed]]=1,"Medium Risk","Low Risk"))</f>
        <v>Low Risk</v>
      </c>
    </row>
    <row r="271" spans="1:14" x14ac:dyDescent="0.35">
      <c r="A271">
        <v>270</v>
      </c>
      <c r="B271" s="1">
        <v>44938.208333333336</v>
      </c>
      <c r="C271" s="2">
        <v>5.9722222222222225E-2</v>
      </c>
      <c r="D271" s="3">
        <v>4294</v>
      </c>
      <c r="E271" s="3">
        <v>383</v>
      </c>
      <c r="F271" s="2">
        <v>58.084027777777777</v>
      </c>
      <c r="G271" t="s">
        <v>2816</v>
      </c>
      <c r="H271" t="s">
        <v>2822</v>
      </c>
      <c r="I271" s="2">
        <v>1.1305555555555555</v>
      </c>
      <c r="J271" s="4" t="str">
        <f>IF(Table1[[#This Row],[processing_time_hours]]&gt;1.5,"Slow", "Fast")</f>
        <v>Fast</v>
      </c>
      <c r="K271" t="s">
        <v>2818</v>
      </c>
      <c r="L271" s="3">
        <v>0</v>
      </c>
      <c r="M271" t="str">
        <f>IF(Table1[[#This Row],[delayed]]=1,"Delayed","On Time")</f>
        <v>On Time</v>
      </c>
      <c r="N271" t="str">
        <f>IF(AND(Table1[[#This Row],[delayed]]=1,Table1[[#This Row],[weather_condition]]="Storm"),"High Risk", IF(Table1[[#This Row],[delayed]]=1,"Medium Risk","Low Risk"))</f>
        <v>Low Risk</v>
      </c>
    </row>
    <row r="272" spans="1:14" x14ac:dyDescent="0.35">
      <c r="A272">
        <v>271</v>
      </c>
      <c r="B272" s="1">
        <v>44938.25</v>
      </c>
      <c r="C272" s="2">
        <v>5.0694444444444438E-2</v>
      </c>
      <c r="D272" s="3">
        <v>1532</v>
      </c>
      <c r="E272" s="3">
        <v>280</v>
      </c>
      <c r="F272" s="2">
        <v>3.5013888888888887</v>
      </c>
      <c r="G272" t="s">
        <v>2815</v>
      </c>
      <c r="H272" t="s">
        <v>2820</v>
      </c>
      <c r="I272" s="2">
        <v>2.4208333333333334</v>
      </c>
      <c r="J272" s="4" t="str">
        <f>IF(Table1[[#This Row],[processing_time_hours]]&gt;1.5,"Slow", "Fast")</f>
        <v>Slow</v>
      </c>
      <c r="K272" t="s">
        <v>2821</v>
      </c>
      <c r="L272" s="3">
        <v>0</v>
      </c>
      <c r="M272" t="str">
        <f>IF(Table1[[#This Row],[delayed]]=1,"Delayed","On Time")</f>
        <v>On Time</v>
      </c>
      <c r="N272" t="str">
        <f>IF(AND(Table1[[#This Row],[delayed]]=1,Table1[[#This Row],[weather_condition]]="Storm"),"High Risk", IF(Table1[[#This Row],[delayed]]=1,"Medium Risk","Low Risk"))</f>
        <v>Low Risk</v>
      </c>
    </row>
    <row r="273" spans="1:14" x14ac:dyDescent="0.35">
      <c r="A273">
        <v>272</v>
      </c>
      <c r="B273" s="1">
        <v>44938.291666666664</v>
      </c>
      <c r="C273" s="2">
        <v>4.3055555555555562E-2</v>
      </c>
      <c r="D273" s="3">
        <v>1590</v>
      </c>
      <c r="E273" s="3">
        <v>42</v>
      </c>
      <c r="F273" s="2">
        <v>41.750694444444441</v>
      </c>
      <c r="G273" t="s">
        <v>2815</v>
      </c>
      <c r="H273" t="s">
        <v>2813</v>
      </c>
      <c r="I273" s="2">
        <v>1.7541666666666667</v>
      </c>
      <c r="J273" s="4" t="str">
        <f>IF(Table1[[#This Row],[processing_time_hours]]&gt;1.5,"Slow", "Fast")</f>
        <v>Slow</v>
      </c>
      <c r="K273" t="s">
        <v>2818</v>
      </c>
      <c r="L273" s="3">
        <v>1</v>
      </c>
      <c r="M273" t="str">
        <f>IF(Table1[[#This Row],[delayed]]=1,"Delayed","On Time")</f>
        <v>Delayed</v>
      </c>
      <c r="N273" t="str">
        <f>IF(AND(Table1[[#This Row],[delayed]]=1,Table1[[#This Row],[weather_condition]]="Storm"),"High Risk", IF(Table1[[#This Row],[delayed]]=1,"Medium Risk","Low Risk"))</f>
        <v>Medium Risk</v>
      </c>
    </row>
    <row r="274" spans="1:14" x14ac:dyDescent="0.35">
      <c r="A274">
        <v>273</v>
      </c>
      <c r="B274" s="1">
        <v>44938.333333333336</v>
      </c>
      <c r="C274" s="2">
        <v>4.8611111111111112E-3</v>
      </c>
      <c r="D274" s="3">
        <v>2647</v>
      </c>
      <c r="E274" s="3">
        <v>1</v>
      </c>
      <c r="F274" s="2">
        <v>50.753472222222221</v>
      </c>
      <c r="G274" t="s">
        <v>2815</v>
      </c>
      <c r="H274" t="s">
        <v>2822</v>
      </c>
      <c r="I274" s="2">
        <v>0.16805555555555554</v>
      </c>
      <c r="J274" s="4" t="str">
        <f>IF(Table1[[#This Row],[processing_time_hours]]&gt;1.5,"Slow", "Fast")</f>
        <v>Fast</v>
      </c>
      <c r="K274" t="s">
        <v>2821</v>
      </c>
      <c r="L274" s="3">
        <v>0</v>
      </c>
      <c r="M274" t="str">
        <f>IF(Table1[[#This Row],[delayed]]=1,"Delayed","On Time")</f>
        <v>On Time</v>
      </c>
      <c r="N274" t="str">
        <f>IF(AND(Table1[[#This Row],[delayed]]=1,Table1[[#This Row],[weather_condition]]="Storm"),"High Risk", IF(Table1[[#This Row],[delayed]]=1,"Medium Risk","Low Risk"))</f>
        <v>Low Risk</v>
      </c>
    </row>
    <row r="275" spans="1:14" x14ac:dyDescent="0.35">
      <c r="A275">
        <v>274</v>
      </c>
      <c r="B275" s="1">
        <v>44938.375</v>
      </c>
      <c r="C275" s="2">
        <v>6.8749999999999992E-2</v>
      </c>
      <c r="D275" s="3">
        <v>1525</v>
      </c>
      <c r="E275" s="3">
        <v>462</v>
      </c>
      <c r="F275" s="2">
        <v>80.126388888888883</v>
      </c>
      <c r="G275" t="s">
        <v>2812</v>
      </c>
      <c r="H275" t="s">
        <v>2822</v>
      </c>
      <c r="I275" s="2">
        <v>0.7944444444444444</v>
      </c>
      <c r="J275" s="4" t="str">
        <f>IF(Table1[[#This Row],[processing_time_hours]]&gt;1.5,"Slow", "Fast")</f>
        <v>Fast</v>
      </c>
      <c r="K275" t="s">
        <v>2814</v>
      </c>
      <c r="L275" s="3">
        <v>0</v>
      </c>
      <c r="M275" t="str">
        <f>IF(Table1[[#This Row],[delayed]]=1,"Delayed","On Time")</f>
        <v>On Time</v>
      </c>
      <c r="N275" t="str">
        <f>IF(AND(Table1[[#This Row],[delayed]]=1,Table1[[#This Row],[weather_condition]]="Storm"),"High Risk", IF(Table1[[#This Row],[delayed]]=1,"Medium Risk","Low Risk"))</f>
        <v>Low Risk</v>
      </c>
    </row>
    <row r="276" spans="1:14" x14ac:dyDescent="0.35">
      <c r="A276">
        <v>275</v>
      </c>
      <c r="B276" s="1">
        <v>44938.416666666664</v>
      </c>
      <c r="C276" s="2">
        <v>5.2777777777777778E-2</v>
      </c>
      <c r="D276" s="3">
        <v>3190</v>
      </c>
      <c r="E276" s="3">
        <v>342</v>
      </c>
      <c r="F276" s="2">
        <v>10.921527777777778</v>
      </c>
      <c r="G276" t="s">
        <v>2815</v>
      </c>
      <c r="H276" t="s">
        <v>2822</v>
      </c>
      <c r="I276" s="2">
        <v>2.0430555555555556</v>
      </c>
      <c r="J276" s="4" t="str">
        <f>IF(Table1[[#This Row],[processing_time_hours]]&gt;1.5,"Slow", "Fast")</f>
        <v>Slow</v>
      </c>
      <c r="K276" t="s">
        <v>2814</v>
      </c>
      <c r="L276" s="3">
        <v>0</v>
      </c>
      <c r="M276" t="str">
        <f>IF(Table1[[#This Row],[delayed]]=1,"Delayed","On Time")</f>
        <v>On Time</v>
      </c>
      <c r="N276" t="str">
        <f>IF(AND(Table1[[#This Row],[delayed]]=1,Table1[[#This Row],[weather_condition]]="Storm"),"High Risk", IF(Table1[[#This Row],[delayed]]=1,"Medium Risk","Low Risk"))</f>
        <v>Low Risk</v>
      </c>
    </row>
    <row r="277" spans="1:14" x14ac:dyDescent="0.35">
      <c r="A277">
        <v>276</v>
      </c>
      <c r="B277" s="1">
        <v>44938.458333333336</v>
      </c>
      <c r="C277" s="2">
        <v>4.5833333333333337E-2</v>
      </c>
      <c r="D277" s="3">
        <v>1416</v>
      </c>
      <c r="E277" s="3">
        <v>7</v>
      </c>
      <c r="F277" s="2">
        <v>48.753472222222221</v>
      </c>
      <c r="G277" t="s">
        <v>2816</v>
      </c>
      <c r="H277" t="s">
        <v>2817</v>
      </c>
      <c r="I277" s="2">
        <v>2.2937499999999997</v>
      </c>
      <c r="J277" s="4" t="str">
        <f>IF(Table1[[#This Row],[processing_time_hours]]&gt;1.5,"Slow", "Fast")</f>
        <v>Slow</v>
      </c>
      <c r="K277" t="s">
        <v>2814</v>
      </c>
      <c r="L277" s="3">
        <v>1</v>
      </c>
      <c r="M277" t="str">
        <f>IF(Table1[[#This Row],[delayed]]=1,"Delayed","On Time")</f>
        <v>Delayed</v>
      </c>
      <c r="N277" t="str">
        <f>IF(AND(Table1[[#This Row],[delayed]]=1,Table1[[#This Row],[weather_condition]]="Storm"),"High Risk", IF(Table1[[#This Row],[delayed]]=1,"Medium Risk","Low Risk"))</f>
        <v>High Risk</v>
      </c>
    </row>
    <row r="278" spans="1:14" x14ac:dyDescent="0.35">
      <c r="A278">
        <v>277</v>
      </c>
      <c r="B278" s="1">
        <v>44938.5</v>
      </c>
      <c r="C278" s="2">
        <v>4.9999999999999996E-2</v>
      </c>
      <c r="D278" s="3">
        <v>2006</v>
      </c>
      <c r="E278" s="3">
        <v>367</v>
      </c>
      <c r="F278" s="2">
        <v>80.88055555555556</v>
      </c>
      <c r="G278" t="s">
        <v>2815</v>
      </c>
      <c r="H278" t="s">
        <v>2813</v>
      </c>
      <c r="I278" s="2">
        <v>4.7916666666666663E-2</v>
      </c>
      <c r="J278" s="4" t="str">
        <f>IF(Table1[[#This Row],[processing_time_hours]]&gt;1.5,"Slow", "Fast")</f>
        <v>Fast</v>
      </c>
      <c r="K278" t="s">
        <v>2814</v>
      </c>
      <c r="L278" s="3">
        <v>0</v>
      </c>
      <c r="M278" t="str">
        <f>IF(Table1[[#This Row],[delayed]]=1,"Delayed","On Time")</f>
        <v>On Time</v>
      </c>
      <c r="N278" t="str">
        <f>IF(AND(Table1[[#This Row],[delayed]]=1,Table1[[#This Row],[weather_condition]]="Storm"),"High Risk", IF(Table1[[#This Row],[delayed]]=1,"Medium Risk","Low Risk"))</f>
        <v>Low Risk</v>
      </c>
    </row>
    <row r="279" spans="1:14" x14ac:dyDescent="0.35">
      <c r="A279">
        <v>278</v>
      </c>
      <c r="B279" s="1">
        <v>44938.541666666664</v>
      </c>
      <c r="C279" s="2">
        <v>6.6666666666666666E-2</v>
      </c>
      <c r="D279" s="3">
        <v>1683</v>
      </c>
      <c r="E279" s="3">
        <v>22</v>
      </c>
      <c r="F279" s="2">
        <v>44.25</v>
      </c>
      <c r="G279" t="s">
        <v>2815</v>
      </c>
      <c r="H279" t="s">
        <v>2817</v>
      </c>
      <c r="I279" s="2">
        <v>1.6729166666666666</v>
      </c>
      <c r="J279" s="4" t="str">
        <f>IF(Table1[[#This Row],[processing_time_hours]]&gt;1.5,"Slow", "Fast")</f>
        <v>Slow</v>
      </c>
      <c r="K279" t="s">
        <v>2821</v>
      </c>
      <c r="L279" s="3">
        <v>0</v>
      </c>
      <c r="M279" t="str">
        <f>IF(Table1[[#This Row],[delayed]]=1,"Delayed","On Time")</f>
        <v>On Time</v>
      </c>
      <c r="N279" t="str">
        <f>IF(AND(Table1[[#This Row],[delayed]]=1,Table1[[#This Row],[weather_condition]]="Storm"),"High Risk", IF(Table1[[#This Row],[delayed]]=1,"Medium Risk","Low Risk"))</f>
        <v>Low Risk</v>
      </c>
    </row>
    <row r="280" spans="1:14" x14ac:dyDescent="0.35">
      <c r="A280">
        <v>279</v>
      </c>
      <c r="B280" s="1">
        <v>44938.583333333336</v>
      </c>
      <c r="C280" s="2">
        <v>4.6527777777777779E-2</v>
      </c>
      <c r="D280" s="3">
        <v>3115</v>
      </c>
      <c r="E280" s="3">
        <v>125</v>
      </c>
      <c r="F280" s="2">
        <v>41.292361111111113</v>
      </c>
      <c r="G280" t="s">
        <v>2815</v>
      </c>
      <c r="H280" t="s">
        <v>2820</v>
      </c>
      <c r="I280" s="2">
        <v>1.1708333333333334</v>
      </c>
      <c r="J280" s="4" t="str">
        <f>IF(Table1[[#This Row],[processing_time_hours]]&gt;1.5,"Slow", "Fast")</f>
        <v>Fast</v>
      </c>
      <c r="K280" t="s">
        <v>2821</v>
      </c>
      <c r="L280" s="3">
        <v>0</v>
      </c>
      <c r="M280" t="str">
        <f>IF(Table1[[#This Row],[delayed]]=1,"Delayed","On Time")</f>
        <v>On Time</v>
      </c>
      <c r="N280" t="str">
        <f>IF(AND(Table1[[#This Row],[delayed]]=1,Table1[[#This Row],[weather_condition]]="Storm"),"High Risk", IF(Table1[[#This Row],[delayed]]=1,"Medium Risk","Low Risk"))</f>
        <v>Low Risk</v>
      </c>
    </row>
    <row r="281" spans="1:14" x14ac:dyDescent="0.35">
      <c r="A281">
        <v>280</v>
      </c>
      <c r="B281" s="1">
        <v>44938.625</v>
      </c>
      <c r="C281" s="2">
        <v>6.3194444444444442E-2</v>
      </c>
      <c r="D281" s="3">
        <v>2503</v>
      </c>
      <c r="E281" s="3">
        <v>471</v>
      </c>
      <c r="F281" s="2">
        <v>21.213888888888889</v>
      </c>
      <c r="G281" t="s">
        <v>2816</v>
      </c>
      <c r="H281" t="s">
        <v>2822</v>
      </c>
      <c r="I281" s="2">
        <v>0.21180555555555555</v>
      </c>
      <c r="J281" s="4" t="str">
        <f>IF(Table1[[#This Row],[processing_time_hours]]&gt;1.5,"Slow", "Fast")</f>
        <v>Fast</v>
      </c>
      <c r="K281" t="s">
        <v>2814</v>
      </c>
      <c r="L281" s="3">
        <v>0</v>
      </c>
      <c r="M281" t="str">
        <f>IF(Table1[[#This Row],[delayed]]=1,"Delayed","On Time")</f>
        <v>On Time</v>
      </c>
      <c r="N281" t="str">
        <f>IF(AND(Table1[[#This Row],[delayed]]=1,Table1[[#This Row],[weather_condition]]="Storm"),"High Risk", IF(Table1[[#This Row],[delayed]]=1,"Medium Risk","Low Risk"))</f>
        <v>Low Risk</v>
      </c>
    </row>
    <row r="282" spans="1:14" x14ac:dyDescent="0.35">
      <c r="A282">
        <v>281</v>
      </c>
      <c r="B282" s="1">
        <v>44938.666666666664</v>
      </c>
      <c r="C282" s="2">
        <v>4.5138888888888888E-2</v>
      </c>
      <c r="D282" s="3">
        <v>3874</v>
      </c>
      <c r="E282" s="3">
        <v>18</v>
      </c>
      <c r="F282" s="2">
        <v>45.75138888888889</v>
      </c>
      <c r="G282" t="s">
        <v>2816</v>
      </c>
      <c r="H282" t="s">
        <v>2822</v>
      </c>
      <c r="I282" s="2">
        <v>2.7944444444444443</v>
      </c>
      <c r="J282" s="4" t="str">
        <f>IF(Table1[[#This Row],[processing_time_hours]]&gt;1.5,"Slow", "Fast")</f>
        <v>Slow</v>
      </c>
      <c r="K282" t="s">
        <v>2818</v>
      </c>
      <c r="L282" s="3">
        <v>0</v>
      </c>
      <c r="M282" t="str">
        <f>IF(Table1[[#This Row],[delayed]]=1,"Delayed","On Time")</f>
        <v>On Time</v>
      </c>
      <c r="N282" t="str">
        <f>IF(AND(Table1[[#This Row],[delayed]]=1,Table1[[#This Row],[weather_condition]]="Storm"),"High Risk", IF(Table1[[#This Row],[delayed]]=1,"Medium Risk","Low Risk"))</f>
        <v>Low Risk</v>
      </c>
    </row>
    <row r="283" spans="1:14" x14ac:dyDescent="0.35">
      <c r="A283">
        <v>282</v>
      </c>
      <c r="B283" s="1">
        <v>44938.708333333336</v>
      </c>
      <c r="C283" s="2">
        <v>6.805555555555555E-2</v>
      </c>
      <c r="D283" s="3">
        <v>2949</v>
      </c>
      <c r="E283" s="3">
        <v>241</v>
      </c>
      <c r="F283" s="2">
        <v>53.544444444444444</v>
      </c>
      <c r="G283" t="s">
        <v>2816</v>
      </c>
      <c r="H283" t="s">
        <v>2822</v>
      </c>
      <c r="I283" s="2">
        <v>0.67013888888888884</v>
      </c>
      <c r="J283" s="4" t="str">
        <f>IF(Table1[[#This Row],[processing_time_hours]]&gt;1.5,"Slow", "Fast")</f>
        <v>Fast</v>
      </c>
      <c r="K283" t="s">
        <v>2814</v>
      </c>
      <c r="L283" s="3">
        <v>0</v>
      </c>
      <c r="M283" t="str">
        <f>IF(Table1[[#This Row],[delayed]]=1,"Delayed","On Time")</f>
        <v>On Time</v>
      </c>
      <c r="N283" t="str">
        <f>IF(AND(Table1[[#This Row],[delayed]]=1,Table1[[#This Row],[weather_condition]]="Storm"),"High Risk", IF(Table1[[#This Row],[delayed]]=1,"Medium Risk","Low Risk"))</f>
        <v>Low Risk</v>
      </c>
    </row>
    <row r="284" spans="1:14" x14ac:dyDescent="0.35">
      <c r="A284">
        <v>283</v>
      </c>
      <c r="B284" s="1">
        <v>44938.75</v>
      </c>
      <c r="C284" s="2">
        <v>5.6250000000000001E-2</v>
      </c>
      <c r="D284" s="3">
        <v>59</v>
      </c>
      <c r="E284" s="3">
        <v>63</v>
      </c>
      <c r="F284" s="2">
        <v>68.418750000000003</v>
      </c>
      <c r="G284" t="s">
        <v>2812</v>
      </c>
      <c r="H284" t="s">
        <v>2817</v>
      </c>
      <c r="I284" s="2">
        <v>0.50208333333333333</v>
      </c>
      <c r="J284" s="4" t="str">
        <f>IF(Table1[[#This Row],[processing_time_hours]]&gt;1.5,"Slow", "Fast")</f>
        <v>Fast</v>
      </c>
      <c r="K284" t="s">
        <v>2818</v>
      </c>
      <c r="L284" s="3">
        <v>0</v>
      </c>
      <c r="M284" t="str">
        <f>IF(Table1[[#This Row],[delayed]]=1,"Delayed","On Time")</f>
        <v>On Time</v>
      </c>
      <c r="N284" t="str">
        <f>IF(AND(Table1[[#This Row],[delayed]]=1,Table1[[#This Row],[weather_condition]]="Storm"),"High Risk", IF(Table1[[#This Row],[delayed]]=1,"Medium Risk","Low Risk"))</f>
        <v>Low Risk</v>
      </c>
    </row>
    <row r="285" spans="1:14" x14ac:dyDescent="0.35">
      <c r="A285">
        <v>284</v>
      </c>
      <c r="B285" s="1">
        <v>44938.791666666664</v>
      </c>
      <c r="C285" s="2">
        <v>4.3055555555555562E-2</v>
      </c>
      <c r="D285" s="3">
        <v>1023</v>
      </c>
      <c r="E285" s="3">
        <v>251</v>
      </c>
      <c r="F285" s="2">
        <v>44.670138888888886</v>
      </c>
      <c r="G285" t="s">
        <v>2816</v>
      </c>
      <c r="H285" t="s">
        <v>2820</v>
      </c>
      <c r="I285" s="2">
        <v>0.13055555555555556</v>
      </c>
      <c r="J285" s="4" t="str">
        <f>IF(Table1[[#This Row],[processing_time_hours]]&gt;1.5,"Slow", "Fast")</f>
        <v>Fast</v>
      </c>
      <c r="K285" t="s">
        <v>2818</v>
      </c>
      <c r="L285" s="3">
        <v>1</v>
      </c>
      <c r="M285" t="str">
        <f>IF(Table1[[#This Row],[delayed]]=1,"Delayed","On Time")</f>
        <v>Delayed</v>
      </c>
      <c r="N285" t="str">
        <f>IF(AND(Table1[[#This Row],[delayed]]=1,Table1[[#This Row],[weather_condition]]="Storm"),"High Risk", IF(Table1[[#This Row],[delayed]]=1,"Medium Risk","Low Risk"))</f>
        <v>Medium Risk</v>
      </c>
    </row>
    <row r="286" spans="1:14" x14ac:dyDescent="0.35">
      <c r="A286">
        <v>285</v>
      </c>
      <c r="B286" s="1">
        <v>44938.833333333336</v>
      </c>
      <c r="C286" s="2">
        <v>6.7361111111111108E-2</v>
      </c>
      <c r="D286" s="3">
        <v>3462</v>
      </c>
      <c r="E286" s="3">
        <v>390</v>
      </c>
      <c r="F286" s="2">
        <v>9.3368055555555554</v>
      </c>
      <c r="G286" t="s">
        <v>2812</v>
      </c>
      <c r="H286" t="s">
        <v>2822</v>
      </c>
      <c r="I286" s="2">
        <v>2.5451388888888888</v>
      </c>
      <c r="J286" s="4" t="str">
        <f>IF(Table1[[#This Row],[processing_time_hours]]&gt;1.5,"Slow", "Fast")</f>
        <v>Slow</v>
      </c>
      <c r="K286" t="s">
        <v>2814</v>
      </c>
      <c r="L286" s="3">
        <v>0</v>
      </c>
      <c r="M286" t="str">
        <f>IF(Table1[[#This Row],[delayed]]=1,"Delayed","On Time")</f>
        <v>On Time</v>
      </c>
      <c r="N286" t="str">
        <f>IF(AND(Table1[[#This Row],[delayed]]=1,Table1[[#This Row],[weather_condition]]="Storm"),"High Risk", IF(Table1[[#This Row],[delayed]]=1,"Medium Risk","Low Risk"))</f>
        <v>Low Risk</v>
      </c>
    </row>
    <row r="287" spans="1:14" x14ac:dyDescent="0.35">
      <c r="A287">
        <v>286</v>
      </c>
      <c r="B287" s="1">
        <v>44938.875</v>
      </c>
      <c r="C287" s="2">
        <v>5.1388888888888894E-2</v>
      </c>
      <c r="D287" s="3">
        <v>315</v>
      </c>
      <c r="E287" s="3">
        <v>132</v>
      </c>
      <c r="F287" s="2">
        <v>53.420138888888886</v>
      </c>
      <c r="G287" t="s">
        <v>2816</v>
      </c>
      <c r="H287" t="s">
        <v>2820</v>
      </c>
      <c r="I287" s="2">
        <v>0.83680555555555547</v>
      </c>
      <c r="J287" s="4" t="str">
        <f>IF(Table1[[#This Row],[processing_time_hours]]&gt;1.5,"Slow", "Fast")</f>
        <v>Fast</v>
      </c>
      <c r="K287" t="s">
        <v>2814</v>
      </c>
      <c r="L287" s="3">
        <v>1</v>
      </c>
      <c r="M287" t="str">
        <f>IF(Table1[[#This Row],[delayed]]=1,"Delayed","On Time")</f>
        <v>Delayed</v>
      </c>
      <c r="N287" t="str">
        <f>IF(AND(Table1[[#This Row],[delayed]]=1,Table1[[#This Row],[weather_condition]]="Storm"),"High Risk", IF(Table1[[#This Row],[delayed]]=1,"Medium Risk","Low Risk"))</f>
        <v>Medium Risk</v>
      </c>
    </row>
    <row r="288" spans="1:14" x14ac:dyDescent="0.35">
      <c r="A288">
        <v>287</v>
      </c>
      <c r="B288" s="1">
        <v>44938.916666666664</v>
      </c>
      <c r="C288" s="2">
        <v>6.1805555555555558E-2</v>
      </c>
      <c r="D288" s="3">
        <v>2706</v>
      </c>
      <c r="E288" s="3">
        <v>67</v>
      </c>
      <c r="F288" s="2">
        <v>23.588888888888889</v>
      </c>
      <c r="G288" t="s">
        <v>2819</v>
      </c>
      <c r="H288" t="s">
        <v>2820</v>
      </c>
      <c r="I288" s="2">
        <v>1.2979166666666666</v>
      </c>
      <c r="J288" s="4" t="str">
        <f>IF(Table1[[#This Row],[processing_time_hours]]&gt;1.5,"Slow", "Fast")</f>
        <v>Fast</v>
      </c>
      <c r="K288" t="s">
        <v>2814</v>
      </c>
      <c r="L288" s="3">
        <v>1</v>
      </c>
      <c r="M288" t="str">
        <f>IF(Table1[[#This Row],[delayed]]=1,"Delayed","On Time")</f>
        <v>Delayed</v>
      </c>
      <c r="N288" t="str">
        <f>IF(AND(Table1[[#This Row],[delayed]]=1,Table1[[#This Row],[weather_condition]]="Storm"),"High Risk", IF(Table1[[#This Row],[delayed]]=1,"Medium Risk","Low Risk"))</f>
        <v>Medium Risk</v>
      </c>
    </row>
    <row r="289" spans="1:14" x14ac:dyDescent="0.35">
      <c r="A289">
        <v>288</v>
      </c>
      <c r="B289" s="1">
        <v>44938.958333333336</v>
      </c>
      <c r="C289" s="2">
        <v>5.6250000000000001E-2</v>
      </c>
      <c r="D289" s="3">
        <v>497</v>
      </c>
      <c r="E289" s="3">
        <v>10</v>
      </c>
      <c r="F289" s="2">
        <v>77.96319444444444</v>
      </c>
      <c r="G289" t="s">
        <v>2816</v>
      </c>
      <c r="H289" t="s">
        <v>2820</v>
      </c>
      <c r="I289" s="2">
        <v>0.63124999999999998</v>
      </c>
      <c r="J289" s="4" t="str">
        <f>IF(Table1[[#This Row],[processing_time_hours]]&gt;1.5,"Slow", "Fast")</f>
        <v>Fast</v>
      </c>
      <c r="K289" t="s">
        <v>2814</v>
      </c>
      <c r="L289" s="3">
        <v>0</v>
      </c>
      <c r="M289" t="str">
        <f>IF(Table1[[#This Row],[delayed]]=1,"Delayed","On Time")</f>
        <v>On Time</v>
      </c>
      <c r="N289" t="str">
        <f>IF(AND(Table1[[#This Row],[delayed]]=1,Table1[[#This Row],[weather_condition]]="Storm"),"High Risk", IF(Table1[[#This Row],[delayed]]=1,"Medium Risk","Low Risk"))</f>
        <v>Low Risk</v>
      </c>
    </row>
    <row r="290" spans="1:14" x14ac:dyDescent="0.35">
      <c r="A290">
        <v>289</v>
      </c>
      <c r="B290" s="1">
        <v>44939</v>
      </c>
      <c r="C290" s="2">
        <v>4.4444444444444446E-2</v>
      </c>
      <c r="D290" s="3">
        <v>2288</v>
      </c>
      <c r="E290" s="3">
        <v>249</v>
      </c>
      <c r="F290" s="2">
        <v>17.545833333333334</v>
      </c>
      <c r="G290" t="s">
        <v>2812</v>
      </c>
      <c r="H290" t="s">
        <v>2813</v>
      </c>
      <c r="I290" s="2">
        <v>1.4583333333333333</v>
      </c>
      <c r="J290" s="4" t="str">
        <f>IF(Table1[[#This Row],[processing_time_hours]]&gt;1.5,"Slow", "Fast")</f>
        <v>Fast</v>
      </c>
      <c r="K290" t="s">
        <v>2821</v>
      </c>
      <c r="L290" s="3">
        <v>0</v>
      </c>
      <c r="M290" t="str">
        <f>IF(Table1[[#This Row],[delayed]]=1,"Delayed","On Time")</f>
        <v>On Time</v>
      </c>
      <c r="N290" t="str">
        <f>IF(AND(Table1[[#This Row],[delayed]]=1,Table1[[#This Row],[weather_condition]]="Storm"),"High Risk", IF(Table1[[#This Row],[delayed]]=1,"Medium Risk","Low Risk"))</f>
        <v>Low Risk</v>
      </c>
    </row>
    <row r="291" spans="1:14" x14ac:dyDescent="0.35">
      <c r="A291">
        <v>290</v>
      </c>
      <c r="B291" s="1">
        <v>44939.041666666664</v>
      </c>
      <c r="C291" s="2">
        <v>4.4444444444444446E-2</v>
      </c>
      <c r="D291" s="3">
        <v>4108</v>
      </c>
      <c r="E291" s="3">
        <v>414</v>
      </c>
      <c r="F291" s="2">
        <v>72.796527777777769</v>
      </c>
      <c r="G291" t="s">
        <v>2816</v>
      </c>
      <c r="H291" t="s">
        <v>2820</v>
      </c>
      <c r="I291" s="2">
        <v>2.4166666666666665</v>
      </c>
      <c r="J291" s="4" t="str">
        <f>IF(Table1[[#This Row],[processing_time_hours]]&gt;1.5,"Slow", "Fast")</f>
        <v>Slow</v>
      </c>
      <c r="K291" t="s">
        <v>2821</v>
      </c>
      <c r="L291" s="3">
        <v>0</v>
      </c>
      <c r="M291" t="str">
        <f>IF(Table1[[#This Row],[delayed]]=1,"Delayed","On Time")</f>
        <v>On Time</v>
      </c>
      <c r="N291" t="str">
        <f>IF(AND(Table1[[#This Row],[delayed]]=1,Table1[[#This Row],[weather_condition]]="Storm"),"High Risk", IF(Table1[[#This Row],[delayed]]=1,"Medium Risk","Low Risk"))</f>
        <v>Low Risk</v>
      </c>
    </row>
    <row r="292" spans="1:14" x14ac:dyDescent="0.35">
      <c r="A292">
        <v>291</v>
      </c>
      <c r="B292" s="1">
        <v>44939.083333333336</v>
      </c>
      <c r="C292" s="2">
        <v>4.5833333333333337E-2</v>
      </c>
      <c r="D292" s="3">
        <v>2945</v>
      </c>
      <c r="E292" s="3">
        <v>316</v>
      </c>
      <c r="F292" s="2">
        <v>44.047222222222224</v>
      </c>
      <c r="G292" t="s">
        <v>2816</v>
      </c>
      <c r="H292" t="s">
        <v>2820</v>
      </c>
      <c r="I292" s="2">
        <v>2.0833333333333335</v>
      </c>
      <c r="J292" s="4" t="str">
        <f>IF(Table1[[#This Row],[processing_time_hours]]&gt;1.5,"Slow", "Fast")</f>
        <v>Slow</v>
      </c>
      <c r="K292" t="s">
        <v>2814</v>
      </c>
      <c r="L292" s="3">
        <v>0</v>
      </c>
      <c r="M292" t="str">
        <f>IF(Table1[[#This Row],[delayed]]=1,"Delayed","On Time")</f>
        <v>On Time</v>
      </c>
      <c r="N292" t="str">
        <f>IF(AND(Table1[[#This Row],[delayed]]=1,Table1[[#This Row],[weather_condition]]="Storm"),"High Risk", IF(Table1[[#This Row],[delayed]]=1,"Medium Risk","Low Risk"))</f>
        <v>Low Risk</v>
      </c>
    </row>
    <row r="293" spans="1:14" x14ac:dyDescent="0.35">
      <c r="A293">
        <v>292</v>
      </c>
      <c r="B293" s="1">
        <v>44939.125</v>
      </c>
      <c r="C293" s="2">
        <v>4.5833333333333337E-2</v>
      </c>
      <c r="D293" s="3">
        <v>3907</v>
      </c>
      <c r="E293" s="3">
        <v>268</v>
      </c>
      <c r="F293" s="2">
        <v>18.171527777777779</v>
      </c>
      <c r="G293" t="s">
        <v>2819</v>
      </c>
      <c r="H293" t="s">
        <v>2813</v>
      </c>
      <c r="I293" s="2">
        <v>2.7541666666666664</v>
      </c>
      <c r="J293" s="4" t="str">
        <f>IF(Table1[[#This Row],[processing_time_hours]]&gt;1.5,"Slow", "Fast")</f>
        <v>Slow</v>
      </c>
      <c r="K293" t="s">
        <v>2821</v>
      </c>
      <c r="L293" s="3">
        <v>0</v>
      </c>
      <c r="M293" t="str">
        <f>IF(Table1[[#This Row],[delayed]]=1,"Delayed","On Time")</f>
        <v>On Time</v>
      </c>
      <c r="N293" t="str">
        <f>IF(AND(Table1[[#This Row],[delayed]]=1,Table1[[#This Row],[weather_condition]]="Storm"),"High Risk", IF(Table1[[#This Row],[delayed]]=1,"Medium Risk","Low Risk"))</f>
        <v>Low Risk</v>
      </c>
    </row>
    <row r="294" spans="1:14" x14ac:dyDescent="0.35">
      <c r="A294">
        <v>293</v>
      </c>
      <c r="B294" s="1">
        <v>44939.166666666664</v>
      </c>
      <c r="C294" s="2">
        <v>4.3055555555555562E-2</v>
      </c>
      <c r="D294" s="3">
        <v>2653</v>
      </c>
      <c r="E294" s="3">
        <v>319</v>
      </c>
      <c r="F294" s="2">
        <v>54.542361111111113</v>
      </c>
      <c r="G294" t="s">
        <v>2815</v>
      </c>
      <c r="H294" t="s">
        <v>2817</v>
      </c>
      <c r="I294" s="2">
        <v>1.8798611111111112</v>
      </c>
      <c r="J294" s="4" t="str">
        <f>IF(Table1[[#This Row],[processing_time_hours]]&gt;1.5,"Slow", "Fast")</f>
        <v>Slow</v>
      </c>
      <c r="K294" t="s">
        <v>2814</v>
      </c>
      <c r="L294" s="3">
        <v>1</v>
      </c>
      <c r="M294" t="str">
        <f>IF(Table1[[#This Row],[delayed]]=1,"Delayed","On Time")</f>
        <v>Delayed</v>
      </c>
      <c r="N294" t="str">
        <f>IF(AND(Table1[[#This Row],[delayed]]=1,Table1[[#This Row],[weather_condition]]="Storm"),"High Risk", IF(Table1[[#This Row],[delayed]]=1,"Medium Risk","Low Risk"))</f>
        <v>High Risk</v>
      </c>
    </row>
    <row r="295" spans="1:14" x14ac:dyDescent="0.35">
      <c r="A295">
        <v>294</v>
      </c>
      <c r="B295" s="1">
        <v>44939.208333333336</v>
      </c>
      <c r="C295" s="2">
        <v>4.3055555555555562E-2</v>
      </c>
      <c r="D295" s="3">
        <v>3983</v>
      </c>
      <c r="E295" s="3">
        <v>193</v>
      </c>
      <c r="F295" s="2">
        <v>69.042361111111106</v>
      </c>
      <c r="G295" t="s">
        <v>2819</v>
      </c>
      <c r="H295" t="s">
        <v>2820</v>
      </c>
      <c r="I295" s="2">
        <v>1.8368055555555556</v>
      </c>
      <c r="J295" s="4" t="str">
        <f>IF(Table1[[#This Row],[processing_time_hours]]&gt;1.5,"Slow", "Fast")</f>
        <v>Slow</v>
      </c>
      <c r="K295" t="s">
        <v>2814</v>
      </c>
      <c r="L295" s="3">
        <v>0</v>
      </c>
      <c r="M295" t="str">
        <f>IF(Table1[[#This Row],[delayed]]=1,"Delayed","On Time")</f>
        <v>On Time</v>
      </c>
      <c r="N295" t="str">
        <f>IF(AND(Table1[[#This Row],[delayed]]=1,Table1[[#This Row],[weather_condition]]="Storm"),"High Risk", IF(Table1[[#This Row],[delayed]]=1,"Medium Risk","Low Risk"))</f>
        <v>Low Risk</v>
      </c>
    </row>
    <row r="296" spans="1:14" x14ac:dyDescent="0.35">
      <c r="A296">
        <v>295</v>
      </c>
      <c r="B296" s="1">
        <v>44939.25</v>
      </c>
      <c r="C296" s="2">
        <v>6.805555555555555E-2</v>
      </c>
      <c r="D296" s="3">
        <v>126</v>
      </c>
      <c r="E296" s="3">
        <v>194</v>
      </c>
      <c r="F296" s="2">
        <v>13.004166666666668</v>
      </c>
      <c r="G296" t="s">
        <v>2812</v>
      </c>
      <c r="H296" t="s">
        <v>2813</v>
      </c>
      <c r="I296" s="2">
        <v>8.6805555555555566E-2</v>
      </c>
      <c r="J296" s="4" t="str">
        <f>IF(Table1[[#This Row],[processing_time_hours]]&gt;1.5,"Slow", "Fast")</f>
        <v>Fast</v>
      </c>
      <c r="K296" t="s">
        <v>2818</v>
      </c>
      <c r="L296" s="3">
        <v>0</v>
      </c>
      <c r="M296" t="str">
        <f>IF(Table1[[#This Row],[delayed]]=1,"Delayed","On Time")</f>
        <v>On Time</v>
      </c>
      <c r="N296" t="str">
        <f>IF(AND(Table1[[#This Row],[delayed]]=1,Table1[[#This Row],[weather_condition]]="Storm"),"High Risk", IF(Table1[[#This Row],[delayed]]=1,"Medium Risk","Low Risk"))</f>
        <v>Low Risk</v>
      </c>
    </row>
    <row r="297" spans="1:14" x14ac:dyDescent="0.35">
      <c r="A297">
        <v>296</v>
      </c>
      <c r="B297" s="1">
        <v>44939.291666666664</v>
      </c>
      <c r="C297" s="2">
        <v>4.4444444444444446E-2</v>
      </c>
      <c r="D297" s="3">
        <v>2271</v>
      </c>
      <c r="E297" s="3">
        <v>401</v>
      </c>
      <c r="F297" s="2">
        <v>10.672222222222222</v>
      </c>
      <c r="G297" t="s">
        <v>2816</v>
      </c>
      <c r="H297" t="s">
        <v>2817</v>
      </c>
      <c r="I297" s="2">
        <v>2.5465277777777779</v>
      </c>
      <c r="J297" s="4" t="str">
        <f>IF(Table1[[#This Row],[processing_time_hours]]&gt;1.5,"Slow", "Fast")</f>
        <v>Slow</v>
      </c>
      <c r="K297" t="s">
        <v>2821</v>
      </c>
      <c r="L297" s="3">
        <v>0</v>
      </c>
      <c r="M297" t="str">
        <f>IF(Table1[[#This Row],[delayed]]=1,"Delayed","On Time")</f>
        <v>On Time</v>
      </c>
      <c r="N297" t="str">
        <f>IF(AND(Table1[[#This Row],[delayed]]=1,Table1[[#This Row],[weather_condition]]="Storm"),"High Risk", IF(Table1[[#This Row],[delayed]]=1,"Medium Risk","Low Risk"))</f>
        <v>Low Risk</v>
      </c>
    </row>
    <row r="298" spans="1:14" x14ac:dyDescent="0.35">
      <c r="A298">
        <v>297</v>
      </c>
      <c r="B298" s="1">
        <v>44939.333333333336</v>
      </c>
      <c r="C298" s="2">
        <v>5.5555555555555558E-3</v>
      </c>
      <c r="D298" s="3">
        <v>2687</v>
      </c>
      <c r="E298" s="3">
        <v>447</v>
      </c>
      <c r="F298" s="2">
        <v>71.209027777777777</v>
      </c>
      <c r="G298" t="s">
        <v>2812</v>
      </c>
      <c r="H298" t="s">
        <v>2813</v>
      </c>
      <c r="I298" s="2">
        <v>1.2138888888888888</v>
      </c>
      <c r="J298" s="4" t="str">
        <f>IF(Table1[[#This Row],[processing_time_hours]]&gt;1.5,"Slow", "Fast")</f>
        <v>Fast</v>
      </c>
      <c r="K298" t="s">
        <v>2814</v>
      </c>
      <c r="L298" s="3">
        <v>0</v>
      </c>
      <c r="M298" t="str">
        <f>IF(Table1[[#This Row],[delayed]]=1,"Delayed","On Time")</f>
        <v>On Time</v>
      </c>
      <c r="N298" t="str">
        <f>IF(AND(Table1[[#This Row],[delayed]]=1,Table1[[#This Row],[weather_condition]]="Storm"),"High Risk", IF(Table1[[#This Row],[delayed]]=1,"Medium Risk","Low Risk"))</f>
        <v>Low Risk</v>
      </c>
    </row>
    <row r="299" spans="1:14" x14ac:dyDescent="0.35">
      <c r="A299">
        <v>298</v>
      </c>
      <c r="B299" s="1">
        <v>44939.375</v>
      </c>
      <c r="C299" s="2">
        <v>4.5138888888888888E-2</v>
      </c>
      <c r="D299" s="3">
        <v>2459</v>
      </c>
      <c r="E299" s="3">
        <v>73</v>
      </c>
      <c r="F299" s="2">
        <v>8.9173611111111111</v>
      </c>
      <c r="G299" t="s">
        <v>2812</v>
      </c>
      <c r="H299" t="s">
        <v>2822</v>
      </c>
      <c r="I299" s="2">
        <v>2.963888888888889</v>
      </c>
      <c r="J299" s="4" t="str">
        <f>IF(Table1[[#This Row],[processing_time_hours]]&gt;1.5,"Slow", "Fast")</f>
        <v>Slow</v>
      </c>
      <c r="K299" t="s">
        <v>2818</v>
      </c>
      <c r="L299" s="3">
        <v>1</v>
      </c>
      <c r="M299" t="str">
        <f>IF(Table1[[#This Row],[delayed]]=1,"Delayed","On Time")</f>
        <v>Delayed</v>
      </c>
      <c r="N299" t="str">
        <f>IF(AND(Table1[[#This Row],[delayed]]=1,Table1[[#This Row],[weather_condition]]="Storm"),"High Risk", IF(Table1[[#This Row],[delayed]]=1,"Medium Risk","Low Risk"))</f>
        <v>Medium Risk</v>
      </c>
    </row>
    <row r="300" spans="1:14" x14ac:dyDescent="0.35">
      <c r="A300">
        <v>299</v>
      </c>
      <c r="B300" s="1">
        <v>44939.416666666664</v>
      </c>
      <c r="C300" s="2">
        <v>4.7916666666666663E-2</v>
      </c>
      <c r="D300" s="3">
        <v>3246</v>
      </c>
      <c r="E300" s="3">
        <v>181</v>
      </c>
      <c r="F300" s="2">
        <v>67.631250000000009</v>
      </c>
      <c r="G300" t="s">
        <v>2812</v>
      </c>
      <c r="H300" t="s">
        <v>2820</v>
      </c>
      <c r="I300" s="2">
        <v>2.3784722222222223</v>
      </c>
      <c r="J300" s="4" t="str">
        <f>IF(Table1[[#This Row],[processing_time_hours]]&gt;1.5,"Slow", "Fast")</f>
        <v>Slow</v>
      </c>
      <c r="K300" t="s">
        <v>2818</v>
      </c>
      <c r="L300" s="3">
        <v>0</v>
      </c>
      <c r="M300" t="str">
        <f>IF(Table1[[#This Row],[delayed]]=1,"Delayed","On Time")</f>
        <v>On Time</v>
      </c>
      <c r="N300" t="str">
        <f>IF(AND(Table1[[#This Row],[delayed]]=1,Table1[[#This Row],[weather_condition]]="Storm"),"High Risk", IF(Table1[[#This Row],[delayed]]=1,"Medium Risk","Low Risk"))</f>
        <v>Low Risk</v>
      </c>
    </row>
    <row r="301" spans="1:14" x14ac:dyDescent="0.35">
      <c r="A301">
        <v>300</v>
      </c>
      <c r="B301" s="1">
        <v>44939.458333333336</v>
      </c>
      <c r="C301" s="2">
        <v>6.3194444444444442E-2</v>
      </c>
      <c r="D301" s="3">
        <v>3382</v>
      </c>
      <c r="E301" s="3">
        <v>216</v>
      </c>
      <c r="F301" s="2">
        <v>77.006250000000009</v>
      </c>
      <c r="G301" t="s">
        <v>2816</v>
      </c>
      <c r="H301" t="s">
        <v>2817</v>
      </c>
      <c r="I301" s="2">
        <v>2.7923611111111111</v>
      </c>
      <c r="J301" s="4" t="str">
        <f>IF(Table1[[#This Row],[processing_time_hours]]&gt;1.5,"Slow", "Fast")</f>
        <v>Slow</v>
      </c>
      <c r="K301" t="s">
        <v>2818</v>
      </c>
      <c r="L301" s="3">
        <v>0</v>
      </c>
      <c r="M301" t="str">
        <f>IF(Table1[[#This Row],[delayed]]=1,"Delayed","On Time")</f>
        <v>On Time</v>
      </c>
      <c r="N301" t="str">
        <f>IF(AND(Table1[[#This Row],[delayed]]=1,Table1[[#This Row],[weather_condition]]="Storm"),"High Risk", IF(Table1[[#This Row],[delayed]]=1,"Medium Risk","Low Risk"))</f>
        <v>Low Risk</v>
      </c>
    </row>
    <row r="302" spans="1:14" x14ac:dyDescent="0.35">
      <c r="A302">
        <v>301</v>
      </c>
      <c r="B302" s="1">
        <v>44939.5</v>
      </c>
      <c r="C302" s="2">
        <v>6.805555555555555E-2</v>
      </c>
      <c r="D302" s="3">
        <v>2676</v>
      </c>
      <c r="E302" s="3">
        <v>118</v>
      </c>
      <c r="F302" s="2">
        <v>38.628472222222221</v>
      </c>
      <c r="G302" t="s">
        <v>2812</v>
      </c>
      <c r="H302" t="s">
        <v>2822</v>
      </c>
      <c r="I302" s="2">
        <v>0.50347222222222221</v>
      </c>
      <c r="J302" s="4" t="str">
        <f>IF(Table1[[#This Row],[processing_time_hours]]&gt;1.5,"Slow", "Fast")</f>
        <v>Fast</v>
      </c>
      <c r="K302" t="s">
        <v>2818</v>
      </c>
      <c r="L302" s="3">
        <v>0</v>
      </c>
      <c r="M302" t="str">
        <f>IF(Table1[[#This Row],[delayed]]=1,"Delayed","On Time")</f>
        <v>On Time</v>
      </c>
      <c r="N302" t="str">
        <f>IF(AND(Table1[[#This Row],[delayed]]=1,Table1[[#This Row],[weather_condition]]="Storm"),"High Risk", IF(Table1[[#This Row],[delayed]]=1,"Medium Risk","Low Risk"))</f>
        <v>Low Risk</v>
      </c>
    </row>
    <row r="303" spans="1:14" x14ac:dyDescent="0.35">
      <c r="A303">
        <v>302</v>
      </c>
      <c r="B303" s="1">
        <v>44939.541666666664</v>
      </c>
      <c r="C303" s="2">
        <v>5.486111111111111E-2</v>
      </c>
      <c r="D303" s="3">
        <v>4222</v>
      </c>
      <c r="E303" s="3">
        <v>54</v>
      </c>
      <c r="F303" s="2">
        <v>55.543749999999996</v>
      </c>
      <c r="G303" t="s">
        <v>2812</v>
      </c>
      <c r="H303" t="s">
        <v>2822</v>
      </c>
      <c r="I303" s="2">
        <v>2.5840277777777776</v>
      </c>
      <c r="J303" s="4" t="str">
        <f>IF(Table1[[#This Row],[processing_time_hours]]&gt;1.5,"Slow", "Fast")</f>
        <v>Slow</v>
      </c>
      <c r="K303" t="s">
        <v>2821</v>
      </c>
      <c r="L303" s="3">
        <v>1</v>
      </c>
      <c r="M303" t="str">
        <f>IF(Table1[[#This Row],[delayed]]=1,"Delayed","On Time")</f>
        <v>Delayed</v>
      </c>
      <c r="N303" t="str">
        <f>IF(AND(Table1[[#This Row],[delayed]]=1,Table1[[#This Row],[weather_condition]]="Storm"),"High Risk", IF(Table1[[#This Row],[delayed]]=1,"Medium Risk","Low Risk"))</f>
        <v>Medium Risk</v>
      </c>
    </row>
    <row r="304" spans="1:14" x14ac:dyDescent="0.35">
      <c r="A304">
        <v>303</v>
      </c>
      <c r="B304" s="1">
        <v>44939.583333333336</v>
      </c>
      <c r="C304" s="2">
        <v>4.1666666666666666E-3</v>
      </c>
      <c r="D304" s="3">
        <v>172</v>
      </c>
      <c r="E304" s="3">
        <v>89</v>
      </c>
      <c r="F304" s="2">
        <v>13.379166666666668</v>
      </c>
      <c r="G304" t="s">
        <v>2819</v>
      </c>
      <c r="H304" t="s">
        <v>2822</v>
      </c>
      <c r="I304" s="2">
        <v>0.29375000000000001</v>
      </c>
      <c r="J304" s="4" t="str">
        <f>IF(Table1[[#This Row],[processing_time_hours]]&gt;1.5,"Slow", "Fast")</f>
        <v>Fast</v>
      </c>
      <c r="K304" t="s">
        <v>2814</v>
      </c>
      <c r="L304" s="3">
        <v>0</v>
      </c>
      <c r="M304" t="str">
        <f>IF(Table1[[#This Row],[delayed]]=1,"Delayed","On Time")</f>
        <v>On Time</v>
      </c>
      <c r="N304" t="str">
        <f>IF(AND(Table1[[#This Row],[delayed]]=1,Table1[[#This Row],[weather_condition]]="Storm"),"High Risk", IF(Table1[[#This Row],[delayed]]=1,"Medium Risk","Low Risk"))</f>
        <v>Low Risk</v>
      </c>
    </row>
    <row r="305" spans="1:14" x14ac:dyDescent="0.35">
      <c r="A305">
        <v>304</v>
      </c>
      <c r="B305" s="1">
        <v>44939.625</v>
      </c>
      <c r="C305" s="2">
        <v>4.1666666666666664E-2</v>
      </c>
      <c r="D305" s="3">
        <v>120</v>
      </c>
      <c r="E305" s="3">
        <v>1</v>
      </c>
      <c r="F305" s="2">
        <v>35.545138888888893</v>
      </c>
      <c r="G305" t="s">
        <v>2816</v>
      </c>
      <c r="H305" t="s">
        <v>2820</v>
      </c>
      <c r="I305" s="2">
        <v>0.20902777777777778</v>
      </c>
      <c r="J305" s="4" t="str">
        <f>IF(Table1[[#This Row],[processing_time_hours]]&gt;1.5,"Slow", "Fast")</f>
        <v>Fast</v>
      </c>
      <c r="K305" t="s">
        <v>2818</v>
      </c>
      <c r="L305" s="3">
        <v>1</v>
      </c>
      <c r="M305" t="str">
        <f>IF(Table1[[#This Row],[delayed]]=1,"Delayed","On Time")</f>
        <v>Delayed</v>
      </c>
      <c r="N305" t="str">
        <f>IF(AND(Table1[[#This Row],[delayed]]=1,Table1[[#This Row],[weather_condition]]="Storm"),"High Risk", IF(Table1[[#This Row],[delayed]]=1,"Medium Risk","Low Risk"))</f>
        <v>Medium Risk</v>
      </c>
    </row>
    <row r="306" spans="1:14" x14ac:dyDescent="0.35">
      <c r="A306">
        <v>305</v>
      </c>
      <c r="B306" s="1">
        <v>44939.666666666664</v>
      </c>
      <c r="C306" s="2">
        <v>4.3055555555555562E-2</v>
      </c>
      <c r="D306" s="3">
        <v>2217</v>
      </c>
      <c r="E306" s="3">
        <v>373</v>
      </c>
      <c r="F306" s="2">
        <v>9.6687500000000011</v>
      </c>
      <c r="G306" t="s">
        <v>2812</v>
      </c>
      <c r="H306" t="s">
        <v>2817</v>
      </c>
      <c r="I306" s="2">
        <v>0.17291666666666669</v>
      </c>
      <c r="J306" s="4" t="str">
        <f>IF(Table1[[#This Row],[processing_time_hours]]&gt;1.5,"Slow", "Fast")</f>
        <v>Fast</v>
      </c>
      <c r="K306" t="s">
        <v>2818</v>
      </c>
      <c r="L306" s="3">
        <v>1</v>
      </c>
      <c r="M306" t="str">
        <f>IF(Table1[[#This Row],[delayed]]=1,"Delayed","On Time")</f>
        <v>Delayed</v>
      </c>
      <c r="N306" t="str">
        <f>IF(AND(Table1[[#This Row],[delayed]]=1,Table1[[#This Row],[weather_condition]]="Storm"),"High Risk", IF(Table1[[#This Row],[delayed]]=1,"Medium Risk","Low Risk"))</f>
        <v>High Risk</v>
      </c>
    </row>
    <row r="307" spans="1:14" x14ac:dyDescent="0.35">
      <c r="A307">
        <v>306</v>
      </c>
      <c r="B307" s="1">
        <v>44939.708333333336</v>
      </c>
      <c r="C307" s="2">
        <v>5.2777777777777778E-2</v>
      </c>
      <c r="D307" s="3">
        <v>2132</v>
      </c>
      <c r="E307" s="3">
        <v>444</v>
      </c>
      <c r="F307" s="2">
        <v>29.834027777777777</v>
      </c>
      <c r="G307" t="s">
        <v>2812</v>
      </c>
      <c r="H307" t="s">
        <v>2822</v>
      </c>
      <c r="I307" s="2">
        <v>8.7500000000000008E-2</v>
      </c>
      <c r="J307" s="4" t="str">
        <f>IF(Table1[[#This Row],[processing_time_hours]]&gt;1.5,"Slow", "Fast")</f>
        <v>Fast</v>
      </c>
      <c r="K307" t="s">
        <v>2821</v>
      </c>
      <c r="L307" s="3">
        <v>0</v>
      </c>
      <c r="M307" t="str">
        <f>IF(Table1[[#This Row],[delayed]]=1,"Delayed","On Time")</f>
        <v>On Time</v>
      </c>
      <c r="N307" t="str">
        <f>IF(AND(Table1[[#This Row],[delayed]]=1,Table1[[#This Row],[weather_condition]]="Storm"),"High Risk", IF(Table1[[#This Row],[delayed]]=1,"Medium Risk","Low Risk"))</f>
        <v>Low Risk</v>
      </c>
    </row>
    <row r="308" spans="1:14" x14ac:dyDescent="0.35">
      <c r="A308">
        <v>307</v>
      </c>
      <c r="B308" s="1">
        <v>44939.75</v>
      </c>
      <c r="C308" s="2">
        <v>5.6944444444444443E-2</v>
      </c>
      <c r="D308" s="3">
        <v>4794</v>
      </c>
      <c r="E308" s="3">
        <v>372</v>
      </c>
      <c r="F308" s="2">
        <v>82.291666666666671</v>
      </c>
      <c r="G308" t="s">
        <v>2812</v>
      </c>
      <c r="H308" t="s">
        <v>2813</v>
      </c>
      <c r="I308" s="2">
        <v>1.3791666666666667</v>
      </c>
      <c r="J308" s="4" t="str">
        <f>IF(Table1[[#This Row],[processing_time_hours]]&gt;1.5,"Slow", "Fast")</f>
        <v>Fast</v>
      </c>
      <c r="K308" t="s">
        <v>2818</v>
      </c>
      <c r="L308" s="3">
        <v>0</v>
      </c>
      <c r="M308" t="str">
        <f>IF(Table1[[#This Row],[delayed]]=1,"Delayed","On Time")</f>
        <v>On Time</v>
      </c>
      <c r="N308" t="str">
        <f>IF(AND(Table1[[#This Row],[delayed]]=1,Table1[[#This Row],[weather_condition]]="Storm"),"High Risk", IF(Table1[[#This Row],[delayed]]=1,"Medium Risk","Low Risk"))</f>
        <v>Low Risk</v>
      </c>
    </row>
    <row r="309" spans="1:14" x14ac:dyDescent="0.35">
      <c r="A309">
        <v>308</v>
      </c>
      <c r="B309" s="1">
        <v>44939.791666666664</v>
      </c>
      <c r="C309" s="2">
        <v>6.6666666666666666E-2</v>
      </c>
      <c r="D309" s="3">
        <v>712</v>
      </c>
      <c r="E309" s="3">
        <v>492</v>
      </c>
      <c r="F309" s="2">
        <v>39.296527777777776</v>
      </c>
      <c r="G309" t="s">
        <v>2815</v>
      </c>
      <c r="H309" t="s">
        <v>2822</v>
      </c>
      <c r="I309" s="2">
        <v>2.0465277777777779</v>
      </c>
      <c r="J309" s="4" t="str">
        <f>IF(Table1[[#This Row],[processing_time_hours]]&gt;1.5,"Slow", "Fast")</f>
        <v>Slow</v>
      </c>
      <c r="K309" t="s">
        <v>2821</v>
      </c>
      <c r="L309" s="3">
        <v>0</v>
      </c>
      <c r="M309" t="str">
        <f>IF(Table1[[#This Row],[delayed]]=1,"Delayed","On Time")</f>
        <v>On Time</v>
      </c>
      <c r="N309" t="str">
        <f>IF(AND(Table1[[#This Row],[delayed]]=1,Table1[[#This Row],[weather_condition]]="Storm"),"High Risk", IF(Table1[[#This Row],[delayed]]=1,"Medium Risk","Low Risk"))</f>
        <v>Low Risk</v>
      </c>
    </row>
    <row r="310" spans="1:14" x14ac:dyDescent="0.35">
      <c r="A310">
        <v>309</v>
      </c>
      <c r="B310" s="1">
        <v>44939.833333333336</v>
      </c>
      <c r="C310" s="2">
        <v>6.458333333333334E-2</v>
      </c>
      <c r="D310" s="3">
        <v>1066</v>
      </c>
      <c r="E310" s="3">
        <v>493</v>
      </c>
      <c r="F310" s="2">
        <v>43.13055555555556</v>
      </c>
      <c r="G310" t="s">
        <v>2815</v>
      </c>
      <c r="H310" t="s">
        <v>2813</v>
      </c>
      <c r="I310" s="2">
        <v>2.6270833333333332</v>
      </c>
      <c r="J310" s="4" t="str">
        <f>IF(Table1[[#This Row],[processing_time_hours]]&gt;1.5,"Slow", "Fast")</f>
        <v>Slow</v>
      </c>
      <c r="K310" t="s">
        <v>2814</v>
      </c>
      <c r="L310" s="3">
        <v>0</v>
      </c>
      <c r="M310" t="str">
        <f>IF(Table1[[#This Row],[delayed]]=1,"Delayed","On Time")</f>
        <v>On Time</v>
      </c>
      <c r="N310" t="str">
        <f>IF(AND(Table1[[#This Row],[delayed]]=1,Table1[[#This Row],[weather_condition]]="Storm"),"High Risk", IF(Table1[[#This Row],[delayed]]=1,"Medium Risk","Low Risk"))</f>
        <v>Low Risk</v>
      </c>
    </row>
    <row r="311" spans="1:14" x14ac:dyDescent="0.35">
      <c r="A311">
        <v>310</v>
      </c>
      <c r="B311" s="1">
        <v>44939.875</v>
      </c>
      <c r="C311" s="2">
        <v>5.8333333333333327E-2</v>
      </c>
      <c r="D311" s="3">
        <v>3642</v>
      </c>
      <c r="E311" s="3">
        <v>5</v>
      </c>
      <c r="F311" s="2">
        <v>56.88055555555556</v>
      </c>
      <c r="G311" t="s">
        <v>2816</v>
      </c>
      <c r="H311" t="s">
        <v>2813</v>
      </c>
      <c r="I311" s="2">
        <v>0.3756944444444445</v>
      </c>
      <c r="J311" s="4" t="str">
        <f>IF(Table1[[#This Row],[processing_time_hours]]&gt;1.5,"Slow", "Fast")</f>
        <v>Fast</v>
      </c>
      <c r="K311" t="s">
        <v>2821</v>
      </c>
      <c r="L311" s="3">
        <v>0</v>
      </c>
      <c r="M311" t="str">
        <f>IF(Table1[[#This Row],[delayed]]=1,"Delayed","On Time")</f>
        <v>On Time</v>
      </c>
      <c r="N311" t="str">
        <f>IF(AND(Table1[[#This Row],[delayed]]=1,Table1[[#This Row],[weather_condition]]="Storm"),"High Risk", IF(Table1[[#This Row],[delayed]]=1,"Medium Risk","Low Risk"))</f>
        <v>Low Risk</v>
      </c>
    </row>
    <row r="312" spans="1:14" x14ac:dyDescent="0.35">
      <c r="A312">
        <v>311</v>
      </c>
      <c r="B312" s="1">
        <v>44939.916666666664</v>
      </c>
      <c r="C312" s="2">
        <v>5.2777777777777778E-2</v>
      </c>
      <c r="D312" s="3">
        <v>4463</v>
      </c>
      <c r="E312" s="3">
        <v>194</v>
      </c>
      <c r="F312" s="2">
        <v>35.836111111111116</v>
      </c>
      <c r="G312" t="s">
        <v>2815</v>
      </c>
      <c r="H312" t="s">
        <v>2820</v>
      </c>
      <c r="I312" s="2">
        <v>1.6722222222222223</v>
      </c>
      <c r="J312" s="4" t="str">
        <f>IF(Table1[[#This Row],[processing_time_hours]]&gt;1.5,"Slow", "Fast")</f>
        <v>Slow</v>
      </c>
      <c r="K312" t="s">
        <v>2818</v>
      </c>
      <c r="L312" s="3">
        <v>0</v>
      </c>
      <c r="M312" t="str">
        <f>IF(Table1[[#This Row],[delayed]]=1,"Delayed","On Time")</f>
        <v>On Time</v>
      </c>
      <c r="N312" t="str">
        <f>IF(AND(Table1[[#This Row],[delayed]]=1,Table1[[#This Row],[weather_condition]]="Storm"),"High Risk", IF(Table1[[#This Row],[delayed]]=1,"Medium Risk","Low Risk"))</f>
        <v>Low Risk</v>
      </c>
    </row>
    <row r="313" spans="1:14" x14ac:dyDescent="0.35">
      <c r="A313">
        <v>312</v>
      </c>
      <c r="B313" s="1">
        <v>44939.958333333336</v>
      </c>
      <c r="C313" s="2">
        <v>6.458333333333334E-2</v>
      </c>
      <c r="D313" s="3">
        <v>3348</v>
      </c>
      <c r="E313" s="3">
        <v>410</v>
      </c>
      <c r="F313" s="2">
        <v>58.169444444444444</v>
      </c>
      <c r="G313" t="s">
        <v>2819</v>
      </c>
      <c r="H313" t="s">
        <v>2820</v>
      </c>
      <c r="I313" s="2">
        <v>0.92083333333333339</v>
      </c>
      <c r="J313" s="4" t="str">
        <f>IF(Table1[[#This Row],[processing_time_hours]]&gt;1.5,"Slow", "Fast")</f>
        <v>Fast</v>
      </c>
      <c r="K313" t="s">
        <v>2818</v>
      </c>
      <c r="L313" s="3">
        <v>1</v>
      </c>
      <c r="M313" t="str">
        <f>IF(Table1[[#This Row],[delayed]]=1,"Delayed","On Time")</f>
        <v>Delayed</v>
      </c>
      <c r="N313" t="str">
        <f>IF(AND(Table1[[#This Row],[delayed]]=1,Table1[[#This Row],[weather_condition]]="Storm"),"High Risk", IF(Table1[[#This Row],[delayed]]=1,"Medium Risk","Low Risk"))</f>
        <v>Medium Risk</v>
      </c>
    </row>
    <row r="314" spans="1:14" x14ac:dyDescent="0.35">
      <c r="A314">
        <v>313</v>
      </c>
      <c r="B314" s="1">
        <v>44940</v>
      </c>
      <c r="C314" s="2">
        <v>6.5972222222222224E-2</v>
      </c>
      <c r="D314" s="3">
        <v>693</v>
      </c>
      <c r="E314" s="3">
        <v>292</v>
      </c>
      <c r="F314" s="2">
        <v>30.378472222222225</v>
      </c>
      <c r="G314" t="s">
        <v>2816</v>
      </c>
      <c r="H314" t="s">
        <v>2813</v>
      </c>
      <c r="I314" s="2">
        <v>1.2923611111111111</v>
      </c>
      <c r="J314" s="4" t="str">
        <f>IF(Table1[[#This Row],[processing_time_hours]]&gt;1.5,"Slow", "Fast")</f>
        <v>Fast</v>
      </c>
      <c r="K314" t="s">
        <v>2814</v>
      </c>
      <c r="L314" s="3">
        <v>0</v>
      </c>
      <c r="M314" t="str">
        <f>IF(Table1[[#This Row],[delayed]]=1,"Delayed","On Time")</f>
        <v>On Time</v>
      </c>
      <c r="N314" t="str">
        <f>IF(AND(Table1[[#This Row],[delayed]]=1,Table1[[#This Row],[weather_condition]]="Storm"),"High Risk", IF(Table1[[#This Row],[delayed]]=1,"Medium Risk","Low Risk"))</f>
        <v>Low Risk</v>
      </c>
    </row>
    <row r="315" spans="1:14" x14ac:dyDescent="0.35">
      <c r="A315">
        <v>314</v>
      </c>
      <c r="B315" s="1">
        <v>44940.041666666664</v>
      </c>
      <c r="C315" s="2">
        <v>6.5972222222222224E-2</v>
      </c>
      <c r="D315" s="3">
        <v>2697</v>
      </c>
      <c r="E315" s="3">
        <v>266</v>
      </c>
      <c r="F315" s="2">
        <v>17.37638888888889</v>
      </c>
      <c r="G315" t="s">
        <v>2816</v>
      </c>
      <c r="H315" t="s">
        <v>2820</v>
      </c>
      <c r="I315" s="2">
        <v>2.9583333333333335</v>
      </c>
      <c r="J315" s="4" t="str">
        <f>IF(Table1[[#This Row],[processing_time_hours]]&gt;1.5,"Slow", "Fast")</f>
        <v>Slow</v>
      </c>
      <c r="K315" t="s">
        <v>2814</v>
      </c>
      <c r="L315" s="3">
        <v>1</v>
      </c>
      <c r="M315" t="str">
        <f>IF(Table1[[#This Row],[delayed]]=1,"Delayed","On Time")</f>
        <v>Delayed</v>
      </c>
      <c r="N315" t="str">
        <f>IF(AND(Table1[[#This Row],[delayed]]=1,Table1[[#This Row],[weather_condition]]="Storm"),"High Risk", IF(Table1[[#This Row],[delayed]]=1,"Medium Risk","Low Risk"))</f>
        <v>Medium Risk</v>
      </c>
    </row>
    <row r="316" spans="1:14" x14ac:dyDescent="0.35">
      <c r="A316">
        <v>315</v>
      </c>
      <c r="B316" s="1">
        <v>44940.083333333336</v>
      </c>
      <c r="C316" s="2">
        <v>6.1805555555555558E-2</v>
      </c>
      <c r="D316" s="3">
        <v>878</v>
      </c>
      <c r="E316" s="3">
        <v>241</v>
      </c>
      <c r="F316" s="2">
        <v>31.417361111111109</v>
      </c>
      <c r="G316" t="s">
        <v>2812</v>
      </c>
      <c r="H316" t="s">
        <v>2813</v>
      </c>
      <c r="I316" s="2">
        <v>1.3791666666666667</v>
      </c>
      <c r="J316" s="4" t="str">
        <f>IF(Table1[[#This Row],[processing_time_hours]]&gt;1.5,"Slow", "Fast")</f>
        <v>Fast</v>
      </c>
      <c r="K316" t="s">
        <v>2814</v>
      </c>
      <c r="L316" s="3">
        <v>0</v>
      </c>
      <c r="M316" t="str">
        <f>IF(Table1[[#This Row],[delayed]]=1,"Delayed","On Time")</f>
        <v>On Time</v>
      </c>
      <c r="N316" t="str">
        <f>IF(AND(Table1[[#This Row],[delayed]]=1,Table1[[#This Row],[weather_condition]]="Storm"),"High Risk", IF(Table1[[#This Row],[delayed]]=1,"Medium Risk","Low Risk"))</f>
        <v>Low Risk</v>
      </c>
    </row>
    <row r="317" spans="1:14" x14ac:dyDescent="0.35">
      <c r="A317">
        <v>316</v>
      </c>
      <c r="B317" s="1">
        <v>44940.125</v>
      </c>
      <c r="C317" s="2">
        <v>4.4444444444444446E-2</v>
      </c>
      <c r="D317" s="3">
        <v>599</v>
      </c>
      <c r="E317" s="3">
        <v>490</v>
      </c>
      <c r="F317" s="2">
        <v>8.6722222222222225</v>
      </c>
      <c r="G317" t="s">
        <v>2815</v>
      </c>
      <c r="H317" t="s">
        <v>2822</v>
      </c>
      <c r="I317" s="2">
        <v>2.0458333333333334</v>
      </c>
      <c r="J317" s="4" t="str">
        <f>IF(Table1[[#This Row],[processing_time_hours]]&gt;1.5,"Slow", "Fast")</f>
        <v>Slow</v>
      </c>
      <c r="K317" t="s">
        <v>2814</v>
      </c>
      <c r="L317" s="3">
        <v>0</v>
      </c>
      <c r="M317" t="str">
        <f>IF(Table1[[#This Row],[delayed]]=1,"Delayed","On Time")</f>
        <v>On Time</v>
      </c>
      <c r="N317" t="str">
        <f>IF(AND(Table1[[#This Row],[delayed]]=1,Table1[[#This Row],[weather_condition]]="Storm"),"High Risk", IF(Table1[[#This Row],[delayed]]=1,"Medium Risk","Low Risk"))</f>
        <v>Low Risk</v>
      </c>
    </row>
    <row r="318" spans="1:14" x14ac:dyDescent="0.35">
      <c r="A318">
        <v>317</v>
      </c>
      <c r="B318" s="1">
        <v>44940.166666666664</v>
      </c>
      <c r="C318" s="2">
        <v>4.9999999999999996E-2</v>
      </c>
      <c r="D318" s="3">
        <v>2077</v>
      </c>
      <c r="E318" s="3">
        <v>496</v>
      </c>
      <c r="F318" s="2">
        <v>24.962500000000002</v>
      </c>
      <c r="G318" t="s">
        <v>2819</v>
      </c>
      <c r="H318" t="s">
        <v>2820</v>
      </c>
      <c r="I318" s="2">
        <v>2.6256944444444446</v>
      </c>
      <c r="J318" s="4" t="str">
        <f>IF(Table1[[#This Row],[processing_time_hours]]&gt;1.5,"Slow", "Fast")</f>
        <v>Slow</v>
      </c>
      <c r="K318" t="s">
        <v>2818</v>
      </c>
      <c r="L318" s="3">
        <v>1</v>
      </c>
      <c r="M318" t="str">
        <f>IF(Table1[[#This Row],[delayed]]=1,"Delayed","On Time")</f>
        <v>Delayed</v>
      </c>
      <c r="N318" t="str">
        <f>IF(AND(Table1[[#This Row],[delayed]]=1,Table1[[#This Row],[weather_condition]]="Storm"),"High Risk", IF(Table1[[#This Row],[delayed]]=1,"Medium Risk","Low Risk"))</f>
        <v>Medium Risk</v>
      </c>
    </row>
    <row r="319" spans="1:14" x14ac:dyDescent="0.35">
      <c r="A319">
        <v>318</v>
      </c>
      <c r="B319" s="1">
        <v>44940.208333333336</v>
      </c>
      <c r="C319" s="2">
        <v>5.486111111111111E-2</v>
      </c>
      <c r="D319" s="3">
        <v>412</v>
      </c>
      <c r="E319" s="3">
        <v>69</v>
      </c>
      <c r="F319" s="2">
        <v>13.834722222222224</v>
      </c>
      <c r="G319" t="s">
        <v>2815</v>
      </c>
      <c r="H319" t="s">
        <v>2817</v>
      </c>
      <c r="I319" s="2">
        <v>1.7541666666666667</v>
      </c>
      <c r="J319" s="4" t="str">
        <f>IF(Table1[[#This Row],[processing_time_hours]]&gt;1.5,"Slow", "Fast")</f>
        <v>Slow</v>
      </c>
      <c r="K319" t="s">
        <v>2814</v>
      </c>
      <c r="L319" s="3">
        <v>0</v>
      </c>
      <c r="M319" t="str">
        <f>IF(Table1[[#This Row],[delayed]]=1,"Delayed","On Time")</f>
        <v>On Time</v>
      </c>
      <c r="N319" t="str">
        <f>IF(AND(Table1[[#This Row],[delayed]]=1,Table1[[#This Row],[weather_condition]]="Storm"),"High Risk", IF(Table1[[#This Row],[delayed]]=1,"Medium Risk","Low Risk"))</f>
        <v>Low Risk</v>
      </c>
    </row>
    <row r="320" spans="1:14" x14ac:dyDescent="0.35">
      <c r="A320">
        <v>319</v>
      </c>
      <c r="B320" s="1">
        <v>44940.25</v>
      </c>
      <c r="C320" s="2">
        <v>5.5555555555555558E-3</v>
      </c>
      <c r="D320" s="3">
        <v>4468</v>
      </c>
      <c r="E320" s="3">
        <v>455</v>
      </c>
      <c r="F320" s="2">
        <v>4.0013888888888891</v>
      </c>
      <c r="G320" t="s">
        <v>2812</v>
      </c>
      <c r="H320" t="s">
        <v>2813</v>
      </c>
      <c r="I320" s="2">
        <v>1.5861111111111112</v>
      </c>
      <c r="J320" s="4" t="str">
        <f>IF(Table1[[#This Row],[processing_time_hours]]&gt;1.5,"Slow", "Fast")</f>
        <v>Slow</v>
      </c>
      <c r="K320" t="s">
        <v>2818</v>
      </c>
      <c r="L320" s="3">
        <v>0</v>
      </c>
      <c r="M320" t="str">
        <f>IF(Table1[[#This Row],[delayed]]=1,"Delayed","On Time")</f>
        <v>On Time</v>
      </c>
      <c r="N320" t="str">
        <f>IF(AND(Table1[[#This Row],[delayed]]=1,Table1[[#This Row],[weather_condition]]="Storm"),"High Risk", IF(Table1[[#This Row],[delayed]]=1,"Medium Risk","Low Risk"))</f>
        <v>Low Risk</v>
      </c>
    </row>
    <row r="321" spans="1:14" x14ac:dyDescent="0.35">
      <c r="A321">
        <v>320</v>
      </c>
      <c r="B321" s="1">
        <v>44940.291666666664</v>
      </c>
      <c r="C321" s="2">
        <v>6.458333333333334E-2</v>
      </c>
      <c r="D321" s="3">
        <v>3098</v>
      </c>
      <c r="E321" s="3">
        <v>239</v>
      </c>
      <c r="F321" s="2">
        <v>71.131250000000009</v>
      </c>
      <c r="G321" t="s">
        <v>2812</v>
      </c>
      <c r="H321" t="s">
        <v>2817</v>
      </c>
      <c r="I321" s="2">
        <v>1.0055555555555555</v>
      </c>
      <c r="J321" s="4" t="str">
        <f>IF(Table1[[#This Row],[processing_time_hours]]&gt;1.5,"Slow", "Fast")</f>
        <v>Fast</v>
      </c>
      <c r="K321" t="s">
        <v>2814</v>
      </c>
      <c r="L321" s="3">
        <v>1</v>
      </c>
      <c r="M321" t="str">
        <f>IF(Table1[[#This Row],[delayed]]=1,"Delayed","On Time")</f>
        <v>Delayed</v>
      </c>
      <c r="N321" t="str">
        <f>IF(AND(Table1[[#This Row],[delayed]]=1,Table1[[#This Row],[weather_condition]]="Storm"),"High Risk", IF(Table1[[#This Row],[delayed]]=1,"Medium Risk","Low Risk"))</f>
        <v>High Risk</v>
      </c>
    </row>
    <row r="322" spans="1:14" x14ac:dyDescent="0.35">
      <c r="A322">
        <v>321</v>
      </c>
      <c r="B322" s="1">
        <v>44940.333333333336</v>
      </c>
      <c r="C322" s="2">
        <v>4.8611111111111112E-3</v>
      </c>
      <c r="D322" s="3">
        <v>4641</v>
      </c>
      <c r="E322" s="3">
        <v>179</v>
      </c>
      <c r="F322" s="2">
        <v>31.334027777777777</v>
      </c>
      <c r="G322" t="s">
        <v>2815</v>
      </c>
      <c r="H322" t="s">
        <v>2817</v>
      </c>
      <c r="I322" s="2">
        <v>2.3374999999999999</v>
      </c>
      <c r="J322" s="4" t="str">
        <f>IF(Table1[[#This Row],[processing_time_hours]]&gt;1.5,"Slow", "Fast")</f>
        <v>Slow</v>
      </c>
      <c r="K322" t="s">
        <v>2814</v>
      </c>
      <c r="L322" s="3">
        <v>0</v>
      </c>
      <c r="M322" t="str">
        <f>IF(Table1[[#This Row],[delayed]]=1,"Delayed","On Time")</f>
        <v>On Time</v>
      </c>
      <c r="N322" t="str">
        <f>IF(AND(Table1[[#This Row],[delayed]]=1,Table1[[#This Row],[weather_condition]]="Storm"),"High Risk", IF(Table1[[#This Row],[delayed]]=1,"Medium Risk","Low Risk"))</f>
        <v>Low Risk</v>
      </c>
    </row>
    <row r="323" spans="1:14" x14ac:dyDescent="0.35">
      <c r="A323">
        <v>322</v>
      </c>
      <c r="B323" s="1">
        <v>44940.375</v>
      </c>
      <c r="C323" s="2">
        <v>6.0416666666666667E-2</v>
      </c>
      <c r="D323" s="3">
        <v>4048</v>
      </c>
      <c r="E323" s="3">
        <v>363</v>
      </c>
      <c r="F323" s="2">
        <v>75.087499999999991</v>
      </c>
      <c r="G323" t="s">
        <v>2819</v>
      </c>
      <c r="H323" t="s">
        <v>2820</v>
      </c>
      <c r="I323" s="2">
        <v>1.211111111111111</v>
      </c>
      <c r="J323" s="4" t="str">
        <f>IF(Table1[[#This Row],[processing_time_hours]]&gt;1.5,"Slow", "Fast")</f>
        <v>Fast</v>
      </c>
      <c r="K323" t="s">
        <v>2821</v>
      </c>
      <c r="L323" s="3">
        <v>0</v>
      </c>
      <c r="M323" t="str">
        <f>IF(Table1[[#This Row],[delayed]]=1,"Delayed","On Time")</f>
        <v>On Time</v>
      </c>
      <c r="N323" t="str">
        <f>IF(AND(Table1[[#This Row],[delayed]]=1,Table1[[#This Row],[weather_condition]]="Storm"),"High Risk", IF(Table1[[#This Row],[delayed]]=1,"Medium Risk","Low Risk"))</f>
        <v>Low Risk</v>
      </c>
    </row>
    <row r="324" spans="1:14" x14ac:dyDescent="0.35">
      <c r="A324">
        <v>323</v>
      </c>
      <c r="B324" s="1">
        <v>44940.416666666664</v>
      </c>
      <c r="C324" s="2">
        <v>5.2083333333333336E-2</v>
      </c>
      <c r="D324" s="3">
        <v>444</v>
      </c>
      <c r="E324" s="3">
        <v>254</v>
      </c>
      <c r="F324" s="2">
        <v>47.542361111111113</v>
      </c>
      <c r="G324" t="s">
        <v>2819</v>
      </c>
      <c r="H324" t="s">
        <v>2817</v>
      </c>
      <c r="I324" s="2">
        <v>2.7541666666666664</v>
      </c>
      <c r="J324" s="4" t="str">
        <f>IF(Table1[[#This Row],[processing_time_hours]]&gt;1.5,"Slow", "Fast")</f>
        <v>Slow</v>
      </c>
      <c r="K324" t="s">
        <v>2814</v>
      </c>
      <c r="L324" s="3">
        <v>1</v>
      </c>
      <c r="M324" t="str">
        <f>IF(Table1[[#This Row],[delayed]]=1,"Delayed","On Time")</f>
        <v>Delayed</v>
      </c>
      <c r="N324" t="str">
        <f>IF(AND(Table1[[#This Row],[delayed]]=1,Table1[[#This Row],[weather_condition]]="Storm"),"High Risk", IF(Table1[[#This Row],[delayed]]=1,"Medium Risk","Low Risk"))</f>
        <v>High Risk</v>
      </c>
    </row>
    <row r="325" spans="1:14" x14ac:dyDescent="0.35">
      <c r="A325">
        <v>324</v>
      </c>
      <c r="B325" s="1">
        <v>44940.458333333336</v>
      </c>
      <c r="C325" s="2">
        <v>6.3194444444444442E-2</v>
      </c>
      <c r="D325" s="3">
        <v>4132</v>
      </c>
      <c r="E325" s="3">
        <v>184</v>
      </c>
      <c r="F325" s="2">
        <v>49.250694444444441</v>
      </c>
      <c r="G325" t="s">
        <v>2815</v>
      </c>
      <c r="H325" t="s">
        <v>2822</v>
      </c>
      <c r="I325" s="2">
        <v>0.33611111111111108</v>
      </c>
      <c r="J325" s="4" t="str">
        <f>IF(Table1[[#This Row],[processing_time_hours]]&gt;1.5,"Slow", "Fast")</f>
        <v>Fast</v>
      </c>
      <c r="K325" t="s">
        <v>2814</v>
      </c>
      <c r="L325" s="3">
        <v>0</v>
      </c>
      <c r="M325" t="str">
        <f>IF(Table1[[#This Row],[delayed]]=1,"Delayed","On Time")</f>
        <v>On Time</v>
      </c>
      <c r="N325" t="str">
        <f>IF(AND(Table1[[#This Row],[delayed]]=1,Table1[[#This Row],[weather_condition]]="Storm"),"High Risk", IF(Table1[[#This Row],[delayed]]=1,"Medium Risk","Low Risk"))</f>
        <v>Low Risk</v>
      </c>
    </row>
    <row r="326" spans="1:14" x14ac:dyDescent="0.35">
      <c r="A326">
        <v>325</v>
      </c>
      <c r="B326" s="1">
        <v>44940.5</v>
      </c>
      <c r="C326" s="2">
        <v>4.7222222222222221E-2</v>
      </c>
      <c r="D326" s="3">
        <v>3740</v>
      </c>
      <c r="E326" s="3">
        <v>201</v>
      </c>
      <c r="F326" s="2">
        <v>44.585416666666667</v>
      </c>
      <c r="G326" t="s">
        <v>2812</v>
      </c>
      <c r="H326" t="s">
        <v>2822</v>
      </c>
      <c r="I326" s="2">
        <v>1.0027777777777778</v>
      </c>
      <c r="J326" s="4" t="str">
        <f>IF(Table1[[#This Row],[processing_time_hours]]&gt;1.5,"Slow", "Fast")</f>
        <v>Fast</v>
      </c>
      <c r="K326" t="s">
        <v>2818</v>
      </c>
      <c r="L326" s="3">
        <v>0</v>
      </c>
      <c r="M326" t="str">
        <f>IF(Table1[[#This Row],[delayed]]=1,"Delayed","On Time")</f>
        <v>On Time</v>
      </c>
      <c r="N326" t="str">
        <f>IF(AND(Table1[[#This Row],[delayed]]=1,Table1[[#This Row],[weather_condition]]="Storm"),"High Risk", IF(Table1[[#This Row],[delayed]]=1,"Medium Risk","Low Risk"))</f>
        <v>Low Risk</v>
      </c>
    </row>
    <row r="327" spans="1:14" x14ac:dyDescent="0.35">
      <c r="A327">
        <v>326</v>
      </c>
      <c r="B327" s="1">
        <v>44940.541666666664</v>
      </c>
      <c r="C327" s="2">
        <v>5.486111111111111E-2</v>
      </c>
      <c r="D327" s="3">
        <v>936</v>
      </c>
      <c r="E327" s="3">
        <v>453</v>
      </c>
      <c r="F327" s="2">
        <v>68.71319444444444</v>
      </c>
      <c r="G327" t="s">
        <v>2812</v>
      </c>
      <c r="H327" t="s">
        <v>2822</v>
      </c>
      <c r="I327" s="2">
        <v>0.9590277777777777</v>
      </c>
      <c r="J327" s="4" t="str">
        <f>IF(Table1[[#This Row],[processing_time_hours]]&gt;1.5,"Slow", "Fast")</f>
        <v>Fast</v>
      </c>
      <c r="K327" t="s">
        <v>2821</v>
      </c>
      <c r="L327" s="3">
        <v>0</v>
      </c>
      <c r="M327" t="str">
        <f>IF(Table1[[#This Row],[delayed]]=1,"Delayed","On Time")</f>
        <v>On Time</v>
      </c>
      <c r="N327" t="str">
        <f>IF(AND(Table1[[#This Row],[delayed]]=1,Table1[[#This Row],[weather_condition]]="Storm"),"High Risk", IF(Table1[[#This Row],[delayed]]=1,"Medium Risk","Low Risk"))</f>
        <v>Low Risk</v>
      </c>
    </row>
    <row r="328" spans="1:14" x14ac:dyDescent="0.35">
      <c r="A328">
        <v>327</v>
      </c>
      <c r="B328" s="1">
        <v>44940.583333333336</v>
      </c>
      <c r="C328" s="2">
        <v>4.4444444444444446E-2</v>
      </c>
      <c r="D328" s="3">
        <v>3442</v>
      </c>
      <c r="E328" s="3">
        <v>472</v>
      </c>
      <c r="F328" s="2">
        <v>28.004861111111111</v>
      </c>
      <c r="G328" t="s">
        <v>2816</v>
      </c>
      <c r="H328" t="s">
        <v>2822</v>
      </c>
      <c r="I328" s="2">
        <v>2.2541666666666669</v>
      </c>
      <c r="J328" s="4" t="str">
        <f>IF(Table1[[#This Row],[processing_time_hours]]&gt;1.5,"Slow", "Fast")</f>
        <v>Slow</v>
      </c>
      <c r="K328" t="s">
        <v>2818</v>
      </c>
      <c r="L328" s="3">
        <v>0</v>
      </c>
      <c r="M328" t="str">
        <f>IF(Table1[[#This Row],[delayed]]=1,"Delayed","On Time")</f>
        <v>On Time</v>
      </c>
      <c r="N328" t="str">
        <f>IF(AND(Table1[[#This Row],[delayed]]=1,Table1[[#This Row],[weather_condition]]="Storm"),"High Risk", IF(Table1[[#This Row],[delayed]]=1,"Medium Risk","Low Risk"))</f>
        <v>Low Risk</v>
      </c>
    </row>
    <row r="329" spans="1:14" x14ac:dyDescent="0.35">
      <c r="A329">
        <v>328</v>
      </c>
      <c r="B329" s="1">
        <v>44940.625</v>
      </c>
      <c r="C329" s="2">
        <v>4.7222222222222221E-2</v>
      </c>
      <c r="D329" s="3">
        <v>1770</v>
      </c>
      <c r="E329" s="3">
        <v>338</v>
      </c>
      <c r="F329" s="2">
        <v>69.833333333333329</v>
      </c>
      <c r="G329" t="s">
        <v>2815</v>
      </c>
      <c r="H329" t="s">
        <v>2820</v>
      </c>
      <c r="I329" s="2">
        <v>2.5854166666666667</v>
      </c>
      <c r="J329" s="4" t="str">
        <f>IF(Table1[[#This Row],[processing_time_hours]]&gt;1.5,"Slow", "Fast")</f>
        <v>Slow</v>
      </c>
      <c r="K329" t="s">
        <v>2818</v>
      </c>
      <c r="L329" s="3">
        <v>0</v>
      </c>
      <c r="M329" t="str">
        <f>IF(Table1[[#This Row],[delayed]]=1,"Delayed","On Time")</f>
        <v>On Time</v>
      </c>
      <c r="N329" t="str">
        <f>IF(AND(Table1[[#This Row],[delayed]]=1,Table1[[#This Row],[weather_condition]]="Storm"),"High Risk", IF(Table1[[#This Row],[delayed]]=1,"Medium Risk","Low Risk"))</f>
        <v>Low Risk</v>
      </c>
    </row>
    <row r="330" spans="1:14" x14ac:dyDescent="0.35">
      <c r="A330">
        <v>329</v>
      </c>
      <c r="B330" s="1">
        <v>44940.666666666664</v>
      </c>
      <c r="C330" s="2">
        <v>6.7361111111111108E-2</v>
      </c>
      <c r="D330" s="3">
        <v>640</v>
      </c>
      <c r="E330" s="3">
        <v>132</v>
      </c>
      <c r="F330" s="2">
        <v>54.422916666666673</v>
      </c>
      <c r="G330" t="s">
        <v>2816</v>
      </c>
      <c r="H330" t="s">
        <v>2820</v>
      </c>
      <c r="I330" s="2">
        <v>0.79305555555555562</v>
      </c>
      <c r="J330" s="4" t="str">
        <f>IF(Table1[[#This Row],[processing_time_hours]]&gt;1.5,"Slow", "Fast")</f>
        <v>Fast</v>
      </c>
      <c r="K330" t="s">
        <v>2814</v>
      </c>
      <c r="L330" s="3">
        <v>0</v>
      </c>
      <c r="M330" t="str">
        <f>IF(Table1[[#This Row],[delayed]]=1,"Delayed","On Time")</f>
        <v>On Time</v>
      </c>
      <c r="N330" t="str">
        <f>IF(AND(Table1[[#This Row],[delayed]]=1,Table1[[#This Row],[weather_condition]]="Storm"),"High Risk", IF(Table1[[#This Row],[delayed]]=1,"Medium Risk","Low Risk"))</f>
        <v>Low Risk</v>
      </c>
    </row>
    <row r="331" spans="1:14" x14ac:dyDescent="0.35">
      <c r="A331">
        <v>330</v>
      </c>
      <c r="B331" s="1">
        <v>44940.708333333336</v>
      </c>
      <c r="C331" s="2">
        <v>5.0694444444444438E-2</v>
      </c>
      <c r="D331" s="3">
        <v>2196</v>
      </c>
      <c r="E331" s="3">
        <v>368</v>
      </c>
      <c r="F331" s="2">
        <v>52.297916666666673</v>
      </c>
      <c r="G331" t="s">
        <v>2819</v>
      </c>
      <c r="H331" t="s">
        <v>2813</v>
      </c>
      <c r="I331" s="2">
        <v>0.42291666666666666</v>
      </c>
      <c r="J331" s="4" t="str">
        <f>IF(Table1[[#This Row],[processing_time_hours]]&gt;1.5,"Slow", "Fast")</f>
        <v>Fast</v>
      </c>
      <c r="K331" t="s">
        <v>2821</v>
      </c>
      <c r="L331" s="3">
        <v>1</v>
      </c>
      <c r="M331" t="str">
        <f>IF(Table1[[#This Row],[delayed]]=1,"Delayed","On Time")</f>
        <v>Delayed</v>
      </c>
      <c r="N331" t="str">
        <f>IF(AND(Table1[[#This Row],[delayed]]=1,Table1[[#This Row],[weather_condition]]="Storm"),"High Risk", IF(Table1[[#This Row],[delayed]]=1,"Medium Risk","Low Risk"))</f>
        <v>Medium Risk</v>
      </c>
    </row>
    <row r="332" spans="1:14" x14ac:dyDescent="0.35">
      <c r="A332">
        <v>331</v>
      </c>
      <c r="B332" s="1">
        <v>44940.75</v>
      </c>
      <c r="C332" s="2">
        <v>6.6666666666666666E-2</v>
      </c>
      <c r="D332" s="3">
        <v>3554</v>
      </c>
      <c r="E332" s="3">
        <v>307</v>
      </c>
      <c r="F332" s="2">
        <v>30.084027777777777</v>
      </c>
      <c r="G332" t="s">
        <v>2815</v>
      </c>
      <c r="H332" t="s">
        <v>2822</v>
      </c>
      <c r="I332" s="2">
        <v>0.2951388888888889</v>
      </c>
      <c r="J332" s="4" t="str">
        <f>IF(Table1[[#This Row],[processing_time_hours]]&gt;1.5,"Slow", "Fast")</f>
        <v>Fast</v>
      </c>
      <c r="K332" t="s">
        <v>2814</v>
      </c>
      <c r="L332" s="3">
        <v>0</v>
      </c>
      <c r="M332" t="str">
        <f>IF(Table1[[#This Row],[delayed]]=1,"Delayed","On Time")</f>
        <v>On Time</v>
      </c>
      <c r="N332" t="str">
        <f>IF(AND(Table1[[#This Row],[delayed]]=1,Table1[[#This Row],[weather_condition]]="Storm"),"High Risk", IF(Table1[[#This Row],[delayed]]=1,"Medium Risk","Low Risk"))</f>
        <v>Low Risk</v>
      </c>
    </row>
    <row r="333" spans="1:14" x14ac:dyDescent="0.35">
      <c r="A333">
        <v>332</v>
      </c>
      <c r="B333" s="1">
        <v>44940.791666666664</v>
      </c>
      <c r="C333" s="2">
        <v>5.6250000000000001E-2</v>
      </c>
      <c r="D333" s="3">
        <v>3018</v>
      </c>
      <c r="E333" s="3">
        <v>396</v>
      </c>
      <c r="F333" s="2">
        <v>63.00555555555556</v>
      </c>
      <c r="G333" t="s">
        <v>2812</v>
      </c>
      <c r="H333" t="s">
        <v>2813</v>
      </c>
      <c r="I333" s="2">
        <v>2.713194444444444</v>
      </c>
      <c r="J333" s="4" t="str">
        <f>IF(Table1[[#This Row],[processing_time_hours]]&gt;1.5,"Slow", "Fast")</f>
        <v>Slow</v>
      </c>
      <c r="K333" t="s">
        <v>2821</v>
      </c>
      <c r="L333" s="3">
        <v>0</v>
      </c>
      <c r="M333" t="str">
        <f>IF(Table1[[#This Row],[delayed]]=1,"Delayed","On Time")</f>
        <v>On Time</v>
      </c>
      <c r="N333" t="str">
        <f>IF(AND(Table1[[#This Row],[delayed]]=1,Table1[[#This Row],[weather_condition]]="Storm"),"High Risk", IF(Table1[[#This Row],[delayed]]=1,"Medium Risk","Low Risk"))</f>
        <v>Low Risk</v>
      </c>
    </row>
    <row r="334" spans="1:14" x14ac:dyDescent="0.35">
      <c r="A334">
        <v>333</v>
      </c>
      <c r="B334" s="1">
        <v>44940.833333333336</v>
      </c>
      <c r="C334" s="2">
        <v>4.3055555555555562E-2</v>
      </c>
      <c r="D334" s="3">
        <v>4702</v>
      </c>
      <c r="E334" s="3">
        <v>314</v>
      </c>
      <c r="F334" s="2">
        <v>63.586111111111109</v>
      </c>
      <c r="G334" t="s">
        <v>2815</v>
      </c>
      <c r="H334" t="s">
        <v>2822</v>
      </c>
      <c r="I334" s="2">
        <v>0.7090277777777777</v>
      </c>
      <c r="J334" s="4" t="str">
        <f>IF(Table1[[#This Row],[processing_time_hours]]&gt;1.5,"Slow", "Fast")</f>
        <v>Fast</v>
      </c>
      <c r="K334" t="s">
        <v>2814</v>
      </c>
      <c r="L334" s="3">
        <v>0</v>
      </c>
      <c r="M334" t="str">
        <f>IF(Table1[[#This Row],[delayed]]=1,"Delayed","On Time")</f>
        <v>On Time</v>
      </c>
      <c r="N334" t="str">
        <f>IF(AND(Table1[[#This Row],[delayed]]=1,Table1[[#This Row],[weather_condition]]="Storm"),"High Risk", IF(Table1[[#This Row],[delayed]]=1,"Medium Risk","Low Risk"))</f>
        <v>Low Risk</v>
      </c>
    </row>
    <row r="335" spans="1:14" x14ac:dyDescent="0.35">
      <c r="A335">
        <v>334</v>
      </c>
      <c r="B335" s="1">
        <v>44940.875</v>
      </c>
      <c r="C335" s="2">
        <v>6.3888888888888898E-2</v>
      </c>
      <c r="D335" s="3">
        <v>683</v>
      </c>
      <c r="E335" s="3">
        <v>298</v>
      </c>
      <c r="F335" s="2">
        <v>19.628472222222221</v>
      </c>
      <c r="G335" t="s">
        <v>2815</v>
      </c>
      <c r="H335" t="s">
        <v>2820</v>
      </c>
      <c r="I335" s="2">
        <v>0.21458333333333335</v>
      </c>
      <c r="J335" s="4" t="str">
        <f>IF(Table1[[#This Row],[processing_time_hours]]&gt;1.5,"Slow", "Fast")</f>
        <v>Fast</v>
      </c>
      <c r="K335" t="s">
        <v>2814</v>
      </c>
      <c r="L335" s="3">
        <v>0</v>
      </c>
      <c r="M335" t="str">
        <f>IF(Table1[[#This Row],[delayed]]=1,"Delayed","On Time")</f>
        <v>On Time</v>
      </c>
      <c r="N335" t="str">
        <f>IF(AND(Table1[[#This Row],[delayed]]=1,Table1[[#This Row],[weather_condition]]="Storm"),"High Risk", IF(Table1[[#This Row],[delayed]]=1,"Medium Risk","Low Risk"))</f>
        <v>Low Risk</v>
      </c>
    </row>
    <row r="336" spans="1:14" x14ac:dyDescent="0.35">
      <c r="A336">
        <v>335</v>
      </c>
      <c r="B336" s="1">
        <v>44940.916666666664</v>
      </c>
      <c r="C336" s="2">
        <v>4.3055555555555562E-2</v>
      </c>
      <c r="D336" s="3">
        <v>2666</v>
      </c>
      <c r="E336" s="3">
        <v>199</v>
      </c>
      <c r="F336" s="2">
        <v>81.170833333333334</v>
      </c>
      <c r="G336" t="s">
        <v>2815</v>
      </c>
      <c r="H336" t="s">
        <v>2813</v>
      </c>
      <c r="I336" s="2">
        <v>1.6284722222222223</v>
      </c>
      <c r="J336" s="4" t="str">
        <f>IF(Table1[[#This Row],[processing_time_hours]]&gt;1.5,"Slow", "Fast")</f>
        <v>Slow</v>
      </c>
      <c r="K336" t="s">
        <v>2818</v>
      </c>
      <c r="L336" s="3">
        <v>1</v>
      </c>
      <c r="M336" t="str">
        <f>IF(Table1[[#This Row],[delayed]]=1,"Delayed","On Time")</f>
        <v>Delayed</v>
      </c>
      <c r="N336" t="str">
        <f>IF(AND(Table1[[#This Row],[delayed]]=1,Table1[[#This Row],[weather_condition]]="Storm"),"High Risk", IF(Table1[[#This Row],[delayed]]=1,"Medium Risk","Low Risk"))</f>
        <v>Medium Risk</v>
      </c>
    </row>
    <row r="337" spans="1:14" x14ac:dyDescent="0.35">
      <c r="A337">
        <v>336</v>
      </c>
      <c r="B337" s="1">
        <v>44940.958333333336</v>
      </c>
      <c r="C337" s="2">
        <v>6.458333333333334E-2</v>
      </c>
      <c r="D337" s="3">
        <v>4019</v>
      </c>
      <c r="E337" s="3">
        <v>403</v>
      </c>
      <c r="F337" s="2">
        <v>11.125</v>
      </c>
      <c r="G337" t="s">
        <v>2816</v>
      </c>
      <c r="H337" t="s">
        <v>2822</v>
      </c>
      <c r="I337" s="2">
        <v>2.9618055555555554</v>
      </c>
      <c r="J337" s="4" t="str">
        <f>IF(Table1[[#This Row],[processing_time_hours]]&gt;1.5,"Slow", "Fast")</f>
        <v>Slow</v>
      </c>
      <c r="K337" t="s">
        <v>2818</v>
      </c>
      <c r="L337" s="3">
        <v>0</v>
      </c>
      <c r="M337" t="str">
        <f>IF(Table1[[#This Row],[delayed]]=1,"Delayed","On Time")</f>
        <v>On Time</v>
      </c>
      <c r="N337" t="str">
        <f>IF(AND(Table1[[#This Row],[delayed]]=1,Table1[[#This Row],[weather_condition]]="Storm"),"High Risk", IF(Table1[[#This Row],[delayed]]=1,"Medium Risk","Low Risk"))</f>
        <v>Low Risk</v>
      </c>
    </row>
    <row r="338" spans="1:14" x14ac:dyDescent="0.35">
      <c r="A338">
        <v>337</v>
      </c>
      <c r="B338" s="1">
        <v>44941</v>
      </c>
      <c r="C338" s="2">
        <v>4.1666666666666666E-3</v>
      </c>
      <c r="D338" s="3">
        <v>4679</v>
      </c>
      <c r="E338" s="3">
        <v>452</v>
      </c>
      <c r="F338" s="2">
        <v>32.252083333333331</v>
      </c>
      <c r="G338" t="s">
        <v>2816</v>
      </c>
      <c r="H338" t="s">
        <v>2822</v>
      </c>
      <c r="I338" s="2">
        <v>0.29375000000000001</v>
      </c>
      <c r="J338" s="4" t="str">
        <f>IF(Table1[[#This Row],[processing_time_hours]]&gt;1.5,"Slow", "Fast")</f>
        <v>Fast</v>
      </c>
      <c r="K338" t="s">
        <v>2818</v>
      </c>
      <c r="L338" s="3">
        <v>0</v>
      </c>
      <c r="M338" t="str">
        <f>IF(Table1[[#This Row],[delayed]]=1,"Delayed","On Time")</f>
        <v>On Time</v>
      </c>
      <c r="N338" t="str">
        <f>IF(AND(Table1[[#This Row],[delayed]]=1,Table1[[#This Row],[weather_condition]]="Storm"),"High Risk", IF(Table1[[#This Row],[delayed]]=1,"Medium Risk","Low Risk"))</f>
        <v>Low Risk</v>
      </c>
    </row>
    <row r="339" spans="1:14" x14ac:dyDescent="0.35">
      <c r="A339">
        <v>338</v>
      </c>
      <c r="B339" s="1">
        <v>44941.041666666664</v>
      </c>
      <c r="C339" s="2">
        <v>6.0416666666666667E-2</v>
      </c>
      <c r="D339" s="3">
        <v>2639</v>
      </c>
      <c r="E339" s="3">
        <v>475</v>
      </c>
      <c r="F339" s="2">
        <v>12.795138888888888</v>
      </c>
      <c r="G339" t="s">
        <v>2819</v>
      </c>
      <c r="H339" t="s">
        <v>2817</v>
      </c>
      <c r="I339" s="2">
        <v>1.625</v>
      </c>
      <c r="J339" s="4" t="str">
        <f>IF(Table1[[#This Row],[processing_time_hours]]&gt;1.5,"Slow", "Fast")</f>
        <v>Slow</v>
      </c>
      <c r="K339" t="s">
        <v>2818</v>
      </c>
      <c r="L339" s="3">
        <v>1</v>
      </c>
      <c r="M339" t="str">
        <f>IF(Table1[[#This Row],[delayed]]=1,"Delayed","On Time")</f>
        <v>Delayed</v>
      </c>
      <c r="N339" t="str">
        <f>IF(AND(Table1[[#This Row],[delayed]]=1,Table1[[#This Row],[weather_condition]]="Storm"),"High Risk", IF(Table1[[#This Row],[delayed]]=1,"Medium Risk","Low Risk"))</f>
        <v>High Risk</v>
      </c>
    </row>
    <row r="340" spans="1:14" x14ac:dyDescent="0.35">
      <c r="A340">
        <v>339</v>
      </c>
      <c r="B340" s="1">
        <v>44941.083333333336</v>
      </c>
      <c r="C340" s="2">
        <v>4.6527777777777779E-2</v>
      </c>
      <c r="D340" s="3">
        <v>4405</v>
      </c>
      <c r="E340" s="3">
        <v>234</v>
      </c>
      <c r="F340" s="2">
        <v>42.37777777777778</v>
      </c>
      <c r="G340" t="s">
        <v>2812</v>
      </c>
      <c r="H340" t="s">
        <v>2817</v>
      </c>
      <c r="I340" s="2">
        <v>1.5861111111111112</v>
      </c>
      <c r="J340" s="4" t="str">
        <f>IF(Table1[[#This Row],[processing_time_hours]]&gt;1.5,"Slow", "Fast")</f>
        <v>Slow</v>
      </c>
      <c r="K340" t="s">
        <v>2814</v>
      </c>
      <c r="L340" s="3">
        <v>1</v>
      </c>
      <c r="M340" t="str">
        <f>IF(Table1[[#This Row],[delayed]]=1,"Delayed","On Time")</f>
        <v>Delayed</v>
      </c>
      <c r="N340" t="str">
        <f>IF(AND(Table1[[#This Row],[delayed]]=1,Table1[[#This Row],[weather_condition]]="Storm"),"High Risk", IF(Table1[[#This Row],[delayed]]=1,"Medium Risk","Low Risk"))</f>
        <v>High Risk</v>
      </c>
    </row>
    <row r="341" spans="1:14" x14ac:dyDescent="0.35">
      <c r="A341">
        <v>340</v>
      </c>
      <c r="B341" s="1">
        <v>44941.125</v>
      </c>
      <c r="C341" s="2">
        <v>5.1388888888888894E-2</v>
      </c>
      <c r="D341" s="3">
        <v>3457</v>
      </c>
      <c r="E341" s="3">
        <v>6</v>
      </c>
      <c r="F341" s="2">
        <v>8.9618055555555554</v>
      </c>
      <c r="G341" t="s">
        <v>2815</v>
      </c>
      <c r="H341" t="s">
        <v>2813</v>
      </c>
      <c r="I341" s="2">
        <v>0.25625000000000003</v>
      </c>
      <c r="J341" s="4" t="str">
        <f>IF(Table1[[#This Row],[processing_time_hours]]&gt;1.5,"Slow", "Fast")</f>
        <v>Fast</v>
      </c>
      <c r="K341" t="s">
        <v>2818</v>
      </c>
      <c r="L341" s="3">
        <v>1</v>
      </c>
      <c r="M341" t="str">
        <f>IF(Table1[[#This Row],[delayed]]=1,"Delayed","On Time")</f>
        <v>Delayed</v>
      </c>
      <c r="N341" t="str">
        <f>IF(AND(Table1[[#This Row],[delayed]]=1,Table1[[#This Row],[weather_condition]]="Storm"),"High Risk", IF(Table1[[#This Row],[delayed]]=1,"Medium Risk","Low Risk"))</f>
        <v>Medium Risk</v>
      </c>
    </row>
    <row r="342" spans="1:14" x14ac:dyDescent="0.35">
      <c r="A342">
        <v>341</v>
      </c>
      <c r="B342" s="1">
        <v>44941.166666666664</v>
      </c>
      <c r="C342" s="2">
        <v>6.805555555555555E-2</v>
      </c>
      <c r="D342" s="3">
        <v>794</v>
      </c>
      <c r="E342" s="3">
        <v>480</v>
      </c>
      <c r="F342" s="2">
        <v>7.6291666666666664</v>
      </c>
      <c r="G342" t="s">
        <v>2815</v>
      </c>
      <c r="H342" t="s">
        <v>2817</v>
      </c>
      <c r="I342" s="2">
        <v>0.12638888888888888</v>
      </c>
      <c r="J342" s="4" t="str">
        <f>IF(Table1[[#This Row],[processing_time_hours]]&gt;1.5,"Slow", "Fast")</f>
        <v>Fast</v>
      </c>
      <c r="K342" t="s">
        <v>2818</v>
      </c>
      <c r="L342" s="3">
        <v>0</v>
      </c>
      <c r="M342" t="str">
        <f>IF(Table1[[#This Row],[delayed]]=1,"Delayed","On Time")</f>
        <v>On Time</v>
      </c>
      <c r="N342" t="str">
        <f>IF(AND(Table1[[#This Row],[delayed]]=1,Table1[[#This Row],[weather_condition]]="Storm"),"High Risk", IF(Table1[[#This Row],[delayed]]=1,"Medium Risk","Low Risk"))</f>
        <v>Low Risk</v>
      </c>
    </row>
    <row r="343" spans="1:14" x14ac:dyDescent="0.35">
      <c r="A343">
        <v>342</v>
      </c>
      <c r="B343" s="1">
        <v>44941.208333333336</v>
      </c>
      <c r="C343" s="2">
        <v>5.486111111111111E-2</v>
      </c>
      <c r="D343" s="3">
        <v>2135</v>
      </c>
      <c r="E343" s="3">
        <v>34</v>
      </c>
      <c r="F343" s="2">
        <v>58.756250000000001</v>
      </c>
      <c r="G343" t="s">
        <v>2819</v>
      </c>
      <c r="H343" t="s">
        <v>2817</v>
      </c>
      <c r="I343" s="2">
        <v>0.75486111111111109</v>
      </c>
      <c r="J343" s="4" t="str">
        <f>IF(Table1[[#This Row],[processing_time_hours]]&gt;1.5,"Slow", "Fast")</f>
        <v>Fast</v>
      </c>
      <c r="K343" t="s">
        <v>2821</v>
      </c>
      <c r="L343" s="3">
        <v>1</v>
      </c>
      <c r="M343" t="str">
        <f>IF(Table1[[#This Row],[delayed]]=1,"Delayed","On Time")</f>
        <v>Delayed</v>
      </c>
      <c r="N343" t="str">
        <f>IF(AND(Table1[[#This Row],[delayed]]=1,Table1[[#This Row],[weather_condition]]="Storm"),"High Risk", IF(Table1[[#This Row],[delayed]]=1,"Medium Risk","Low Risk"))</f>
        <v>High Risk</v>
      </c>
    </row>
    <row r="344" spans="1:14" x14ac:dyDescent="0.35">
      <c r="A344">
        <v>343</v>
      </c>
      <c r="B344" s="1">
        <v>44941.25</v>
      </c>
      <c r="C344" s="2">
        <v>5.9722222222222225E-2</v>
      </c>
      <c r="D344" s="3">
        <v>3513</v>
      </c>
      <c r="E344" s="3">
        <v>347</v>
      </c>
      <c r="F344" s="2">
        <v>58.795833333333327</v>
      </c>
      <c r="G344" t="s">
        <v>2816</v>
      </c>
      <c r="H344" t="s">
        <v>2822</v>
      </c>
      <c r="I344" s="2">
        <v>0.83750000000000002</v>
      </c>
      <c r="J344" s="4" t="str">
        <f>IF(Table1[[#This Row],[processing_time_hours]]&gt;1.5,"Slow", "Fast")</f>
        <v>Fast</v>
      </c>
      <c r="K344" t="s">
        <v>2818</v>
      </c>
      <c r="L344" s="3">
        <v>0</v>
      </c>
      <c r="M344" t="str">
        <f>IF(Table1[[#This Row],[delayed]]=1,"Delayed","On Time")</f>
        <v>On Time</v>
      </c>
      <c r="N344" t="str">
        <f>IF(AND(Table1[[#This Row],[delayed]]=1,Table1[[#This Row],[weather_condition]]="Storm"),"High Risk", IF(Table1[[#This Row],[delayed]]=1,"Medium Risk","Low Risk"))</f>
        <v>Low Risk</v>
      </c>
    </row>
    <row r="345" spans="1:14" x14ac:dyDescent="0.35">
      <c r="A345">
        <v>344</v>
      </c>
      <c r="B345" s="1">
        <v>44941.291666666664</v>
      </c>
      <c r="C345" s="2">
        <v>6.2499999999999995E-3</v>
      </c>
      <c r="D345" s="3">
        <v>3826</v>
      </c>
      <c r="E345" s="3">
        <v>2</v>
      </c>
      <c r="F345" s="2">
        <v>76.753472222222214</v>
      </c>
      <c r="G345" t="s">
        <v>2815</v>
      </c>
      <c r="H345" t="s">
        <v>2817</v>
      </c>
      <c r="I345" s="2">
        <v>1.5465277777777777</v>
      </c>
      <c r="J345" s="4" t="str">
        <f>IF(Table1[[#This Row],[processing_time_hours]]&gt;1.5,"Slow", "Fast")</f>
        <v>Slow</v>
      </c>
      <c r="K345" t="s">
        <v>2821</v>
      </c>
      <c r="L345" s="3">
        <v>0</v>
      </c>
      <c r="M345" t="str">
        <f>IF(Table1[[#This Row],[delayed]]=1,"Delayed","On Time")</f>
        <v>On Time</v>
      </c>
      <c r="N345" t="str">
        <f>IF(AND(Table1[[#This Row],[delayed]]=1,Table1[[#This Row],[weather_condition]]="Storm"),"High Risk", IF(Table1[[#This Row],[delayed]]=1,"Medium Risk","Low Risk"))</f>
        <v>Low Risk</v>
      </c>
    </row>
    <row r="346" spans="1:14" x14ac:dyDescent="0.35">
      <c r="A346">
        <v>345</v>
      </c>
      <c r="B346" s="1">
        <v>44941.333333333336</v>
      </c>
      <c r="C346" s="2">
        <v>4.4444444444444446E-2</v>
      </c>
      <c r="D346" s="3">
        <v>2883</v>
      </c>
      <c r="E346" s="3">
        <v>147</v>
      </c>
      <c r="F346" s="2">
        <v>11.629861111111111</v>
      </c>
      <c r="G346" t="s">
        <v>2816</v>
      </c>
      <c r="H346" t="s">
        <v>2822</v>
      </c>
      <c r="I346" s="2">
        <v>2.75</v>
      </c>
      <c r="J346" s="4" t="str">
        <f>IF(Table1[[#This Row],[processing_time_hours]]&gt;1.5,"Slow", "Fast")</f>
        <v>Slow</v>
      </c>
      <c r="K346" t="s">
        <v>2821</v>
      </c>
      <c r="L346" s="3">
        <v>0</v>
      </c>
      <c r="M346" t="str">
        <f>IF(Table1[[#This Row],[delayed]]=1,"Delayed","On Time")</f>
        <v>On Time</v>
      </c>
      <c r="N346" t="str">
        <f>IF(AND(Table1[[#This Row],[delayed]]=1,Table1[[#This Row],[weather_condition]]="Storm"),"High Risk", IF(Table1[[#This Row],[delayed]]=1,"Medium Risk","Low Risk"))</f>
        <v>Low Risk</v>
      </c>
    </row>
    <row r="347" spans="1:14" x14ac:dyDescent="0.35">
      <c r="A347">
        <v>346</v>
      </c>
      <c r="B347" s="1">
        <v>44941.375</v>
      </c>
      <c r="C347" s="2">
        <v>6.5277777777777782E-2</v>
      </c>
      <c r="D347" s="3">
        <v>4701</v>
      </c>
      <c r="E347" s="3">
        <v>447</v>
      </c>
      <c r="F347" s="2">
        <v>26.631249999999998</v>
      </c>
      <c r="G347" t="s">
        <v>2812</v>
      </c>
      <c r="H347" t="s">
        <v>2813</v>
      </c>
      <c r="I347" s="2">
        <v>0.92083333333333339</v>
      </c>
      <c r="J347" s="4" t="str">
        <f>IF(Table1[[#This Row],[processing_time_hours]]&gt;1.5,"Slow", "Fast")</f>
        <v>Fast</v>
      </c>
      <c r="K347" t="s">
        <v>2814</v>
      </c>
      <c r="L347" s="3">
        <v>0</v>
      </c>
      <c r="M347" t="str">
        <f>IF(Table1[[#This Row],[delayed]]=1,"Delayed","On Time")</f>
        <v>On Time</v>
      </c>
      <c r="N347" t="str">
        <f>IF(AND(Table1[[#This Row],[delayed]]=1,Table1[[#This Row],[weather_condition]]="Storm"),"High Risk", IF(Table1[[#This Row],[delayed]]=1,"Medium Risk","Low Risk"))</f>
        <v>Low Risk</v>
      </c>
    </row>
    <row r="348" spans="1:14" x14ac:dyDescent="0.35">
      <c r="A348">
        <v>347</v>
      </c>
      <c r="B348" s="1">
        <v>44941.416666666664</v>
      </c>
      <c r="C348" s="2">
        <v>6.7361111111111108E-2</v>
      </c>
      <c r="D348" s="3">
        <v>703</v>
      </c>
      <c r="E348" s="3">
        <v>476</v>
      </c>
      <c r="F348" s="2">
        <v>1.9638888888888888</v>
      </c>
      <c r="G348" t="s">
        <v>2812</v>
      </c>
      <c r="H348" t="s">
        <v>2817</v>
      </c>
      <c r="I348" s="2">
        <v>2.5479166666666666</v>
      </c>
      <c r="J348" s="4" t="str">
        <f>IF(Table1[[#This Row],[processing_time_hours]]&gt;1.5,"Slow", "Fast")</f>
        <v>Slow</v>
      </c>
      <c r="K348" t="s">
        <v>2814</v>
      </c>
      <c r="L348" s="3">
        <v>1</v>
      </c>
      <c r="M348" t="str">
        <f>IF(Table1[[#This Row],[delayed]]=1,"Delayed","On Time")</f>
        <v>Delayed</v>
      </c>
      <c r="N348" t="str">
        <f>IF(AND(Table1[[#This Row],[delayed]]=1,Table1[[#This Row],[weather_condition]]="Storm"),"High Risk", IF(Table1[[#This Row],[delayed]]=1,"Medium Risk","Low Risk"))</f>
        <v>High Risk</v>
      </c>
    </row>
    <row r="349" spans="1:14" x14ac:dyDescent="0.35">
      <c r="A349">
        <v>348</v>
      </c>
      <c r="B349" s="1">
        <v>44941.458333333336</v>
      </c>
      <c r="C349" s="2">
        <v>4.5833333333333337E-2</v>
      </c>
      <c r="D349" s="3">
        <v>4463</v>
      </c>
      <c r="E349" s="3">
        <v>255</v>
      </c>
      <c r="F349" s="2">
        <v>34.795833333333334</v>
      </c>
      <c r="G349" t="s">
        <v>2819</v>
      </c>
      <c r="H349" t="s">
        <v>2817</v>
      </c>
      <c r="I349" s="2">
        <v>0.13125000000000001</v>
      </c>
      <c r="J349" s="4" t="str">
        <f>IF(Table1[[#This Row],[processing_time_hours]]&gt;1.5,"Slow", "Fast")</f>
        <v>Fast</v>
      </c>
      <c r="K349" t="s">
        <v>2818</v>
      </c>
      <c r="L349" s="3">
        <v>0</v>
      </c>
      <c r="M349" t="str">
        <f>IF(Table1[[#This Row],[delayed]]=1,"Delayed","On Time")</f>
        <v>On Time</v>
      </c>
      <c r="N349" t="str">
        <f>IF(AND(Table1[[#This Row],[delayed]]=1,Table1[[#This Row],[weather_condition]]="Storm"),"High Risk", IF(Table1[[#This Row],[delayed]]=1,"Medium Risk","Low Risk"))</f>
        <v>Low Risk</v>
      </c>
    </row>
    <row r="350" spans="1:14" x14ac:dyDescent="0.35">
      <c r="A350">
        <v>349</v>
      </c>
      <c r="B350" s="1">
        <v>44941.5</v>
      </c>
      <c r="C350" s="2">
        <v>5.6944444444444443E-2</v>
      </c>
      <c r="D350" s="3">
        <v>2583</v>
      </c>
      <c r="E350" s="3">
        <v>98</v>
      </c>
      <c r="F350" s="2">
        <v>40.837499999999999</v>
      </c>
      <c r="G350" t="s">
        <v>2815</v>
      </c>
      <c r="H350" t="s">
        <v>2817</v>
      </c>
      <c r="I350" s="2">
        <v>0.75069444444444444</v>
      </c>
      <c r="J350" s="4" t="str">
        <f>IF(Table1[[#This Row],[processing_time_hours]]&gt;1.5,"Slow", "Fast")</f>
        <v>Fast</v>
      </c>
      <c r="K350" t="s">
        <v>2814</v>
      </c>
      <c r="L350" s="3">
        <v>0</v>
      </c>
      <c r="M350" t="str">
        <f>IF(Table1[[#This Row],[delayed]]=1,"Delayed","On Time")</f>
        <v>On Time</v>
      </c>
      <c r="N350" t="str">
        <f>IF(AND(Table1[[#This Row],[delayed]]=1,Table1[[#This Row],[weather_condition]]="Storm"),"High Risk", IF(Table1[[#This Row],[delayed]]=1,"Medium Risk","Low Risk"))</f>
        <v>Low Risk</v>
      </c>
    </row>
    <row r="351" spans="1:14" x14ac:dyDescent="0.35">
      <c r="A351">
        <v>350</v>
      </c>
      <c r="B351" s="1">
        <v>44941.541666666664</v>
      </c>
      <c r="C351" s="2">
        <v>4.9305555555555554E-2</v>
      </c>
      <c r="D351" s="3">
        <v>2000</v>
      </c>
      <c r="E351" s="3">
        <v>232</v>
      </c>
      <c r="F351" s="2">
        <v>37.754861111111111</v>
      </c>
      <c r="G351" t="s">
        <v>2815</v>
      </c>
      <c r="H351" t="s">
        <v>2813</v>
      </c>
      <c r="I351" s="2">
        <v>0.37847222222222227</v>
      </c>
      <c r="J351" s="4" t="str">
        <f>IF(Table1[[#This Row],[processing_time_hours]]&gt;1.5,"Slow", "Fast")</f>
        <v>Fast</v>
      </c>
      <c r="K351" t="s">
        <v>2814</v>
      </c>
      <c r="L351" s="3">
        <v>1</v>
      </c>
      <c r="M351" t="str">
        <f>IF(Table1[[#This Row],[delayed]]=1,"Delayed","On Time")</f>
        <v>Delayed</v>
      </c>
      <c r="N351" t="str">
        <f>IF(AND(Table1[[#This Row],[delayed]]=1,Table1[[#This Row],[weather_condition]]="Storm"),"High Risk", IF(Table1[[#This Row],[delayed]]=1,"Medium Risk","Low Risk"))</f>
        <v>Medium Risk</v>
      </c>
    </row>
    <row r="352" spans="1:14" x14ac:dyDescent="0.35">
      <c r="A352">
        <v>351</v>
      </c>
      <c r="B352" s="1">
        <v>44941.583333333336</v>
      </c>
      <c r="C352" s="2">
        <v>6.2499999999999995E-3</v>
      </c>
      <c r="D352" s="3">
        <v>3445</v>
      </c>
      <c r="E352" s="3">
        <v>338</v>
      </c>
      <c r="F352" s="2">
        <v>41.792361111111113</v>
      </c>
      <c r="G352" t="s">
        <v>2816</v>
      </c>
      <c r="H352" t="s">
        <v>2822</v>
      </c>
      <c r="I352" s="2">
        <v>0.91805555555555562</v>
      </c>
      <c r="J352" s="4" t="str">
        <f>IF(Table1[[#This Row],[processing_time_hours]]&gt;1.5,"Slow", "Fast")</f>
        <v>Fast</v>
      </c>
      <c r="K352" t="s">
        <v>2814</v>
      </c>
      <c r="L352" s="3">
        <v>0</v>
      </c>
      <c r="M352" t="str">
        <f>IF(Table1[[#This Row],[delayed]]=1,"Delayed","On Time")</f>
        <v>On Time</v>
      </c>
      <c r="N352" t="str">
        <f>IF(AND(Table1[[#This Row],[delayed]]=1,Table1[[#This Row],[weather_condition]]="Storm"),"High Risk", IF(Table1[[#This Row],[delayed]]=1,"Medium Risk","Low Risk"))</f>
        <v>Low Risk</v>
      </c>
    </row>
    <row r="353" spans="1:14" x14ac:dyDescent="0.35">
      <c r="A353">
        <v>352</v>
      </c>
      <c r="B353" s="1">
        <v>44941.625</v>
      </c>
      <c r="C353" s="2">
        <v>4.2361111111111106E-2</v>
      </c>
      <c r="D353" s="3">
        <v>3435</v>
      </c>
      <c r="E353" s="3">
        <v>107</v>
      </c>
      <c r="F353" s="2">
        <v>24.834027777777777</v>
      </c>
      <c r="G353" t="s">
        <v>2819</v>
      </c>
      <c r="H353" t="s">
        <v>2817</v>
      </c>
      <c r="I353" s="2">
        <v>1.1694444444444445</v>
      </c>
      <c r="J353" s="4" t="str">
        <f>IF(Table1[[#This Row],[processing_time_hours]]&gt;1.5,"Slow", "Fast")</f>
        <v>Fast</v>
      </c>
      <c r="K353" t="s">
        <v>2814</v>
      </c>
      <c r="L353" s="3">
        <v>0</v>
      </c>
      <c r="M353" t="str">
        <f>IF(Table1[[#This Row],[delayed]]=1,"Delayed","On Time")</f>
        <v>On Time</v>
      </c>
      <c r="N353" t="str">
        <f>IF(AND(Table1[[#This Row],[delayed]]=1,Table1[[#This Row],[weather_condition]]="Storm"),"High Risk", IF(Table1[[#This Row],[delayed]]=1,"Medium Risk","Low Risk"))</f>
        <v>Low Risk</v>
      </c>
    </row>
    <row r="354" spans="1:14" x14ac:dyDescent="0.35">
      <c r="A354">
        <v>353</v>
      </c>
      <c r="B354" s="1">
        <v>44941.666666666664</v>
      </c>
      <c r="C354" s="2">
        <v>5.6250000000000001E-2</v>
      </c>
      <c r="D354" s="3">
        <v>52</v>
      </c>
      <c r="E354" s="3">
        <v>228</v>
      </c>
      <c r="F354" s="2">
        <v>12.125694444444443</v>
      </c>
      <c r="G354" t="s">
        <v>2815</v>
      </c>
      <c r="H354" t="s">
        <v>2822</v>
      </c>
      <c r="I354" s="2">
        <v>0.54236111111111118</v>
      </c>
      <c r="J354" s="4" t="str">
        <f>IF(Table1[[#This Row],[processing_time_hours]]&gt;1.5,"Slow", "Fast")</f>
        <v>Fast</v>
      </c>
      <c r="K354" t="s">
        <v>2821</v>
      </c>
      <c r="L354" s="3">
        <v>0</v>
      </c>
      <c r="M354" t="str">
        <f>IF(Table1[[#This Row],[delayed]]=1,"Delayed","On Time")</f>
        <v>On Time</v>
      </c>
      <c r="N354" t="str">
        <f>IF(AND(Table1[[#This Row],[delayed]]=1,Table1[[#This Row],[weather_condition]]="Storm"),"High Risk", IF(Table1[[#This Row],[delayed]]=1,"Medium Risk","Low Risk"))</f>
        <v>Low Risk</v>
      </c>
    </row>
    <row r="355" spans="1:14" x14ac:dyDescent="0.35">
      <c r="A355">
        <v>354</v>
      </c>
      <c r="B355" s="1">
        <v>44941.708333333336</v>
      </c>
      <c r="C355" s="2">
        <v>6.3888888888888898E-2</v>
      </c>
      <c r="D355" s="3">
        <v>2302</v>
      </c>
      <c r="E355" s="3">
        <v>179</v>
      </c>
      <c r="F355" s="2">
        <v>9.7118055555555554</v>
      </c>
      <c r="G355" t="s">
        <v>2819</v>
      </c>
      <c r="H355" t="s">
        <v>2822</v>
      </c>
      <c r="I355" s="2">
        <v>2.4604166666666667</v>
      </c>
      <c r="J355" s="4" t="str">
        <f>IF(Table1[[#This Row],[processing_time_hours]]&gt;1.5,"Slow", "Fast")</f>
        <v>Slow</v>
      </c>
      <c r="K355" t="s">
        <v>2814</v>
      </c>
      <c r="L355" s="3">
        <v>1</v>
      </c>
      <c r="M355" t="str">
        <f>IF(Table1[[#This Row],[delayed]]=1,"Delayed","On Time")</f>
        <v>Delayed</v>
      </c>
      <c r="N355" t="str">
        <f>IF(AND(Table1[[#This Row],[delayed]]=1,Table1[[#This Row],[weather_condition]]="Storm"),"High Risk", IF(Table1[[#This Row],[delayed]]=1,"Medium Risk","Low Risk"))</f>
        <v>Medium Risk</v>
      </c>
    </row>
    <row r="356" spans="1:14" x14ac:dyDescent="0.35">
      <c r="A356">
        <v>355</v>
      </c>
      <c r="B356" s="1">
        <v>44941.75</v>
      </c>
      <c r="C356" s="2">
        <v>6.1805555555555558E-2</v>
      </c>
      <c r="D356" s="3">
        <v>1906</v>
      </c>
      <c r="E356" s="3">
        <v>427</v>
      </c>
      <c r="F356" s="2">
        <v>23.626388888888886</v>
      </c>
      <c r="G356" t="s">
        <v>2815</v>
      </c>
      <c r="H356" t="s">
        <v>2813</v>
      </c>
      <c r="I356" s="2">
        <v>2.0874999999999999</v>
      </c>
      <c r="J356" s="4" t="str">
        <f>IF(Table1[[#This Row],[processing_time_hours]]&gt;1.5,"Slow", "Fast")</f>
        <v>Slow</v>
      </c>
      <c r="K356" t="s">
        <v>2814</v>
      </c>
      <c r="L356" s="3">
        <v>0</v>
      </c>
      <c r="M356" t="str">
        <f>IF(Table1[[#This Row],[delayed]]=1,"Delayed","On Time")</f>
        <v>On Time</v>
      </c>
      <c r="N356" t="str">
        <f>IF(AND(Table1[[#This Row],[delayed]]=1,Table1[[#This Row],[weather_condition]]="Storm"),"High Risk", IF(Table1[[#This Row],[delayed]]=1,"Medium Risk","Low Risk"))</f>
        <v>Low Risk</v>
      </c>
    </row>
    <row r="357" spans="1:14" x14ac:dyDescent="0.35">
      <c r="A357">
        <v>356</v>
      </c>
      <c r="B357" s="1">
        <v>44941.791666666664</v>
      </c>
      <c r="C357" s="2">
        <v>4.4444444444444446E-2</v>
      </c>
      <c r="D357" s="3">
        <v>1195</v>
      </c>
      <c r="E357" s="3">
        <v>125</v>
      </c>
      <c r="F357" s="2">
        <v>46.959722222222219</v>
      </c>
      <c r="G357" t="s">
        <v>2816</v>
      </c>
      <c r="H357" t="s">
        <v>2822</v>
      </c>
      <c r="I357" s="2">
        <v>0.83819444444444446</v>
      </c>
      <c r="J357" s="4" t="str">
        <f>IF(Table1[[#This Row],[processing_time_hours]]&gt;1.5,"Slow", "Fast")</f>
        <v>Fast</v>
      </c>
      <c r="K357" t="s">
        <v>2814</v>
      </c>
      <c r="L357" s="3">
        <v>1</v>
      </c>
      <c r="M357" t="str">
        <f>IF(Table1[[#This Row],[delayed]]=1,"Delayed","On Time")</f>
        <v>Delayed</v>
      </c>
      <c r="N357" t="str">
        <f>IF(AND(Table1[[#This Row],[delayed]]=1,Table1[[#This Row],[weather_condition]]="Storm"),"High Risk", IF(Table1[[#This Row],[delayed]]=1,"Medium Risk","Low Risk"))</f>
        <v>Medium Risk</v>
      </c>
    </row>
    <row r="358" spans="1:14" x14ac:dyDescent="0.35">
      <c r="A358">
        <v>357</v>
      </c>
      <c r="B358" s="1">
        <v>44941.833333333336</v>
      </c>
      <c r="C358" s="2">
        <v>6.458333333333334E-2</v>
      </c>
      <c r="D358" s="3">
        <v>2452</v>
      </c>
      <c r="E358" s="3">
        <v>215</v>
      </c>
      <c r="F358" s="2">
        <v>66.629166666666663</v>
      </c>
      <c r="G358" t="s">
        <v>2816</v>
      </c>
      <c r="H358" t="s">
        <v>2822</v>
      </c>
      <c r="I358" s="2">
        <v>2.379861111111111</v>
      </c>
      <c r="J358" s="4" t="str">
        <f>IF(Table1[[#This Row],[processing_time_hours]]&gt;1.5,"Slow", "Fast")</f>
        <v>Slow</v>
      </c>
      <c r="K358" t="s">
        <v>2818</v>
      </c>
      <c r="L358" s="3">
        <v>0</v>
      </c>
      <c r="M358" t="str">
        <f>IF(Table1[[#This Row],[delayed]]=1,"Delayed","On Time")</f>
        <v>On Time</v>
      </c>
      <c r="N358" t="str">
        <f>IF(AND(Table1[[#This Row],[delayed]]=1,Table1[[#This Row],[weather_condition]]="Storm"),"High Risk", IF(Table1[[#This Row],[delayed]]=1,"Medium Risk","Low Risk"))</f>
        <v>Low Risk</v>
      </c>
    </row>
    <row r="359" spans="1:14" x14ac:dyDescent="0.35">
      <c r="A359">
        <v>358</v>
      </c>
      <c r="B359" s="1">
        <v>44941.875</v>
      </c>
      <c r="C359" s="2">
        <v>4.8611111111111112E-3</v>
      </c>
      <c r="D359" s="3">
        <v>3624</v>
      </c>
      <c r="E359" s="3">
        <v>480</v>
      </c>
      <c r="F359" s="2">
        <v>54.088888888888896</v>
      </c>
      <c r="G359" t="s">
        <v>2815</v>
      </c>
      <c r="H359" t="s">
        <v>2820</v>
      </c>
      <c r="I359" s="2">
        <v>0.75416666666666676</v>
      </c>
      <c r="J359" s="4" t="str">
        <f>IF(Table1[[#This Row],[processing_time_hours]]&gt;1.5,"Slow", "Fast")</f>
        <v>Fast</v>
      </c>
      <c r="K359" t="s">
        <v>2821</v>
      </c>
      <c r="L359" s="3">
        <v>1</v>
      </c>
      <c r="M359" t="str">
        <f>IF(Table1[[#This Row],[delayed]]=1,"Delayed","On Time")</f>
        <v>Delayed</v>
      </c>
      <c r="N359" t="str">
        <f>IF(AND(Table1[[#This Row],[delayed]]=1,Table1[[#This Row],[weather_condition]]="Storm"),"High Risk", IF(Table1[[#This Row],[delayed]]=1,"Medium Risk","Low Risk"))</f>
        <v>Medium Risk</v>
      </c>
    </row>
    <row r="360" spans="1:14" x14ac:dyDescent="0.35">
      <c r="A360">
        <v>359</v>
      </c>
      <c r="B360" s="1">
        <v>44941.916666666664</v>
      </c>
      <c r="C360" s="2">
        <v>6.3888888888888898E-2</v>
      </c>
      <c r="D360" s="3">
        <v>994</v>
      </c>
      <c r="E360" s="3">
        <v>410</v>
      </c>
      <c r="F360" s="2">
        <v>9.2937500000000011</v>
      </c>
      <c r="G360" t="s">
        <v>2819</v>
      </c>
      <c r="H360" t="s">
        <v>2820</v>
      </c>
      <c r="I360" s="2">
        <v>0.29583333333333334</v>
      </c>
      <c r="J360" s="4" t="str">
        <f>IF(Table1[[#This Row],[processing_time_hours]]&gt;1.5,"Slow", "Fast")</f>
        <v>Fast</v>
      </c>
      <c r="K360" t="s">
        <v>2814</v>
      </c>
      <c r="L360" s="3">
        <v>0</v>
      </c>
      <c r="M360" t="str">
        <f>IF(Table1[[#This Row],[delayed]]=1,"Delayed","On Time")</f>
        <v>On Time</v>
      </c>
      <c r="N360" t="str">
        <f>IF(AND(Table1[[#This Row],[delayed]]=1,Table1[[#This Row],[weather_condition]]="Storm"),"High Risk", IF(Table1[[#This Row],[delayed]]=1,"Medium Risk","Low Risk"))</f>
        <v>Low Risk</v>
      </c>
    </row>
    <row r="361" spans="1:14" x14ac:dyDescent="0.35">
      <c r="A361">
        <v>360</v>
      </c>
      <c r="B361" s="1">
        <v>44941.958333333336</v>
      </c>
      <c r="C361" s="2">
        <v>5.5555555555555558E-3</v>
      </c>
      <c r="D361" s="3">
        <v>3878</v>
      </c>
      <c r="E361" s="3">
        <v>466</v>
      </c>
      <c r="F361" s="2">
        <v>48.25138888888889</v>
      </c>
      <c r="G361" t="s">
        <v>2819</v>
      </c>
      <c r="H361" t="s">
        <v>2820</v>
      </c>
      <c r="I361" s="2">
        <v>2.3381944444444445</v>
      </c>
      <c r="J361" s="4" t="str">
        <f>IF(Table1[[#This Row],[processing_time_hours]]&gt;1.5,"Slow", "Fast")</f>
        <v>Slow</v>
      </c>
      <c r="K361" t="s">
        <v>2821</v>
      </c>
      <c r="L361" s="3">
        <v>0</v>
      </c>
      <c r="M361" t="str">
        <f>IF(Table1[[#This Row],[delayed]]=1,"Delayed","On Time")</f>
        <v>On Time</v>
      </c>
      <c r="N361" t="str">
        <f>IF(AND(Table1[[#This Row],[delayed]]=1,Table1[[#This Row],[weather_condition]]="Storm"),"High Risk", IF(Table1[[#This Row],[delayed]]=1,"Medium Risk","Low Risk"))</f>
        <v>Low Risk</v>
      </c>
    </row>
    <row r="362" spans="1:14" x14ac:dyDescent="0.35">
      <c r="A362">
        <v>361</v>
      </c>
      <c r="B362" s="1">
        <v>44942</v>
      </c>
      <c r="C362" s="2">
        <v>4.5833333333333337E-2</v>
      </c>
      <c r="D362" s="3">
        <v>3134</v>
      </c>
      <c r="E362" s="3">
        <v>216</v>
      </c>
      <c r="F362" s="2">
        <v>14.254861111111111</v>
      </c>
      <c r="G362" t="s">
        <v>2819</v>
      </c>
      <c r="H362" t="s">
        <v>2817</v>
      </c>
      <c r="I362" s="2">
        <v>0.54236111111111118</v>
      </c>
      <c r="J362" s="4" t="str">
        <f>IF(Table1[[#This Row],[processing_time_hours]]&gt;1.5,"Slow", "Fast")</f>
        <v>Fast</v>
      </c>
      <c r="K362" t="s">
        <v>2818</v>
      </c>
      <c r="L362" s="3">
        <v>0</v>
      </c>
      <c r="M362" t="str">
        <f>IF(Table1[[#This Row],[delayed]]=1,"Delayed","On Time")</f>
        <v>On Time</v>
      </c>
      <c r="N362" t="str">
        <f>IF(AND(Table1[[#This Row],[delayed]]=1,Table1[[#This Row],[weather_condition]]="Storm"),"High Risk", IF(Table1[[#This Row],[delayed]]=1,"Medium Risk","Low Risk"))</f>
        <v>Low Risk</v>
      </c>
    </row>
    <row r="363" spans="1:14" x14ac:dyDescent="0.35">
      <c r="A363">
        <v>362</v>
      </c>
      <c r="B363" s="1">
        <v>44942.041666666664</v>
      </c>
      <c r="C363" s="2">
        <v>6.1805555555555558E-2</v>
      </c>
      <c r="D363" s="3">
        <v>3501</v>
      </c>
      <c r="E363" s="3">
        <v>372</v>
      </c>
      <c r="F363" s="2">
        <v>14.629861111111111</v>
      </c>
      <c r="G363" t="s">
        <v>2812</v>
      </c>
      <c r="H363" t="s">
        <v>2822</v>
      </c>
      <c r="I363" s="2">
        <v>0.63124999999999998</v>
      </c>
      <c r="J363" s="4" t="str">
        <f>IF(Table1[[#This Row],[processing_time_hours]]&gt;1.5,"Slow", "Fast")</f>
        <v>Fast</v>
      </c>
      <c r="K363" t="s">
        <v>2814</v>
      </c>
      <c r="L363" s="3">
        <v>0</v>
      </c>
      <c r="M363" t="str">
        <f>IF(Table1[[#This Row],[delayed]]=1,"Delayed","On Time")</f>
        <v>On Time</v>
      </c>
      <c r="N363" t="str">
        <f>IF(AND(Table1[[#This Row],[delayed]]=1,Table1[[#This Row],[weather_condition]]="Storm"),"High Risk", IF(Table1[[#This Row],[delayed]]=1,"Medium Risk","Low Risk"))</f>
        <v>Low Risk</v>
      </c>
    </row>
    <row r="364" spans="1:14" x14ac:dyDescent="0.35">
      <c r="A364">
        <v>363</v>
      </c>
      <c r="B364" s="1">
        <v>44942.083333333336</v>
      </c>
      <c r="C364" s="2">
        <v>6.3888888888888898E-2</v>
      </c>
      <c r="D364" s="3">
        <v>2537</v>
      </c>
      <c r="E364" s="3">
        <v>261</v>
      </c>
      <c r="F364" s="2">
        <v>61.583333333333336</v>
      </c>
      <c r="G364" t="s">
        <v>2816</v>
      </c>
      <c r="H364" t="s">
        <v>2822</v>
      </c>
      <c r="I364" s="2">
        <v>2.4187499999999997</v>
      </c>
      <c r="J364" s="4" t="str">
        <f>IF(Table1[[#This Row],[processing_time_hours]]&gt;1.5,"Slow", "Fast")</f>
        <v>Slow</v>
      </c>
      <c r="K364" t="s">
        <v>2818</v>
      </c>
      <c r="L364" s="3">
        <v>0</v>
      </c>
      <c r="M364" t="str">
        <f>IF(Table1[[#This Row],[delayed]]=1,"Delayed","On Time")</f>
        <v>On Time</v>
      </c>
      <c r="N364" t="str">
        <f>IF(AND(Table1[[#This Row],[delayed]]=1,Table1[[#This Row],[weather_condition]]="Storm"),"High Risk", IF(Table1[[#This Row],[delayed]]=1,"Medium Risk","Low Risk"))</f>
        <v>Low Risk</v>
      </c>
    </row>
    <row r="365" spans="1:14" x14ac:dyDescent="0.35">
      <c r="A365">
        <v>364</v>
      </c>
      <c r="B365" s="1">
        <v>44942.125</v>
      </c>
      <c r="C365" s="2">
        <v>6.1111111111111109E-2</v>
      </c>
      <c r="D365" s="3">
        <v>4923</v>
      </c>
      <c r="E365" s="3">
        <v>136</v>
      </c>
      <c r="F365" s="2">
        <v>19.418055555555558</v>
      </c>
      <c r="G365" t="s">
        <v>2815</v>
      </c>
      <c r="H365" t="s">
        <v>2822</v>
      </c>
      <c r="I365" s="2">
        <v>2.0465277777777779</v>
      </c>
      <c r="J365" s="4" t="str">
        <f>IF(Table1[[#This Row],[processing_time_hours]]&gt;1.5,"Slow", "Fast")</f>
        <v>Slow</v>
      </c>
      <c r="K365" t="s">
        <v>2814</v>
      </c>
      <c r="L365" s="3">
        <v>0</v>
      </c>
      <c r="M365" t="str">
        <f>IF(Table1[[#This Row],[delayed]]=1,"Delayed","On Time")</f>
        <v>On Time</v>
      </c>
      <c r="N365" t="str">
        <f>IF(AND(Table1[[#This Row],[delayed]]=1,Table1[[#This Row],[weather_condition]]="Storm"),"High Risk", IF(Table1[[#This Row],[delayed]]=1,"Medium Risk","Low Risk"))</f>
        <v>Low Risk</v>
      </c>
    </row>
    <row r="366" spans="1:14" x14ac:dyDescent="0.35">
      <c r="A366">
        <v>365</v>
      </c>
      <c r="B366" s="1">
        <v>44942.166666666664</v>
      </c>
      <c r="C366" s="2">
        <v>6.8749999999999992E-2</v>
      </c>
      <c r="D366" s="3">
        <v>3223</v>
      </c>
      <c r="E366" s="3">
        <v>296</v>
      </c>
      <c r="F366" s="2">
        <v>5.0874999999999995</v>
      </c>
      <c r="G366" t="s">
        <v>2815</v>
      </c>
      <c r="H366" t="s">
        <v>2813</v>
      </c>
      <c r="I366" s="2">
        <v>2.3777777777777778</v>
      </c>
      <c r="J366" s="4" t="str">
        <f>IF(Table1[[#This Row],[processing_time_hours]]&gt;1.5,"Slow", "Fast")</f>
        <v>Slow</v>
      </c>
      <c r="K366" t="s">
        <v>2821</v>
      </c>
      <c r="L366" s="3">
        <v>0</v>
      </c>
      <c r="M366" t="str">
        <f>IF(Table1[[#This Row],[delayed]]=1,"Delayed","On Time")</f>
        <v>On Time</v>
      </c>
      <c r="N366" t="str">
        <f>IF(AND(Table1[[#This Row],[delayed]]=1,Table1[[#This Row],[weather_condition]]="Storm"),"High Risk", IF(Table1[[#This Row],[delayed]]=1,"Medium Risk","Low Risk"))</f>
        <v>Low Risk</v>
      </c>
    </row>
    <row r="367" spans="1:14" x14ac:dyDescent="0.35">
      <c r="A367">
        <v>366</v>
      </c>
      <c r="B367" s="1">
        <v>44942.208333333336</v>
      </c>
      <c r="C367" s="2">
        <v>4.8611111111111112E-3</v>
      </c>
      <c r="D367" s="3">
        <v>3969</v>
      </c>
      <c r="E367" s="3">
        <v>278</v>
      </c>
      <c r="F367" s="2">
        <v>35.463888888888889</v>
      </c>
      <c r="G367" t="s">
        <v>2812</v>
      </c>
      <c r="H367" t="s">
        <v>2822</v>
      </c>
      <c r="I367" s="2">
        <v>0.58958333333333335</v>
      </c>
      <c r="J367" s="4" t="str">
        <f>IF(Table1[[#This Row],[processing_time_hours]]&gt;1.5,"Slow", "Fast")</f>
        <v>Fast</v>
      </c>
      <c r="K367" t="s">
        <v>2818</v>
      </c>
      <c r="L367" s="3">
        <v>0</v>
      </c>
      <c r="M367" t="str">
        <f>IF(Table1[[#This Row],[delayed]]=1,"Delayed","On Time")</f>
        <v>On Time</v>
      </c>
      <c r="N367" t="str">
        <f>IF(AND(Table1[[#This Row],[delayed]]=1,Table1[[#This Row],[weather_condition]]="Storm"),"High Risk", IF(Table1[[#This Row],[delayed]]=1,"Medium Risk","Low Risk"))</f>
        <v>Low Risk</v>
      </c>
    </row>
    <row r="368" spans="1:14" x14ac:dyDescent="0.35">
      <c r="A368">
        <v>367</v>
      </c>
      <c r="B368" s="1">
        <v>44942.25</v>
      </c>
      <c r="C368" s="2">
        <v>4.7916666666666663E-2</v>
      </c>
      <c r="D368" s="3">
        <v>2824</v>
      </c>
      <c r="E368" s="3">
        <v>318</v>
      </c>
      <c r="F368" s="2">
        <v>29.501388888888886</v>
      </c>
      <c r="G368" t="s">
        <v>2816</v>
      </c>
      <c r="H368" t="s">
        <v>2817</v>
      </c>
      <c r="I368" s="2">
        <v>2.3805555555555555</v>
      </c>
      <c r="J368" s="4" t="str">
        <f>IF(Table1[[#This Row],[processing_time_hours]]&gt;1.5,"Slow", "Fast")</f>
        <v>Slow</v>
      </c>
      <c r="K368" t="s">
        <v>2814</v>
      </c>
      <c r="L368" s="3">
        <v>0</v>
      </c>
      <c r="M368" t="str">
        <f>IF(Table1[[#This Row],[delayed]]=1,"Delayed","On Time")</f>
        <v>On Time</v>
      </c>
      <c r="N368" t="str">
        <f>IF(AND(Table1[[#This Row],[delayed]]=1,Table1[[#This Row],[weather_condition]]="Storm"),"High Risk", IF(Table1[[#This Row],[delayed]]=1,"Medium Risk","Low Risk"))</f>
        <v>Low Risk</v>
      </c>
    </row>
    <row r="369" spans="1:14" x14ac:dyDescent="0.35">
      <c r="A369">
        <v>368</v>
      </c>
      <c r="B369" s="1">
        <v>44942.291666666664</v>
      </c>
      <c r="C369" s="2">
        <v>4.5833333333333337E-2</v>
      </c>
      <c r="D369" s="3">
        <v>1608</v>
      </c>
      <c r="E369" s="3">
        <v>71</v>
      </c>
      <c r="F369" s="2">
        <v>52.047222222222224</v>
      </c>
      <c r="G369" t="s">
        <v>2815</v>
      </c>
      <c r="H369" t="s">
        <v>2820</v>
      </c>
      <c r="I369" s="2">
        <v>1.2104166666666667</v>
      </c>
      <c r="J369" s="4" t="str">
        <f>IF(Table1[[#This Row],[processing_time_hours]]&gt;1.5,"Slow", "Fast")</f>
        <v>Fast</v>
      </c>
      <c r="K369" t="s">
        <v>2821</v>
      </c>
      <c r="L369" s="3">
        <v>1</v>
      </c>
      <c r="M369" t="str">
        <f>IF(Table1[[#This Row],[delayed]]=1,"Delayed","On Time")</f>
        <v>Delayed</v>
      </c>
      <c r="N369" t="str">
        <f>IF(AND(Table1[[#This Row],[delayed]]=1,Table1[[#This Row],[weather_condition]]="Storm"),"High Risk", IF(Table1[[#This Row],[delayed]]=1,"Medium Risk","Low Risk"))</f>
        <v>Medium Risk</v>
      </c>
    </row>
    <row r="370" spans="1:14" x14ac:dyDescent="0.35">
      <c r="A370">
        <v>369</v>
      </c>
      <c r="B370" s="1">
        <v>44942.333333333336</v>
      </c>
      <c r="C370" s="2">
        <v>5.6944444444444443E-2</v>
      </c>
      <c r="D370" s="3">
        <v>2910</v>
      </c>
      <c r="E370" s="3">
        <v>309</v>
      </c>
      <c r="F370" s="2">
        <v>26.254166666666666</v>
      </c>
      <c r="G370" t="s">
        <v>2812</v>
      </c>
      <c r="H370" t="s">
        <v>2822</v>
      </c>
      <c r="I370" s="2">
        <v>1.7534722222222223</v>
      </c>
      <c r="J370" s="4" t="str">
        <f>IF(Table1[[#This Row],[processing_time_hours]]&gt;1.5,"Slow", "Fast")</f>
        <v>Slow</v>
      </c>
      <c r="K370" t="s">
        <v>2814</v>
      </c>
      <c r="L370" s="3">
        <v>0</v>
      </c>
      <c r="M370" t="str">
        <f>IF(Table1[[#This Row],[delayed]]=1,"Delayed","On Time")</f>
        <v>On Time</v>
      </c>
      <c r="N370" t="str">
        <f>IF(AND(Table1[[#This Row],[delayed]]=1,Table1[[#This Row],[weather_condition]]="Storm"),"High Risk", IF(Table1[[#This Row],[delayed]]=1,"Medium Risk","Low Risk"))</f>
        <v>Low Risk</v>
      </c>
    </row>
    <row r="371" spans="1:14" x14ac:dyDescent="0.35">
      <c r="A371">
        <v>370</v>
      </c>
      <c r="B371" s="1">
        <v>44942.375</v>
      </c>
      <c r="C371" s="2">
        <v>5.2777777777777778E-2</v>
      </c>
      <c r="D371" s="3">
        <v>1372</v>
      </c>
      <c r="E371" s="3">
        <v>246</v>
      </c>
      <c r="F371" s="2">
        <v>66.294444444444437</v>
      </c>
      <c r="G371" t="s">
        <v>2812</v>
      </c>
      <c r="H371" t="s">
        <v>2822</v>
      </c>
      <c r="I371" s="2">
        <v>0.50069444444444444</v>
      </c>
      <c r="J371" s="4" t="str">
        <f>IF(Table1[[#This Row],[processing_time_hours]]&gt;1.5,"Slow", "Fast")</f>
        <v>Fast</v>
      </c>
      <c r="K371" t="s">
        <v>2821</v>
      </c>
      <c r="L371" s="3">
        <v>0</v>
      </c>
      <c r="M371" t="str">
        <f>IF(Table1[[#This Row],[delayed]]=1,"Delayed","On Time")</f>
        <v>On Time</v>
      </c>
      <c r="N371" t="str">
        <f>IF(AND(Table1[[#This Row],[delayed]]=1,Table1[[#This Row],[weather_condition]]="Storm"),"High Risk", IF(Table1[[#This Row],[delayed]]=1,"Medium Risk","Low Risk"))</f>
        <v>Low Risk</v>
      </c>
    </row>
    <row r="372" spans="1:14" x14ac:dyDescent="0.35">
      <c r="A372">
        <v>371</v>
      </c>
      <c r="B372" s="1">
        <v>44942.416666666664</v>
      </c>
      <c r="C372" s="2">
        <v>5.1388888888888894E-2</v>
      </c>
      <c r="D372" s="3">
        <v>3007</v>
      </c>
      <c r="E372" s="3">
        <v>50</v>
      </c>
      <c r="F372" s="2">
        <v>69.629166666666663</v>
      </c>
      <c r="G372" t="s">
        <v>2819</v>
      </c>
      <c r="H372" t="s">
        <v>2822</v>
      </c>
      <c r="I372" s="2">
        <v>1.4229166666666666</v>
      </c>
      <c r="J372" s="4" t="str">
        <f>IF(Table1[[#This Row],[processing_time_hours]]&gt;1.5,"Slow", "Fast")</f>
        <v>Fast</v>
      </c>
      <c r="K372" t="s">
        <v>2818</v>
      </c>
      <c r="L372" s="3">
        <v>1</v>
      </c>
      <c r="M372" t="str">
        <f>IF(Table1[[#This Row],[delayed]]=1,"Delayed","On Time")</f>
        <v>Delayed</v>
      </c>
      <c r="N372" t="str">
        <f>IF(AND(Table1[[#This Row],[delayed]]=1,Table1[[#This Row],[weather_condition]]="Storm"),"High Risk", IF(Table1[[#This Row],[delayed]]=1,"Medium Risk","Low Risk"))</f>
        <v>Medium Risk</v>
      </c>
    </row>
    <row r="373" spans="1:14" x14ac:dyDescent="0.35">
      <c r="A373">
        <v>372</v>
      </c>
      <c r="B373" s="1">
        <v>44942.458333333336</v>
      </c>
      <c r="C373" s="2">
        <v>5.4166666666666669E-2</v>
      </c>
      <c r="D373" s="3">
        <v>344</v>
      </c>
      <c r="E373" s="3">
        <v>275</v>
      </c>
      <c r="F373" s="2">
        <v>34.502083333333331</v>
      </c>
      <c r="G373" t="s">
        <v>2815</v>
      </c>
      <c r="H373" t="s">
        <v>2822</v>
      </c>
      <c r="I373" s="2">
        <v>1.1715277777777777</v>
      </c>
      <c r="J373" s="4" t="str">
        <f>IF(Table1[[#This Row],[processing_time_hours]]&gt;1.5,"Slow", "Fast")</f>
        <v>Fast</v>
      </c>
      <c r="K373" t="s">
        <v>2818</v>
      </c>
      <c r="L373" s="3">
        <v>0</v>
      </c>
      <c r="M373" t="str">
        <f>IF(Table1[[#This Row],[delayed]]=1,"Delayed","On Time")</f>
        <v>On Time</v>
      </c>
      <c r="N373" t="str">
        <f>IF(AND(Table1[[#This Row],[delayed]]=1,Table1[[#This Row],[weather_condition]]="Storm"),"High Risk", IF(Table1[[#This Row],[delayed]]=1,"Medium Risk","Low Risk"))</f>
        <v>Low Risk</v>
      </c>
    </row>
    <row r="374" spans="1:14" x14ac:dyDescent="0.35">
      <c r="A374">
        <v>373</v>
      </c>
      <c r="B374" s="1">
        <v>44942.5</v>
      </c>
      <c r="C374" s="2">
        <v>4.9305555555555554E-2</v>
      </c>
      <c r="D374" s="3">
        <v>4806</v>
      </c>
      <c r="E374" s="3">
        <v>343</v>
      </c>
      <c r="F374" s="2">
        <v>53.666666666666664</v>
      </c>
      <c r="G374" t="s">
        <v>2819</v>
      </c>
      <c r="H374" t="s">
        <v>2817</v>
      </c>
      <c r="I374" s="2">
        <v>1.3347222222222221</v>
      </c>
      <c r="J374" s="4" t="str">
        <f>IF(Table1[[#This Row],[processing_time_hours]]&gt;1.5,"Slow", "Fast")</f>
        <v>Fast</v>
      </c>
      <c r="K374" t="s">
        <v>2814</v>
      </c>
      <c r="L374" s="3">
        <v>0</v>
      </c>
      <c r="M374" t="str">
        <f>IF(Table1[[#This Row],[delayed]]=1,"Delayed","On Time")</f>
        <v>On Time</v>
      </c>
      <c r="N374" t="str">
        <f>IF(AND(Table1[[#This Row],[delayed]]=1,Table1[[#This Row],[weather_condition]]="Storm"),"High Risk", IF(Table1[[#This Row],[delayed]]=1,"Medium Risk","Low Risk"))</f>
        <v>Low Risk</v>
      </c>
    </row>
    <row r="375" spans="1:14" x14ac:dyDescent="0.35">
      <c r="A375">
        <v>374</v>
      </c>
      <c r="B375" s="1">
        <v>44942.541666666664</v>
      </c>
      <c r="C375" s="2">
        <v>4.1666666666666666E-3</v>
      </c>
      <c r="D375" s="3">
        <v>1236</v>
      </c>
      <c r="E375" s="3">
        <v>410</v>
      </c>
      <c r="F375" s="2">
        <v>52.046527777777776</v>
      </c>
      <c r="G375" t="s">
        <v>2816</v>
      </c>
      <c r="H375" t="s">
        <v>2817</v>
      </c>
      <c r="I375" s="2">
        <v>1.4173611111111111</v>
      </c>
      <c r="J375" s="4" t="str">
        <f>IF(Table1[[#This Row],[processing_time_hours]]&gt;1.5,"Slow", "Fast")</f>
        <v>Fast</v>
      </c>
      <c r="K375" t="s">
        <v>2814</v>
      </c>
      <c r="L375" s="3">
        <v>0</v>
      </c>
      <c r="M375" t="str">
        <f>IF(Table1[[#This Row],[delayed]]=1,"Delayed","On Time")</f>
        <v>On Time</v>
      </c>
      <c r="N375" t="str">
        <f>IF(AND(Table1[[#This Row],[delayed]]=1,Table1[[#This Row],[weather_condition]]="Storm"),"High Risk", IF(Table1[[#This Row],[delayed]]=1,"Medium Risk","Low Risk"))</f>
        <v>Low Risk</v>
      </c>
    </row>
    <row r="376" spans="1:14" x14ac:dyDescent="0.35">
      <c r="A376">
        <v>375</v>
      </c>
      <c r="B376" s="1">
        <v>44942.583333333336</v>
      </c>
      <c r="C376" s="2">
        <v>5.486111111111111E-2</v>
      </c>
      <c r="D376" s="3">
        <v>2930</v>
      </c>
      <c r="E376" s="3">
        <v>85</v>
      </c>
      <c r="F376" s="2">
        <v>79.628472222222214</v>
      </c>
      <c r="G376" t="s">
        <v>2819</v>
      </c>
      <c r="H376" t="s">
        <v>2813</v>
      </c>
      <c r="I376" s="2">
        <v>0.95833333333333337</v>
      </c>
      <c r="J376" s="4" t="str">
        <f>IF(Table1[[#This Row],[processing_time_hours]]&gt;1.5,"Slow", "Fast")</f>
        <v>Fast</v>
      </c>
      <c r="K376" t="s">
        <v>2814</v>
      </c>
      <c r="L376" s="3">
        <v>1</v>
      </c>
      <c r="M376" t="str">
        <f>IF(Table1[[#This Row],[delayed]]=1,"Delayed","On Time")</f>
        <v>Delayed</v>
      </c>
      <c r="N376" t="str">
        <f>IF(AND(Table1[[#This Row],[delayed]]=1,Table1[[#This Row],[weather_condition]]="Storm"),"High Risk", IF(Table1[[#This Row],[delayed]]=1,"Medium Risk","Low Risk"))</f>
        <v>Medium Risk</v>
      </c>
    </row>
    <row r="377" spans="1:14" x14ac:dyDescent="0.35">
      <c r="A377">
        <v>376</v>
      </c>
      <c r="B377" s="1">
        <v>44942.625</v>
      </c>
      <c r="C377" s="2">
        <v>4.9305555555555554E-2</v>
      </c>
      <c r="D377" s="3">
        <v>839</v>
      </c>
      <c r="E377" s="3">
        <v>242</v>
      </c>
      <c r="F377" s="2">
        <v>59.838888888888896</v>
      </c>
      <c r="G377" t="s">
        <v>2819</v>
      </c>
      <c r="H377" t="s">
        <v>2813</v>
      </c>
      <c r="I377" s="2">
        <v>1.2104166666666667</v>
      </c>
      <c r="J377" s="4" t="str">
        <f>IF(Table1[[#This Row],[processing_time_hours]]&gt;1.5,"Slow", "Fast")</f>
        <v>Fast</v>
      </c>
      <c r="K377" t="s">
        <v>2818</v>
      </c>
      <c r="L377" s="3">
        <v>1</v>
      </c>
      <c r="M377" t="str">
        <f>IF(Table1[[#This Row],[delayed]]=1,"Delayed","On Time")</f>
        <v>Delayed</v>
      </c>
      <c r="N377" t="str">
        <f>IF(AND(Table1[[#This Row],[delayed]]=1,Table1[[#This Row],[weather_condition]]="Storm"),"High Risk", IF(Table1[[#This Row],[delayed]]=1,"Medium Risk","Low Risk"))</f>
        <v>Medium Risk</v>
      </c>
    </row>
    <row r="378" spans="1:14" x14ac:dyDescent="0.35">
      <c r="A378">
        <v>377</v>
      </c>
      <c r="B378" s="1">
        <v>44942.666666666664</v>
      </c>
      <c r="C378" s="2">
        <v>5.4166666666666669E-2</v>
      </c>
      <c r="D378" s="3">
        <v>1071</v>
      </c>
      <c r="E378" s="3">
        <v>226</v>
      </c>
      <c r="F378" s="2">
        <v>8.9166666666666661</v>
      </c>
      <c r="G378" t="s">
        <v>2819</v>
      </c>
      <c r="H378" t="s">
        <v>2820</v>
      </c>
      <c r="I378" s="2">
        <v>2.5861111111111112</v>
      </c>
      <c r="J378" s="4" t="str">
        <f>IF(Table1[[#This Row],[processing_time_hours]]&gt;1.5,"Slow", "Fast")</f>
        <v>Slow</v>
      </c>
      <c r="K378" t="s">
        <v>2821</v>
      </c>
      <c r="L378" s="3">
        <v>0</v>
      </c>
      <c r="M378" t="str">
        <f>IF(Table1[[#This Row],[delayed]]=1,"Delayed","On Time")</f>
        <v>On Time</v>
      </c>
      <c r="N378" t="str">
        <f>IF(AND(Table1[[#This Row],[delayed]]=1,Table1[[#This Row],[weather_condition]]="Storm"),"High Risk", IF(Table1[[#This Row],[delayed]]=1,"Medium Risk","Low Risk"))</f>
        <v>Low Risk</v>
      </c>
    </row>
    <row r="379" spans="1:14" x14ac:dyDescent="0.35">
      <c r="A379">
        <v>378</v>
      </c>
      <c r="B379" s="1">
        <v>44942.708333333336</v>
      </c>
      <c r="C379" s="2">
        <v>6.7361111111111108E-2</v>
      </c>
      <c r="D379" s="3">
        <v>801</v>
      </c>
      <c r="E379" s="3">
        <v>53</v>
      </c>
      <c r="F379" s="2">
        <v>36.170833333333334</v>
      </c>
      <c r="G379" t="s">
        <v>2816</v>
      </c>
      <c r="H379" t="s">
        <v>2817</v>
      </c>
      <c r="I379" s="2">
        <v>2.5881944444444445</v>
      </c>
      <c r="J379" s="4" t="str">
        <f>IF(Table1[[#This Row],[processing_time_hours]]&gt;1.5,"Slow", "Fast")</f>
        <v>Slow</v>
      </c>
      <c r="K379" t="s">
        <v>2818</v>
      </c>
      <c r="L379" s="3">
        <v>0</v>
      </c>
      <c r="M379" t="str">
        <f>IF(Table1[[#This Row],[delayed]]=1,"Delayed","On Time")</f>
        <v>On Time</v>
      </c>
      <c r="N379" t="str">
        <f>IF(AND(Table1[[#This Row],[delayed]]=1,Table1[[#This Row],[weather_condition]]="Storm"),"High Risk", IF(Table1[[#This Row],[delayed]]=1,"Medium Risk","Low Risk"))</f>
        <v>Low Risk</v>
      </c>
    </row>
    <row r="380" spans="1:14" x14ac:dyDescent="0.35">
      <c r="A380">
        <v>379</v>
      </c>
      <c r="B380" s="1">
        <v>44942.75</v>
      </c>
      <c r="C380" s="2">
        <v>4.6527777777777779E-2</v>
      </c>
      <c r="D380" s="3">
        <v>1937</v>
      </c>
      <c r="E380" s="3">
        <v>447</v>
      </c>
      <c r="F380" s="2">
        <v>48.877777777777773</v>
      </c>
      <c r="G380" t="s">
        <v>2812</v>
      </c>
      <c r="H380" t="s">
        <v>2822</v>
      </c>
      <c r="I380" s="2">
        <v>2.963194444444444</v>
      </c>
      <c r="J380" s="4" t="str">
        <f>IF(Table1[[#This Row],[processing_time_hours]]&gt;1.5,"Slow", "Fast")</f>
        <v>Slow</v>
      </c>
      <c r="K380" t="s">
        <v>2818</v>
      </c>
      <c r="L380" s="3">
        <v>1</v>
      </c>
      <c r="M380" t="str">
        <f>IF(Table1[[#This Row],[delayed]]=1,"Delayed","On Time")</f>
        <v>Delayed</v>
      </c>
      <c r="N380" t="str">
        <f>IF(AND(Table1[[#This Row],[delayed]]=1,Table1[[#This Row],[weather_condition]]="Storm"),"High Risk", IF(Table1[[#This Row],[delayed]]=1,"Medium Risk","Low Risk"))</f>
        <v>Medium Risk</v>
      </c>
    </row>
    <row r="381" spans="1:14" x14ac:dyDescent="0.35">
      <c r="A381">
        <v>380</v>
      </c>
      <c r="B381" s="1">
        <v>44942.791666666664</v>
      </c>
      <c r="C381" s="2">
        <v>5.9027777777777783E-2</v>
      </c>
      <c r="D381" s="3">
        <v>2979</v>
      </c>
      <c r="E381" s="3">
        <v>329</v>
      </c>
      <c r="F381" s="2">
        <v>61.337499999999999</v>
      </c>
      <c r="G381" t="s">
        <v>2819</v>
      </c>
      <c r="H381" t="s">
        <v>2820</v>
      </c>
      <c r="I381" s="2">
        <v>2.8784722222222219</v>
      </c>
      <c r="J381" s="4" t="str">
        <f>IF(Table1[[#This Row],[processing_time_hours]]&gt;1.5,"Slow", "Fast")</f>
        <v>Slow</v>
      </c>
      <c r="K381" t="s">
        <v>2814</v>
      </c>
      <c r="L381" s="3">
        <v>0</v>
      </c>
      <c r="M381" t="str">
        <f>IF(Table1[[#This Row],[delayed]]=1,"Delayed","On Time")</f>
        <v>On Time</v>
      </c>
      <c r="N381" t="str">
        <f>IF(AND(Table1[[#This Row],[delayed]]=1,Table1[[#This Row],[weather_condition]]="Storm"),"High Risk", IF(Table1[[#This Row],[delayed]]=1,"Medium Risk","Low Risk"))</f>
        <v>Low Risk</v>
      </c>
    </row>
    <row r="382" spans="1:14" x14ac:dyDescent="0.35">
      <c r="A382">
        <v>381</v>
      </c>
      <c r="B382" s="1">
        <v>44942.833333333336</v>
      </c>
      <c r="C382" s="2">
        <v>5.9722222222222225E-2</v>
      </c>
      <c r="D382" s="3">
        <v>3355</v>
      </c>
      <c r="E382" s="3">
        <v>54</v>
      </c>
      <c r="F382" s="2">
        <v>65.418055555555554</v>
      </c>
      <c r="G382" t="s">
        <v>2816</v>
      </c>
      <c r="H382" t="s">
        <v>2820</v>
      </c>
      <c r="I382" s="2">
        <v>2.0027777777777778</v>
      </c>
      <c r="J382" s="4" t="str">
        <f>IF(Table1[[#This Row],[processing_time_hours]]&gt;1.5,"Slow", "Fast")</f>
        <v>Slow</v>
      </c>
      <c r="K382" t="s">
        <v>2814</v>
      </c>
      <c r="L382" s="3">
        <v>1</v>
      </c>
      <c r="M382" t="str">
        <f>IF(Table1[[#This Row],[delayed]]=1,"Delayed","On Time")</f>
        <v>Delayed</v>
      </c>
      <c r="N382" t="str">
        <f>IF(AND(Table1[[#This Row],[delayed]]=1,Table1[[#This Row],[weather_condition]]="Storm"),"High Risk", IF(Table1[[#This Row],[delayed]]=1,"Medium Risk","Low Risk"))</f>
        <v>Medium Risk</v>
      </c>
    </row>
    <row r="383" spans="1:14" x14ac:dyDescent="0.35">
      <c r="A383">
        <v>382</v>
      </c>
      <c r="B383" s="1">
        <v>44942.875</v>
      </c>
      <c r="C383" s="2">
        <v>4.9305555555555554E-2</v>
      </c>
      <c r="D383" s="3">
        <v>82</v>
      </c>
      <c r="E383" s="3">
        <v>189</v>
      </c>
      <c r="F383" s="2">
        <v>45.541666666666664</v>
      </c>
      <c r="G383" t="s">
        <v>2812</v>
      </c>
      <c r="H383" t="s">
        <v>2822</v>
      </c>
      <c r="I383" s="2">
        <v>2.1270833333333332</v>
      </c>
      <c r="J383" s="4" t="str">
        <f>IF(Table1[[#This Row],[processing_time_hours]]&gt;1.5,"Slow", "Fast")</f>
        <v>Slow</v>
      </c>
      <c r="K383" t="s">
        <v>2821</v>
      </c>
      <c r="L383" s="3">
        <v>0</v>
      </c>
      <c r="M383" t="str">
        <f>IF(Table1[[#This Row],[delayed]]=1,"Delayed","On Time")</f>
        <v>On Time</v>
      </c>
      <c r="N383" t="str">
        <f>IF(AND(Table1[[#This Row],[delayed]]=1,Table1[[#This Row],[weather_condition]]="Storm"),"High Risk", IF(Table1[[#This Row],[delayed]]=1,"Medium Risk","Low Risk"))</f>
        <v>Low Risk</v>
      </c>
    </row>
    <row r="384" spans="1:14" x14ac:dyDescent="0.35">
      <c r="A384">
        <v>383</v>
      </c>
      <c r="B384" s="1">
        <v>44942.916666666664</v>
      </c>
      <c r="C384" s="2">
        <v>5.486111111111111E-2</v>
      </c>
      <c r="D384" s="3">
        <v>1308</v>
      </c>
      <c r="E384" s="3">
        <v>370</v>
      </c>
      <c r="F384" s="2">
        <v>23.211111111111112</v>
      </c>
      <c r="G384" t="s">
        <v>2812</v>
      </c>
      <c r="H384" t="s">
        <v>2813</v>
      </c>
      <c r="I384" s="2">
        <v>1.125</v>
      </c>
      <c r="J384" s="4" t="str">
        <f>IF(Table1[[#This Row],[processing_time_hours]]&gt;1.5,"Slow", "Fast")</f>
        <v>Fast</v>
      </c>
      <c r="K384" t="s">
        <v>2818</v>
      </c>
      <c r="L384" s="3">
        <v>1</v>
      </c>
      <c r="M384" t="str">
        <f>IF(Table1[[#This Row],[delayed]]=1,"Delayed","On Time")</f>
        <v>Delayed</v>
      </c>
      <c r="N384" t="str">
        <f>IF(AND(Table1[[#This Row],[delayed]]=1,Table1[[#This Row],[weather_condition]]="Storm"),"High Risk", IF(Table1[[#This Row],[delayed]]=1,"Medium Risk","Low Risk"))</f>
        <v>Medium Risk</v>
      </c>
    </row>
    <row r="385" spans="1:14" x14ac:dyDescent="0.35">
      <c r="A385">
        <v>384</v>
      </c>
      <c r="B385" s="1">
        <v>44942.958333333336</v>
      </c>
      <c r="C385" s="2">
        <v>6.8749999999999992E-2</v>
      </c>
      <c r="D385" s="3">
        <v>1270</v>
      </c>
      <c r="E385" s="3">
        <v>378</v>
      </c>
      <c r="F385" s="2">
        <v>61.166666666666664</v>
      </c>
      <c r="G385" t="s">
        <v>2812</v>
      </c>
      <c r="H385" t="s">
        <v>2820</v>
      </c>
      <c r="I385" s="2">
        <v>1.3340277777777778</v>
      </c>
      <c r="J385" s="4" t="str">
        <f>IF(Table1[[#This Row],[processing_time_hours]]&gt;1.5,"Slow", "Fast")</f>
        <v>Fast</v>
      </c>
      <c r="K385" t="s">
        <v>2814</v>
      </c>
      <c r="L385" s="3">
        <v>1</v>
      </c>
      <c r="M385" t="str">
        <f>IF(Table1[[#This Row],[delayed]]=1,"Delayed","On Time")</f>
        <v>Delayed</v>
      </c>
      <c r="N385" t="str">
        <f>IF(AND(Table1[[#This Row],[delayed]]=1,Table1[[#This Row],[weather_condition]]="Storm"),"High Risk", IF(Table1[[#This Row],[delayed]]=1,"Medium Risk","Low Risk"))</f>
        <v>Medium Risk</v>
      </c>
    </row>
    <row r="386" spans="1:14" x14ac:dyDescent="0.35">
      <c r="A386">
        <v>385</v>
      </c>
      <c r="B386" s="1">
        <v>44943</v>
      </c>
      <c r="C386" s="2">
        <v>5.1388888888888894E-2</v>
      </c>
      <c r="D386" s="3">
        <v>648</v>
      </c>
      <c r="E386" s="3">
        <v>258</v>
      </c>
      <c r="F386" s="2">
        <v>27.005555555555556</v>
      </c>
      <c r="G386" t="s">
        <v>2819</v>
      </c>
      <c r="H386" t="s">
        <v>2822</v>
      </c>
      <c r="I386" s="2">
        <v>0.21249999999999999</v>
      </c>
      <c r="J386" s="4" t="str">
        <f>IF(Table1[[#This Row],[processing_time_hours]]&gt;1.5,"Slow", "Fast")</f>
        <v>Fast</v>
      </c>
      <c r="K386" t="s">
        <v>2821</v>
      </c>
      <c r="L386" s="3">
        <v>0</v>
      </c>
      <c r="M386" t="str">
        <f>IF(Table1[[#This Row],[delayed]]=1,"Delayed","On Time")</f>
        <v>On Time</v>
      </c>
      <c r="N386" t="str">
        <f>IF(AND(Table1[[#This Row],[delayed]]=1,Table1[[#This Row],[weather_condition]]="Storm"),"High Risk", IF(Table1[[#This Row],[delayed]]=1,"Medium Risk","Low Risk"))</f>
        <v>Low Risk</v>
      </c>
    </row>
    <row r="387" spans="1:14" x14ac:dyDescent="0.35">
      <c r="A387">
        <v>386</v>
      </c>
      <c r="B387" s="1">
        <v>44943.041666666664</v>
      </c>
      <c r="C387" s="2">
        <v>6.1111111111111109E-2</v>
      </c>
      <c r="D387" s="3">
        <v>1929</v>
      </c>
      <c r="E387" s="3">
        <v>293</v>
      </c>
      <c r="F387" s="2">
        <v>34.877083333333331</v>
      </c>
      <c r="G387" t="s">
        <v>2815</v>
      </c>
      <c r="H387" t="s">
        <v>2817</v>
      </c>
      <c r="I387" s="2">
        <v>1.2541666666666667</v>
      </c>
      <c r="J387" s="4" t="str">
        <f>IF(Table1[[#This Row],[processing_time_hours]]&gt;1.5,"Slow", "Fast")</f>
        <v>Fast</v>
      </c>
      <c r="K387" t="s">
        <v>2814</v>
      </c>
      <c r="L387" s="3">
        <v>0</v>
      </c>
      <c r="M387" t="str">
        <f>IF(Table1[[#This Row],[delayed]]=1,"Delayed","On Time")</f>
        <v>On Time</v>
      </c>
      <c r="N387" t="str">
        <f>IF(AND(Table1[[#This Row],[delayed]]=1,Table1[[#This Row],[weather_condition]]="Storm"),"High Risk", IF(Table1[[#This Row],[delayed]]=1,"Medium Risk","Low Risk"))</f>
        <v>Low Risk</v>
      </c>
    </row>
    <row r="388" spans="1:14" x14ac:dyDescent="0.35">
      <c r="A388">
        <v>387</v>
      </c>
      <c r="B388" s="1">
        <v>44943.083333333336</v>
      </c>
      <c r="C388" s="2">
        <v>6.5277777777777782E-2</v>
      </c>
      <c r="D388" s="3">
        <v>1786</v>
      </c>
      <c r="E388" s="3">
        <v>474</v>
      </c>
      <c r="F388" s="2">
        <v>17.627777777777776</v>
      </c>
      <c r="G388" t="s">
        <v>2816</v>
      </c>
      <c r="H388" t="s">
        <v>2813</v>
      </c>
      <c r="I388" s="2">
        <v>1.9638888888888888</v>
      </c>
      <c r="J388" s="4" t="str">
        <f>IF(Table1[[#This Row],[processing_time_hours]]&gt;1.5,"Slow", "Fast")</f>
        <v>Slow</v>
      </c>
      <c r="K388" t="s">
        <v>2818</v>
      </c>
      <c r="L388" s="3">
        <v>0</v>
      </c>
      <c r="M388" t="str">
        <f>IF(Table1[[#This Row],[delayed]]=1,"Delayed","On Time")</f>
        <v>On Time</v>
      </c>
      <c r="N388" t="str">
        <f>IF(AND(Table1[[#This Row],[delayed]]=1,Table1[[#This Row],[weather_condition]]="Storm"),"High Risk", IF(Table1[[#This Row],[delayed]]=1,"Medium Risk","Low Risk"))</f>
        <v>Low Risk</v>
      </c>
    </row>
    <row r="389" spans="1:14" x14ac:dyDescent="0.35">
      <c r="A389">
        <v>388</v>
      </c>
      <c r="B389" s="1">
        <v>44943.125</v>
      </c>
      <c r="C389" s="2">
        <v>5.1388888888888894E-2</v>
      </c>
      <c r="D389" s="3">
        <v>1543</v>
      </c>
      <c r="E389" s="3">
        <v>82</v>
      </c>
      <c r="F389" s="2">
        <v>73.208333333333329</v>
      </c>
      <c r="G389" t="s">
        <v>2816</v>
      </c>
      <c r="H389" t="s">
        <v>2817</v>
      </c>
      <c r="I389" s="2">
        <v>2.7506944444444446</v>
      </c>
      <c r="J389" s="4" t="str">
        <f>IF(Table1[[#This Row],[processing_time_hours]]&gt;1.5,"Slow", "Fast")</f>
        <v>Slow</v>
      </c>
      <c r="K389" t="s">
        <v>2814</v>
      </c>
      <c r="L389" s="3">
        <v>1</v>
      </c>
      <c r="M389" t="str">
        <f>IF(Table1[[#This Row],[delayed]]=1,"Delayed","On Time")</f>
        <v>Delayed</v>
      </c>
      <c r="N389" t="str">
        <f>IF(AND(Table1[[#This Row],[delayed]]=1,Table1[[#This Row],[weather_condition]]="Storm"),"High Risk", IF(Table1[[#This Row],[delayed]]=1,"Medium Risk","Low Risk"))</f>
        <v>High Risk</v>
      </c>
    </row>
    <row r="390" spans="1:14" x14ac:dyDescent="0.35">
      <c r="A390">
        <v>389</v>
      </c>
      <c r="B390" s="1">
        <v>44943.166666666664</v>
      </c>
      <c r="C390" s="2">
        <v>4.1666666666666664E-2</v>
      </c>
      <c r="D390" s="3">
        <v>3634</v>
      </c>
      <c r="E390" s="3">
        <v>385</v>
      </c>
      <c r="F390" s="2">
        <v>11.711805555555555</v>
      </c>
      <c r="G390" t="s">
        <v>2816</v>
      </c>
      <c r="H390" t="s">
        <v>2817</v>
      </c>
      <c r="I390" s="2">
        <v>1.9173611111111111</v>
      </c>
      <c r="J390" s="4" t="str">
        <f>IF(Table1[[#This Row],[processing_time_hours]]&gt;1.5,"Slow", "Fast")</f>
        <v>Slow</v>
      </c>
      <c r="K390" t="s">
        <v>2814</v>
      </c>
      <c r="L390" s="3">
        <v>0</v>
      </c>
      <c r="M390" t="str">
        <f>IF(Table1[[#This Row],[delayed]]=1,"Delayed","On Time")</f>
        <v>On Time</v>
      </c>
      <c r="N390" t="str">
        <f>IF(AND(Table1[[#This Row],[delayed]]=1,Table1[[#This Row],[weather_condition]]="Storm"),"High Risk", IF(Table1[[#This Row],[delayed]]=1,"Medium Risk","Low Risk"))</f>
        <v>Low Risk</v>
      </c>
    </row>
    <row r="391" spans="1:14" x14ac:dyDescent="0.35">
      <c r="A391">
        <v>390</v>
      </c>
      <c r="B391" s="1">
        <v>44943.208333333336</v>
      </c>
      <c r="C391" s="2">
        <v>5.9027777777777783E-2</v>
      </c>
      <c r="D391" s="3">
        <v>4930</v>
      </c>
      <c r="E391" s="3">
        <v>49</v>
      </c>
      <c r="F391" s="2">
        <v>21.583333333333332</v>
      </c>
      <c r="G391" t="s">
        <v>2816</v>
      </c>
      <c r="H391" t="s">
        <v>2817</v>
      </c>
      <c r="I391" s="2">
        <v>1.9194444444444445</v>
      </c>
      <c r="J391" s="4" t="str">
        <f>IF(Table1[[#This Row],[processing_time_hours]]&gt;1.5,"Slow", "Fast")</f>
        <v>Slow</v>
      </c>
      <c r="K391" t="s">
        <v>2814</v>
      </c>
      <c r="L391" s="3">
        <v>0</v>
      </c>
      <c r="M391" t="str">
        <f>IF(Table1[[#This Row],[delayed]]=1,"Delayed","On Time")</f>
        <v>On Time</v>
      </c>
      <c r="N391" t="str">
        <f>IF(AND(Table1[[#This Row],[delayed]]=1,Table1[[#This Row],[weather_condition]]="Storm"),"High Risk", IF(Table1[[#This Row],[delayed]]=1,"Medium Risk","Low Risk"))</f>
        <v>Low Risk</v>
      </c>
    </row>
    <row r="392" spans="1:14" x14ac:dyDescent="0.35">
      <c r="A392">
        <v>391</v>
      </c>
      <c r="B392" s="1">
        <v>44943.25</v>
      </c>
      <c r="C392" s="2">
        <v>5.5555555555555558E-3</v>
      </c>
      <c r="D392" s="3">
        <v>3104</v>
      </c>
      <c r="E392" s="3">
        <v>381</v>
      </c>
      <c r="F392" s="2">
        <v>58.333333333333336</v>
      </c>
      <c r="G392" t="s">
        <v>2816</v>
      </c>
      <c r="H392" t="s">
        <v>2822</v>
      </c>
      <c r="I392" s="2">
        <v>2.5847222222222221</v>
      </c>
      <c r="J392" s="4" t="str">
        <f>IF(Table1[[#This Row],[processing_time_hours]]&gt;1.5,"Slow", "Fast")</f>
        <v>Slow</v>
      </c>
      <c r="K392" t="s">
        <v>2821</v>
      </c>
      <c r="L392" s="3">
        <v>0</v>
      </c>
      <c r="M392" t="str">
        <f>IF(Table1[[#This Row],[delayed]]=1,"Delayed","On Time")</f>
        <v>On Time</v>
      </c>
      <c r="N392" t="str">
        <f>IF(AND(Table1[[#This Row],[delayed]]=1,Table1[[#This Row],[weather_condition]]="Storm"),"High Risk", IF(Table1[[#This Row],[delayed]]=1,"Medium Risk","Low Risk"))</f>
        <v>Low Risk</v>
      </c>
    </row>
    <row r="393" spans="1:14" x14ac:dyDescent="0.35">
      <c r="A393">
        <v>392</v>
      </c>
      <c r="B393" s="1">
        <v>44943.291666666664</v>
      </c>
      <c r="C393" s="2">
        <v>6.1805555555555558E-2</v>
      </c>
      <c r="D393" s="3">
        <v>2499</v>
      </c>
      <c r="E393" s="3">
        <v>54</v>
      </c>
      <c r="F393" s="2">
        <v>49.087499999999999</v>
      </c>
      <c r="G393" t="s">
        <v>2816</v>
      </c>
      <c r="H393" t="s">
        <v>2820</v>
      </c>
      <c r="I393" s="2">
        <v>1.4173611111111111</v>
      </c>
      <c r="J393" s="4" t="str">
        <f>IF(Table1[[#This Row],[processing_time_hours]]&gt;1.5,"Slow", "Fast")</f>
        <v>Fast</v>
      </c>
      <c r="K393" t="s">
        <v>2821</v>
      </c>
      <c r="L393" s="3">
        <v>1</v>
      </c>
      <c r="M393" t="str">
        <f>IF(Table1[[#This Row],[delayed]]=1,"Delayed","On Time")</f>
        <v>Delayed</v>
      </c>
      <c r="N393" t="str">
        <f>IF(AND(Table1[[#This Row],[delayed]]=1,Table1[[#This Row],[weather_condition]]="Storm"),"High Risk", IF(Table1[[#This Row],[delayed]]=1,"Medium Risk","Low Risk"))</f>
        <v>Medium Risk</v>
      </c>
    </row>
    <row r="394" spans="1:14" x14ac:dyDescent="0.35">
      <c r="A394">
        <v>393</v>
      </c>
      <c r="B394" s="1">
        <v>44943.333333333336</v>
      </c>
      <c r="C394" s="2">
        <v>5.3472222222222227E-2</v>
      </c>
      <c r="D394" s="3">
        <v>4221</v>
      </c>
      <c r="E394" s="3">
        <v>270</v>
      </c>
      <c r="F394" s="2">
        <v>32.75277777777778</v>
      </c>
      <c r="G394" t="s">
        <v>2815</v>
      </c>
      <c r="H394" t="s">
        <v>2822</v>
      </c>
      <c r="I394" s="2">
        <v>2.2083333333333335</v>
      </c>
      <c r="J394" s="4" t="str">
        <f>IF(Table1[[#This Row],[processing_time_hours]]&gt;1.5,"Slow", "Fast")</f>
        <v>Slow</v>
      </c>
      <c r="K394" t="s">
        <v>2814</v>
      </c>
      <c r="L394" s="3">
        <v>0</v>
      </c>
      <c r="M394" t="str">
        <f>IF(Table1[[#This Row],[delayed]]=1,"Delayed","On Time")</f>
        <v>On Time</v>
      </c>
      <c r="N394" t="str">
        <f>IF(AND(Table1[[#This Row],[delayed]]=1,Table1[[#This Row],[weather_condition]]="Storm"),"High Risk", IF(Table1[[#This Row],[delayed]]=1,"Medium Risk","Low Risk"))</f>
        <v>Low Risk</v>
      </c>
    </row>
    <row r="395" spans="1:14" x14ac:dyDescent="0.35">
      <c r="A395">
        <v>394</v>
      </c>
      <c r="B395" s="1">
        <v>44943.375</v>
      </c>
      <c r="C395" s="2">
        <v>6.1111111111111109E-2</v>
      </c>
      <c r="D395" s="3">
        <v>1190</v>
      </c>
      <c r="E395" s="3">
        <v>187</v>
      </c>
      <c r="F395" s="2">
        <v>50.042361111111113</v>
      </c>
      <c r="G395" t="s">
        <v>2812</v>
      </c>
      <c r="H395" t="s">
        <v>2813</v>
      </c>
      <c r="I395" s="2">
        <v>2.0041666666666669</v>
      </c>
      <c r="J395" s="4" t="str">
        <f>IF(Table1[[#This Row],[processing_time_hours]]&gt;1.5,"Slow", "Fast")</f>
        <v>Slow</v>
      </c>
      <c r="K395" t="s">
        <v>2814</v>
      </c>
      <c r="L395" s="3">
        <v>0</v>
      </c>
      <c r="M395" t="str">
        <f>IF(Table1[[#This Row],[delayed]]=1,"Delayed","On Time")</f>
        <v>On Time</v>
      </c>
      <c r="N395" t="str">
        <f>IF(AND(Table1[[#This Row],[delayed]]=1,Table1[[#This Row],[weather_condition]]="Storm"),"High Risk", IF(Table1[[#This Row],[delayed]]=1,"Medium Risk","Low Risk"))</f>
        <v>Low Risk</v>
      </c>
    </row>
    <row r="396" spans="1:14" x14ac:dyDescent="0.35">
      <c r="A396">
        <v>395</v>
      </c>
      <c r="B396" s="1">
        <v>44943.416666666664</v>
      </c>
      <c r="C396" s="2">
        <v>4.9305555555555554E-2</v>
      </c>
      <c r="D396" s="3">
        <v>269</v>
      </c>
      <c r="E396" s="3">
        <v>55</v>
      </c>
      <c r="F396" s="2">
        <v>61</v>
      </c>
      <c r="G396" t="s">
        <v>2812</v>
      </c>
      <c r="H396" t="s">
        <v>2813</v>
      </c>
      <c r="I396" s="2">
        <v>0.8340277777777777</v>
      </c>
      <c r="J396" s="4" t="str">
        <f>IF(Table1[[#This Row],[processing_time_hours]]&gt;1.5,"Slow", "Fast")</f>
        <v>Fast</v>
      </c>
      <c r="K396" t="s">
        <v>2821</v>
      </c>
      <c r="L396" s="3">
        <v>0</v>
      </c>
      <c r="M396" t="str">
        <f>IF(Table1[[#This Row],[delayed]]=1,"Delayed","On Time")</f>
        <v>On Time</v>
      </c>
      <c r="N396" t="str">
        <f>IF(AND(Table1[[#This Row],[delayed]]=1,Table1[[#This Row],[weather_condition]]="Storm"),"High Risk", IF(Table1[[#This Row],[delayed]]=1,"Medium Risk","Low Risk"))</f>
        <v>Low Risk</v>
      </c>
    </row>
    <row r="397" spans="1:14" x14ac:dyDescent="0.35">
      <c r="A397">
        <v>396</v>
      </c>
      <c r="B397" s="1">
        <v>44943.458333333336</v>
      </c>
      <c r="C397" s="2">
        <v>6.7361111111111108E-2</v>
      </c>
      <c r="D397" s="3">
        <v>4381</v>
      </c>
      <c r="E397" s="3">
        <v>328</v>
      </c>
      <c r="F397" s="2">
        <v>48.625</v>
      </c>
      <c r="G397" t="s">
        <v>2816</v>
      </c>
      <c r="H397" t="s">
        <v>2813</v>
      </c>
      <c r="I397" s="2">
        <v>0.67152777777777783</v>
      </c>
      <c r="J397" s="4" t="str">
        <f>IF(Table1[[#This Row],[processing_time_hours]]&gt;1.5,"Slow", "Fast")</f>
        <v>Fast</v>
      </c>
      <c r="K397" t="s">
        <v>2818</v>
      </c>
      <c r="L397" s="3">
        <v>0</v>
      </c>
      <c r="M397" t="str">
        <f>IF(Table1[[#This Row],[delayed]]=1,"Delayed","On Time")</f>
        <v>On Time</v>
      </c>
      <c r="N397" t="str">
        <f>IF(AND(Table1[[#This Row],[delayed]]=1,Table1[[#This Row],[weather_condition]]="Storm"),"High Risk", IF(Table1[[#This Row],[delayed]]=1,"Medium Risk","Low Risk"))</f>
        <v>Low Risk</v>
      </c>
    </row>
    <row r="398" spans="1:14" x14ac:dyDescent="0.35">
      <c r="A398">
        <v>397</v>
      </c>
      <c r="B398" s="1">
        <v>44943.5</v>
      </c>
      <c r="C398" s="2">
        <v>5.6944444444444443E-2</v>
      </c>
      <c r="D398" s="3">
        <v>1959</v>
      </c>
      <c r="E398" s="3">
        <v>250</v>
      </c>
      <c r="F398" s="2">
        <v>0.79236111111111107</v>
      </c>
      <c r="G398" t="s">
        <v>2816</v>
      </c>
      <c r="H398" t="s">
        <v>2817</v>
      </c>
      <c r="I398" s="2">
        <v>0.16874999999999998</v>
      </c>
      <c r="J398" s="4" t="str">
        <f>IF(Table1[[#This Row],[processing_time_hours]]&gt;1.5,"Slow", "Fast")</f>
        <v>Fast</v>
      </c>
      <c r="K398" t="s">
        <v>2821</v>
      </c>
      <c r="L398" s="3">
        <v>1</v>
      </c>
      <c r="M398" t="str">
        <f>IF(Table1[[#This Row],[delayed]]=1,"Delayed","On Time")</f>
        <v>Delayed</v>
      </c>
      <c r="N398" t="str">
        <f>IF(AND(Table1[[#This Row],[delayed]]=1,Table1[[#This Row],[weather_condition]]="Storm"),"High Risk", IF(Table1[[#This Row],[delayed]]=1,"Medium Risk","Low Risk"))</f>
        <v>High Risk</v>
      </c>
    </row>
    <row r="399" spans="1:14" x14ac:dyDescent="0.35">
      <c r="A399">
        <v>398</v>
      </c>
      <c r="B399" s="1">
        <v>44943.541666666664</v>
      </c>
      <c r="C399" s="2">
        <v>4.8611111111111112E-3</v>
      </c>
      <c r="D399" s="3">
        <v>2312</v>
      </c>
      <c r="E399" s="3">
        <v>223</v>
      </c>
      <c r="F399" s="2">
        <v>42.502083333333331</v>
      </c>
      <c r="G399" t="s">
        <v>2816</v>
      </c>
      <c r="H399" t="s">
        <v>2820</v>
      </c>
      <c r="I399" s="2">
        <v>1.8798611111111112</v>
      </c>
      <c r="J399" s="4" t="str">
        <f>IF(Table1[[#This Row],[processing_time_hours]]&gt;1.5,"Slow", "Fast")</f>
        <v>Slow</v>
      </c>
      <c r="K399" t="s">
        <v>2821</v>
      </c>
      <c r="L399" s="3">
        <v>0</v>
      </c>
      <c r="M399" t="str">
        <f>IF(Table1[[#This Row],[delayed]]=1,"Delayed","On Time")</f>
        <v>On Time</v>
      </c>
      <c r="N399" t="str">
        <f>IF(AND(Table1[[#This Row],[delayed]]=1,Table1[[#This Row],[weather_condition]]="Storm"),"High Risk", IF(Table1[[#This Row],[delayed]]=1,"Medium Risk","Low Risk"))</f>
        <v>Low Risk</v>
      </c>
    </row>
    <row r="400" spans="1:14" x14ac:dyDescent="0.35">
      <c r="A400">
        <v>399</v>
      </c>
      <c r="B400" s="1">
        <v>44943.583333333336</v>
      </c>
      <c r="C400" s="2">
        <v>5.3472222222222227E-2</v>
      </c>
      <c r="D400" s="3">
        <v>2658</v>
      </c>
      <c r="E400" s="3">
        <v>176</v>
      </c>
      <c r="F400" s="2">
        <v>8.6263888888888882</v>
      </c>
      <c r="G400" t="s">
        <v>2812</v>
      </c>
      <c r="H400" t="s">
        <v>2822</v>
      </c>
      <c r="I400" s="2">
        <v>2.0881944444444445</v>
      </c>
      <c r="J400" s="4" t="str">
        <f>IF(Table1[[#This Row],[processing_time_hours]]&gt;1.5,"Slow", "Fast")</f>
        <v>Slow</v>
      </c>
      <c r="K400" t="s">
        <v>2818</v>
      </c>
      <c r="L400" s="3">
        <v>1</v>
      </c>
      <c r="M400" t="str">
        <f>IF(Table1[[#This Row],[delayed]]=1,"Delayed","On Time")</f>
        <v>Delayed</v>
      </c>
      <c r="N400" t="str">
        <f>IF(AND(Table1[[#This Row],[delayed]]=1,Table1[[#This Row],[weather_condition]]="Storm"),"High Risk", IF(Table1[[#This Row],[delayed]]=1,"Medium Risk","Low Risk"))</f>
        <v>Medium Risk</v>
      </c>
    </row>
    <row r="401" spans="1:14" x14ac:dyDescent="0.35">
      <c r="A401">
        <v>400</v>
      </c>
      <c r="B401" s="1">
        <v>44943.625</v>
      </c>
      <c r="C401" s="2">
        <v>6.6666666666666666E-2</v>
      </c>
      <c r="D401" s="3">
        <v>2742</v>
      </c>
      <c r="E401" s="3">
        <v>378</v>
      </c>
      <c r="F401" s="2">
        <v>60.796527777777776</v>
      </c>
      <c r="G401" t="s">
        <v>2816</v>
      </c>
      <c r="H401" t="s">
        <v>2817</v>
      </c>
      <c r="I401" s="2">
        <v>1.25</v>
      </c>
      <c r="J401" s="4" t="str">
        <f>IF(Table1[[#This Row],[processing_time_hours]]&gt;1.5,"Slow", "Fast")</f>
        <v>Fast</v>
      </c>
      <c r="K401" t="s">
        <v>2821</v>
      </c>
      <c r="L401" s="3">
        <v>0</v>
      </c>
      <c r="M401" t="str">
        <f>IF(Table1[[#This Row],[delayed]]=1,"Delayed","On Time")</f>
        <v>On Time</v>
      </c>
      <c r="N401" t="str">
        <f>IF(AND(Table1[[#This Row],[delayed]]=1,Table1[[#This Row],[weather_condition]]="Storm"),"High Risk", IF(Table1[[#This Row],[delayed]]=1,"Medium Risk","Low Risk"))</f>
        <v>Low Risk</v>
      </c>
    </row>
    <row r="402" spans="1:14" x14ac:dyDescent="0.35">
      <c r="A402">
        <v>401</v>
      </c>
      <c r="B402" s="1">
        <v>44943.666666666664</v>
      </c>
      <c r="C402" s="2">
        <v>6.3888888888888898E-2</v>
      </c>
      <c r="D402" s="3">
        <v>718</v>
      </c>
      <c r="E402" s="3">
        <v>68</v>
      </c>
      <c r="F402" s="2">
        <v>0.50486111111111109</v>
      </c>
      <c r="G402" t="s">
        <v>2816</v>
      </c>
      <c r="H402" t="s">
        <v>2813</v>
      </c>
      <c r="I402" s="2">
        <v>8.4027777777777771E-2</v>
      </c>
      <c r="J402" s="4" t="str">
        <f>IF(Table1[[#This Row],[processing_time_hours]]&gt;1.5,"Slow", "Fast")</f>
        <v>Fast</v>
      </c>
      <c r="K402" t="s">
        <v>2814</v>
      </c>
      <c r="L402" s="3">
        <v>0</v>
      </c>
      <c r="M402" t="str">
        <f>IF(Table1[[#This Row],[delayed]]=1,"Delayed","On Time")</f>
        <v>On Time</v>
      </c>
      <c r="N402" t="str">
        <f>IF(AND(Table1[[#This Row],[delayed]]=1,Table1[[#This Row],[weather_condition]]="Storm"),"High Risk", IF(Table1[[#This Row],[delayed]]=1,"Medium Risk","Low Risk"))</f>
        <v>Low Risk</v>
      </c>
    </row>
    <row r="403" spans="1:14" x14ac:dyDescent="0.35">
      <c r="A403">
        <v>402</v>
      </c>
      <c r="B403" s="1">
        <v>44943.708333333336</v>
      </c>
      <c r="C403" s="2">
        <v>5.486111111111111E-2</v>
      </c>
      <c r="D403" s="3">
        <v>336</v>
      </c>
      <c r="E403" s="3">
        <v>325</v>
      </c>
      <c r="F403" s="2">
        <v>18.170138888888889</v>
      </c>
      <c r="G403" t="s">
        <v>2815</v>
      </c>
      <c r="H403" t="s">
        <v>2817</v>
      </c>
      <c r="I403" s="2">
        <v>2.2930555555555556</v>
      </c>
      <c r="J403" s="4" t="str">
        <f>IF(Table1[[#This Row],[processing_time_hours]]&gt;1.5,"Slow", "Fast")</f>
        <v>Slow</v>
      </c>
      <c r="K403" t="s">
        <v>2814</v>
      </c>
      <c r="L403" s="3">
        <v>0</v>
      </c>
      <c r="M403" t="str">
        <f>IF(Table1[[#This Row],[delayed]]=1,"Delayed","On Time")</f>
        <v>On Time</v>
      </c>
      <c r="N403" t="str">
        <f>IF(AND(Table1[[#This Row],[delayed]]=1,Table1[[#This Row],[weather_condition]]="Storm"),"High Risk", IF(Table1[[#This Row],[delayed]]=1,"Medium Risk","Low Risk"))</f>
        <v>Low Risk</v>
      </c>
    </row>
    <row r="404" spans="1:14" x14ac:dyDescent="0.35">
      <c r="A404">
        <v>403</v>
      </c>
      <c r="B404" s="1">
        <v>44943.75</v>
      </c>
      <c r="C404" s="2">
        <v>5.1388888888888894E-2</v>
      </c>
      <c r="D404" s="3">
        <v>4153</v>
      </c>
      <c r="E404" s="3">
        <v>288</v>
      </c>
      <c r="F404" s="2">
        <v>52.921527777777776</v>
      </c>
      <c r="G404" t="s">
        <v>2816</v>
      </c>
      <c r="H404" t="s">
        <v>2822</v>
      </c>
      <c r="I404" s="2">
        <v>0.79166666666666663</v>
      </c>
      <c r="J404" s="4" t="str">
        <f>IF(Table1[[#This Row],[processing_time_hours]]&gt;1.5,"Slow", "Fast")</f>
        <v>Fast</v>
      </c>
      <c r="K404" t="s">
        <v>2814</v>
      </c>
      <c r="L404" s="3">
        <v>0</v>
      </c>
      <c r="M404" t="str">
        <f>IF(Table1[[#This Row],[delayed]]=1,"Delayed","On Time")</f>
        <v>On Time</v>
      </c>
      <c r="N404" t="str">
        <f>IF(AND(Table1[[#This Row],[delayed]]=1,Table1[[#This Row],[weather_condition]]="Storm"),"High Risk", IF(Table1[[#This Row],[delayed]]=1,"Medium Risk","Low Risk"))</f>
        <v>Low Risk</v>
      </c>
    </row>
    <row r="405" spans="1:14" x14ac:dyDescent="0.35">
      <c r="A405">
        <v>404</v>
      </c>
      <c r="B405" s="1">
        <v>44943.791666666664</v>
      </c>
      <c r="C405" s="2">
        <v>5.2083333333333336E-2</v>
      </c>
      <c r="D405" s="3">
        <v>83</v>
      </c>
      <c r="E405" s="3">
        <v>257</v>
      </c>
      <c r="F405" s="2">
        <v>70.626388888888883</v>
      </c>
      <c r="G405" t="s">
        <v>2812</v>
      </c>
      <c r="H405" t="s">
        <v>2822</v>
      </c>
      <c r="I405" s="2">
        <v>0.4597222222222222</v>
      </c>
      <c r="J405" s="4" t="str">
        <f>IF(Table1[[#This Row],[processing_time_hours]]&gt;1.5,"Slow", "Fast")</f>
        <v>Fast</v>
      </c>
      <c r="K405" t="s">
        <v>2818</v>
      </c>
      <c r="L405" s="3">
        <v>0</v>
      </c>
      <c r="M405" t="str">
        <f>IF(Table1[[#This Row],[delayed]]=1,"Delayed","On Time")</f>
        <v>On Time</v>
      </c>
      <c r="N405" t="str">
        <f>IF(AND(Table1[[#This Row],[delayed]]=1,Table1[[#This Row],[weather_condition]]="Storm"),"High Risk", IF(Table1[[#This Row],[delayed]]=1,"Medium Risk","Low Risk"))</f>
        <v>Low Risk</v>
      </c>
    </row>
    <row r="406" spans="1:14" x14ac:dyDescent="0.35">
      <c r="A406">
        <v>405</v>
      </c>
      <c r="B406" s="1">
        <v>44943.833333333336</v>
      </c>
      <c r="C406" s="2">
        <v>6.8749999999999992E-2</v>
      </c>
      <c r="D406" s="3">
        <v>933</v>
      </c>
      <c r="E406" s="3">
        <v>188</v>
      </c>
      <c r="F406" s="2">
        <v>2.7145833333333336</v>
      </c>
      <c r="G406" t="s">
        <v>2812</v>
      </c>
      <c r="H406" t="s">
        <v>2817</v>
      </c>
      <c r="I406" s="2">
        <v>0.79791666666666661</v>
      </c>
      <c r="J406" s="4" t="str">
        <f>IF(Table1[[#This Row],[processing_time_hours]]&gt;1.5,"Slow", "Fast")</f>
        <v>Fast</v>
      </c>
      <c r="K406" t="s">
        <v>2814</v>
      </c>
      <c r="L406" s="3">
        <v>1</v>
      </c>
      <c r="M406" t="str">
        <f>IF(Table1[[#This Row],[delayed]]=1,"Delayed","On Time")</f>
        <v>Delayed</v>
      </c>
      <c r="N406" t="str">
        <f>IF(AND(Table1[[#This Row],[delayed]]=1,Table1[[#This Row],[weather_condition]]="Storm"),"High Risk", IF(Table1[[#This Row],[delayed]]=1,"Medium Risk","Low Risk"))</f>
        <v>High Risk</v>
      </c>
    </row>
    <row r="407" spans="1:14" x14ac:dyDescent="0.35">
      <c r="A407">
        <v>406</v>
      </c>
      <c r="B407" s="1">
        <v>44943.875</v>
      </c>
      <c r="C407" s="2">
        <v>4.4444444444444446E-2</v>
      </c>
      <c r="D407" s="3">
        <v>1702</v>
      </c>
      <c r="E407" s="3">
        <v>205</v>
      </c>
      <c r="F407" s="2">
        <v>22.712500000000002</v>
      </c>
      <c r="G407" t="s">
        <v>2816</v>
      </c>
      <c r="H407" t="s">
        <v>2822</v>
      </c>
      <c r="I407" s="2">
        <v>2.3333333333333335</v>
      </c>
      <c r="J407" s="4" t="str">
        <f>IF(Table1[[#This Row],[processing_time_hours]]&gt;1.5,"Slow", "Fast")</f>
        <v>Slow</v>
      </c>
      <c r="K407" t="s">
        <v>2814</v>
      </c>
      <c r="L407" s="3">
        <v>0</v>
      </c>
      <c r="M407" t="str">
        <f>IF(Table1[[#This Row],[delayed]]=1,"Delayed","On Time")</f>
        <v>On Time</v>
      </c>
      <c r="N407" t="str">
        <f>IF(AND(Table1[[#This Row],[delayed]]=1,Table1[[#This Row],[weather_condition]]="Storm"),"High Risk", IF(Table1[[#This Row],[delayed]]=1,"Medium Risk","Low Risk"))</f>
        <v>Low Risk</v>
      </c>
    </row>
    <row r="408" spans="1:14" x14ac:dyDescent="0.35">
      <c r="A408">
        <v>407</v>
      </c>
      <c r="B408" s="1">
        <v>44943.916666666664</v>
      </c>
      <c r="C408" s="2">
        <v>6.6666666666666666E-2</v>
      </c>
      <c r="D408" s="3">
        <v>2370</v>
      </c>
      <c r="E408" s="3">
        <v>350</v>
      </c>
      <c r="F408" s="2">
        <v>47.96180555555555</v>
      </c>
      <c r="G408" t="s">
        <v>2812</v>
      </c>
      <c r="H408" t="s">
        <v>2822</v>
      </c>
      <c r="I408" s="2">
        <v>2.7520833333333332</v>
      </c>
      <c r="J408" s="4" t="str">
        <f>IF(Table1[[#This Row],[processing_time_hours]]&gt;1.5,"Slow", "Fast")</f>
        <v>Slow</v>
      </c>
      <c r="K408" t="s">
        <v>2821</v>
      </c>
      <c r="L408" s="3">
        <v>0</v>
      </c>
      <c r="M408" t="str">
        <f>IF(Table1[[#This Row],[delayed]]=1,"Delayed","On Time")</f>
        <v>On Time</v>
      </c>
      <c r="N408" t="str">
        <f>IF(AND(Table1[[#This Row],[delayed]]=1,Table1[[#This Row],[weather_condition]]="Storm"),"High Risk", IF(Table1[[#This Row],[delayed]]=1,"Medium Risk","Low Risk"))</f>
        <v>Low Risk</v>
      </c>
    </row>
    <row r="409" spans="1:14" x14ac:dyDescent="0.35">
      <c r="A409">
        <v>408</v>
      </c>
      <c r="B409" s="1">
        <v>44943.958333333336</v>
      </c>
      <c r="C409" s="2">
        <v>6.5277777777777782E-2</v>
      </c>
      <c r="D409" s="3">
        <v>2185</v>
      </c>
      <c r="E409" s="3">
        <v>329</v>
      </c>
      <c r="F409" s="2">
        <v>46.504166666666663</v>
      </c>
      <c r="G409" t="s">
        <v>2812</v>
      </c>
      <c r="H409" t="s">
        <v>2817</v>
      </c>
      <c r="I409" s="2">
        <v>0.46111111111111108</v>
      </c>
      <c r="J409" s="4" t="str">
        <f>IF(Table1[[#This Row],[processing_time_hours]]&gt;1.5,"Slow", "Fast")</f>
        <v>Fast</v>
      </c>
      <c r="K409" t="s">
        <v>2821</v>
      </c>
      <c r="L409" s="3">
        <v>0</v>
      </c>
      <c r="M409" t="str">
        <f>IF(Table1[[#This Row],[delayed]]=1,"Delayed","On Time")</f>
        <v>On Time</v>
      </c>
      <c r="N409" t="str">
        <f>IF(AND(Table1[[#This Row],[delayed]]=1,Table1[[#This Row],[weather_condition]]="Storm"),"High Risk", IF(Table1[[#This Row],[delayed]]=1,"Medium Risk","Low Risk"))</f>
        <v>Low Risk</v>
      </c>
    </row>
    <row r="410" spans="1:14" x14ac:dyDescent="0.35">
      <c r="A410">
        <v>409</v>
      </c>
      <c r="B410" s="1">
        <v>44944</v>
      </c>
      <c r="C410" s="2">
        <v>4.7916666666666663E-2</v>
      </c>
      <c r="D410" s="3">
        <v>59</v>
      </c>
      <c r="E410" s="3">
        <v>274</v>
      </c>
      <c r="F410" s="2">
        <v>66.669444444444437</v>
      </c>
      <c r="G410" t="s">
        <v>2819</v>
      </c>
      <c r="H410" t="s">
        <v>2820</v>
      </c>
      <c r="I410" s="2">
        <v>8.6111111111111124E-2</v>
      </c>
      <c r="J410" s="4" t="str">
        <f>IF(Table1[[#This Row],[processing_time_hours]]&gt;1.5,"Slow", "Fast")</f>
        <v>Fast</v>
      </c>
      <c r="K410" t="s">
        <v>2818</v>
      </c>
      <c r="L410" s="3">
        <v>0</v>
      </c>
      <c r="M410" t="str">
        <f>IF(Table1[[#This Row],[delayed]]=1,"Delayed","On Time")</f>
        <v>On Time</v>
      </c>
      <c r="N410" t="str">
        <f>IF(AND(Table1[[#This Row],[delayed]]=1,Table1[[#This Row],[weather_condition]]="Storm"),"High Risk", IF(Table1[[#This Row],[delayed]]=1,"Medium Risk","Low Risk"))</f>
        <v>Low Risk</v>
      </c>
    </row>
    <row r="411" spans="1:14" x14ac:dyDescent="0.35">
      <c r="A411">
        <v>410</v>
      </c>
      <c r="B411" s="1">
        <v>44944.041666666664</v>
      </c>
      <c r="C411" s="2">
        <v>5.1388888888888894E-2</v>
      </c>
      <c r="D411" s="3">
        <v>4695</v>
      </c>
      <c r="E411" s="3">
        <v>497</v>
      </c>
      <c r="F411" s="2">
        <v>34.750694444444441</v>
      </c>
      <c r="G411" t="s">
        <v>2815</v>
      </c>
      <c r="H411" t="s">
        <v>2817</v>
      </c>
      <c r="I411" s="2">
        <v>2.1729166666666666</v>
      </c>
      <c r="J411" s="4" t="str">
        <f>IF(Table1[[#This Row],[processing_time_hours]]&gt;1.5,"Slow", "Fast")</f>
        <v>Slow</v>
      </c>
      <c r="K411" t="s">
        <v>2818</v>
      </c>
      <c r="L411" s="3">
        <v>0</v>
      </c>
      <c r="M411" t="str">
        <f>IF(Table1[[#This Row],[delayed]]=1,"Delayed","On Time")</f>
        <v>On Time</v>
      </c>
      <c r="N411" t="str">
        <f>IF(AND(Table1[[#This Row],[delayed]]=1,Table1[[#This Row],[weather_condition]]="Storm"),"High Risk", IF(Table1[[#This Row],[delayed]]=1,"Medium Risk","Low Risk"))</f>
        <v>Low Risk</v>
      </c>
    </row>
    <row r="412" spans="1:14" x14ac:dyDescent="0.35">
      <c r="A412">
        <v>411</v>
      </c>
      <c r="B412" s="1">
        <v>44944.083333333336</v>
      </c>
      <c r="C412" s="2">
        <v>5.7638888888888885E-2</v>
      </c>
      <c r="D412" s="3">
        <v>1072</v>
      </c>
      <c r="E412" s="3">
        <v>178</v>
      </c>
      <c r="F412" s="2">
        <v>71.712499999999991</v>
      </c>
      <c r="G412" t="s">
        <v>2819</v>
      </c>
      <c r="H412" t="s">
        <v>2813</v>
      </c>
      <c r="I412" s="2">
        <v>2.4597222222222221</v>
      </c>
      <c r="J412" s="4" t="str">
        <f>IF(Table1[[#This Row],[processing_time_hours]]&gt;1.5,"Slow", "Fast")</f>
        <v>Slow</v>
      </c>
      <c r="K412" t="s">
        <v>2814</v>
      </c>
      <c r="L412" s="3">
        <v>0</v>
      </c>
      <c r="M412" t="str">
        <f>IF(Table1[[#This Row],[delayed]]=1,"Delayed","On Time")</f>
        <v>On Time</v>
      </c>
      <c r="N412" t="str">
        <f>IF(AND(Table1[[#This Row],[delayed]]=1,Table1[[#This Row],[weather_condition]]="Storm"),"High Risk", IF(Table1[[#This Row],[delayed]]=1,"Medium Risk","Low Risk"))</f>
        <v>Low Risk</v>
      </c>
    </row>
    <row r="413" spans="1:14" x14ac:dyDescent="0.35">
      <c r="A413">
        <v>412</v>
      </c>
      <c r="B413" s="1">
        <v>44944.125</v>
      </c>
      <c r="C413" s="2">
        <v>6.3888888888888898E-2</v>
      </c>
      <c r="D413" s="3">
        <v>719</v>
      </c>
      <c r="E413" s="3">
        <v>412</v>
      </c>
      <c r="F413" s="2">
        <v>32.211111111111116</v>
      </c>
      <c r="G413" t="s">
        <v>2812</v>
      </c>
      <c r="H413" t="s">
        <v>2813</v>
      </c>
      <c r="I413" s="2">
        <v>1.7104166666666665</v>
      </c>
      <c r="J413" s="4" t="str">
        <f>IF(Table1[[#This Row],[processing_time_hours]]&gt;1.5,"Slow", "Fast")</f>
        <v>Slow</v>
      </c>
      <c r="K413" t="s">
        <v>2821</v>
      </c>
      <c r="L413" s="3">
        <v>0</v>
      </c>
      <c r="M413" t="str">
        <f>IF(Table1[[#This Row],[delayed]]=1,"Delayed","On Time")</f>
        <v>On Time</v>
      </c>
      <c r="N413" t="str">
        <f>IF(AND(Table1[[#This Row],[delayed]]=1,Table1[[#This Row],[weather_condition]]="Storm"),"High Risk", IF(Table1[[#This Row],[delayed]]=1,"Medium Risk","Low Risk"))</f>
        <v>Low Risk</v>
      </c>
    </row>
    <row r="414" spans="1:14" x14ac:dyDescent="0.35">
      <c r="A414">
        <v>413</v>
      </c>
      <c r="B414" s="1">
        <v>44944.166666666664</v>
      </c>
      <c r="C414" s="2">
        <v>6.805555555555555E-2</v>
      </c>
      <c r="D414" s="3">
        <v>2590</v>
      </c>
      <c r="E414" s="3">
        <v>123</v>
      </c>
      <c r="F414" s="2">
        <v>45.379861111111104</v>
      </c>
      <c r="G414" t="s">
        <v>2815</v>
      </c>
      <c r="H414" t="s">
        <v>2820</v>
      </c>
      <c r="I414" s="2">
        <v>2.7118055555555554</v>
      </c>
      <c r="J414" s="4" t="str">
        <f>IF(Table1[[#This Row],[processing_time_hours]]&gt;1.5,"Slow", "Fast")</f>
        <v>Slow</v>
      </c>
      <c r="K414" t="s">
        <v>2821</v>
      </c>
      <c r="L414" s="3">
        <v>0</v>
      </c>
      <c r="M414" t="str">
        <f>IF(Table1[[#This Row],[delayed]]=1,"Delayed","On Time")</f>
        <v>On Time</v>
      </c>
      <c r="N414" t="str">
        <f>IF(AND(Table1[[#This Row],[delayed]]=1,Table1[[#This Row],[weather_condition]]="Storm"),"High Risk", IF(Table1[[#This Row],[delayed]]=1,"Medium Risk","Low Risk"))</f>
        <v>Low Risk</v>
      </c>
    </row>
    <row r="415" spans="1:14" x14ac:dyDescent="0.35">
      <c r="A415">
        <v>414</v>
      </c>
      <c r="B415" s="1">
        <v>44944.208333333336</v>
      </c>
      <c r="C415" s="2">
        <v>4.1666666666666664E-2</v>
      </c>
      <c r="D415" s="3">
        <v>2627</v>
      </c>
      <c r="E415" s="3">
        <v>395</v>
      </c>
      <c r="F415" s="2">
        <v>37.459027777777777</v>
      </c>
      <c r="G415" t="s">
        <v>2815</v>
      </c>
      <c r="H415" t="s">
        <v>2817</v>
      </c>
      <c r="I415" s="2">
        <v>1.3340277777777778</v>
      </c>
      <c r="J415" s="4" t="str">
        <f>IF(Table1[[#This Row],[processing_time_hours]]&gt;1.5,"Slow", "Fast")</f>
        <v>Fast</v>
      </c>
      <c r="K415" t="s">
        <v>2818</v>
      </c>
      <c r="L415" s="3">
        <v>0</v>
      </c>
      <c r="M415" t="str">
        <f>IF(Table1[[#This Row],[delayed]]=1,"Delayed","On Time")</f>
        <v>On Time</v>
      </c>
      <c r="N415" t="str">
        <f>IF(AND(Table1[[#This Row],[delayed]]=1,Table1[[#This Row],[weather_condition]]="Storm"),"High Risk", IF(Table1[[#This Row],[delayed]]=1,"Medium Risk","Low Risk"))</f>
        <v>Low Risk</v>
      </c>
    </row>
    <row r="416" spans="1:14" x14ac:dyDescent="0.35">
      <c r="A416">
        <v>415</v>
      </c>
      <c r="B416" s="1">
        <v>44944.25</v>
      </c>
      <c r="C416" s="2">
        <v>4.9305555555555554E-2</v>
      </c>
      <c r="D416" s="3">
        <v>4721</v>
      </c>
      <c r="E416" s="3">
        <v>401</v>
      </c>
      <c r="F416" s="2">
        <v>44.50555555555556</v>
      </c>
      <c r="G416" t="s">
        <v>2812</v>
      </c>
      <c r="H416" t="s">
        <v>2813</v>
      </c>
      <c r="I416" s="2">
        <v>0.41944444444444445</v>
      </c>
      <c r="J416" s="4" t="str">
        <f>IF(Table1[[#This Row],[processing_time_hours]]&gt;1.5,"Slow", "Fast")</f>
        <v>Fast</v>
      </c>
      <c r="K416" t="s">
        <v>2814</v>
      </c>
      <c r="L416" s="3">
        <v>0</v>
      </c>
      <c r="M416" t="str">
        <f>IF(Table1[[#This Row],[delayed]]=1,"Delayed","On Time")</f>
        <v>On Time</v>
      </c>
      <c r="N416" t="str">
        <f>IF(AND(Table1[[#This Row],[delayed]]=1,Table1[[#This Row],[weather_condition]]="Storm"),"High Risk", IF(Table1[[#This Row],[delayed]]=1,"Medium Risk","Low Risk"))</f>
        <v>Low Risk</v>
      </c>
    </row>
    <row r="417" spans="1:14" x14ac:dyDescent="0.35">
      <c r="A417">
        <v>416</v>
      </c>
      <c r="B417" s="1">
        <v>44944.291666666664</v>
      </c>
      <c r="C417" s="2">
        <v>4.7222222222222221E-2</v>
      </c>
      <c r="D417" s="3">
        <v>4627</v>
      </c>
      <c r="E417" s="3">
        <v>158</v>
      </c>
      <c r="F417" s="2">
        <v>11.754166666666668</v>
      </c>
      <c r="G417" t="s">
        <v>2812</v>
      </c>
      <c r="H417" t="s">
        <v>2813</v>
      </c>
      <c r="I417" s="2">
        <v>1.2979166666666666</v>
      </c>
      <c r="J417" s="4" t="str">
        <f>IF(Table1[[#This Row],[processing_time_hours]]&gt;1.5,"Slow", "Fast")</f>
        <v>Fast</v>
      </c>
      <c r="K417" t="s">
        <v>2821</v>
      </c>
      <c r="L417" s="3">
        <v>1</v>
      </c>
      <c r="M417" t="str">
        <f>IF(Table1[[#This Row],[delayed]]=1,"Delayed","On Time")</f>
        <v>Delayed</v>
      </c>
      <c r="N417" t="str">
        <f>IF(AND(Table1[[#This Row],[delayed]]=1,Table1[[#This Row],[weather_condition]]="Storm"),"High Risk", IF(Table1[[#This Row],[delayed]]=1,"Medium Risk","Low Risk"))</f>
        <v>Medium Risk</v>
      </c>
    </row>
    <row r="418" spans="1:14" x14ac:dyDescent="0.35">
      <c r="A418">
        <v>417</v>
      </c>
      <c r="B418" s="1">
        <v>44944.333333333336</v>
      </c>
      <c r="C418" s="2">
        <v>5.5555555555555558E-3</v>
      </c>
      <c r="D418" s="3">
        <v>3501</v>
      </c>
      <c r="E418" s="3">
        <v>180</v>
      </c>
      <c r="F418" s="2">
        <v>63.752777777777773</v>
      </c>
      <c r="G418" t="s">
        <v>2819</v>
      </c>
      <c r="H418" t="s">
        <v>2822</v>
      </c>
      <c r="I418" s="2">
        <v>1.6708333333333334</v>
      </c>
      <c r="J418" s="4" t="str">
        <f>IF(Table1[[#This Row],[processing_time_hours]]&gt;1.5,"Slow", "Fast")</f>
        <v>Slow</v>
      </c>
      <c r="K418" t="s">
        <v>2821</v>
      </c>
      <c r="L418" s="3">
        <v>1</v>
      </c>
      <c r="M418" t="str">
        <f>IF(Table1[[#This Row],[delayed]]=1,"Delayed","On Time")</f>
        <v>Delayed</v>
      </c>
      <c r="N418" t="str">
        <f>IF(AND(Table1[[#This Row],[delayed]]=1,Table1[[#This Row],[weather_condition]]="Storm"),"High Risk", IF(Table1[[#This Row],[delayed]]=1,"Medium Risk","Low Risk"))</f>
        <v>Medium Risk</v>
      </c>
    </row>
    <row r="419" spans="1:14" x14ac:dyDescent="0.35">
      <c r="A419">
        <v>418</v>
      </c>
      <c r="B419" s="1">
        <v>44944.375</v>
      </c>
      <c r="C419" s="2">
        <v>5.6944444444444443E-2</v>
      </c>
      <c r="D419" s="3">
        <v>206</v>
      </c>
      <c r="E419" s="3">
        <v>404</v>
      </c>
      <c r="F419" s="2">
        <v>11.921527777777778</v>
      </c>
      <c r="G419" t="s">
        <v>2812</v>
      </c>
      <c r="H419" t="s">
        <v>2817</v>
      </c>
      <c r="I419" s="2">
        <v>2.4173611111111111</v>
      </c>
      <c r="J419" s="4" t="str">
        <f>IF(Table1[[#This Row],[processing_time_hours]]&gt;1.5,"Slow", "Fast")</f>
        <v>Slow</v>
      </c>
      <c r="K419" t="s">
        <v>2818</v>
      </c>
      <c r="L419" s="3">
        <v>1</v>
      </c>
      <c r="M419" t="str">
        <f>IF(Table1[[#This Row],[delayed]]=1,"Delayed","On Time")</f>
        <v>Delayed</v>
      </c>
      <c r="N419" t="str">
        <f>IF(AND(Table1[[#This Row],[delayed]]=1,Table1[[#This Row],[weather_condition]]="Storm"),"High Risk", IF(Table1[[#This Row],[delayed]]=1,"Medium Risk","Low Risk"))</f>
        <v>High Risk</v>
      </c>
    </row>
    <row r="420" spans="1:14" x14ac:dyDescent="0.35">
      <c r="A420">
        <v>419</v>
      </c>
      <c r="B420" s="1">
        <v>44944.416666666664</v>
      </c>
      <c r="C420" s="2">
        <v>5.9722222222222225E-2</v>
      </c>
      <c r="D420" s="3">
        <v>2558</v>
      </c>
      <c r="E420" s="3">
        <v>51</v>
      </c>
      <c r="F420" s="2">
        <v>37.463194444444447</v>
      </c>
      <c r="G420" t="s">
        <v>2812</v>
      </c>
      <c r="H420" t="s">
        <v>2817</v>
      </c>
      <c r="I420" s="2">
        <v>2.9611111111111108</v>
      </c>
      <c r="J420" s="4" t="str">
        <f>IF(Table1[[#This Row],[processing_time_hours]]&gt;1.5,"Slow", "Fast")</f>
        <v>Slow</v>
      </c>
      <c r="K420" t="s">
        <v>2818</v>
      </c>
      <c r="L420" s="3">
        <v>0</v>
      </c>
      <c r="M420" t="str">
        <f>IF(Table1[[#This Row],[delayed]]=1,"Delayed","On Time")</f>
        <v>On Time</v>
      </c>
      <c r="N420" t="str">
        <f>IF(AND(Table1[[#This Row],[delayed]]=1,Table1[[#This Row],[weather_condition]]="Storm"),"High Risk", IF(Table1[[#This Row],[delayed]]=1,"Medium Risk","Low Risk"))</f>
        <v>Low Risk</v>
      </c>
    </row>
    <row r="421" spans="1:14" x14ac:dyDescent="0.35">
      <c r="A421">
        <v>420</v>
      </c>
      <c r="B421" s="1">
        <v>44944.458333333336</v>
      </c>
      <c r="C421" s="2">
        <v>4.4444444444444446E-2</v>
      </c>
      <c r="D421" s="3">
        <v>994</v>
      </c>
      <c r="E421" s="3">
        <v>151</v>
      </c>
      <c r="F421" s="2">
        <v>53.129166666666663</v>
      </c>
      <c r="G421" t="s">
        <v>2819</v>
      </c>
      <c r="H421" t="s">
        <v>2817</v>
      </c>
      <c r="I421" s="2">
        <v>1.9604166666666665</v>
      </c>
      <c r="J421" s="4" t="str">
        <f>IF(Table1[[#This Row],[processing_time_hours]]&gt;1.5,"Slow", "Fast")</f>
        <v>Slow</v>
      </c>
      <c r="K421" t="s">
        <v>2821</v>
      </c>
      <c r="L421" s="3">
        <v>0</v>
      </c>
      <c r="M421" t="str">
        <f>IF(Table1[[#This Row],[delayed]]=1,"Delayed","On Time")</f>
        <v>On Time</v>
      </c>
      <c r="N421" t="str">
        <f>IF(AND(Table1[[#This Row],[delayed]]=1,Table1[[#This Row],[weather_condition]]="Storm"),"High Risk", IF(Table1[[#This Row],[delayed]]=1,"Medium Risk","Low Risk"))</f>
        <v>Low Risk</v>
      </c>
    </row>
    <row r="422" spans="1:14" x14ac:dyDescent="0.35">
      <c r="A422">
        <v>421</v>
      </c>
      <c r="B422" s="1">
        <v>44944.5</v>
      </c>
      <c r="C422" s="2">
        <v>5.9722222222222225E-2</v>
      </c>
      <c r="D422" s="3">
        <v>1979</v>
      </c>
      <c r="E422" s="3">
        <v>62</v>
      </c>
      <c r="F422" s="2">
        <v>18.545138888888889</v>
      </c>
      <c r="G422" t="s">
        <v>2815</v>
      </c>
      <c r="H422" t="s">
        <v>2813</v>
      </c>
      <c r="I422" s="2">
        <v>2.4604166666666667</v>
      </c>
      <c r="J422" s="4" t="str">
        <f>IF(Table1[[#This Row],[processing_time_hours]]&gt;1.5,"Slow", "Fast")</f>
        <v>Slow</v>
      </c>
      <c r="K422" t="s">
        <v>2821</v>
      </c>
      <c r="L422" s="3">
        <v>0</v>
      </c>
      <c r="M422" t="str">
        <f>IF(Table1[[#This Row],[delayed]]=1,"Delayed","On Time")</f>
        <v>On Time</v>
      </c>
      <c r="N422" t="str">
        <f>IF(AND(Table1[[#This Row],[delayed]]=1,Table1[[#This Row],[weather_condition]]="Storm"),"High Risk", IF(Table1[[#This Row],[delayed]]=1,"Medium Risk","Low Risk"))</f>
        <v>Low Risk</v>
      </c>
    </row>
    <row r="423" spans="1:14" x14ac:dyDescent="0.35">
      <c r="A423">
        <v>422</v>
      </c>
      <c r="B423" s="1">
        <v>44944.541666666664</v>
      </c>
      <c r="C423" s="2">
        <v>6.7361111111111108E-2</v>
      </c>
      <c r="D423" s="3">
        <v>2349</v>
      </c>
      <c r="E423" s="3">
        <v>406</v>
      </c>
      <c r="F423" s="2">
        <v>82.172222222222231</v>
      </c>
      <c r="G423" t="s">
        <v>2816</v>
      </c>
      <c r="H423" t="s">
        <v>2820</v>
      </c>
      <c r="I423" s="2">
        <v>1.6291666666666667</v>
      </c>
      <c r="J423" s="4" t="str">
        <f>IF(Table1[[#This Row],[processing_time_hours]]&gt;1.5,"Slow", "Fast")</f>
        <v>Slow</v>
      </c>
      <c r="K423" t="s">
        <v>2821</v>
      </c>
      <c r="L423" s="3">
        <v>1</v>
      </c>
      <c r="M423" t="str">
        <f>IF(Table1[[#This Row],[delayed]]=1,"Delayed","On Time")</f>
        <v>Delayed</v>
      </c>
      <c r="N423" t="str">
        <f>IF(AND(Table1[[#This Row],[delayed]]=1,Table1[[#This Row],[weather_condition]]="Storm"),"High Risk", IF(Table1[[#This Row],[delayed]]=1,"Medium Risk","Low Risk"))</f>
        <v>Medium Risk</v>
      </c>
    </row>
    <row r="424" spans="1:14" x14ac:dyDescent="0.35">
      <c r="A424">
        <v>423</v>
      </c>
      <c r="B424" s="1">
        <v>44944.583333333336</v>
      </c>
      <c r="C424" s="2">
        <v>6.7361111111111108E-2</v>
      </c>
      <c r="D424" s="3">
        <v>3172</v>
      </c>
      <c r="E424" s="3">
        <v>489</v>
      </c>
      <c r="F424" s="2">
        <v>57.084722222222219</v>
      </c>
      <c r="G424" t="s">
        <v>2815</v>
      </c>
      <c r="H424" t="s">
        <v>2817</v>
      </c>
      <c r="I424" s="2">
        <v>4.2361111111111106E-2</v>
      </c>
      <c r="J424" s="4" t="str">
        <f>IF(Table1[[#This Row],[processing_time_hours]]&gt;1.5,"Slow", "Fast")</f>
        <v>Fast</v>
      </c>
      <c r="K424" t="s">
        <v>2818</v>
      </c>
      <c r="L424" s="3">
        <v>0</v>
      </c>
      <c r="M424" t="str">
        <f>IF(Table1[[#This Row],[delayed]]=1,"Delayed","On Time")</f>
        <v>On Time</v>
      </c>
      <c r="N424" t="str">
        <f>IF(AND(Table1[[#This Row],[delayed]]=1,Table1[[#This Row],[weather_condition]]="Storm"),"High Risk", IF(Table1[[#This Row],[delayed]]=1,"Medium Risk","Low Risk"))</f>
        <v>Low Risk</v>
      </c>
    </row>
    <row r="425" spans="1:14" x14ac:dyDescent="0.35">
      <c r="A425">
        <v>424</v>
      </c>
      <c r="B425" s="1">
        <v>44944.625</v>
      </c>
      <c r="C425" s="2">
        <v>6.805555555555555E-2</v>
      </c>
      <c r="D425" s="3">
        <v>537</v>
      </c>
      <c r="E425" s="3">
        <v>156</v>
      </c>
      <c r="F425" s="2">
        <v>10.83611111111111</v>
      </c>
      <c r="G425" t="s">
        <v>2816</v>
      </c>
      <c r="H425" t="s">
        <v>2817</v>
      </c>
      <c r="I425" s="2">
        <v>0.25069444444444444</v>
      </c>
      <c r="J425" s="4" t="str">
        <f>IF(Table1[[#This Row],[processing_time_hours]]&gt;1.5,"Slow", "Fast")</f>
        <v>Fast</v>
      </c>
      <c r="K425" t="s">
        <v>2814</v>
      </c>
      <c r="L425" s="3">
        <v>0</v>
      </c>
      <c r="M425" t="str">
        <f>IF(Table1[[#This Row],[delayed]]=1,"Delayed","On Time")</f>
        <v>On Time</v>
      </c>
      <c r="N425" t="str">
        <f>IF(AND(Table1[[#This Row],[delayed]]=1,Table1[[#This Row],[weather_condition]]="Storm"),"High Risk", IF(Table1[[#This Row],[delayed]]=1,"Medium Risk","Low Risk"))</f>
        <v>Low Risk</v>
      </c>
    </row>
    <row r="426" spans="1:14" x14ac:dyDescent="0.35">
      <c r="A426">
        <v>425</v>
      </c>
      <c r="B426" s="1">
        <v>44944.666666666664</v>
      </c>
      <c r="C426" s="2">
        <v>6.7361111111111108E-2</v>
      </c>
      <c r="D426" s="3">
        <v>3338</v>
      </c>
      <c r="E426" s="3">
        <v>379</v>
      </c>
      <c r="F426" s="2">
        <v>82.375</v>
      </c>
      <c r="G426" t="s">
        <v>2819</v>
      </c>
      <c r="H426" t="s">
        <v>2822</v>
      </c>
      <c r="I426" s="2">
        <v>0.37847222222222227</v>
      </c>
      <c r="J426" s="4" t="str">
        <f>IF(Table1[[#This Row],[processing_time_hours]]&gt;1.5,"Slow", "Fast")</f>
        <v>Fast</v>
      </c>
      <c r="K426" t="s">
        <v>2821</v>
      </c>
      <c r="L426" s="3">
        <v>1</v>
      </c>
      <c r="M426" t="str">
        <f>IF(Table1[[#This Row],[delayed]]=1,"Delayed","On Time")</f>
        <v>Delayed</v>
      </c>
      <c r="N426" t="str">
        <f>IF(AND(Table1[[#This Row],[delayed]]=1,Table1[[#This Row],[weather_condition]]="Storm"),"High Risk", IF(Table1[[#This Row],[delayed]]=1,"Medium Risk","Low Risk"))</f>
        <v>Medium Risk</v>
      </c>
    </row>
    <row r="427" spans="1:14" x14ac:dyDescent="0.35">
      <c r="A427">
        <v>426</v>
      </c>
      <c r="B427" s="1">
        <v>44944.708333333336</v>
      </c>
      <c r="C427" s="2">
        <v>6.805555555555555E-2</v>
      </c>
      <c r="D427" s="3">
        <v>1473</v>
      </c>
      <c r="E427" s="3">
        <v>123</v>
      </c>
      <c r="F427" s="2">
        <v>28.710416666666664</v>
      </c>
      <c r="G427" t="s">
        <v>2812</v>
      </c>
      <c r="H427" t="s">
        <v>2813</v>
      </c>
      <c r="I427" s="2">
        <v>2.7534722222222219</v>
      </c>
      <c r="J427" s="4" t="str">
        <f>IF(Table1[[#This Row],[processing_time_hours]]&gt;1.5,"Slow", "Fast")</f>
        <v>Slow</v>
      </c>
      <c r="K427" t="s">
        <v>2814</v>
      </c>
      <c r="L427" s="3">
        <v>0</v>
      </c>
      <c r="M427" t="str">
        <f>IF(Table1[[#This Row],[delayed]]=1,"Delayed","On Time")</f>
        <v>On Time</v>
      </c>
      <c r="N427" t="str">
        <f>IF(AND(Table1[[#This Row],[delayed]]=1,Table1[[#This Row],[weather_condition]]="Storm"),"High Risk", IF(Table1[[#This Row],[delayed]]=1,"Medium Risk","Low Risk"))</f>
        <v>Low Risk</v>
      </c>
    </row>
    <row r="428" spans="1:14" x14ac:dyDescent="0.35">
      <c r="A428">
        <v>427</v>
      </c>
      <c r="B428" s="1">
        <v>44944.75</v>
      </c>
      <c r="C428" s="2">
        <v>4.3055555555555562E-2</v>
      </c>
      <c r="D428" s="3">
        <v>4641</v>
      </c>
      <c r="E428" s="3">
        <v>308</v>
      </c>
      <c r="F428" s="2">
        <v>70.833333333333329</v>
      </c>
      <c r="G428" t="s">
        <v>2819</v>
      </c>
      <c r="H428" t="s">
        <v>2813</v>
      </c>
      <c r="I428" s="2">
        <v>8.3333333333333329E-2</v>
      </c>
      <c r="J428" s="4" t="str">
        <f>IF(Table1[[#This Row],[processing_time_hours]]&gt;1.5,"Slow", "Fast")</f>
        <v>Fast</v>
      </c>
      <c r="K428" t="s">
        <v>2814</v>
      </c>
      <c r="L428" s="3">
        <v>0</v>
      </c>
      <c r="M428" t="str">
        <f>IF(Table1[[#This Row],[delayed]]=1,"Delayed","On Time")</f>
        <v>On Time</v>
      </c>
      <c r="N428" t="str">
        <f>IF(AND(Table1[[#This Row],[delayed]]=1,Table1[[#This Row],[weather_condition]]="Storm"),"High Risk", IF(Table1[[#This Row],[delayed]]=1,"Medium Risk","Low Risk"))</f>
        <v>Low Risk</v>
      </c>
    </row>
    <row r="429" spans="1:14" x14ac:dyDescent="0.35">
      <c r="A429">
        <v>428</v>
      </c>
      <c r="B429" s="1">
        <v>44944.791666666664</v>
      </c>
      <c r="C429" s="2">
        <v>6.7361111111111108E-2</v>
      </c>
      <c r="D429" s="3">
        <v>3423</v>
      </c>
      <c r="E429" s="3">
        <v>151</v>
      </c>
      <c r="F429" s="2">
        <v>28.211805555555557</v>
      </c>
      <c r="G429" t="s">
        <v>2819</v>
      </c>
      <c r="H429" t="s">
        <v>2813</v>
      </c>
      <c r="I429" s="2">
        <v>1.5013888888888889</v>
      </c>
      <c r="J429" s="4" t="str">
        <f>IF(Table1[[#This Row],[processing_time_hours]]&gt;1.5,"Slow", "Fast")</f>
        <v>Slow</v>
      </c>
      <c r="K429" t="s">
        <v>2814</v>
      </c>
      <c r="L429" s="3">
        <v>1</v>
      </c>
      <c r="M429" t="str">
        <f>IF(Table1[[#This Row],[delayed]]=1,"Delayed","On Time")</f>
        <v>Delayed</v>
      </c>
      <c r="N429" t="str">
        <f>IF(AND(Table1[[#This Row],[delayed]]=1,Table1[[#This Row],[weather_condition]]="Storm"),"High Risk", IF(Table1[[#This Row],[delayed]]=1,"Medium Risk","Low Risk"))</f>
        <v>Medium Risk</v>
      </c>
    </row>
    <row r="430" spans="1:14" x14ac:dyDescent="0.35">
      <c r="A430">
        <v>429</v>
      </c>
      <c r="B430" s="1">
        <v>44944.833333333336</v>
      </c>
      <c r="C430" s="2">
        <v>4.9305555555555554E-2</v>
      </c>
      <c r="D430" s="3">
        <v>464</v>
      </c>
      <c r="E430" s="3">
        <v>387</v>
      </c>
      <c r="F430" s="2">
        <v>49.879861111111104</v>
      </c>
      <c r="G430" t="s">
        <v>2815</v>
      </c>
      <c r="H430" t="s">
        <v>2813</v>
      </c>
      <c r="I430" s="2">
        <v>1.2923611111111111</v>
      </c>
      <c r="J430" s="4" t="str">
        <f>IF(Table1[[#This Row],[processing_time_hours]]&gt;1.5,"Slow", "Fast")</f>
        <v>Fast</v>
      </c>
      <c r="K430" t="s">
        <v>2818</v>
      </c>
      <c r="L430" s="3">
        <v>0</v>
      </c>
      <c r="M430" t="str">
        <f>IF(Table1[[#This Row],[delayed]]=1,"Delayed","On Time")</f>
        <v>On Time</v>
      </c>
      <c r="N430" t="str">
        <f>IF(AND(Table1[[#This Row],[delayed]]=1,Table1[[#This Row],[weather_condition]]="Storm"),"High Risk", IF(Table1[[#This Row],[delayed]]=1,"Medium Risk","Low Risk"))</f>
        <v>Low Risk</v>
      </c>
    </row>
    <row r="431" spans="1:14" x14ac:dyDescent="0.35">
      <c r="A431">
        <v>430</v>
      </c>
      <c r="B431" s="1">
        <v>44944.875</v>
      </c>
      <c r="C431" s="2">
        <v>5.0694444444444438E-2</v>
      </c>
      <c r="D431" s="3">
        <v>4285</v>
      </c>
      <c r="E431" s="3">
        <v>143</v>
      </c>
      <c r="F431" s="2">
        <v>60.753472222222221</v>
      </c>
      <c r="G431" t="s">
        <v>2819</v>
      </c>
      <c r="H431" t="s">
        <v>2817</v>
      </c>
      <c r="I431" s="2">
        <v>2.3805555555555555</v>
      </c>
      <c r="J431" s="4" t="str">
        <f>IF(Table1[[#This Row],[processing_time_hours]]&gt;1.5,"Slow", "Fast")</f>
        <v>Slow</v>
      </c>
      <c r="K431" t="s">
        <v>2821</v>
      </c>
      <c r="L431" s="3">
        <v>0</v>
      </c>
      <c r="M431" t="str">
        <f>IF(Table1[[#This Row],[delayed]]=1,"Delayed","On Time")</f>
        <v>On Time</v>
      </c>
      <c r="N431" t="str">
        <f>IF(AND(Table1[[#This Row],[delayed]]=1,Table1[[#This Row],[weather_condition]]="Storm"),"High Risk", IF(Table1[[#This Row],[delayed]]=1,"Medium Risk","Low Risk"))</f>
        <v>Low Risk</v>
      </c>
    </row>
    <row r="432" spans="1:14" x14ac:dyDescent="0.35">
      <c r="A432">
        <v>431</v>
      </c>
      <c r="B432" s="1">
        <v>44944.916666666664</v>
      </c>
      <c r="C432" s="2">
        <v>5.4166666666666669E-2</v>
      </c>
      <c r="D432" s="3">
        <v>4569</v>
      </c>
      <c r="E432" s="3">
        <v>331</v>
      </c>
      <c r="F432" s="2">
        <v>33.33958333333333</v>
      </c>
      <c r="G432" t="s">
        <v>2819</v>
      </c>
      <c r="H432" t="s">
        <v>2817</v>
      </c>
      <c r="I432" s="2">
        <v>2.088888888888889</v>
      </c>
      <c r="J432" s="4" t="str">
        <f>IF(Table1[[#This Row],[processing_time_hours]]&gt;1.5,"Slow", "Fast")</f>
        <v>Slow</v>
      </c>
      <c r="K432" t="s">
        <v>2818</v>
      </c>
      <c r="L432" s="3">
        <v>1</v>
      </c>
      <c r="M432" t="str">
        <f>IF(Table1[[#This Row],[delayed]]=1,"Delayed","On Time")</f>
        <v>Delayed</v>
      </c>
      <c r="N432" t="str">
        <f>IF(AND(Table1[[#This Row],[delayed]]=1,Table1[[#This Row],[weather_condition]]="Storm"),"High Risk", IF(Table1[[#This Row],[delayed]]=1,"Medium Risk","Low Risk"))</f>
        <v>High Risk</v>
      </c>
    </row>
    <row r="433" spans="1:14" x14ac:dyDescent="0.35">
      <c r="A433">
        <v>432</v>
      </c>
      <c r="B433" s="1">
        <v>44944.958333333336</v>
      </c>
      <c r="C433" s="2">
        <v>6.805555555555555E-2</v>
      </c>
      <c r="D433" s="3">
        <v>3290</v>
      </c>
      <c r="E433" s="3">
        <v>51</v>
      </c>
      <c r="F433" s="2">
        <v>81.963888888888889</v>
      </c>
      <c r="G433" t="s">
        <v>2816</v>
      </c>
      <c r="H433" t="s">
        <v>2817</v>
      </c>
      <c r="I433" s="2">
        <v>0.12708333333333333</v>
      </c>
      <c r="J433" s="4" t="str">
        <f>IF(Table1[[#This Row],[processing_time_hours]]&gt;1.5,"Slow", "Fast")</f>
        <v>Fast</v>
      </c>
      <c r="K433" t="s">
        <v>2814</v>
      </c>
      <c r="L433" s="3">
        <v>0</v>
      </c>
      <c r="M433" t="str">
        <f>IF(Table1[[#This Row],[delayed]]=1,"Delayed","On Time")</f>
        <v>On Time</v>
      </c>
      <c r="N433" t="str">
        <f>IF(AND(Table1[[#This Row],[delayed]]=1,Table1[[#This Row],[weather_condition]]="Storm"),"High Risk", IF(Table1[[#This Row],[delayed]]=1,"Medium Risk","Low Risk"))</f>
        <v>Low Risk</v>
      </c>
    </row>
    <row r="434" spans="1:14" x14ac:dyDescent="0.35">
      <c r="A434">
        <v>433</v>
      </c>
      <c r="B434" s="1">
        <v>44945</v>
      </c>
      <c r="C434" s="2">
        <v>5.8333333333333327E-2</v>
      </c>
      <c r="D434" s="3">
        <v>3198</v>
      </c>
      <c r="E434" s="3">
        <v>124</v>
      </c>
      <c r="F434" s="2">
        <v>74.045833333333334</v>
      </c>
      <c r="G434" t="s">
        <v>2815</v>
      </c>
      <c r="H434" t="s">
        <v>2822</v>
      </c>
      <c r="I434" s="2">
        <v>1.3395833333333333</v>
      </c>
      <c r="J434" s="4" t="str">
        <f>IF(Table1[[#This Row],[processing_time_hours]]&gt;1.5,"Slow", "Fast")</f>
        <v>Fast</v>
      </c>
      <c r="K434" t="s">
        <v>2821</v>
      </c>
      <c r="L434" s="3">
        <v>0</v>
      </c>
      <c r="M434" t="str">
        <f>IF(Table1[[#This Row],[delayed]]=1,"Delayed","On Time")</f>
        <v>On Time</v>
      </c>
      <c r="N434" t="str">
        <f>IF(AND(Table1[[#This Row],[delayed]]=1,Table1[[#This Row],[weather_condition]]="Storm"),"High Risk", IF(Table1[[#This Row],[delayed]]=1,"Medium Risk","Low Risk"))</f>
        <v>Low Risk</v>
      </c>
    </row>
    <row r="435" spans="1:14" x14ac:dyDescent="0.35">
      <c r="A435">
        <v>434</v>
      </c>
      <c r="B435" s="1">
        <v>44945.041666666664</v>
      </c>
      <c r="C435" s="2">
        <v>5.1388888888888894E-2</v>
      </c>
      <c r="D435" s="3">
        <v>1555</v>
      </c>
      <c r="E435" s="3">
        <v>329</v>
      </c>
      <c r="F435" s="2">
        <v>20.086111111111112</v>
      </c>
      <c r="G435" t="s">
        <v>2819</v>
      </c>
      <c r="H435" t="s">
        <v>2820</v>
      </c>
      <c r="I435" s="2">
        <v>2.1666666666666665</v>
      </c>
      <c r="J435" s="4" t="str">
        <f>IF(Table1[[#This Row],[processing_time_hours]]&gt;1.5,"Slow", "Fast")</f>
        <v>Slow</v>
      </c>
      <c r="K435" t="s">
        <v>2818</v>
      </c>
      <c r="L435" s="3">
        <v>0</v>
      </c>
      <c r="M435" t="str">
        <f>IF(Table1[[#This Row],[delayed]]=1,"Delayed","On Time")</f>
        <v>On Time</v>
      </c>
      <c r="N435" t="str">
        <f>IF(AND(Table1[[#This Row],[delayed]]=1,Table1[[#This Row],[weather_condition]]="Storm"),"High Risk", IF(Table1[[#This Row],[delayed]]=1,"Medium Risk","Low Risk"))</f>
        <v>Low Risk</v>
      </c>
    </row>
    <row r="436" spans="1:14" x14ac:dyDescent="0.35">
      <c r="A436">
        <v>435</v>
      </c>
      <c r="B436" s="1">
        <v>44945.083333333336</v>
      </c>
      <c r="C436" s="2">
        <v>5.2083333333333336E-2</v>
      </c>
      <c r="D436" s="3">
        <v>546</v>
      </c>
      <c r="E436" s="3">
        <v>440</v>
      </c>
      <c r="F436" s="2">
        <v>56.504861111111104</v>
      </c>
      <c r="G436" t="s">
        <v>2819</v>
      </c>
      <c r="H436" t="s">
        <v>2820</v>
      </c>
      <c r="I436" s="2">
        <v>1.3395833333333333</v>
      </c>
      <c r="J436" s="4" t="str">
        <f>IF(Table1[[#This Row],[processing_time_hours]]&gt;1.5,"Slow", "Fast")</f>
        <v>Fast</v>
      </c>
      <c r="K436" t="s">
        <v>2821</v>
      </c>
      <c r="L436" s="3">
        <v>0</v>
      </c>
      <c r="M436" t="str">
        <f>IF(Table1[[#This Row],[delayed]]=1,"Delayed","On Time")</f>
        <v>On Time</v>
      </c>
      <c r="N436" t="str">
        <f>IF(AND(Table1[[#This Row],[delayed]]=1,Table1[[#This Row],[weather_condition]]="Storm"),"High Risk", IF(Table1[[#This Row],[delayed]]=1,"Medium Risk","Low Risk"))</f>
        <v>Low Risk</v>
      </c>
    </row>
    <row r="437" spans="1:14" x14ac:dyDescent="0.35">
      <c r="A437">
        <v>436</v>
      </c>
      <c r="B437" s="1">
        <v>44945.125</v>
      </c>
      <c r="C437" s="2">
        <v>6.6666666666666666E-2</v>
      </c>
      <c r="D437" s="3">
        <v>4766</v>
      </c>
      <c r="E437" s="3">
        <v>107</v>
      </c>
      <c r="F437" s="2">
        <v>36.25138888888889</v>
      </c>
      <c r="G437" t="s">
        <v>2812</v>
      </c>
      <c r="H437" t="s">
        <v>2817</v>
      </c>
      <c r="I437" s="2">
        <v>0.7944444444444444</v>
      </c>
      <c r="J437" s="4" t="str">
        <f>IF(Table1[[#This Row],[processing_time_hours]]&gt;1.5,"Slow", "Fast")</f>
        <v>Fast</v>
      </c>
      <c r="K437" t="s">
        <v>2818</v>
      </c>
      <c r="L437" s="3">
        <v>1</v>
      </c>
      <c r="M437" t="str">
        <f>IF(Table1[[#This Row],[delayed]]=1,"Delayed","On Time")</f>
        <v>Delayed</v>
      </c>
      <c r="N437" t="str">
        <f>IF(AND(Table1[[#This Row],[delayed]]=1,Table1[[#This Row],[weather_condition]]="Storm"),"High Risk", IF(Table1[[#This Row],[delayed]]=1,"Medium Risk","Low Risk"))</f>
        <v>High Risk</v>
      </c>
    </row>
    <row r="438" spans="1:14" x14ac:dyDescent="0.35">
      <c r="A438">
        <v>437</v>
      </c>
      <c r="B438" s="1">
        <v>44945.166666666664</v>
      </c>
      <c r="C438" s="2">
        <v>6.458333333333334E-2</v>
      </c>
      <c r="D438" s="3">
        <v>1570</v>
      </c>
      <c r="E438" s="3">
        <v>314</v>
      </c>
      <c r="F438" s="2">
        <v>74.416666666666671</v>
      </c>
      <c r="G438" t="s">
        <v>2815</v>
      </c>
      <c r="H438" t="s">
        <v>2820</v>
      </c>
      <c r="I438" s="2">
        <v>1.2138888888888888</v>
      </c>
      <c r="J438" s="4" t="str">
        <f>IF(Table1[[#This Row],[processing_time_hours]]&gt;1.5,"Slow", "Fast")</f>
        <v>Fast</v>
      </c>
      <c r="K438" t="s">
        <v>2821</v>
      </c>
      <c r="L438" s="3">
        <v>0</v>
      </c>
      <c r="M438" t="str">
        <f>IF(Table1[[#This Row],[delayed]]=1,"Delayed","On Time")</f>
        <v>On Time</v>
      </c>
      <c r="N438" t="str">
        <f>IF(AND(Table1[[#This Row],[delayed]]=1,Table1[[#This Row],[weather_condition]]="Storm"),"High Risk", IF(Table1[[#This Row],[delayed]]=1,"Medium Risk","Low Risk"))</f>
        <v>Low Risk</v>
      </c>
    </row>
    <row r="439" spans="1:14" x14ac:dyDescent="0.35">
      <c r="A439">
        <v>438</v>
      </c>
      <c r="B439" s="1">
        <v>44945.208333333336</v>
      </c>
      <c r="C439" s="2">
        <v>4.5833333333333337E-2</v>
      </c>
      <c r="D439" s="3">
        <v>3170</v>
      </c>
      <c r="E439" s="3">
        <v>168</v>
      </c>
      <c r="F439" s="2">
        <v>13.045138888888888</v>
      </c>
      <c r="G439" t="s">
        <v>2812</v>
      </c>
      <c r="H439" t="s">
        <v>2817</v>
      </c>
      <c r="I439" s="2">
        <v>1.2097222222222224</v>
      </c>
      <c r="J439" s="4" t="str">
        <f>IF(Table1[[#This Row],[processing_time_hours]]&gt;1.5,"Slow", "Fast")</f>
        <v>Fast</v>
      </c>
      <c r="K439" t="s">
        <v>2821</v>
      </c>
      <c r="L439" s="3">
        <v>0</v>
      </c>
      <c r="M439" t="str">
        <f>IF(Table1[[#This Row],[delayed]]=1,"Delayed","On Time")</f>
        <v>On Time</v>
      </c>
      <c r="N439" t="str">
        <f>IF(AND(Table1[[#This Row],[delayed]]=1,Table1[[#This Row],[weather_condition]]="Storm"),"High Risk", IF(Table1[[#This Row],[delayed]]=1,"Medium Risk","Low Risk"))</f>
        <v>Low Risk</v>
      </c>
    </row>
    <row r="440" spans="1:14" x14ac:dyDescent="0.35">
      <c r="A440">
        <v>439</v>
      </c>
      <c r="B440" s="1">
        <v>44945.25</v>
      </c>
      <c r="C440" s="2">
        <v>4.8611111111111112E-3</v>
      </c>
      <c r="D440" s="3">
        <v>4813</v>
      </c>
      <c r="E440" s="3">
        <v>426</v>
      </c>
      <c r="F440" s="2">
        <v>62.544444444444444</v>
      </c>
      <c r="G440" t="s">
        <v>2815</v>
      </c>
      <c r="H440" t="s">
        <v>2820</v>
      </c>
      <c r="I440" s="2">
        <v>1.7555555555555555</v>
      </c>
      <c r="J440" s="4" t="str">
        <f>IF(Table1[[#This Row],[processing_time_hours]]&gt;1.5,"Slow", "Fast")</f>
        <v>Slow</v>
      </c>
      <c r="K440" t="s">
        <v>2818</v>
      </c>
      <c r="L440" s="3">
        <v>0</v>
      </c>
      <c r="M440" t="str">
        <f>IF(Table1[[#This Row],[delayed]]=1,"Delayed","On Time")</f>
        <v>On Time</v>
      </c>
      <c r="N440" t="str">
        <f>IF(AND(Table1[[#This Row],[delayed]]=1,Table1[[#This Row],[weather_condition]]="Storm"),"High Risk", IF(Table1[[#This Row],[delayed]]=1,"Medium Risk","Low Risk"))</f>
        <v>Low Risk</v>
      </c>
    </row>
    <row r="441" spans="1:14" x14ac:dyDescent="0.35">
      <c r="A441">
        <v>440</v>
      </c>
      <c r="B441" s="1">
        <v>44945.291666666664</v>
      </c>
      <c r="C441" s="2">
        <v>5.2083333333333336E-2</v>
      </c>
      <c r="D441" s="3">
        <v>4607</v>
      </c>
      <c r="E441" s="3">
        <v>107</v>
      </c>
      <c r="F441" s="2">
        <v>32.461111111111116</v>
      </c>
      <c r="G441" t="s">
        <v>2812</v>
      </c>
      <c r="H441" t="s">
        <v>2822</v>
      </c>
      <c r="I441" s="2">
        <v>2.0041666666666669</v>
      </c>
      <c r="J441" s="4" t="str">
        <f>IF(Table1[[#This Row],[processing_time_hours]]&gt;1.5,"Slow", "Fast")</f>
        <v>Slow</v>
      </c>
      <c r="K441" t="s">
        <v>2814</v>
      </c>
      <c r="L441" s="3">
        <v>0</v>
      </c>
      <c r="M441" t="str">
        <f>IF(Table1[[#This Row],[delayed]]=1,"Delayed","On Time")</f>
        <v>On Time</v>
      </c>
      <c r="N441" t="str">
        <f>IF(AND(Table1[[#This Row],[delayed]]=1,Table1[[#This Row],[weather_condition]]="Storm"),"High Risk", IF(Table1[[#This Row],[delayed]]=1,"Medium Risk","Low Risk"))</f>
        <v>Low Risk</v>
      </c>
    </row>
    <row r="442" spans="1:14" x14ac:dyDescent="0.35">
      <c r="A442">
        <v>441</v>
      </c>
      <c r="B442" s="1">
        <v>44945.333333333336</v>
      </c>
      <c r="C442" s="2">
        <v>4.7916666666666663E-2</v>
      </c>
      <c r="D442" s="3">
        <v>2960</v>
      </c>
      <c r="E442" s="3">
        <v>153</v>
      </c>
      <c r="F442" s="2">
        <v>42.672916666666673</v>
      </c>
      <c r="G442" t="s">
        <v>2819</v>
      </c>
      <c r="H442" t="s">
        <v>2820</v>
      </c>
      <c r="I442" s="2">
        <v>0.96111111111111114</v>
      </c>
      <c r="J442" s="4" t="str">
        <f>IF(Table1[[#This Row],[processing_time_hours]]&gt;1.5,"Slow", "Fast")</f>
        <v>Fast</v>
      </c>
      <c r="K442" t="s">
        <v>2818</v>
      </c>
      <c r="L442" s="3">
        <v>1</v>
      </c>
      <c r="M442" t="str">
        <f>IF(Table1[[#This Row],[delayed]]=1,"Delayed","On Time")</f>
        <v>Delayed</v>
      </c>
      <c r="N442" t="str">
        <f>IF(AND(Table1[[#This Row],[delayed]]=1,Table1[[#This Row],[weather_condition]]="Storm"),"High Risk", IF(Table1[[#This Row],[delayed]]=1,"Medium Risk","Low Risk"))</f>
        <v>Medium Risk</v>
      </c>
    </row>
    <row r="443" spans="1:14" x14ac:dyDescent="0.35">
      <c r="A443">
        <v>442</v>
      </c>
      <c r="B443" s="1">
        <v>44945.375</v>
      </c>
      <c r="C443" s="2">
        <v>5.7638888888888885E-2</v>
      </c>
      <c r="D443" s="3">
        <v>426</v>
      </c>
      <c r="E443" s="3">
        <v>276</v>
      </c>
      <c r="F443" s="2">
        <v>57.670138888888886</v>
      </c>
      <c r="G443" t="s">
        <v>2812</v>
      </c>
      <c r="H443" t="s">
        <v>2813</v>
      </c>
      <c r="I443" s="2">
        <v>0.12847222222222224</v>
      </c>
      <c r="J443" s="4" t="str">
        <f>IF(Table1[[#This Row],[processing_time_hours]]&gt;1.5,"Slow", "Fast")</f>
        <v>Fast</v>
      </c>
      <c r="K443" t="s">
        <v>2818</v>
      </c>
      <c r="L443" s="3">
        <v>0</v>
      </c>
      <c r="M443" t="str">
        <f>IF(Table1[[#This Row],[delayed]]=1,"Delayed","On Time")</f>
        <v>On Time</v>
      </c>
      <c r="N443" t="str">
        <f>IF(AND(Table1[[#This Row],[delayed]]=1,Table1[[#This Row],[weather_condition]]="Storm"),"High Risk", IF(Table1[[#This Row],[delayed]]=1,"Medium Risk","Low Risk"))</f>
        <v>Low Risk</v>
      </c>
    </row>
    <row r="444" spans="1:14" x14ac:dyDescent="0.35">
      <c r="A444">
        <v>443</v>
      </c>
      <c r="B444" s="1">
        <v>44945.416666666664</v>
      </c>
      <c r="C444" s="2">
        <v>4.7916666666666663E-2</v>
      </c>
      <c r="D444" s="3">
        <v>4730</v>
      </c>
      <c r="E444" s="3">
        <v>285</v>
      </c>
      <c r="F444" s="2">
        <v>17.506249999999998</v>
      </c>
      <c r="G444" t="s">
        <v>2815</v>
      </c>
      <c r="H444" t="s">
        <v>2822</v>
      </c>
      <c r="I444" s="2">
        <v>2.1680555555555556</v>
      </c>
      <c r="J444" s="4" t="str">
        <f>IF(Table1[[#This Row],[processing_time_hours]]&gt;1.5,"Slow", "Fast")</f>
        <v>Slow</v>
      </c>
      <c r="K444" t="s">
        <v>2821</v>
      </c>
      <c r="L444" s="3">
        <v>0</v>
      </c>
      <c r="M444" t="str">
        <f>IF(Table1[[#This Row],[delayed]]=1,"Delayed","On Time")</f>
        <v>On Time</v>
      </c>
      <c r="N444" t="str">
        <f>IF(AND(Table1[[#This Row],[delayed]]=1,Table1[[#This Row],[weather_condition]]="Storm"),"High Risk", IF(Table1[[#This Row],[delayed]]=1,"Medium Risk","Low Risk"))</f>
        <v>Low Risk</v>
      </c>
    </row>
    <row r="445" spans="1:14" x14ac:dyDescent="0.35">
      <c r="A445">
        <v>444</v>
      </c>
      <c r="B445" s="1">
        <v>44945.458333333336</v>
      </c>
      <c r="C445" s="2">
        <v>5.7638888888888885E-2</v>
      </c>
      <c r="D445" s="3">
        <v>3056</v>
      </c>
      <c r="E445" s="3">
        <v>428</v>
      </c>
      <c r="F445" s="2">
        <v>8.625</v>
      </c>
      <c r="G445" t="s">
        <v>2815</v>
      </c>
      <c r="H445" t="s">
        <v>2820</v>
      </c>
      <c r="I445" s="2">
        <v>0.25069444444444444</v>
      </c>
      <c r="J445" s="4" t="str">
        <f>IF(Table1[[#This Row],[processing_time_hours]]&gt;1.5,"Slow", "Fast")</f>
        <v>Fast</v>
      </c>
      <c r="K445" t="s">
        <v>2821</v>
      </c>
      <c r="L445" s="3">
        <v>0</v>
      </c>
      <c r="M445" t="str">
        <f>IF(Table1[[#This Row],[delayed]]=1,"Delayed","On Time")</f>
        <v>On Time</v>
      </c>
      <c r="N445" t="str">
        <f>IF(AND(Table1[[#This Row],[delayed]]=1,Table1[[#This Row],[weather_condition]]="Storm"),"High Risk", IF(Table1[[#This Row],[delayed]]=1,"Medium Risk","Low Risk"))</f>
        <v>Low Risk</v>
      </c>
    </row>
    <row r="446" spans="1:14" x14ac:dyDescent="0.35">
      <c r="A446">
        <v>445</v>
      </c>
      <c r="B446" s="1">
        <v>44945.5</v>
      </c>
      <c r="C446" s="2">
        <v>6.7361111111111108E-2</v>
      </c>
      <c r="D446" s="3">
        <v>3007</v>
      </c>
      <c r="E446" s="3">
        <v>20</v>
      </c>
      <c r="F446" s="2">
        <v>22.125694444444445</v>
      </c>
      <c r="G446" t="s">
        <v>2815</v>
      </c>
      <c r="H446" t="s">
        <v>2817</v>
      </c>
      <c r="I446" s="2">
        <v>2.0027777777777778</v>
      </c>
      <c r="J446" s="4" t="str">
        <f>IF(Table1[[#This Row],[processing_time_hours]]&gt;1.5,"Slow", "Fast")</f>
        <v>Slow</v>
      </c>
      <c r="K446" t="s">
        <v>2821</v>
      </c>
      <c r="L446" s="3">
        <v>0</v>
      </c>
      <c r="M446" t="str">
        <f>IF(Table1[[#This Row],[delayed]]=1,"Delayed","On Time")</f>
        <v>On Time</v>
      </c>
      <c r="N446" t="str">
        <f>IF(AND(Table1[[#This Row],[delayed]]=1,Table1[[#This Row],[weather_condition]]="Storm"),"High Risk", IF(Table1[[#This Row],[delayed]]=1,"Medium Risk","Low Risk"))</f>
        <v>Low Risk</v>
      </c>
    </row>
    <row r="447" spans="1:14" x14ac:dyDescent="0.35">
      <c r="A447">
        <v>446</v>
      </c>
      <c r="B447" s="1">
        <v>44945.541666666664</v>
      </c>
      <c r="C447" s="2">
        <v>6.5277777777777782E-2</v>
      </c>
      <c r="D447" s="3">
        <v>3159</v>
      </c>
      <c r="E447" s="3">
        <v>198</v>
      </c>
      <c r="F447" s="2">
        <v>34.25416666666667</v>
      </c>
      <c r="G447" t="s">
        <v>2819</v>
      </c>
      <c r="H447" t="s">
        <v>2822</v>
      </c>
      <c r="I447" s="2">
        <v>2.838194444444444</v>
      </c>
      <c r="J447" s="4" t="str">
        <f>IF(Table1[[#This Row],[processing_time_hours]]&gt;1.5,"Slow", "Fast")</f>
        <v>Slow</v>
      </c>
      <c r="K447" t="s">
        <v>2821</v>
      </c>
      <c r="L447" s="3">
        <v>0</v>
      </c>
      <c r="M447" t="str">
        <f>IF(Table1[[#This Row],[delayed]]=1,"Delayed","On Time")</f>
        <v>On Time</v>
      </c>
      <c r="N447" t="str">
        <f>IF(AND(Table1[[#This Row],[delayed]]=1,Table1[[#This Row],[weather_condition]]="Storm"),"High Risk", IF(Table1[[#This Row],[delayed]]=1,"Medium Risk","Low Risk"))</f>
        <v>Low Risk</v>
      </c>
    </row>
    <row r="448" spans="1:14" x14ac:dyDescent="0.35">
      <c r="A448">
        <v>447</v>
      </c>
      <c r="B448" s="1">
        <v>44945.583333333336</v>
      </c>
      <c r="C448" s="2">
        <v>4.4444444444444446E-2</v>
      </c>
      <c r="D448" s="3">
        <v>3918</v>
      </c>
      <c r="E448" s="3">
        <v>494</v>
      </c>
      <c r="F448" s="2">
        <v>24.961111111111112</v>
      </c>
      <c r="G448" t="s">
        <v>2812</v>
      </c>
      <c r="H448" t="s">
        <v>2820</v>
      </c>
      <c r="I448" s="2">
        <v>1.2534722222222221</v>
      </c>
      <c r="J448" s="4" t="str">
        <f>IF(Table1[[#This Row],[processing_time_hours]]&gt;1.5,"Slow", "Fast")</f>
        <v>Fast</v>
      </c>
      <c r="K448" t="s">
        <v>2821</v>
      </c>
      <c r="L448" s="3">
        <v>1</v>
      </c>
      <c r="M448" t="str">
        <f>IF(Table1[[#This Row],[delayed]]=1,"Delayed","On Time")</f>
        <v>Delayed</v>
      </c>
      <c r="N448" t="str">
        <f>IF(AND(Table1[[#This Row],[delayed]]=1,Table1[[#This Row],[weather_condition]]="Storm"),"High Risk", IF(Table1[[#This Row],[delayed]]=1,"Medium Risk","Low Risk"))</f>
        <v>Medium Risk</v>
      </c>
    </row>
    <row r="449" spans="1:14" x14ac:dyDescent="0.35">
      <c r="A449">
        <v>448</v>
      </c>
      <c r="B449" s="1">
        <v>44945.625</v>
      </c>
      <c r="C449" s="2">
        <v>4.7222222222222221E-2</v>
      </c>
      <c r="D449" s="3">
        <v>4506</v>
      </c>
      <c r="E449" s="3">
        <v>455</v>
      </c>
      <c r="F449" s="2">
        <v>18.253472222222221</v>
      </c>
      <c r="G449" t="s">
        <v>2815</v>
      </c>
      <c r="H449" t="s">
        <v>2822</v>
      </c>
      <c r="I449" s="2">
        <v>2.8777777777777778</v>
      </c>
      <c r="J449" s="4" t="str">
        <f>IF(Table1[[#This Row],[processing_time_hours]]&gt;1.5,"Slow", "Fast")</f>
        <v>Slow</v>
      </c>
      <c r="K449" t="s">
        <v>2821</v>
      </c>
      <c r="L449" s="3">
        <v>0</v>
      </c>
      <c r="M449" t="str">
        <f>IF(Table1[[#This Row],[delayed]]=1,"Delayed","On Time")</f>
        <v>On Time</v>
      </c>
      <c r="N449" t="str">
        <f>IF(AND(Table1[[#This Row],[delayed]]=1,Table1[[#This Row],[weather_condition]]="Storm"),"High Risk", IF(Table1[[#This Row],[delayed]]=1,"Medium Risk","Low Risk"))</f>
        <v>Low Risk</v>
      </c>
    </row>
    <row r="450" spans="1:14" x14ac:dyDescent="0.35">
      <c r="A450">
        <v>449</v>
      </c>
      <c r="B450" s="1">
        <v>44945.666666666664</v>
      </c>
      <c r="C450" s="2">
        <v>5.3472222222222227E-2</v>
      </c>
      <c r="D450" s="3">
        <v>3190</v>
      </c>
      <c r="E450" s="3">
        <v>474</v>
      </c>
      <c r="F450" s="2">
        <v>59.006250000000001</v>
      </c>
      <c r="G450" t="s">
        <v>2815</v>
      </c>
      <c r="H450" t="s">
        <v>2817</v>
      </c>
      <c r="I450" s="2">
        <v>2.7944444444444443</v>
      </c>
      <c r="J450" s="4" t="str">
        <f>IF(Table1[[#This Row],[processing_time_hours]]&gt;1.5,"Slow", "Fast")</f>
        <v>Slow</v>
      </c>
      <c r="K450" t="s">
        <v>2821</v>
      </c>
      <c r="L450" s="3">
        <v>1</v>
      </c>
      <c r="M450" t="str">
        <f>IF(Table1[[#This Row],[delayed]]=1,"Delayed","On Time")</f>
        <v>Delayed</v>
      </c>
      <c r="N450" t="str">
        <f>IF(AND(Table1[[#This Row],[delayed]]=1,Table1[[#This Row],[weather_condition]]="Storm"),"High Risk", IF(Table1[[#This Row],[delayed]]=1,"Medium Risk","Low Risk"))</f>
        <v>High Risk</v>
      </c>
    </row>
    <row r="451" spans="1:14" x14ac:dyDescent="0.35">
      <c r="A451">
        <v>450</v>
      </c>
      <c r="B451" s="1">
        <v>44945.708333333336</v>
      </c>
      <c r="C451" s="2">
        <v>5.9722222222222225E-2</v>
      </c>
      <c r="D451" s="3">
        <v>4132</v>
      </c>
      <c r="E451" s="3">
        <v>200</v>
      </c>
      <c r="F451" s="2">
        <v>63.293749999999996</v>
      </c>
      <c r="G451" t="s">
        <v>2812</v>
      </c>
      <c r="H451" t="s">
        <v>2820</v>
      </c>
      <c r="I451" s="2">
        <v>2.6729166666666671</v>
      </c>
      <c r="J451" s="4" t="str">
        <f>IF(Table1[[#This Row],[processing_time_hours]]&gt;1.5,"Slow", "Fast")</f>
        <v>Slow</v>
      </c>
      <c r="K451" t="s">
        <v>2821</v>
      </c>
      <c r="L451" s="3">
        <v>0</v>
      </c>
      <c r="M451" t="str">
        <f>IF(Table1[[#This Row],[delayed]]=1,"Delayed","On Time")</f>
        <v>On Time</v>
      </c>
      <c r="N451" t="str">
        <f>IF(AND(Table1[[#This Row],[delayed]]=1,Table1[[#This Row],[weather_condition]]="Storm"),"High Risk", IF(Table1[[#This Row],[delayed]]=1,"Medium Risk","Low Risk"))</f>
        <v>Low Risk</v>
      </c>
    </row>
    <row r="452" spans="1:14" x14ac:dyDescent="0.35">
      <c r="A452">
        <v>451</v>
      </c>
      <c r="B452" s="1">
        <v>44945.75</v>
      </c>
      <c r="C452" s="2">
        <v>5.2083333333333336E-2</v>
      </c>
      <c r="D452" s="3">
        <v>719</v>
      </c>
      <c r="E452" s="3">
        <v>342</v>
      </c>
      <c r="F452" s="2">
        <v>74.879166666666663</v>
      </c>
      <c r="G452" t="s">
        <v>2816</v>
      </c>
      <c r="H452" t="s">
        <v>2822</v>
      </c>
      <c r="I452" s="2">
        <v>2.2562500000000001</v>
      </c>
      <c r="J452" s="4" t="str">
        <f>IF(Table1[[#This Row],[processing_time_hours]]&gt;1.5,"Slow", "Fast")</f>
        <v>Slow</v>
      </c>
      <c r="K452" t="s">
        <v>2818</v>
      </c>
      <c r="L452" s="3">
        <v>0</v>
      </c>
      <c r="M452" t="str">
        <f>IF(Table1[[#This Row],[delayed]]=1,"Delayed","On Time")</f>
        <v>On Time</v>
      </c>
      <c r="N452" t="str">
        <f>IF(AND(Table1[[#This Row],[delayed]]=1,Table1[[#This Row],[weather_condition]]="Storm"),"High Risk", IF(Table1[[#This Row],[delayed]]=1,"Medium Risk","Low Risk"))</f>
        <v>Low Risk</v>
      </c>
    </row>
    <row r="453" spans="1:14" x14ac:dyDescent="0.35">
      <c r="A453">
        <v>452</v>
      </c>
      <c r="B453" s="1">
        <v>44945.791666666664</v>
      </c>
      <c r="C453" s="2">
        <v>4.8611111111111112E-3</v>
      </c>
      <c r="D453" s="3">
        <v>2290</v>
      </c>
      <c r="E453" s="3">
        <v>56</v>
      </c>
      <c r="F453" s="2">
        <v>24.542361111111109</v>
      </c>
      <c r="G453" t="s">
        <v>2815</v>
      </c>
      <c r="H453" t="s">
        <v>2820</v>
      </c>
      <c r="I453" s="2">
        <v>1.9625000000000001</v>
      </c>
      <c r="J453" s="4" t="str">
        <f>IF(Table1[[#This Row],[processing_time_hours]]&gt;1.5,"Slow", "Fast")</f>
        <v>Slow</v>
      </c>
      <c r="K453" t="s">
        <v>2818</v>
      </c>
      <c r="L453" s="3">
        <v>0</v>
      </c>
      <c r="M453" t="str">
        <f>IF(Table1[[#This Row],[delayed]]=1,"Delayed","On Time")</f>
        <v>On Time</v>
      </c>
      <c r="N453" t="str">
        <f>IF(AND(Table1[[#This Row],[delayed]]=1,Table1[[#This Row],[weather_condition]]="Storm"),"High Risk", IF(Table1[[#This Row],[delayed]]=1,"Medium Risk","Low Risk"))</f>
        <v>Low Risk</v>
      </c>
    </row>
    <row r="454" spans="1:14" x14ac:dyDescent="0.35">
      <c r="A454">
        <v>453</v>
      </c>
      <c r="B454" s="1">
        <v>44945.833333333336</v>
      </c>
      <c r="C454" s="2">
        <v>5.1388888888888894E-2</v>
      </c>
      <c r="D454" s="3">
        <v>786</v>
      </c>
      <c r="E454" s="3">
        <v>185</v>
      </c>
      <c r="F454" s="2">
        <v>60.335416666666667</v>
      </c>
      <c r="G454" t="s">
        <v>2815</v>
      </c>
      <c r="H454" t="s">
        <v>2817</v>
      </c>
      <c r="I454" s="2">
        <v>1.75</v>
      </c>
      <c r="J454" s="4" t="str">
        <f>IF(Table1[[#This Row],[processing_time_hours]]&gt;1.5,"Slow", "Fast")</f>
        <v>Slow</v>
      </c>
      <c r="K454" t="s">
        <v>2814</v>
      </c>
      <c r="L454" s="3">
        <v>0</v>
      </c>
      <c r="M454" t="str">
        <f>IF(Table1[[#This Row],[delayed]]=1,"Delayed","On Time")</f>
        <v>On Time</v>
      </c>
      <c r="N454" t="str">
        <f>IF(AND(Table1[[#This Row],[delayed]]=1,Table1[[#This Row],[weather_condition]]="Storm"),"High Risk", IF(Table1[[#This Row],[delayed]]=1,"Medium Risk","Low Risk"))</f>
        <v>Low Risk</v>
      </c>
    </row>
    <row r="455" spans="1:14" x14ac:dyDescent="0.35">
      <c r="A455">
        <v>454</v>
      </c>
      <c r="B455" s="1">
        <v>44945.875</v>
      </c>
      <c r="C455" s="2">
        <v>4.7222222222222221E-2</v>
      </c>
      <c r="D455" s="3">
        <v>1062</v>
      </c>
      <c r="E455" s="3">
        <v>86</v>
      </c>
      <c r="F455" s="2">
        <v>6.8784722222222223</v>
      </c>
      <c r="G455" t="s">
        <v>2819</v>
      </c>
      <c r="H455" t="s">
        <v>2822</v>
      </c>
      <c r="I455" s="2">
        <v>1.8333333333333333</v>
      </c>
      <c r="J455" s="4" t="str">
        <f>IF(Table1[[#This Row],[processing_time_hours]]&gt;1.5,"Slow", "Fast")</f>
        <v>Slow</v>
      </c>
      <c r="K455" t="s">
        <v>2814</v>
      </c>
      <c r="L455" s="3">
        <v>1</v>
      </c>
      <c r="M455" t="str">
        <f>IF(Table1[[#This Row],[delayed]]=1,"Delayed","On Time")</f>
        <v>Delayed</v>
      </c>
      <c r="N455" t="str">
        <f>IF(AND(Table1[[#This Row],[delayed]]=1,Table1[[#This Row],[weather_condition]]="Storm"),"High Risk", IF(Table1[[#This Row],[delayed]]=1,"Medium Risk","Low Risk"))</f>
        <v>Medium Risk</v>
      </c>
    </row>
    <row r="456" spans="1:14" x14ac:dyDescent="0.35">
      <c r="A456">
        <v>455</v>
      </c>
      <c r="B456" s="1">
        <v>44945.916666666664</v>
      </c>
      <c r="C456" s="2">
        <v>6.5277777777777782E-2</v>
      </c>
      <c r="D456" s="3">
        <v>4788</v>
      </c>
      <c r="E456" s="3">
        <v>171</v>
      </c>
      <c r="F456" s="2">
        <v>17.419444444444444</v>
      </c>
      <c r="G456" t="s">
        <v>2819</v>
      </c>
      <c r="H456" t="s">
        <v>2817</v>
      </c>
      <c r="I456" s="2">
        <v>2.8763888888888887</v>
      </c>
      <c r="J456" s="4" t="str">
        <f>IF(Table1[[#This Row],[processing_time_hours]]&gt;1.5,"Slow", "Fast")</f>
        <v>Slow</v>
      </c>
      <c r="K456" t="s">
        <v>2818</v>
      </c>
      <c r="L456" s="3">
        <v>1</v>
      </c>
      <c r="M456" t="str">
        <f>IF(Table1[[#This Row],[delayed]]=1,"Delayed","On Time")</f>
        <v>Delayed</v>
      </c>
      <c r="N456" t="str">
        <f>IF(AND(Table1[[#This Row],[delayed]]=1,Table1[[#This Row],[weather_condition]]="Storm"),"High Risk", IF(Table1[[#This Row],[delayed]]=1,"Medium Risk","Low Risk"))</f>
        <v>High Risk</v>
      </c>
    </row>
    <row r="457" spans="1:14" x14ac:dyDescent="0.35">
      <c r="A457">
        <v>456</v>
      </c>
      <c r="B457" s="1">
        <v>44945.958333333336</v>
      </c>
      <c r="C457" s="2">
        <v>6.1111111111111109E-2</v>
      </c>
      <c r="D457" s="3">
        <v>3924</v>
      </c>
      <c r="E457" s="3">
        <v>487</v>
      </c>
      <c r="F457" s="2">
        <v>11.668750000000001</v>
      </c>
      <c r="G457" t="s">
        <v>2819</v>
      </c>
      <c r="H457" t="s">
        <v>2813</v>
      </c>
      <c r="I457" s="2">
        <v>0.54305555555555551</v>
      </c>
      <c r="J457" s="4" t="str">
        <f>IF(Table1[[#This Row],[processing_time_hours]]&gt;1.5,"Slow", "Fast")</f>
        <v>Fast</v>
      </c>
      <c r="K457" t="s">
        <v>2818</v>
      </c>
      <c r="L457" s="3">
        <v>0</v>
      </c>
      <c r="M457" t="str">
        <f>IF(Table1[[#This Row],[delayed]]=1,"Delayed","On Time")</f>
        <v>On Time</v>
      </c>
      <c r="N457" t="str">
        <f>IF(AND(Table1[[#This Row],[delayed]]=1,Table1[[#This Row],[weather_condition]]="Storm"),"High Risk", IF(Table1[[#This Row],[delayed]]=1,"Medium Risk","Low Risk"))</f>
        <v>Low Risk</v>
      </c>
    </row>
    <row r="458" spans="1:14" x14ac:dyDescent="0.35">
      <c r="A458">
        <v>457</v>
      </c>
      <c r="B458" s="1">
        <v>44946</v>
      </c>
      <c r="C458" s="2">
        <v>5.2777777777777778E-2</v>
      </c>
      <c r="D458" s="3">
        <v>1069</v>
      </c>
      <c r="E458" s="3">
        <v>47</v>
      </c>
      <c r="F458" s="2">
        <v>19.667361111111109</v>
      </c>
      <c r="G458" t="s">
        <v>2815</v>
      </c>
      <c r="H458" t="s">
        <v>2822</v>
      </c>
      <c r="I458" s="2">
        <v>1.3763888888888889</v>
      </c>
      <c r="J458" s="4" t="str">
        <f>IF(Table1[[#This Row],[processing_time_hours]]&gt;1.5,"Slow", "Fast")</f>
        <v>Fast</v>
      </c>
      <c r="K458" t="s">
        <v>2821</v>
      </c>
      <c r="L458" s="3">
        <v>0</v>
      </c>
      <c r="M458" t="str">
        <f>IF(Table1[[#This Row],[delayed]]=1,"Delayed","On Time")</f>
        <v>On Time</v>
      </c>
      <c r="N458" t="str">
        <f>IF(AND(Table1[[#This Row],[delayed]]=1,Table1[[#This Row],[weather_condition]]="Storm"),"High Risk", IF(Table1[[#This Row],[delayed]]=1,"Medium Risk","Low Risk"))</f>
        <v>Low Risk</v>
      </c>
    </row>
    <row r="459" spans="1:14" x14ac:dyDescent="0.35">
      <c r="A459">
        <v>458</v>
      </c>
      <c r="B459" s="1">
        <v>44946.041666666664</v>
      </c>
      <c r="C459" s="2">
        <v>6.1111111111111109E-2</v>
      </c>
      <c r="D459" s="3">
        <v>312</v>
      </c>
      <c r="E459" s="3">
        <v>413</v>
      </c>
      <c r="F459" s="2">
        <v>58.75555555555556</v>
      </c>
      <c r="G459" t="s">
        <v>2816</v>
      </c>
      <c r="H459" t="s">
        <v>2822</v>
      </c>
      <c r="I459" s="2">
        <v>1.5840277777777778</v>
      </c>
      <c r="J459" s="4" t="str">
        <f>IF(Table1[[#This Row],[processing_time_hours]]&gt;1.5,"Slow", "Fast")</f>
        <v>Slow</v>
      </c>
      <c r="K459" t="s">
        <v>2814</v>
      </c>
      <c r="L459" s="3">
        <v>0</v>
      </c>
      <c r="M459" t="str">
        <f>IF(Table1[[#This Row],[delayed]]=1,"Delayed","On Time")</f>
        <v>On Time</v>
      </c>
      <c r="N459" t="str">
        <f>IF(AND(Table1[[#This Row],[delayed]]=1,Table1[[#This Row],[weather_condition]]="Storm"),"High Risk", IF(Table1[[#This Row],[delayed]]=1,"Medium Risk","Low Risk"))</f>
        <v>Low Risk</v>
      </c>
    </row>
    <row r="460" spans="1:14" x14ac:dyDescent="0.35">
      <c r="A460">
        <v>459</v>
      </c>
      <c r="B460" s="1">
        <v>44946.083333333336</v>
      </c>
      <c r="C460" s="2">
        <v>5.6250000000000001E-2</v>
      </c>
      <c r="D460" s="3">
        <v>1938</v>
      </c>
      <c r="E460" s="3">
        <v>419</v>
      </c>
      <c r="F460" s="2">
        <v>14.959027777777777</v>
      </c>
      <c r="G460" t="s">
        <v>2819</v>
      </c>
      <c r="H460" t="s">
        <v>2820</v>
      </c>
      <c r="I460" s="2">
        <v>2.5854166666666667</v>
      </c>
      <c r="J460" s="4" t="str">
        <f>IF(Table1[[#This Row],[processing_time_hours]]&gt;1.5,"Slow", "Fast")</f>
        <v>Slow</v>
      </c>
      <c r="K460" t="s">
        <v>2818</v>
      </c>
      <c r="L460" s="3">
        <v>0</v>
      </c>
      <c r="M460" t="str">
        <f>IF(Table1[[#This Row],[delayed]]=1,"Delayed","On Time")</f>
        <v>On Time</v>
      </c>
      <c r="N460" t="str">
        <f>IF(AND(Table1[[#This Row],[delayed]]=1,Table1[[#This Row],[weather_condition]]="Storm"),"High Risk", IF(Table1[[#This Row],[delayed]]=1,"Medium Risk","Low Risk"))</f>
        <v>Low Risk</v>
      </c>
    </row>
    <row r="461" spans="1:14" x14ac:dyDescent="0.35">
      <c r="A461">
        <v>460</v>
      </c>
      <c r="B461" s="1">
        <v>44946.125</v>
      </c>
      <c r="C461" s="2">
        <v>5.6250000000000001E-2</v>
      </c>
      <c r="D461" s="3">
        <v>2876</v>
      </c>
      <c r="E461" s="3">
        <v>15</v>
      </c>
      <c r="F461" s="2">
        <v>62.047916666666673</v>
      </c>
      <c r="G461" t="s">
        <v>2819</v>
      </c>
      <c r="H461" t="s">
        <v>2817</v>
      </c>
      <c r="I461" s="2">
        <v>8.7500000000000008E-2</v>
      </c>
      <c r="J461" s="4" t="str">
        <f>IF(Table1[[#This Row],[processing_time_hours]]&gt;1.5,"Slow", "Fast")</f>
        <v>Fast</v>
      </c>
      <c r="K461" t="s">
        <v>2818</v>
      </c>
      <c r="L461" s="3">
        <v>0</v>
      </c>
      <c r="M461" t="str">
        <f>IF(Table1[[#This Row],[delayed]]=1,"Delayed","On Time")</f>
        <v>On Time</v>
      </c>
      <c r="N461" t="str">
        <f>IF(AND(Table1[[#This Row],[delayed]]=1,Table1[[#This Row],[weather_condition]]="Storm"),"High Risk", IF(Table1[[#This Row],[delayed]]=1,"Medium Risk","Low Risk"))</f>
        <v>Low Risk</v>
      </c>
    </row>
    <row r="462" spans="1:14" x14ac:dyDescent="0.35">
      <c r="A462">
        <v>461</v>
      </c>
      <c r="B462" s="1">
        <v>44946.166666666664</v>
      </c>
      <c r="C462" s="2">
        <v>5.2083333333333336E-2</v>
      </c>
      <c r="D462" s="3">
        <v>2353</v>
      </c>
      <c r="E462" s="3">
        <v>394</v>
      </c>
      <c r="F462" s="2">
        <v>39.96458333333333</v>
      </c>
      <c r="G462" t="s">
        <v>2816</v>
      </c>
      <c r="H462" t="s">
        <v>2817</v>
      </c>
      <c r="I462" s="2">
        <v>2.8368055555555554</v>
      </c>
      <c r="J462" s="4" t="str">
        <f>IF(Table1[[#This Row],[processing_time_hours]]&gt;1.5,"Slow", "Fast")</f>
        <v>Slow</v>
      </c>
      <c r="K462" t="s">
        <v>2818</v>
      </c>
      <c r="L462" s="3">
        <v>1</v>
      </c>
      <c r="M462" t="str">
        <f>IF(Table1[[#This Row],[delayed]]=1,"Delayed","On Time")</f>
        <v>Delayed</v>
      </c>
      <c r="N462" t="str">
        <f>IF(AND(Table1[[#This Row],[delayed]]=1,Table1[[#This Row],[weather_condition]]="Storm"),"High Risk", IF(Table1[[#This Row],[delayed]]=1,"Medium Risk","Low Risk"))</f>
        <v>High Risk</v>
      </c>
    </row>
    <row r="463" spans="1:14" x14ac:dyDescent="0.35">
      <c r="A463">
        <v>462</v>
      </c>
      <c r="B463" s="1">
        <v>44946.208333333336</v>
      </c>
      <c r="C463" s="2">
        <v>5.5555555555555558E-3</v>
      </c>
      <c r="D463" s="3">
        <v>1224</v>
      </c>
      <c r="E463" s="3">
        <v>168</v>
      </c>
      <c r="F463" s="2">
        <v>60.964583333333337</v>
      </c>
      <c r="G463" t="s">
        <v>2816</v>
      </c>
      <c r="H463" t="s">
        <v>2822</v>
      </c>
      <c r="I463" s="2">
        <v>1.41875</v>
      </c>
      <c r="J463" s="4" t="str">
        <f>IF(Table1[[#This Row],[processing_time_hours]]&gt;1.5,"Slow", "Fast")</f>
        <v>Fast</v>
      </c>
      <c r="K463" t="s">
        <v>2821</v>
      </c>
      <c r="L463" s="3">
        <v>0</v>
      </c>
      <c r="M463" t="str">
        <f>IF(Table1[[#This Row],[delayed]]=1,"Delayed","On Time")</f>
        <v>On Time</v>
      </c>
      <c r="N463" t="str">
        <f>IF(AND(Table1[[#This Row],[delayed]]=1,Table1[[#This Row],[weather_condition]]="Storm"),"High Risk", IF(Table1[[#This Row],[delayed]]=1,"Medium Risk","Low Risk"))</f>
        <v>Low Risk</v>
      </c>
    </row>
    <row r="464" spans="1:14" x14ac:dyDescent="0.35">
      <c r="A464">
        <v>463</v>
      </c>
      <c r="B464" s="1">
        <v>44946.25</v>
      </c>
      <c r="C464" s="2">
        <v>6.8749999999999992E-2</v>
      </c>
      <c r="D464" s="3">
        <v>817</v>
      </c>
      <c r="E464" s="3">
        <v>123</v>
      </c>
      <c r="F464" s="2">
        <v>42.918055555555554</v>
      </c>
      <c r="G464" t="s">
        <v>2815</v>
      </c>
      <c r="H464" t="s">
        <v>2822</v>
      </c>
      <c r="I464" s="2">
        <v>0.75555555555555554</v>
      </c>
      <c r="J464" s="4" t="str">
        <f>IF(Table1[[#This Row],[processing_time_hours]]&gt;1.5,"Slow", "Fast")</f>
        <v>Fast</v>
      </c>
      <c r="K464" t="s">
        <v>2814</v>
      </c>
      <c r="L464" s="3">
        <v>0</v>
      </c>
      <c r="M464" t="str">
        <f>IF(Table1[[#This Row],[delayed]]=1,"Delayed","On Time")</f>
        <v>On Time</v>
      </c>
      <c r="N464" t="str">
        <f>IF(AND(Table1[[#This Row],[delayed]]=1,Table1[[#This Row],[weather_condition]]="Storm"),"High Risk", IF(Table1[[#This Row],[delayed]]=1,"Medium Risk","Low Risk"))</f>
        <v>Low Risk</v>
      </c>
    </row>
    <row r="465" spans="1:14" x14ac:dyDescent="0.35">
      <c r="A465">
        <v>464</v>
      </c>
      <c r="B465" s="1">
        <v>44946.291666666664</v>
      </c>
      <c r="C465" s="2">
        <v>6.3194444444444442E-2</v>
      </c>
      <c r="D465" s="3">
        <v>289</v>
      </c>
      <c r="E465" s="3">
        <v>66</v>
      </c>
      <c r="F465" s="2">
        <v>33.713888888888889</v>
      </c>
      <c r="G465" t="s">
        <v>2816</v>
      </c>
      <c r="H465" t="s">
        <v>2822</v>
      </c>
      <c r="I465" s="2">
        <v>1.7083333333333333</v>
      </c>
      <c r="J465" s="4" t="str">
        <f>IF(Table1[[#This Row],[processing_time_hours]]&gt;1.5,"Slow", "Fast")</f>
        <v>Slow</v>
      </c>
      <c r="K465" t="s">
        <v>2814</v>
      </c>
      <c r="L465" s="3">
        <v>0</v>
      </c>
      <c r="M465" t="str">
        <f>IF(Table1[[#This Row],[delayed]]=1,"Delayed","On Time")</f>
        <v>On Time</v>
      </c>
      <c r="N465" t="str">
        <f>IF(AND(Table1[[#This Row],[delayed]]=1,Table1[[#This Row],[weather_condition]]="Storm"),"High Risk", IF(Table1[[#This Row],[delayed]]=1,"Medium Risk","Low Risk"))</f>
        <v>Low Risk</v>
      </c>
    </row>
    <row r="466" spans="1:14" x14ac:dyDescent="0.35">
      <c r="A466">
        <v>465</v>
      </c>
      <c r="B466" s="1">
        <v>44946.333333333336</v>
      </c>
      <c r="C466" s="2">
        <v>6.458333333333334E-2</v>
      </c>
      <c r="D466" s="3">
        <v>1174</v>
      </c>
      <c r="E466" s="3">
        <v>189</v>
      </c>
      <c r="F466" s="2">
        <v>79.251388888888883</v>
      </c>
      <c r="G466" t="s">
        <v>2812</v>
      </c>
      <c r="H466" t="s">
        <v>2813</v>
      </c>
      <c r="I466" s="2">
        <v>1.1298611111111112</v>
      </c>
      <c r="J466" s="4" t="str">
        <f>IF(Table1[[#This Row],[processing_time_hours]]&gt;1.5,"Slow", "Fast")</f>
        <v>Fast</v>
      </c>
      <c r="K466" t="s">
        <v>2818</v>
      </c>
      <c r="L466" s="3">
        <v>0</v>
      </c>
      <c r="M466" t="str">
        <f>IF(Table1[[#This Row],[delayed]]=1,"Delayed","On Time")</f>
        <v>On Time</v>
      </c>
      <c r="N466" t="str">
        <f>IF(AND(Table1[[#This Row],[delayed]]=1,Table1[[#This Row],[weather_condition]]="Storm"),"High Risk", IF(Table1[[#This Row],[delayed]]=1,"Medium Risk","Low Risk"))</f>
        <v>Low Risk</v>
      </c>
    </row>
    <row r="467" spans="1:14" x14ac:dyDescent="0.35">
      <c r="A467">
        <v>466</v>
      </c>
      <c r="B467" s="1">
        <v>44946.375</v>
      </c>
      <c r="C467" s="2">
        <v>4.5138888888888888E-2</v>
      </c>
      <c r="D467" s="3">
        <v>4057</v>
      </c>
      <c r="E467" s="3">
        <v>448</v>
      </c>
      <c r="F467" s="2">
        <v>61.545138888888886</v>
      </c>
      <c r="G467" t="s">
        <v>2819</v>
      </c>
      <c r="H467" t="s">
        <v>2822</v>
      </c>
      <c r="I467" s="2">
        <v>2.2958333333333334</v>
      </c>
      <c r="J467" s="4" t="str">
        <f>IF(Table1[[#This Row],[processing_time_hours]]&gt;1.5,"Slow", "Fast")</f>
        <v>Slow</v>
      </c>
      <c r="K467" t="s">
        <v>2814</v>
      </c>
      <c r="L467" s="3">
        <v>1</v>
      </c>
      <c r="M467" t="str">
        <f>IF(Table1[[#This Row],[delayed]]=1,"Delayed","On Time")</f>
        <v>Delayed</v>
      </c>
      <c r="N467" t="str">
        <f>IF(AND(Table1[[#This Row],[delayed]]=1,Table1[[#This Row],[weather_condition]]="Storm"),"High Risk", IF(Table1[[#This Row],[delayed]]=1,"Medium Risk","Low Risk"))</f>
        <v>Medium Risk</v>
      </c>
    </row>
    <row r="468" spans="1:14" x14ac:dyDescent="0.35">
      <c r="A468">
        <v>467</v>
      </c>
      <c r="B468" s="1">
        <v>44946.416666666664</v>
      </c>
      <c r="C468" s="2">
        <v>5.5555555555555558E-3</v>
      </c>
      <c r="D468" s="3">
        <v>3506</v>
      </c>
      <c r="E468" s="3">
        <v>410</v>
      </c>
      <c r="F468" s="2">
        <v>67.87777777777778</v>
      </c>
      <c r="G468" t="s">
        <v>2815</v>
      </c>
      <c r="H468" t="s">
        <v>2817</v>
      </c>
      <c r="I468" s="2">
        <v>1.0048611111111112</v>
      </c>
      <c r="J468" s="4" t="str">
        <f>IF(Table1[[#This Row],[processing_time_hours]]&gt;1.5,"Slow", "Fast")</f>
        <v>Fast</v>
      </c>
      <c r="K468" t="s">
        <v>2821</v>
      </c>
      <c r="L468" s="3">
        <v>1</v>
      </c>
      <c r="M468" t="str">
        <f>IF(Table1[[#This Row],[delayed]]=1,"Delayed","On Time")</f>
        <v>Delayed</v>
      </c>
      <c r="N468" t="str">
        <f>IF(AND(Table1[[#This Row],[delayed]]=1,Table1[[#This Row],[weather_condition]]="Storm"),"High Risk", IF(Table1[[#This Row],[delayed]]=1,"Medium Risk","Low Risk"))</f>
        <v>High Risk</v>
      </c>
    </row>
    <row r="469" spans="1:14" x14ac:dyDescent="0.35">
      <c r="A469">
        <v>468</v>
      </c>
      <c r="B469" s="1">
        <v>44946.458333333336</v>
      </c>
      <c r="C469" s="2">
        <v>5.2083333333333336E-2</v>
      </c>
      <c r="D469" s="3">
        <v>3965</v>
      </c>
      <c r="E469" s="3">
        <v>10</v>
      </c>
      <c r="F469" s="2">
        <v>41.669444444444444</v>
      </c>
      <c r="G469" t="s">
        <v>2816</v>
      </c>
      <c r="H469" t="s">
        <v>2822</v>
      </c>
      <c r="I469" s="2">
        <v>2.4180555555555556</v>
      </c>
      <c r="J469" s="4" t="str">
        <f>IF(Table1[[#This Row],[processing_time_hours]]&gt;1.5,"Slow", "Fast")</f>
        <v>Slow</v>
      </c>
      <c r="K469" t="s">
        <v>2818</v>
      </c>
      <c r="L469" s="3">
        <v>0</v>
      </c>
      <c r="M469" t="str">
        <f>IF(Table1[[#This Row],[delayed]]=1,"Delayed","On Time")</f>
        <v>On Time</v>
      </c>
      <c r="N469" t="str">
        <f>IF(AND(Table1[[#This Row],[delayed]]=1,Table1[[#This Row],[weather_condition]]="Storm"),"High Risk", IF(Table1[[#This Row],[delayed]]=1,"Medium Risk","Low Risk"))</f>
        <v>Low Risk</v>
      </c>
    </row>
    <row r="470" spans="1:14" x14ac:dyDescent="0.35">
      <c r="A470">
        <v>469</v>
      </c>
      <c r="B470" s="1">
        <v>44946.5</v>
      </c>
      <c r="C470" s="2">
        <v>4.4444444444444446E-2</v>
      </c>
      <c r="D470" s="3">
        <v>3881</v>
      </c>
      <c r="E470" s="3">
        <v>441</v>
      </c>
      <c r="F470" s="2">
        <v>4.6312500000000005</v>
      </c>
      <c r="G470" t="s">
        <v>2815</v>
      </c>
      <c r="H470" t="s">
        <v>2813</v>
      </c>
      <c r="I470" s="2">
        <v>0.62916666666666665</v>
      </c>
      <c r="J470" s="4" t="str">
        <f>IF(Table1[[#This Row],[processing_time_hours]]&gt;1.5,"Slow", "Fast")</f>
        <v>Fast</v>
      </c>
      <c r="K470" t="s">
        <v>2818</v>
      </c>
      <c r="L470" s="3">
        <v>0</v>
      </c>
      <c r="M470" t="str">
        <f>IF(Table1[[#This Row],[delayed]]=1,"Delayed","On Time")</f>
        <v>On Time</v>
      </c>
      <c r="N470" t="str">
        <f>IF(AND(Table1[[#This Row],[delayed]]=1,Table1[[#This Row],[weather_condition]]="Storm"),"High Risk", IF(Table1[[#This Row],[delayed]]=1,"Medium Risk","Low Risk"))</f>
        <v>Low Risk</v>
      </c>
    </row>
    <row r="471" spans="1:14" x14ac:dyDescent="0.35">
      <c r="A471">
        <v>470</v>
      </c>
      <c r="B471" s="1">
        <v>44946.541666666664</v>
      </c>
      <c r="C471" s="2">
        <v>5.2777777777777778E-2</v>
      </c>
      <c r="D471" s="3">
        <v>3608</v>
      </c>
      <c r="E471" s="3">
        <v>387</v>
      </c>
      <c r="F471" s="2">
        <v>47.419444444444444</v>
      </c>
      <c r="G471" t="s">
        <v>2812</v>
      </c>
      <c r="H471" t="s">
        <v>2822</v>
      </c>
      <c r="I471" s="2">
        <v>1.2513888888888889</v>
      </c>
      <c r="J471" s="4" t="str">
        <f>IF(Table1[[#This Row],[processing_time_hours]]&gt;1.5,"Slow", "Fast")</f>
        <v>Fast</v>
      </c>
      <c r="K471" t="s">
        <v>2814</v>
      </c>
      <c r="L471" s="3">
        <v>0</v>
      </c>
      <c r="M471" t="str">
        <f>IF(Table1[[#This Row],[delayed]]=1,"Delayed","On Time")</f>
        <v>On Time</v>
      </c>
      <c r="N471" t="str">
        <f>IF(AND(Table1[[#This Row],[delayed]]=1,Table1[[#This Row],[weather_condition]]="Storm"),"High Risk", IF(Table1[[#This Row],[delayed]]=1,"Medium Risk","Low Risk"))</f>
        <v>Low Risk</v>
      </c>
    </row>
    <row r="472" spans="1:14" x14ac:dyDescent="0.35">
      <c r="A472">
        <v>471</v>
      </c>
      <c r="B472" s="1">
        <v>44946.583333333336</v>
      </c>
      <c r="C472" s="2">
        <v>4.3750000000000004E-2</v>
      </c>
      <c r="D472" s="3">
        <v>596</v>
      </c>
      <c r="E472" s="3">
        <v>308</v>
      </c>
      <c r="F472" s="2">
        <v>46.88055555555556</v>
      </c>
      <c r="G472" t="s">
        <v>2819</v>
      </c>
      <c r="H472" t="s">
        <v>2820</v>
      </c>
      <c r="I472" s="2">
        <v>2.5854166666666667</v>
      </c>
      <c r="J472" s="4" t="str">
        <f>IF(Table1[[#This Row],[processing_time_hours]]&gt;1.5,"Slow", "Fast")</f>
        <v>Slow</v>
      </c>
      <c r="K472" t="s">
        <v>2818</v>
      </c>
      <c r="L472" s="3">
        <v>0</v>
      </c>
      <c r="M472" t="str">
        <f>IF(Table1[[#This Row],[delayed]]=1,"Delayed","On Time")</f>
        <v>On Time</v>
      </c>
      <c r="N472" t="str">
        <f>IF(AND(Table1[[#This Row],[delayed]]=1,Table1[[#This Row],[weather_condition]]="Storm"),"High Risk", IF(Table1[[#This Row],[delayed]]=1,"Medium Risk","Low Risk"))</f>
        <v>Low Risk</v>
      </c>
    </row>
    <row r="473" spans="1:14" x14ac:dyDescent="0.35">
      <c r="A473">
        <v>472</v>
      </c>
      <c r="B473" s="1">
        <v>44946.625</v>
      </c>
      <c r="C473" s="2">
        <v>4.7916666666666663E-2</v>
      </c>
      <c r="D473" s="3">
        <v>2406</v>
      </c>
      <c r="E473" s="3">
        <v>451</v>
      </c>
      <c r="F473" s="2">
        <v>72.546527777777769</v>
      </c>
      <c r="G473" t="s">
        <v>2819</v>
      </c>
      <c r="H473" t="s">
        <v>2822</v>
      </c>
      <c r="I473" s="2">
        <v>1.8395833333333333</v>
      </c>
      <c r="J473" s="4" t="str">
        <f>IF(Table1[[#This Row],[processing_time_hours]]&gt;1.5,"Slow", "Fast")</f>
        <v>Slow</v>
      </c>
      <c r="K473" t="s">
        <v>2818</v>
      </c>
      <c r="L473" s="3">
        <v>0</v>
      </c>
      <c r="M473" t="str">
        <f>IF(Table1[[#This Row],[delayed]]=1,"Delayed","On Time")</f>
        <v>On Time</v>
      </c>
      <c r="N473" t="str">
        <f>IF(AND(Table1[[#This Row],[delayed]]=1,Table1[[#This Row],[weather_condition]]="Storm"),"High Risk", IF(Table1[[#This Row],[delayed]]=1,"Medium Risk","Low Risk"))</f>
        <v>Low Risk</v>
      </c>
    </row>
    <row r="474" spans="1:14" x14ac:dyDescent="0.35">
      <c r="A474">
        <v>473</v>
      </c>
      <c r="B474" s="1">
        <v>44946.666666666664</v>
      </c>
      <c r="C474" s="2">
        <v>6.3888888888888898E-2</v>
      </c>
      <c r="D474" s="3">
        <v>4831</v>
      </c>
      <c r="E474" s="3">
        <v>224</v>
      </c>
      <c r="F474" s="2">
        <v>55.796527777777776</v>
      </c>
      <c r="G474" t="s">
        <v>2815</v>
      </c>
      <c r="H474" t="s">
        <v>2813</v>
      </c>
      <c r="I474" s="2">
        <v>1.7944444444444445</v>
      </c>
      <c r="J474" s="4" t="str">
        <f>IF(Table1[[#This Row],[processing_time_hours]]&gt;1.5,"Slow", "Fast")</f>
        <v>Slow</v>
      </c>
      <c r="K474" t="s">
        <v>2814</v>
      </c>
      <c r="L474" s="3">
        <v>0</v>
      </c>
      <c r="M474" t="str">
        <f>IF(Table1[[#This Row],[delayed]]=1,"Delayed","On Time")</f>
        <v>On Time</v>
      </c>
      <c r="N474" t="str">
        <f>IF(AND(Table1[[#This Row],[delayed]]=1,Table1[[#This Row],[weather_condition]]="Storm"),"High Risk", IF(Table1[[#This Row],[delayed]]=1,"Medium Risk","Low Risk"))</f>
        <v>Low Risk</v>
      </c>
    </row>
    <row r="475" spans="1:14" x14ac:dyDescent="0.35">
      <c r="A475">
        <v>474</v>
      </c>
      <c r="B475" s="1">
        <v>44946.708333333336</v>
      </c>
      <c r="C475" s="2">
        <v>6.0416666666666667E-2</v>
      </c>
      <c r="D475" s="3">
        <v>4950</v>
      </c>
      <c r="E475" s="3">
        <v>298</v>
      </c>
      <c r="F475" s="2">
        <v>1.6694444444444445</v>
      </c>
      <c r="G475" t="s">
        <v>2812</v>
      </c>
      <c r="H475" t="s">
        <v>2820</v>
      </c>
      <c r="I475" s="2">
        <v>1.4597222222222221</v>
      </c>
      <c r="J475" s="4" t="str">
        <f>IF(Table1[[#This Row],[processing_time_hours]]&gt;1.5,"Slow", "Fast")</f>
        <v>Fast</v>
      </c>
      <c r="K475" t="s">
        <v>2814</v>
      </c>
      <c r="L475" s="3">
        <v>0</v>
      </c>
      <c r="M475" t="str">
        <f>IF(Table1[[#This Row],[delayed]]=1,"Delayed","On Time")</f>
        <v>On Time</v>
      </c>
      <c r="N475" t="str">
        <f>IF(AND(Table1[[#This Row],[delayed]]=1,Table1[[#This Row],[weather_condition]]="Storm"),"High Risk", IF(Table1[[#This Row],[delayed]]=1,"Medium Risk","Low Risk"))</f>
        <v>Low Risk</v>
      </c>
    </row>
    <row r="476" spans="1:14" x14ac:dyDescent="0.35">
      <c r="A476">
        <v>475</v>
      </c>
      <c r="B476" s="1">
        <v>44946.75</v>
      </c>
      <c r="C476" s="2">
        <v>6.1111111111111109E-2</v>
      </c>
      <c r="D476" s="3">
        <v>3834</v>
      </c>
      <c r="E476" s="3">
        <v>445</v>
      </c>
      <c r="F476" s="2">
        <v>22.336111111111112</v>
      </c>
      <c r="G476" t="s">
        <v>2816</v>
      </c>
      <c r="H476" t="s">
        <v>2817</v>
      </c>
      <c r="I476" s="2">
        <v>2.4604166666666667</v>
      </c>
      <c r="J476" s="4" t="str">
        <f>IF(Table1[[#This Row],[processing_time_hours]]&gt;1.5,"Slow", "Fast")</f>
        <v>Slow</v>
      </c>
      <c r="K476" t="s">
        <v>2814</v>
      </c>
      <c r="L476" s="3">
        <v>0</v>
      </c>
      <c r="M476" t="str">
        <f>IF(Table1[[#This Row],[delayed]]=1,"Delayed","On Time")</f>
        <v>On Time</v>
      </c>
      <c r="N476" t="str">
        <f>IF(AND(Table1[[#This Row],[delayed]]=1,Table1[[#This Row],[weather_condition]]="Storm"),"High Risk", IF(Table1[[#This Row],[delayed]]=1,"Medium Risk","Low Risk"))</f>
        <v>Low Risk</v>
      </c>
    </row>
    <row r="477" spans="1:14" x14ac:dyDescent="0.35">
      <c r="A477">
        <v>476</v>
      </c>
      <c r="B477" s="1">
        <v>44946.791666666664</v>
      </c>
      <c r="C477" s="2">
        <v>4.3750000000000004E-2</v>
      </c>
      <c r="D477" s="3">
        <v>3369</v>
      </c>
      <c r="E477" s="3">
        <v>136</v>
      </c>
      <c r="F477" s="2">
        <v>63.167361111111113</v>
      </c>
      <c r="G477" t="s">
        <v>2816</v>
      </c>
      <c r="H477" t="s">
        <v>2813</v>
      </c>
      <c r="I477" s="2">
        <v>1.502777777777778</v>
      </c>
      <c r="J477" s="4" t="str">
        <f>IF(Table1[[#This Row],[processing_time_hours]]&gt;1.5,"Slow", "Fast")</f>
        <v>Slow</v>
      </c>
      <c r="K477" t="s">
        <v>2818</v>
      </c>
      <c r="L477" s="3">
        <v>1</v>
      </c>
      <c r="M477" t="str">
        <f>IF(Table1[[#This Row],[delayed]]=1,"Delayed","On Time")</f>
        <v>Delayed</v>
      </c>
      <c r="N477" t="str">
        <f>IF(AND(Table1[[#This Row],[delayed]]=1,Table1[[#This Row],[weather_condition]]="Storm"),"High Risk", IF(Table1[[#This Row],[delayed]]=1,"Medium Risk","Low Risk"))</f>
        <v>Medium Risk</v>
      </c>
    </row>
    <row r="478" spans="1:14" x14ac:dyDescent="0.35">
      <c r="A478">
        <v>477</v>
      </c>
      <c r="B478" s="1">
        <v>44946.833333333336</v>
      </c>
      <c r="C478" s="2">
        <v>4.6527777777777779E-2</v>
      </c>
      <c r="D478" s="3">
        <v>2793</v>
      </c>
      <c r="E478" s="3">
        <v>199</v>
      </c>
      <c r="F478" s="2">
        <v>42.336805555555557</v>
      </c>
      <c r="G478" t="s">
        <v>2819</v>
      </c>
      <c r="H478" t="s">
        <v>2822</v>
      </c>
      <c r="I478" s="2">
        <v>2.4624999999999999</v>
      </c>
      <c r="J478" s="4" t="str">
        <f>IF(Table1[[#This Row],[processing_time_hours]]&gt;1.5,"Slow", "Fast")</f>
        <v>Slow</v>
      </c>
      <c r="K478" t="s">
        <v>2821</v>
      </c>
      <c r="L478" s="3">
        <v>0</v>
      </c>
      <c r="M478" t="str">
        <f>IF(Table1[[#This Row],[delayed]]=1,"Delayed","On Time")</f>
        <v>On Time</v>
      </c>
      <c r="N478" t="str">
        <f>IF(AND(Table1[[#This Row],[delayed]]=1,Table1[[#This Row],[weather_condition]]="Storm"),"High Risk", IF(Table1[[#This Row],[delayed]]=1,"Medium Risk","Low Risk"))</f>
        <v>Low Risk</v>
      </c>
    </row>
    <row r="479" spans="1:14" x14ac:dyDescent="0.35">
      <c r="A479">
        <v>478</v>
      </c>
      <c r="B479" s="1">
        <v>44946.875</v>
      </c>
      <c r="C479" s="2">
        <v>4.2361111111111106E-2</v>
      </c>
      <c r="D479" s="3">
        <v>2988</v>
      </c>
      <c r="E479" s="3">
        <v>406</v>
      </c>
      <c r="F479" s="2">
        <v>59.210416666666667</v>
      </c>
      <c r="G479" t="s">
        <v>2812</v>
      </c>
      <c r="H479" t="s">
        <v>2820</v>
      </c>
      <c r="I479" s="2">
        <v>1.8361111111111112</v>
      </c>
      <c r="J479" s="4" t="str">
        <f>IF(Table1[[#This Row],[processing_time_hours]]&gt;1.5,"Slow", "Fast")</f>
        <v>Slow</v>
      </c>
      <c r="K479" t="s">
        <v>2818</v>
      </c>
      <c r="L479" s="3">
        <v>1</v>
      </c>
      <c r="M479" t="str">
        <f>IF(Table1[[#This Row],[delayed]]=1,"Delayed","On Time")</f>
        <v>Delayed</v>
      </c>
      <c r="N479" t="str">
        <f>IF(AND(Table1[[#This Row],[delayed]]=1,Table1[[#This Row],[weather_condition]]="Storm"),"High Risk", IF(Table1[[#This Row],[delayed]]=1,"Medium Risk","Low Risk"))</f>
        <v>Medium Risk</v>
      </c>
    </row>
    <row r="480" spans="1:14" x14ac:dyDescent="0.35">
      <c r="A480">
        <v>479</v>
      </c>
      <c r="B480" s="1">
        <v>44946.916666666664</v>
      </c>
      <c r="C480" s="2">
        <v>4.4444444444444446E-2</v>
      </c>
      <c r="D480" s="3">
        <v>4969</v>
      </c>
      <c r="E480" s="3">
        <v>200</v>
      </c>
      <c r="F480" s="2">
        <v>44.920833333333327</v>
      </c>
      <c r="G480" t="s">
        <v>2815</v>
      </c>
      <c r="H480" t="s">
        <v>2822</v>
      </c>
      <c r="I480" s="2">
        <v>2.7951388888888888</v>
      </c>
      <c r="J480" s="4" t="str">
        <f>IF(Table1[[#This Row],[processing_time_hours]]&gt;1.5,"Slow", "Fast")</f>
        <v>Slow</v>
      </c>
      <c r="K480" t="s">
        <v>2818</v>
      </c>
      <c r="L480" s="3">
        <v>0</v>
      </c>
      <c r="M480" t="str">
        <f>IF(Table1[[#This Row],[delayed]]=1,"Delayed","On Time")</f>
        <v>On Time</v>
      </c>
      <c r="N480" t="str">
        <f>IF(AND(Table1[[#This Row],[delayed]]=1,Table1[[#This Row],[weather_condition]]="Storm"),"High Risk", IF(Table1[[#This Row],[delayed]]=1,"Medium Risk","Low Risk"))</f>
        <v>Low Risk</v>
      </c>
    </row>
    <row r="481" spans="1:14" x14ac:dyDescent="0.35">
      <c r="A481">
        <v>480</v>
      </c>
      <c r="B481" s="1">
        <v>44946.958333333336</v>
      </c>
      <c r="C481" s="2">
        <v>4.4444444444444446E-2</v>
      </c>
      <c r="D481" s="3">
        <v>1096</v>
      </c>
      <c r="E481" s="3">
        <v>300</v>
      </c>
      <c r="F481" s="2">
        <v>32.546527777777776</v>
      </c>
      <c r="G481" t="s">
        <v>2819</v>
      </c>
      <c r="H481" t="s">
        <v>2820</v>
      </c>
      <c r="I481" s="2">
        <v>1.6256944444444443</v>
      </c>
      <c r="J481" s="4" t="str">
        <f>IF(Table1[[#This Row],[processing_time_hours]]&gt;1.5,"Slow", "Fast")</f>
        <v>Slow</v>
      </c>
      <c r="K481" t="s">
        <v>2821</v>
      </c>
      <c r="L481" s="3">
        <v>1</v>
      </c>
      <c r="M481" t="str">
        <f>IF(Table1[[#This Row],[delayed]]=1,"Delayed","On Time")</f>
        <v>Delayed</v>
      </c>
      <c r="N481" t="str">
        <f>IF(AND(Table1[[#This Row],[delayed]]=1,Table1[[#This Row],[weather_condition]]="Storm"),"High Risk", IF(Table1[[#This Row],[delayed]]=1,"Medium Risk","Low Risk"))</f>
        <v>Medium Risk</v>
      </c>
    </row>
    <row r="482" spans="1:14" x14ac:dyDescent="0.35">
      <c r="A482">
        <v>481</v>
      </c>
      <c r="B482" s="1">
        <v>44947</v>
      </c>
      <c r="C482" s="2">
        <v>6.805555555555555E-2</v>
      </c>
      <c r="D482" s="3">
        <v>1306</v>
      </c>
      <c r="E482" s="3">
        <v>434</v>
      </c>
      <c r="F482" s="2">
        <v>71.333333333333329</v>
      </c>
      <c r="G482" t="s">
        <v>2816</v>
      </c>
      <c r="H482" t="s">
        <v>2820</v>
      </c>
      <c r="I482" s="2">
        <v>0.33749999999999997</v>
      </c>
      <c r="J482" s="4" t="str">
        <f>IF(Table1[[#This Row],[processing_time_hours]]&gt;1.5,"Slow", "Fast")</f>
        <v>Fast</v>
      </c>
      <c r="K482" t="s">
        <v>2818</v>
      </c>
      <c r="L482" s="3">
        <v>0</v>
      </c>
      <c r="M482" t="str">
        <f>IF(Table1[[#This Row],[delayed]]=1,"Delayed","On Time")</f>
        <v>On Time</v>
      </c>
      <c r="N482" t="str">
        <f>IF(AND(Table1[[#This Row],[delayed]]=1,Table1[[#This Row],[weather_condition]]="Storm"),"High Risk", IF(Table1[[#This Row],[delayed]]=1,"Medium Risk","Low Risk"))</f>
        <v>Low Risk</v>
      </c>
    </row>
    <row r="483" spans="1:14" x14ac:dyDescent="0.35">
      <c r="A483">
        <v>482</v>
      </c>
      <c r="B483" s="1">
        <v>44947.041666666664</v>
      </c>
      <c r="C483" s="2">
        <v>6.6666666666666666E-2</v>
      </c>
      <c r="D483" s="3">
        <v>3785</v>
      </c>
      <c r="E483" s="3">
        <v>421</v>
      </c>
      <c r="F483" s="2">
        <v>19.584722222222222</v>
      </c>
      <c r="G483" t="s">
        <v>2819</v>
      </c>
      <c r="H483" t="s">
        <v>2813</v>
      </c>
      <c r="I483" s="2">
        <v>2.2958333333333334</v>
      </c>
      <c r="J483" s="4" t="str">
        <f>IF(Table1[[#This Row],[processing_time_hours]]&gt;1.5,"Slow", "Fast")</f>
        <v>Slow</v>
      </c>
      <c r="K483" t="s">
        <v>2818</v>
      </c>
      <c r="L483" s="3">
        <v>0</v>
      </c>
      <c r="M483" t="str">
        <f>IF(Table1[[#This Row],[delayed]]=1,"Delayed","On Time")</f>
        <v>On Time</v>
      </c>
      <c r="N483" t="str">
        <f>IF(AND(Table1[[#This Row],[delayed]]=1,Table1[[#This Row],[weather_condition]]="Storm"),"High Risk", IF(Table1[[#This Row],[delayed]]=1,"Medium Risk","Low Risk"))</f>
        <v>Low Risk</v>
      </c>
    </row>
    <row r="484" spans="1:14" x14ac:dyDescent="0.35">
      <c r="A484">
        <v>483</v>
      </c>
      <c r="B484" s="1">
        <v>44947.083333333336</v>
      </c>
      <c r="C484" s="2">
        <v>4.7222222222222221E-2</v>
      </c>
      <c r="D484" s="3">
        <v>4685</v>
      </c>
      <c r="E484" s="3">
        <v>401</v>
      </c>
      <c r="F484" s="2">
        <v>1.2125000000000001</v>
      </c>
      <c r="G484" t="s">
        <v>2815</v>
      </c>
      <c r="H484" t="s">
        <v>2817</v>
      </c>
      <c r="I484" s="2">
        <v>2.3763888888888887</v>
      </c>
      <c r="J484" s="4" t="str">
        <f>IF(Table1[[#This Row],[processing_time_hours]]&gt;1.5,"Slow", "Fast")</f>
        <v>Slow</v>
      </c>
      <c r="K484" t="s">
        <v>2814</v>
      </c>
      <c r="L484" s="3">
        <v>1</v>
      </c>
      <c r="M484" t="str">
        <f>IF(Table1[[#This Row],[delayed]]=1,"Delayed","On Time")</f>
        <v>Delayed</v>
      </c>
      <c r="N484" t="str">
        <f>IF(AND(Table1[[#This Row],[delayed]]=1,Table1[[#This Row],[weather_condition]]="Storm"),"High Risk", IF(Table1[[#This Row],[delayed]]=1,"Medium Risk","Low Risk"))</f>
        <v>High Risk</v>
      </c>
    </row>
    <row r="485" spans="1:14" x14ac:dyDescent="0.35">
      <c r="A485">
        <v>484</v>
      </c>
      <c r="B485" s="1">
        <v>44947.125</v>
      </c>
      <c r="C485" s="2">
        <v>4.8611111111111112E-3</v>
      </c>
      <c r="D485" s="3">
        <v>127</v>
      </c>
      <c r="E485" s="3">
        <v>399</v>
      </c>
      <c r="F485" s="2">
        <v>5.8791666666666664</v>
      </c>
      <c r="G485" t="s">
        <v>2816</v>
      </c>
      <c r="H485" t="s">
        <v>2817</v>
      </c>
      <c r="I485" s="2">
        <v>2.838888888888889</v>
      </c>
      <c r="J485" s="4" t="str">
        <f>IF(Table1[[#This Row],[processing_time_hours]]&gt;1.5,"Slow", "Fast")</f>
        <v>Slow</v>
      </c>
      <c r="K485" t="s">
        <v>2818</v>
      </c>
      <c r="L485" s="3">
        <v>0</v>
      </c>
      <c r="M485" t="str">
        <f>IF(Table1[[#This Row],[delayed]]=1,"Delayed","On Time")</f>
        <v>On Time</v>
      </c>
      <c r="N485" t="str">
        <f>IF(AND(Table1[[#This Row],[delayed]]=1,Table1[[#This Row],[weather_condition]]="Storm"),"High Risk", IF(Table1[[#This Row],[delayed]]=1,"Medium Risk","Low Risk"))</f>
        <v>Low Risk</v>
      </c>
    </row>
    <row r="486" spans="1:14" x14ac:dyDescent="0.35">
      <c r="A486">
        <v>485</v>
      </c>
      <c r="B486" s="1">
        <v>44947.166666666664</v>
      </c>
      <c r="C486" s="2">
        <v>6.805555555555555E-2</v>
      </c>
      <c r="D486" s="3">
        <v>1321</v>
      </c>
      <c r="E486" s="3">
        <v>196</v>
      </c>
      <c r="F486" s="2">
        <v>8.7090277777777789</v>
      </c>
      <c r="G486" t="s">
        <v>2819</v>
      </c>
      <c r="H486" t="s">
        <v>2817</v>
      </c>
      <c r="I486" s="2">
        <v>2.4201388888888888</v>
      </c>
      <c r="J486" s="4" t="str">
        <f>IF(Table1[[#This Row],[processing_time_hours]]&gt;1.5,"Slow", "Fast")</f>
        <v>Slow</v>
      </c>
      <c r="K486" t="s">
        <v>2818</v>
      </c>
      <c r="L486" s="3">
        <v>0</v>
      </c>
      <c r="M486" t="str">
        <f>IF(Table1[[#This Row],[delayed]]=1,"Delayed","On Time")</f>
        <v>On Time</v>
      </c>
      <c r="N486" t="str">
        <f>IF(AND(Table1[[#This Row],[delayed]]=1,Table1[[#This Row],[weather_condition]]="Storm"),"High Risk", IF(Table1[[#This Row],[delayed]]=1,"Medium Risk","Low Risk"))</f>
        <v>Low Risk</v>
      </c>
    </row>
    <row r="487" spans="1:14" x14ac:dyDescent="0.35">
      <c r="A487">
        <v>486</v>
      </c>
      <c r="B487" s="1">
        <v>44947.208333333336</v>
      </c>
      <c r="C487" s="2">
        <v>5.7638888888888885E-2</v>
      </c>
      <c r="D487" s="3">
        <v>484</v>
      </c>
      <c r="E487" s="3">
        <v>431</v>
      </c>
      <c r="F487" s="2">
        <v>46.46180555555555</v>
      </c>
      <c r="G487" t="s">
        <v>2812</v>
      </c>
      <c r="H487" t="s">
        <v>2822</v>
      </c>
      <c r="I487" s="2">
        <v>1.2090277777777778</v>
      </c>
      <c r="J487" s="4" t="str">
        <f>IF(Table1[[#This Row],[processing_time_hours]]&gt;1.5,"Slow", "Fast")</f>
        <v>Fast</v>
      </c>
      <c r="K487" t="s">
        <v>2821</v>
      </c>
      <c r="L487" s="3">
        <v>1</v>
      </c>
      <c r="M487" t="str">
        <f>IF(Table1[[#This Row],[delayed]]=1,"Delayed","On Time")</f>
        <v>Delayed</v>
      </c>
      <c r="N487" t="str">
        <f>IF(AND(Table1[[#This Row],[delayed]]=1,Table1[[#This Row],[weather_condition]]="Storm"),"High Risk", IF(Table1[[#This Row],[delayed]]=1,"Medium Risk","Low Risk"))</f>
        <v>Medium Risk</v>
      </c>
    </row>
    <row r="488" spans="1:14" x14ac:dyDescent="0.35">
      <c r="A488">
        <v>487</v>
      </c>
      <c r="B488" s="1">
        <v>44947.25</v>
      </c>
      <c r="C488" s="2">
        <v>5.2083333333333336E-2</v>
      </c>
      <c r="D488" s="3">
        <v>4208</v>
      </c>
      <c r="E488" s="3">
        <v>427</v>
      </c>
      <c r="F488" s="2">
        <v>38.670833333333334</v>
      </c>
      <c r="G488" t="s">
        <v>2819</v>
      </c>
      <c r="H488" t="s">
        <v>2813</v>
      </c>
      <c r="I488" s="2">
        <v>1.3375000000000001</v>
      </c>
      <c r="J488" s="4" t="str">
        <f>IF(Table1[[#This Row],[processing_time_hours]]&gt;1.5,"Slow", "Fast")</f>
        <v>Fast</v>
      </c>
      <c r="K488" t="s">
        <v>2814</v>
      </c>
      <c r="L488" s="3">
        <v>1</v>
      </c>
      <c r="M488" t="str">
        <f>IF(Table1[[#This Row],[delayed]]=1,"Delayed","On Time")</f>
        <v>Delayed</v>
      </c>
      <c r="N488" t="str">
        <f>IF(AND(Table1[[#This Row],[delayed]]=1,Table1[[#This Row],[weather_condition]]="Storm"),"High Risk", IF(Table1[[#This Row],[delayed]]=1,"Medium Risk","Low Risk"))</f>
        <v>Medium Risk</v>
      </c>
    </row>
    <row r="489" spans="1:14" x14ac:dyDescent="0.35">
      <c r="A489">
        <v>488</v>
      </c>
      <c r="B489" s="1">
        <v>44947.291666666664</v>
      </c>
      <c r="C489" s="2">
        <v>5.486111111111111E-2</v>
      </c>
      <c r="D489" s="3">
        <v>2448</v>
      </c>
      <c r="E489" s="3">
        <v>355</v>
      </c>
      <c r="F489" s="2">
        <v>20.756249999999998</v>
      </c>
      <c r="G489" t="s">
        <v>2816</v>
      </c>
      <c r="H489" t="s">
        <v>2820</v>
      </c>
      <c r="I489" s="2">
        <v>2.7118055555555554</v>
      </c>
      <c r="J489" s="4" t="str">
        <f>IF(Table1[[#This Row],[processing_time_hours]]&gt;1.5,"Slow", "Fast")</f>
        <v>Slow</v>
      </c>
      <c r="K489" t="s">
        <v>2821</v>
      </c>
      <c r="L489" s="3">
        <v>0</v>
      </c>
      <c r="M489" t="str">
        <f>IF(Table1[[#This Row],[delayed]]=1,"Delayed","On Time")</f>
        <v>On Time</v>
      </c>
      <c r="N489" t="str">
        <f>IF(AND(Table1[[#This Row],[delayed]]=1,Table1[[#This Row],[weather_condition]]="Storm"),"High Risk", IF(Table1[[#This Row],[delayed]]=1,"Medium Risk","Low Risk"))</f>
        <v>Low Risk</v>
      </c>
    </row>
    <row r="490" spans="1:14" x14ac:dyDescent="0.35">
      <c r="A490">
        <v>489</v>
      </c>
      <c r="B490" s="1">
        <v>44947.333333333336</v>
      </c>
      <c r="C490" s="2">
        <v>4.9305555555555554E-2</v>
      </c>
      <c r="D490" s="3">
        <v>311</v>
      </c>
      <c r="E490" s="3">
        <v>25</v>
      </c>
      <c r="F490" s="2">
        <v>5.4638888888888886</v>
      </c>
      <c r="G490" t="s">
        <v>2812</v>
      </c>
      <c r="H490" t="s">
        <v>2820</v>
      </c>
      <c r="I490" s="2">
        <v>1.7555555555555555</v>
      </c>
      <c r="J490" s="4" t="str">
        <f>IF(Table1[[#This Row],[processing_time_hours]]&gt;1.5,"Slow", "Fast")</f>
        <v>Slow</v>
      </c>
      <c r="K490" t="s">
        <v>2818</v>
      </c>
      <c r="L490" s="3">
        <v>1</v>
      </c>
      <c r="M490" t="str">
        <f>IF(Table1[[#This Row],[delayed]]=1,"Delayed","On Time")</f>
        <v>Delayed</v>
      </c>
      <c r="N490" t="str">
        <f>IF(AND(Table1[[#This Row],[delayed]]=1,Table1[[#This Row],[weather_condition]]="Storm"),"High Risk", IF(Table1[[#This Row],[delayed]]=1,"Medium Risk","Low Risk"))</f>
        <v>Medium Risk</v>
      </c>
    </row>
    <row r="491" spans="1:14" x14ac:dyDescent="0.35">
      <c r="A491">
        <v>490</v>
      </c>
      <c r="B491" s="1">
        <v>44947.375</v>
      </c>
      <c r="C491" s="2">
        <v>5.7638888888888885E-2</v>
      </c>
      <c r="D491" s="3">
        <v>4958</v>
      </c>
      <c r="E491" s="3">
        <v>47</v>
      </c>
      <c r="F491" s="2">
        <v>58.003472222222221</v>
      </c>
      <c r="G491" t="s">
        <v>2815</v>
      </c>
      <c r="H491" t="s">
        <v>2822</v>
      </c>
      <c r="I491" s="2">
        <v>1.7111111111111112</v>
      </c>
      <c r="J491" s="4" t="str">
        <f>IF(Table1[[#This Row],[processing_time_hours]]&gt;1.5,"Slow", "Fast")</f>
        <v>Slow</v>
      </c>
      <c r="K491" t="s">
        <v>2814</v>
      </c>
      <c r="L491" s="3">
        <v>0</v>
      </c>
      <c r="M491" t="str">
        <f>IF(Table1[[#This Row],[delayed]]=1,"Delayed","On Time")</f>
        <v>On Time</v>
      </c>
      <c r="N491" t="str">
        <f>IF(AND(Table1[[#This Row],[delayed]]=1,Table1[[#This Row],[weather_condition]]="Storm"),"High Risk", IF(Table1[[#This Row],[delayed]]=1,"Medium Risk","Low Risk"))</f>
        <v>Low Risk</v>
      </c>
    </row>
    <row r="492" spans="1:14" x14ac:dyDescent="0.35">
      <c r="A492">
        <v>491</v>
      </c>
      <c r="B492" s="1">
        <v>44947.416666666664</v>
      </c>
      <c r="C492" s="2">
        <v>6.1805555555555558E-2</v>
      </c>
      <c r="D492" s="3">
        <v>711</v>
      </c>
      <c r="E492" s="3">
        <v>185</v>
      </c>
      <c r="F492" s="2">
        <v>67.086111111111109</v>
      </c>
      <c r="G492" t="s">
        <v>2816</v>
      </c>
      <c r="H492" t="s">
        <v>2820</v>
      </c>
      <c r="I492" s="2">
        <v>0.67222222222222217</v>
      </c>
      <c r="J492" s="4" t="str">
        <f>IF(Table1[[#This Row],[processing_time_hours]]&gt;1.5,"Slow", "Fast")</f>
        <v>Fast</v>
      </c>
      <c r="K492" t="s">
        <v>2818</v>
      </c>
      <c r="L492" s="3">
        <v>0</v>
      </c>
      <c r="M492" t="str">
        <f>IF(Table1[[#This Row],[delayed]]=1,"Delayed","On Time")</f>
        <v>On Time</v>
      </c>
      <c r="N492" t="str">
        <f>IF(AND(Table1[[#This Row],[delayed]]=1,Table1[[#This Row],[weather_condition]]="Storm"),"High Risk", IF(Table1[[#This Row],[delayed]]=1,"Medium Risk","Low Risk"))</f>
        <v>Low Risk</v>
      </c>
    </row>
    <row r="493" spans="1:14" x14ac:dyDescent="0.35">
      <c r="A493">
        <v>492</v>
      </c>
      <c r="B493" s="1">
        <v>44947.458333333336</v>
      </c>
      <c r="C493" s="2">
        <v>5.6250000000000001E-2</v>
      </c>
      <c r="D493" s="3">
        <v>1778</v>
      </c>
      <c r="E493" s="3">
        <v>371</v>
      </c>
      <c r="F493" s="2">
        <v>60.672222222222224</v>
      </c>
      <c r="G493" t="s">
        <v>2815</v>
      </c>
      <c r="H493" t="s">
        <v>2817</v>
      </c>
      <c r="I493" s="2">
        <v>0.25347222222222221</v>
      </c>
      <c r="J493" s="4" t="str">
        <f>IF(Table1[[#This Row],[processing_time_hours]]&gt;1.5,"Slow", "Fast")</f>
        <v>Fast</v>
      </c>
      <c r="K493" t="s">
        <v>2814</v>
      </c>
      <c r="L493" s="3">
        <v>0</v>
      </c>
      <c r="M493" t="str">
        <f>IF(Table1[[#This Row],[delayed]]=1,"Delayed","On Time")</f>
        <v>On Time</v>
      </c>
      <c r="N493" t="str">
        <f>IF(AND(Table1[[#This Row],[delayed]]=1,Table1[[#This Row],[weather_condition]]="Storm"),"High Risk", IF(Table1[[#This Row],[delayed]]=1,"Medium Risk","Low Risk"))</f>
        <v>Low Risk</v>
      </c>
    </row>
    <row r="494" spans="1:14" x14ac:dyDescent="0.35">
      <c r="A494">
        <v>493</v>
      </c>
      <c r="B494" s="1">
        <v>44947.5</v>
      </c>
      <c r="C494" s="2">
        <v>6.458333333333334E-2</v>
      </c>
      <c r="D494" s="3">
        <v>3605</v>
      </c>
      <c r="E494" s="3">
        <v>364</v>
      </c>
      <c r="F494" s="2">
        <v>50.959027777777777</v>
      </c>
      <c r="G494" t="s">
        <v>2816</v>
      </c>
      <c r="H494" t="s">
        <v>2817</v>
      </c>
      <c r="I494" s="2">
        <v>0.3347222222222222</v>
      </c>
      <c r="J494" s="4" t="str">
        <f>IF(Table1[[#This Row],[processing_time_hours]]&gt;1.5,"Slow", "Fast")</f>
        <v>Fast</v>
      </c>
      <c r="K494" t="s">
        <v>2814</v>
      </c>
      <c r="L494" s="3">
        <v>0</v>
      </c>
      <c r="M494" t="str">
        <f>IF(Table1[[#This Row],[delayed]]=1,"Delayed","On Time")</f>
        <v>On Time</v>
      </c>
      <c r="N494" t="str">
        <f>IF(AND(Table1[[#This Row],[delayed]]=1,Table1[[#This Row],[weather_condition]]="Storm"),"High Risk", IF(Table1[[#This Row],[delayed]]=1,"Medium Risk","Low Risk"))</f>
        <v>Low Risk</v>
      </c>
    </row>
    <row r="495" spans="1:14" x14ac:dyDescent="0.35">
      <c r="A495">
        <v>494</v>
      </c>
      <c r="B495" s="1">
        <v>44947.541666666664</v>
      </c>
      <c r="C495" s="2">
        <v>4.5138888888888888E-2</v>
      </c>
      <c r="D495" s="3">
        <v>4568</v>
      </c>
      <c r="E495" s="3">
        <v>415</v>
      </c>
      <c r="F495" s="2">
        <v>69.753472222222214</v>
      </c>
      <c r="G495" t="s">
        <v>2812</v>
      </c>
      <c r="H495" t="s">
        <v>2813</v>
      </c>
      <c r="I495" s="2">
        <v>2.8340277777777776</v>
      </c>
      <c r="J495" s="4" t="str">
        <f>IF(Table1[[#This Row],[processing_time_hours]]&gt;1.5,"Slow", "Fast")</f>
        <v>Slow</v>
      </c>
      <c r="K495" t="s">
        <v>2814</v>
      </c>
      <c r="L495" s="3">
        <v>1</v>
      </c>
      <c r="M495" t="str">
        <f>IF(Table1[[#This Row],[delayed]]=1,"Delayed","On Time")</f>
        <v>Delayed</v>
      </c>
      <c r="N495" t="str">
        <f>IF(AND(Table1[[#This Row],[delayed]]=1,Table1[[#This Row],[weather_condition]]="Storm"),"High Risk", IF(Table1[[#This Row],[delayed]]=1,"Medium Risk","Low Risk"))</f>
        <v>Medium Risk</v>
      </c>
    </row>
    <row r="496" spans="1:14" x14ac:dyDescent="0.35">
      <c r="A496">
        <v>495</v>
      </c>
      <c r="B496" s="1">
        <v>44947.583333333336</v>
      </c>
      <c r="C496" s="2">
        <v>5.8333333333333327E-2</v>
      </c>
      <c r="D496" s="3">
        <v>716</v>
      </c>
      <c r="E496" s="3">
        <v>147</v>
      </c>
      <c r="F496" s="2">
        <v>28.878472222222225</v>
      </c>
      <c r="G496" t="s">
        <v>2819</v>
      </c>
      <c r="H496" t="s">
        <v>2822</v>
      </c>
      <c r="I496" s="2">
        <v>0.96180555555555547</v>
      </c>
      <c r="J496" s="4" t="str">
        <f>IF(Table1[[#This Row],[processing_time_hours]]&gt;1.5,"Slow", "Fast")</f>
        <v>Fast</v>
      </c>
      <c r="K496" t="s">
        <v>2821</v>
      </c>
      <c r="L496" s="3">
        <v>0</v>
      </c>
      <c r="M496" t="str">
        <f>IF(Table1[[#This Row],[delayed]]=1,"Delayed","On Time")</f>
        <v>On Time</v>
      </c>
      <c r="N496" t="str">
        <f>IF(AND(Table1[[#This Row],[delayed]]=1,Table1[[#This Row],[weather_condition]]="Storm"),"High Risk", IF(Table1[[#This Row],[delayed]]=1,"Medium Risk","Low Risk"))</f>
        <v>Low Risk</v>
      </c>
    </row>
    <row r="497" spans="1:14" x14ac:dyDescent="0.35">
      <c r="A497">
        <v>496</v>
      </c>
      <c r="B497" s="1">
        <v>44947.625</v>
      </c>
      <c r="C497" s="2">
        <v>4.1666666666666664E-2</v>
      </c>
      <c r="D497" s="3">
        <v>4196</v>
      </c>
      <c r="E497" s="3">
        <v>300</v>
      </c>
      <c r="F497" s="2">
        <v>14.460416666666667</v>
      </c>
      <c r="G497" t="s">
        <v>2819</v>
      </c>
      <c r="H497" t="s">
        <v>2813</v>
      </c>
      <c r="I497" s="2">
        <v>1.6680555555555554</v>
      </c>
      <c r="J497" s="4" t="str">
        <f>IF(Table1[[#This Row],[processing_time_hours]]&gt;1.5,"Slow", "Fast")</f>
        <v>Slow</v>
      </c>
      <c r="K497" t="s">
        <v>2818</v>
      </c>
      <c r="L497" s="3">
        <v>0</v>
      </c>
      <c r="M497" t="str">
        <f>IF(Table1[[#This Row],[delayed]]=1,"Delayed","On Time")</f>
        <v>On Time</v>
      </c>
      <c r="N497" t="str">
        <f>IF(AND(Table1[[#This Row],[delayed]]=1,Table1[[#This Row],[weather_condition]]="Storm"),"High Risk", IF(Table1[[#This Row],[delayed]]=1,"Medium Risk","Low Risk"))</f>
        <v>Low Risk</v>
      </c>
    </row>
    <row r="498" spans="1:14" x14ac:dyDescent="0.35">
      <c r="A498">
        <v>497</v>
      </c>
      <c r="B498" s="1">
        <v>44947.666666666664</v>
      </c>
      <c r="C498" s="2">
        <v>4.5833333333333337E-2</v>
      </c>
      <c r="D498" s="3">
        <v>1305</v>
      </c>
      <c r="E498" s="3">
        <v>25</v>
      </c>
      <c r="F498" s="2">
        <v>67.875</v>
      </c>
      <c r="G498" t="s">
        <v>2812</v>
      </c>
      <c r="H498" t="s">
        <v>2817</v>
      </c>
      <c r="I498" s="2">
        <v>1.6680555555555554</v>
      </c>
      <c r="J498" s="4" t="str">
        <f>IF(Table1[[#This Row],[processing_time_hours]]&gt;1.5,"Slow", "Fast")</f>
        <v>Slow</v>
      </c>
      <c r="K498" t="s">
        <v>2818</v>
      </c>
      <c r="L498" s="3">
        <v>1</v>
      </c>
      <c r="M498" t="str">
        <f>IF(Table1[[#This Row],[delayed]]=1,"Delayed","On Time")</f>
        <v>Delayed</v>
      </c>
      <c r="N498" t="str">
        <f>IF(AND(Table1[[#This Row],[delayed]]=1,Table1[[#This Row],[weather_condition]]="Storm"),"High Risk", IF(Table1[[#This Row],[delayed]]=1,"Medium Risk","Low Risk"))</f>
        <v>High Risk</v>
      </c>
    </row>
    <row r="499" spans="1:14" x14ac:dyDescent="0.35">
      <c r="A499">
        <v>498</v>
      </c>
      <c r="B499" s="1">
        <v>44947.708333333336</v>
      </c>
      <c r="C499" s="2">
        <v>5.5555555555555558E-3</v>
      </c>
      <c r="D499" s="3">
        <v>328</v>
      </c>
      <c r="E499" s="3">
        <v>49</v>
      </c>
      <c r="F499" s="2">
        <v>47.131250000000001</v>
      </c>
      <c r="G499" t="s">
        <v>2815</v>
      </c>
      <c r="H499" t="s">
        <v>2817</v>
      </c>
      <c r="I499" s="2">
        <v>2.3340277777777776</v>
      </c>
      <c r="J499" s="4" t="str">
        <f>IF(Table1[[#This Row],[processing_time_hours]]&gt;1.5,"Slow", "Fast")</f>
        <v>Slow</v>
      </c>
      <c r="K499" t="s">
        <v>2821</v>
      </c>
      <c r="L499" s="3">
        <v>0</v>
      </c>
      <c r="M499" t="str">
        <f>IF(Table1[[#This Row],[delayed]]=1,"Delayed","On Time")</f>
        <v>On Time</v>
      </c>
      <c r="N499" t="str">
        <f>IF(AND(Table1[[#This Row],[delayed]]=1,Table1[[#This Row],[weather_condition]]="Storm"),"High Risk", IF(Table1[[#This Row],[delayed]]=1,"Medium Risk","Low Risk"))</f>
        <v>Low Risk</v>
      </c>
    </row>
    <row r="500" spans="1:14" x14ac:dyDescent="0.35">
      <c r="A500">
        <v>499</v>
      </c>
      <c r="B500" s="1">
        <v>44947.75</v>
      </c>
      <c r="C500" s="2">
        <v>5.9027777777777783E-2</v>
      </c>
      <c r="D500" s="3">
        <v>4542</v>
      </c>
      <c r="E500" s="3">
        <v>104</v>
      </c>
      <c r="F500" s="2">
        <v>22.963194444444444</v>
      </c>
      <c r="G500" t="s">
        <v>2815</v>
      </c>
      <c r="H500" t="s">
        <v>2820</v>
      </c>
      <c r="I500" s="2">
        <v>2.5479166666666666</v>
      </c>
      <c r="J500" s="4" t="str">
        <f>IF(Table1[[#This Row],[processing_time_hours]]&gt;1.5,"Slow", "Fast")</f>
        <v>Slow</v>
      </c>
      <c r="K500" t="s">
        <v>2814</v>
      </c>
      <c r="L500" s="3">
        <v>0</v>
      </c>
      <c r="M500" t="str">
        <f>IF(Table1[[#This Row],[delayed]]=1,"Delayed","On Time")</f>
        <v>On Time</v>
      </c>
      <c r="N500" t="str">
        <f>IF(AND(Table1[[#This Row],[delayed]]=1,Table1[[#This Row],[weather_condition]]="Storm"),"High Risk", IF(Table1[[#This Row],[delayed]]=1,"Medium Risk","Low Risk"))</f>
        <v>Low Risk</v>
      </c>
    </row>
    <row r="501" spans="1:14" x14ac:dyDescent="0.35">
      <c r="A501">
        <v>500</v>
      </c>
      <c r="B501" s="1">
        <v>44947.791666666664</v>
      </c>
      <c r="C501" s="2">
        <v>5.1388888888888894E-2</v>
      </c>
      <c r="D501" s="3">
        <v>1325</v>
      </c>
      <c r="E501" s="3">
        <v>57</v>
      </c>
      <c r="F501" s="2">
        <v>75.958333333333329</v>
      </c>
      <c r="G501" t="s">
        <v>2812</v>
      </c>
      <c r="H501" t="s">
        <v>2822</v>
      </c>
      <c r="I501" s="2">
        <v>1.29375</v>
      </c>
      <c r="J501" s="4" t="str">
        <f>IF(Table1[[#This Row],[processing_time_hours]]&gt;1.5,"Slow", "Fast")</f>
        <v>Fast</v>
      </c>
      <c r="K501" t="s">
        <v>2818</v>
      </c>
      <c r="L501" s="3">
        <v>0</v>
      </c>
      <c r="M501" t="str">
        <f>IF(Table1[[#This Row],[delayed]]=1,"Delayed","On Time")</f>
        <v>On Time</v>
      </c>
      <c r="N501" t="str">
        <f>IF(AND(Table1[[#This Row],[delayed]]=1,Table1[[#This Row],[weather_condition]]="Storm"),"High Risk", IF(Table1[[#This Row],[delayed]]=1,"Medium Risk","Low Risk"))</f>
        <v>Low Risk</v>
      </c>
    </row>
    <row r="502" spans="1:14" x14ac:dyDescent="0.35">
      <c r="A502">
        <v>501</v>
      </c>
      <c r="B502" s="1">
        <v>44947.833333333336</v>
      </c>
      <c r="C502" s="2">
        <v>6.8749999999999992E-2</v>
      </c>
      <c r="D502" s="3">
        <v>4132</v>
      </c>
      <c r="E502" s="3">
        <v>308</v>
      </c>
      <c r="F502" s="2">
        <v>29.126388888888886</v>
      </c>
      <c r="G502" t="s">
        <v>2819</v>
      </c>
      <c r="H502" t="s">
        <v>2817</v>
      </c>
      <c r="I502" s="2">
        <v>2.3395833333333331</v>
      </c>
      <c r="J502" s="4" t="str">
        <f>IF(Table1[[#This Row],[processing_time_hours]]&gt;1.5,"Slow", "Fast")</f>
        <v>Slow</v>
      </c>
      <c r="K502" t="s">
        <v>2814</v>
      </c>
      <c r="L502" s="3">
        <v>0</v>
      </c>
      <c r="M502" t="str">
        <f>IF(Table1[[#This Row],[delayed]]=1,"Delayed","On Time")</f>
        <v>On Time</v>
      </c>
      <c r="N502" t="str">
        <f>IF(AND(Table1[[#This Row],[delayed]]=1,Table1[[#This Row],[weather_condition]]="Storm"),"High Risk", IF(Table1[[#This Row],[delayed]]=1,"Medium Risk","Low Risk"))</f>
        <v>Low Risk</v>
      </c>
    </row>
    <row r="503" spans="1:14" x14ac:dyDescent="0.35">
      <c r="A503">
        <v>502</v>
      </c>
      <c r="B503" s="1">
        <v>44947.875</v>
      </c>
      <c r="C503" s="2">
        <v>5.486111111111111E-2</v>
      </c>
      <c r="D503" s="3">
        <v>2276</v>
      </c>
      <c r="E503" s="3">
        <v>307</v>
      </c>
      <c r="F503" s="2">
        <v>80.547916666666666</v>
      </c>
      <c r="G503" t="s">
        <v>2815</v>
      </c>
      <c r="H503" t="s">
        <v>2813</v>
      </c>
      <c r="I503" s="2">
        <v>8.5416666666666655E-2</v>
      </c>
      <c r="J503" s="4" t="str">
        <f>IF(Table1[[#This Row],[processing_time_hours]]&gt;1.5,"Slow", "Fast")</f>
        <v>Fast</v>
      </c>
      <c r="K503" t="s">
        <v>2818</v>
      </c>
      <c r="L503" s="3">
        <v>0</v>
      </c>
      <c r="M503" t="str">
        <f>IF(Table1[[#This Row],[delayed]]=1,"Delayed","On Time")</f>
        <v>On Time</v>
      </c>
      <c r="N503" t="str">
        <f>IF(AND(Table1[[#This Row],[delayed]]=1,Table1[[#This Row],[weather_condition]]="Storm"),"High Risk", IF(Table1[[#This Row],[delayed]]=1,"Medium Risk","Low Risk"))</f>
        <v>Low Risk</v>
      </c>
    </row>
    <row r="504" spans="1:14" x14ac:dyDescent="0.35">
      <c r="A504">
        <v>503</v>
      </c>
      <c r="B504" s="1">
        <v>44947.916666666664</v>
      </c>
      <c r="C504" s="2">
        <v>5.486111111111111E-2</v>
      </c>
      <c r="D504" s="3">
        <v>1381</v>
      </c>
      <c r="E504" s="3">
        <v>425</v>
      </c>
      <c r="F504" s="2">
        <v>62.417361111111113</v>
      </c>
      <c r="G504" t="s">
        <v>2812</v>
      </c>
      <c r="H504" t="s">
        <v>2822</v>
      </c>
      <c r="I504" s="2">
        <v>0.50208333333333333</v>
      </c>
      <c r="J504" s="4" t="str">
        <f>IF(Table1[[#This Row],[processing_time_hours]]&gt;1.5,"Slow", "Fast")</f>
        <v>Fast</v>
      </c>
      <c r="K504" t="s">
        <v>2821</v>
      </c>
      <c r="L504" s="3">
        <v>0</v>
      </c>
      <c r="M504" t="str">
        <f>IF(Table1[[#This Row],[delayed]]=1,"Delayed","On Time")</f>
        <v>On Time</v>
      </c>
      <c r="N504" t="str">
        <f>IF(AND(Table1[[#This Row],[delayed]]=1,Table1[[#This Row],[weather_condition]]="Storm"),"High Risk", IF(Table1[[#This Row],[delayed]]=1,"Medium Risk","Low Risk"))</f>
        <v>Low Risk</v>
      </c>
    </row>
    <row r="505" spans="1:14" x14ac:dyDescent="0.35">
      <c r="A505">
        <v>504</v>
      </c>
      <c r="B505" s="1">
        <v>44947.958333333336</v>
      </c>
      <c r="C505" s="2">
        <v>6.6666666666666666E-2</v>
      </c>
      <c r="D505" s="3">
        <v>1677</v>
      </c>
      <c r="E505" s="3">
        <v>325</v>
      </c>
      <c r="F505" s="2">
        <v>27.002083333333331</v>
      </c>
      <c r="G505" t="s">
        <v>2812</v>
      </c>
      <c r="H505" t="s">
        <v>2813</v>
      </c>
      <c r="I505" s="2">
        <v>2.9222222222222225</v>
      </c>
      <c r="J505" s="4" t="str">
        <f>IF(Table1[[#This Row],[processing_time_hours]]&gt;1.5,"Slow", "Fast")</f>
        <v>Slow</v>
      </c>
      <c r="K505" t="s">
        <v>2821</v>
      </c>
      <c r="L505" s="3">
        <v>1</v>
      </c>
      <c r="M505" t="str">
        <f>IF(Table1[[#This Row],[delayed]]=1,"Delayed","On Time")</f>
        <v>Delayed</v>
      </c>
      <c r="N505" t="str">
        <f>IF(AND(Table1[[#This Row],[delayed]]=1,Table1[[#This Row],[weather_condition]]="Storm"),"High Risk", IF(Table1[[#This Row],[delayed]]=1,"Medium Risk","Low Risk"))</f>
        <v>Medium Risk</v>
      </c>
    </row>
    <row r="506" spans="1:14" x14ac:dyDescent="0.35">
      <c r="A506">
        <v>505</v>
      </c>
      <c r="B506" s="1">
        <v>44948</v>
      </c>
      <c r="C506" s="2">
        <v>4.2361111111111106E-2</v>
      </c>
      <c r="D506" s="3">
        <v>3237</v>
      </c>
      <c r="E506" s="3">
        <v>106</v>
      </c>
      <c r="F506" s="2">
        <v>79.795833333333334</v>
      </c>
      <c r="G506" t="s">
        <v>2819</v>
      </c>
      <c r="H506" t="s">
        <v>2822</v>
      </c>
      <c r="I506" s="2">
        <v>1.4611111111111112</v>
      </c>
      <c r="J506" s="4" t="str">
        <f>IF(Table1[[#This Row],[processing_time_hours]]&gt;1.5,"Slow", "Fast")</f>
        <v>Fast</v>
      </c>
      <c r="K506" t="s">
        <v>2821</v>
      </c>
      <c r="L506" s="3">
        <v>1</v>
      </c>
      <c r="M506" t="str">
        <f>IF(Table1[[#This Row],[delayed]]=1,"Delayed","On Time")</f>
        <v>Delayed</v>
      </c>
      <c r="N506" t="str">
        <f>IF(AND(Table1[[#This Row],[delayed]]=1,Table1[[#This Row],[weather_condition]]="Storm"),"High Risk", IF(Table1[[#This Row],[delayed]]=1,"Medium Risk","Low Risk"))</f>
        <v>Medium Risk</v>
      </c>
    </row>
    <row r="507" spans="1:14" x14ac:dyDescent="0.35">
      <c r="A507">
        <v>506</v>
      </c>
      <c r="B507" s="1">
        <v>44948.041666666664</v>
      </c>
      <c r="C507" s="2">
        <v>6.5972222222222224E-2</v>
      </c>
      <c r="D507" s="3">
        <v>4580</v>
      </c>
      <c r="E507" s="3">
        <v>373</v>
      </c>
      <c r="F507" s="2">
        <v>0.75416666666666676</v>
      </c>
      <c r="G507" t="s">
        <v>2819</v>
      </c>
      <c r="H507" t="s">
        <v>2813</v>
      </c>
      <c r="I507" s="2">
        <v>0.83680555555555547</v>
      </c>
      <c r="J507" s="4" t="str">
        <f>IF(Table1[[#This Row],[processing_time_hours]]&gt;1.5,"Slow", "Fast")</f>
        <v>Fast</v>
      </c>
      <c r="K507" t="s">
        <v>2821</v>
      </c>
      <c r="L507" s="3">
        <v>0</v>
      </c>
      <c r="M507" t="str">
        <f>IF(Table1[[#This Row],[delayed]]=1,"Delayed","On Time")</f>
        <v>On Time</v>
      </c>
      <c r="N507" t="str">
        <f>IF(AND(Table1[[#This Row],[delayed]]=1,Table1[[#This Row],[weather_condition]]="Storm"),"High Risk", IF(Table1[[#This Row],[delayed]]=1,"Medium Risk","Low Risk"))</f>
        <v>Low Risk</v>
      </c>
    </row>
    <row r="508" spans="1:14" x14ac:dyDescent="0.35">
      <c r="A508">
        <v>507</v>
      </c>
      <c r="B508" s="1">
        <v>44948.083333333336</v>
      </c>
      <c r="C508" s="2">
        <v>4.5138888888888888E-2</v>
      </c>
      <c r="D508" s="3">
        <v>4358</v>
      </c>
      <c r="E508" s="3">
        <v>482</v>
      </c>
      <c r="F508" s="2">
        <v>25.961111111111112</v>
      </c>
      <c r="G508" t="s">
        <v>2815</v>
      </c>
      <c r="H508" t="s">
        <v>2817</v>
      </c>
      <c r="I508" s="2">
        <v>2.8347222222222221</v>
      </c>
      <c r="J508" s="4" t="str">
        <f>IF(Table1[[#This Row],[processing_time_hours]]&gt;1.5,"Slow", "Fast")</f>
        <v>Slow</v>
      </c>
      <c r="K508" t="s">
        <v>2821</v>
      </c>
      <c r="L508" s="3">
        <v>0</v>
      </c>
      <c r="M508" t="str">
        <f>IF(Table1[[#This Row],[delayed]]=1,"Delayed","On Time")</f>
        <v>On Time</v>
      </c>
      <c r="N508" t="str">
        <f>IF(AND(Table1[[#This Row],[delayed]]=1,Table1[[#This Row],[weather_condition]]="Storm"),"High Risk", IF(Table1[[#This Row],[delayed]]=1,"Medium Risk","Low Risk"))</f>
        <v>Low Risk</v>
      </c>
    </row>
    <row r="509" spans="1:14" x14ac:dyDescent="0.35">
      <c r="A509">
        <v>508</v>
      </c>
      <c r="B509" s="1">
        <v>44948.125</v>
      </c>
      <c r="C509" s="2">
        <v>5.2083333333333336E-2</v>
      </c>
      <c r="D509" s="3">
        <v>2246</v>
      </c>
      <c r="E509" s="3">
        <v>335</v>
      </c>
      <c r="F509" s="2">
        <v>71.671527777777769</v>
      </c>
      <c r="G509" t="s">
        <v>2819</v>
      </c>
      <c r="H509" t="s">
        <v>2813</v>
      </c>
      <c r="I509" s="2">
        <v>0.83333333333333337</v>
      </c>
      <c r="J509" s="4" t="str">
        <f>IF(Table1[[#This Row],[processing_time_hours]]&gt;1.5,"Slow", "Fast")</f>
        <v>Fast</v>
      </c>
      <c r="K509" t="s">
        <v>2818</v>
      </c>
      <c r="L509" s="3">
        <v>0</v>
      </c>
      <c r="M509" t="str">
        <f>IF(Table1[[#This Row],[delayed]]=1,"Delayed","On Time")</f>
        <v>On Time</v>
      </c>
      <c r="N509" t="str">
        <f>IF(AND(Table1[[#This Row],[delayed]]=1,Table1[[#This Row],[weather_condition]]="Storm"),"High Risk", IF(Table1[[#This Row],[delayed]]=1,"Medium Risk","Low Risk"))</f>
        <v>Low Risk</v>
      </c>
    </row>
    <row r="510" spans="1:14" x14ac:dyDescent="0.35">
      <c r="A510">
        <v>509</v>
      </c>
      <c r="B510" s="1">
        <v>44948.166666666664</v>
      </c>
      <c r="C510" s="2">
        <v>5.5555555555555558E-3</v>
      </c>
      <c r="D510" s="3">
        <v>349</v>
      </c>
      <c r="E510" s="3">
        <v>351</v>
      </c>
      <c r="F510" s="2">
        <v>20.422916666666666</v>
      </c>
      <c r="G510" t="s">
        <v>2812</v>
      </c>
      <c r="H510" t="s">
        <v>2813</v>
      </c>
      <c r="I510" s="2">
        <v>2.25</v>
      </c>
      <c r="J510" s="4" t="str">
        <f>IF(Table1[[#This Row],[processing_time_hours]]&gt;1.5,"Slow", "Fast")</f>
        <v>Slow</v>
      </c>
      <c r="K510" t="s">
        <v>2814</v>
      </c>
      <c r="L510" s="3">
        <v>1</v>
      </c>
      <c r="M510" t="str">
        <f>IF(Table1[[#This Row],[delayed]]=1,"Delayed","On Time")</f>
        <v>Delayed</v>
      </c>
      <c r="N510" t="str">
        <f>IF(AND(Table1[[#This Row],[delayed]]=1,Table1[[#This Row],[weather_condition]]="Storm"),"High Risk", IF(Table1[[#This Row],[delayed]]=1,"Medium Risk","Low Risk"))</f>
        <v>Medium Risk</v>
      </c>
    </row>
    <row r="511" spans="1:14" x14ac:dyDescent="0.35">
      <c r="A511">
        <v>510</v>
      </c>
      <c r="B511" s="1">
        <v>44948.208333333336</v>
      </c>
      <c r="C511" s="2">
        <v>5.486111111111111E-2</v>
      </c>
      <c r="D511" s="3">
        <v>4820</v>
      </c>
      <c r="E511" s="3">
        <v>73</v>
      </c>
      <c r="F511" s="2">
        <v>58.714583333333337</v>
      </c>
      <c r="G511" t="s">
        <v>2812</v>
      </c>
      <c r="H511" t="s">
        <v>2813</v>
      </c>
      <c r="I511" s="2">
        <v>2.2965277777777779</v>
      </c>
      <c r="J511" s="4" t="str">
        <f>IF(Table1[[#This Row],[processing_time_hours]]&gt;1.5,"Slow", "Fast")</f>
        <v>Slow</v>
      </c>
      <c r="K511" t="s">
        <v>2818</v>
      </c>
      <c r="L511" s="3">
        <v>0</v>
      </c>
      <c r="M511" t="str">
        <f>IF(Table1[[#This Row],[delayed]]=1,"Delayed","On Time")</f>
        <v>On Time</v>
      </c>
      <c r="N511" t="str">
        <f>IF(AND(Table1[[#This Row],[delayed]]=1,Table1[[#This Row],[weather_condition]]="Storm"),"High Risk", IF(Table1[[#This Row],[delayed]]=1,"Medium Risk","Low Risk"))</f>
        <v>Low Risk</v>
      </c>
    </row>
    <row r="512" spans="1:14" x14ac:dyDescent="0.35">
      <c r="A512">
        <v>511</v>
      </c>
      <c r="B512" s="1">
        <v>44948.25</v>
      </c>
      <c r="C512" s="2">
        <v>4.3055555555555562E-2</v>
      </c>
      <c r="D512" s="3">
        <v>2105</v>
      </c>
      <c r="E512" s="3">
        <v>209</v>
      </c>
      <c r="F512" s="2">
        <v>62.922916666666673</v>
      </c>
      <c r="G512" t="s">
        <v>2819</v>
      </c>
      <c r="H512" t="s">
        <v>2820</v>
      </c>
      <c r="I512" s="2">
        <v>0.96458333333333324</v>
      </c>
      <c r="J512" s="4" t="str">
        <f>IF(Table1[[#This Row],[processing_time_hours]]&gt;1.5,"Slow", "Fast")</f>
        <v>Fast</v>
      </c>
      <c r="K512" t="s">
        <v>2818</v>
      </c>
      <c r="L512" s="3">
        <v>0</v>
      </c>
      <c r="M512" t="str">
        <f>IF(Table1[[#This Row],[delayed]]=1,"Delayed","On Time")</f>
        <v>On Time</v>
      </c>
      <c r="N512" t="str">
        <f>IF(AND(Table1[[#This Row],[delayed]]=1,Table1[[#This Row],[weather_condition]]="Storm"),"High Risk", IF(Table1[[#This Row],[delayed]]=1,"Medium Risk","Low Risk"))</f>
        <v>Low Risk</v>
      </c>
    </row>
    <row r="513" spans="1:14" x14ac:dyDescent="0.35">
      <c r="A513">
        <v>512</v>
      </c>
      <c r="B513" s="1">
        <v>44948.291666666664</v>
      </c>
      <c r="C513" s="2">
        <v>5.0694444444444438E-2</v>
      </c>
      <c r="D513" s="3">
        <v>1828</v>
      </c>
      <c r="E513" s="3">
        <v>332</v>
      </c>
      <c r="F513" s="2">
        <v>31.420833333333334</v>
      </c>
      <c r="G513" t="s">
        <v>2816</v>
      </c>
      <c r="H513" t="s">
        <v>2817</v>
      </c>
      <c r="I513" s="2">
        <v>0.50624999999999998</v>
      </c>
      <c r="J513" s="4" t="str">
        <f>IF(Table1[[#This Row],[processing_time_hours]]&gt;1.5,"Slow", "Fast")</f>
        <v>Fast</v>
      </c>
      <c r="K513" t="s">
        <v>2821</v>
      </c>
      <c r="L513" s="3">
        <v>0</v>
      </c>
      <c r="M513" t="str">
        <f>IF(Table1[[#This Row],[delayed]]=1,"Delayed","On Time")</f>
        <v>On Time</v>
      </c>
      <c r="N513" t="str">
        <f>IF(AND(Table1[[#This Row],[delayed]]=1,Table1[[#This Row],[weather_condition]]="Storm"),"High Risk", IF(Table1[[#This Row],[delayed]]=1,"Medium Risk","Low Risk"))</f>
        <v>Low Risk</v>
      </c>
    </row>
    <row r="514" spans="1:14" x14ac:dyDescent="0.35">
      <c r="A514">
        <v>513</v>
      </c>
      <c r="B514" s="1">
        <v>44948.333333333336</v>
      </c>
      <c r="C514" s="2">
        <v>5.1388888888888894E-2</v>
      </c>
      <c r="D514" s="3">
        <v>3938</v>
      </c>
      <c r="E514" s="3">
        <v>82</v>
      </c>
      <c r="F514" s="2">
        <v>17.87638888888889</v>
      </c>
      <c r="G514" t="s">
        <v>2819</v>
      </c>
      <c r="H514" t="s">
        <v>2817</v>
      </c>
      <c r="I514" s="2">
        <v>0.29652777777777778</v>
      </c>
      <c r="J514" s="4" t="str">
        <f>IF(Table1[[#This Row],[processing_time_hours]]&gt;1.5,"Slow", "Fast")</f>
        <v>Fast</v>
      </c>
      <c r="K514" t="s">
        <v>2821</v>
      </c>
      <c r="L514" s="3">
        <v>1</v>
      </c>
      <c r="M514" t="str">
        <f>IF(Table1[[#This Row],[delayed]]=1,"Delayed","On Time")</f>
        <v>Delayed</v>
      </c>
      <c r="N514" t="str">
        <f>IF(AND(Table1[[#This Row],[delayed]]=1,Table1[[#This Row],[weather_condition]]="Storm"),"High Risk", IF(Table1[[#This Row],[delayed]]=1,"Medium Risk","Low Risk"))</f>
        <v>High Risk</v>
      </c>
    </row>
    <row r="515" spans="1:14" x14ac:dyDescent="0.35">
      <c r="A515">
        <v>514</v>
      </c>
      <c r="B515" s="1">
        <v>44948.375</v>
      </c>
      <c r="C515" s="2">
        <v>6.805555555555555E-2</v>
      </c>
      <c r="D515" s="3">
        <v>3817</v>
      </c>
      <c r="E515" s="3">
        <v>397</v>
      </c>
      <c r="F515" s="2">
        <v>33.255555555555553</v>
      </c>
      <c r="G515" t="s">
        <v>2816</v>
      </c>
      <c r="H515" t="s">
        <v>2817</v>
      </c>
      <c r="I515" s="2">
        <v>1.9618055555555556</v>
      </c>
      <c r="J515" s="4" t="str">
        <f>IF(Table1[[#This Row],[processing_time_hours]]&gt;1.5,"Slow", "Fast")</f>
        <v>Slow</v>
      </c>
      <c r="K515" t="s">
        <v>2821</v>
      </c>
      <c r="L515" s="3">
        <v>0</v>
      </c>
      <c r="M515" t="str">
        <f>IF(Table1[[#This Row],[delayed]]=1,"Delayed","On Time")</f>
        <v>On Time</v>
      </c>
      <c r="N515" t="str">
        <f>IF(AND(Table1[[#This Row],[delayed]]=1,Table1[[#This Row],[weather_condition]]="Storm"),"High Risk", IF(Table1[[#This Row],[delayed]]=1,"Medium Risk","Low Risk"))</f>
        <v>Low Risk</v>
      </c>
    </row>
    <row r="516" spans="1:14" x14ac:dyDescent="0.35">
      <c r="A516">
        <v>515</v>
      </c>
      <c r="B516" s="1">
        <v>44948.416666666664</v>
      </c>
      <c r="C516" s="2">
        <v>6.7361111111111108E-2</v>
      </c>
      <c r="D516" s="3">
        <v>819</v>
      </c>
      <c r="E516" s="3">
        <v>326</v>
      </c>
      <c r="F516" s="2">
        <v>10.375694444444445</v>
      </c>
      <c r="G516" t="s">
        <v>2812</v>
      </c>
      <c r="H516" t="s">
        <v>2822</v>
      </c>
      <c r="I516" s="2">
        <v>1.4604166666666665</v>
      </c>
      <c r="J516" s="4" t="str">
        <f>IF(Table1[[#This Row],[processing_time_hours]]&gt;1.5,"Slow", "Fast")</f>
        <v>Fast</v>
      </c>
      <c r="K516" t="s">
        <v>2814</v>
      </c>
      <c r="L516" s="3">
        <v>0</v>
      </c>
      <c r="M516" t="str">
        <f>IF(Table1[[#This Row],[delayed]]=1,"Delayed","On Time")</f>
        <v>On Time</v>
      </c>
      <c r="N516" t="str">
        <f>IF(AND(Table1[[#This Row],[delayed]]=1,Table1[[#This Row],[weather_condition]]="Storm"),"High Risk", IF(Table1[[#This Row],[delayed]]=1,"Medium Risk","Low Risk"))</f>
        <v>Low Risk</v>
      </c>
    </row>
    <row r="517" spans="1:14" x14ac:dyDescent="0.35">
      <c r="A517">
        <v>516</v>
      </c>
      <c r="B517" s="1">
        <v>44948.458333333336</v>
      </c>
      <c r="C517" s="2">
        <v>5.7638888888888885E-2</v>
      </c>
      <c r="D517" s="3">
        <v>3168</v>
      </c>
      <c r="E517" s="3">
        <v>145</v>
      </c>
      <c r="F517" s="2">
        <v>43.252777777777773</v>
      </c>
      <c r="G517" t="s">
        <v>2812</v>
      </c>
      <c r="H517" t="s">
        <v>2822</v>
      </c>
      <c r="I517" s="2">
        <v>2.7090277777777776</v>
      </c>
      <c r="J517" s="4" t="str">
        <f>IF(Table1[[#This Row],[processing_time_hours]]&gt;1.5,"Slow", "Fast")</f>
        <v>Slow</v>
      </c>
      <c r="K517" t="s">
        <v>2818</v>
      </c>
      <c r="L517" s="3">
        <v>1</v>
      </c>
      <c r="M517" t="str">
        <f>IF(Table1[[#This Row],[delayed]]=1,"Delayed","On Time")</f>
        <v>Delayed</v>
      </c>
      <c r="N517" t="str">
        <f>IF(AND(Table1[[#This Row],[delayed]]=1,Table1[[#This Row],[weather_condition]]="Storm"),"High Risk", IF(Table1[[#This Row],[delayed]]=1,"Medium Risk","Low Risk"))</f>
        <v>Medium Risk</v>
      </c>
    </row>
    <row r="518" spans="1:14" x14ac:dyDescent="0.35">
      <c r="A518">
        <v>517</v>
      </c>
      <c r="B518" s="1">
        <v>44948.5</v>
      </c>
      <c r="C518" s="2">
        <v>6.7361111111111108E-2</v>
      </c>
      <c r="D518" s="3">
        <v>4197</v>
      </c>
      <c r="E518" s="3">
        <v>329</v>
      </c>
      <c r="F518" s="2">
        <v>79.461111111111109</v>
      </c>
      <c r="G518" t="s">
        <v>2815</v>
      </c>
      <c r="H518" t="s">
        <v>2813</v>
      </c>
      <c r="I518" s="2">
        <v>0.96388888888888891</v>
      </c>
      <c r="J518" s="4" t="str">
        <f>IF(Table1[[#This Row],[processing_time_hours]]&gt;1.5,"Slow", "Fast")</f>
        <v>Fast</v>
      </c>
      <c r="K518" t="s">
        <v>2814</v>
      </c>
      <c r="L518" s="3">
        <v>1</v>
      </c>
      <c r="M518" t="str">
        <f>IF(Table1[[#This Row],[delayed]]=1,"Delayed","On Time")</f>
        <v>Delayed</v>
      </c>
      <c r="N518" t="str">
        <f>IF(AND(Table1[[#This Row],[delayed]]=1,Table1[[#This Row],[weather_condition]]="Storm"),"High Risk", IF(Table1[[#This Row],[delayed]]=1,"Medium Risk","Low Risk"))</f>
        <v>Medium Risk</v>
      </c>
    </row>
    <row r="519" spans="1:14" x14ac:dyDescent="0.35">
      <c r="A519">
        <v>518</v>
      </c>
      <c r="B519" s="1">
        <v>44948.541666666664</v>
      </c>
      <c r="C519" s="2">
        <v>6.5972222222222224E-2</v>
      </c>
      <c r="D519" s="3">
        <v>1745</v>
      </c>
      <c r="E519" s="3">
        <v>303</v>
      </c>
      <c r="F519" s="2">
        <v>73.71041666666666</v>
      </c>
      <c r="G519" t="s">
        <v>2816</v>
      </c>
      <c r="H519" t="s">
        <v>2817</v>
      </c>
      <c r="I519" s="2">
        <v>2.7979166666666671</v>
      </c>
      <c r="J519" s="4" t="str">
        <f>IF(Table1[[#This Row],[processing_time_hours]]&gt;1.5,"Slow", "Fast")</f>
        <v>Slow</v>
      </c>
      <c r="K519" t="s">
        <v>2818</v>
      </c>
      <c r="L519" s="3">
        <v>1</v>
      </c>
      <c r="M519" t="str">
        <f>IF(Table1[[#This Row],[delayed]]=1,"Delayed","On Time")</f>
        <v>Delayed</v>
      </c>
      <c r="N519" t="str">
        <f>IF(AND(Table1[[#This Row],[delayed]]=1,Table1[[#This Row],[weather_condition]]="Storm"),"High Risk", IF(Table1[[#This Row],[delayed]]=1,"Medium Risk","Low Risk"))</f>
        <v>High Risk</v>
      </c>
    </row>
    <row r="520" spans="1:14" x14ac:dyDescent="0.35">
      <c r="A520">
        <v>519</v>
      </c>
      <c r="B520" s="1">
        <v>44948.583333333336</v>
      </c>
      <c r="C520" s="2">
        <v>5.2083333333333336E-2</v>
      </c>
      <c r="D520" s="3">
        <v>3856</v>
      </c>
      <c r="E520" s="3">
        <v>17</v>
      </c>
      <c r="F520" s="2">
        <v>49.835416666666667</v>
      </c>
      <c r="G520" t="s">
        <v>2819</v>
      </c>
      <c r="H520" t="s">
        <v>2813</v>
      </c>
      <c r="I520" s="2">
        <v>0.17013888888888887</v>
      </c>
      <c r="J520" s="4" t="str">
        <f>IF(Table1[[#This Row],[processing_time_hours]]&gt;1.5,"Slow", "Fast")</f>
        <v>Fast</v>
      </c>
      <c r="K520" t="s">
        <v>2814</v>
      </c>
      <c r="L520" s="3">
        <v>0</v>
      </c>
      <c r="M520" t="str">
        <f>IF(Table1[[#This Row],[delayed]]=1,"Delayed","On Time")</f>
        <v>On Time</v>
      </c>
      <c r="N520" t="str">
        <f>IF(AND(Table1[[#This Row],[delayed]]=1,Table1[[#This Row],[weather_condition]]="Storm"),"High Risk", IF(Table1[[#This Row],[delayed]]=1,"Medium Risk","Low Risk"))</f>
        <v>Low Risk</v>
      </c>
    </row>
    <row r="521" spans="1:14" x14ac:dyDescent="0.35">
      <c r="A521">
        <v>520</v>
      </c>
      <c r="B521" s="1">
        <v>44948.625</v>
      </c>
      <c r="C521" s="2">
        <v>4.5138888888888888E-2</v>
      </c>
      <c r="D521" s="3">
        <v>4790</v>
      </c>
      <c r="E521" s="3">
        <v>49</v>
      </c>
      <c r="F521" s="2">
        <v>53.668055555555554</v>
      </c>
      <c r="G521" t="s">
        <v>2816</v>
      </c>
      <c r="H521" t="s">
        <v>2820</v>
      </c>
      <c r="I521" s="2">
        <v>1.4166666666666667</v>
      </c>
      <c r="J521" s="4" t="str">
        <f>IF(Table1[[#This Row],[processing_time_hours]]&gt;1.5,"Slow", "Fast")</f>
        <v>Fast</v>
      </c>
      <c r="K521" t="s">
        <v>2818</v>
      </c>
      <c r="L521" s="3">
        <v>0</v>
      </c>
      <c r="M521" t="str">
        <f>IF(Table1[[#This Row],[delayed]]=1,"Delayed","On Time")</f>
        <v>On Time</v>
      </c>
      <c r="N521" t="str">
        <f>IF(AND(Table1[[#This Row],[delayed]]=1,Table1[[#This Row],[weather_condition]]="Storm"),"High Risk", IF(Table1[[#This Row],[delayed]]=1,"Medium Risk","Low Risk"))</f>
        <v>Low Risk</v>
      </c>
    </row>
    <row r="522" spans="1:14" x14ac:dyDescent="0.35">
      <c r="A522">
        <v>521</v>
      </c>
      <c r="B522" s="1">
        <v>44948.666666666664</v>
      </c>
      <c r="C522" s="2">
        <v>5.8333333333333327E-2</v>
      </c>
      <c r="D522" s="3">
        <v>2562</v>
      </c>
      <c r="E522" s="3">
        <v>97</v>
      </c>
      <c r="F522" s="2">
        <v>48.918055555555554</v>
      </c>
      <c r="G522" t="s">
        <v>2816</v>
      </c>
      <c r="H522" t="s">
        <v>2822</v>
      </c>
      <c r="I522" s="2">
        <v>2.879861111111111</v>
      </c>
      <c r="J522" s="4" t="str">
        <f>IF(Table1[[#This Row],[processing_time_hours]]&gt;1.5,"Slow", "Fast")</f>
        <v>Slow</v>
      </c>
      <c r="K522" t="s">
        <v>2821</v>
      </c>
      <c r="L522" s="3">
        <v>0</v>
      </c>
      <c r="M522" t="str">
        <f>IF(Table1[[#This Row],[delayed]]=1,"Delayed","On Time")</f>
        <v>On Time</v>
      </c>
      <c r="N522" t="str">
        <f>IF(AND(Table1[[#This Row],[delayed]]=1,Table1[[#This Row],[weather_condition]]="Storm"),"High Risk", IF(Table1[[#This Row],[delayed]]=1,"Medium Risk","Low Risk"))</f>
        <v>Low Risk</v>
      </c>
    </row>
    <row r="523" spans="1:14" x14ac:dyDescent="0.35">
      <c r="A523">
        <v>522</v>
      </c>
      <c r="B523" s="1">
        <v>44948.708333333336</v>
      </c>
      <c r="C523" s="2">
        <v>5.0694444444444438E-2</v>
      </c>
      <c r="D523" s="3">
        <v>667</v>
      </c>
      <c r="E523" s="3">
        <v>140</v>
      </c>
      <c r="F523" s="2">
        <v>59.919444444444444</v>
      </c>
      <c r="G523" t="s">
        <v>2819</v>
      </c>
      <c r="H523" t="s">
        <v>2820</v>
      </c>
      <c r="I523" s="2">
        <v>0.1673611111111111</v>
      </c>
      <c r="J523" s="4" t="str">
        <f>IF(Table1[[#This Row],[processing_time_hours]]&gt;1.5,"Slow", "Fast")</f>
        <v>Fast</v>
      </c>
      <c r="K523" t="s">
        <v>2821</v>
      </c>
      <c r="L523" s="3">
        <v>0</v>
      </c>
      <c r="M523" t="str">
        <f>IF(Table1[[#This Row],[delayed]]=1,"Delayed","On Time")</f>
        <v>On Time</v>
      </c>
      <c r="N523" t="str">
        <f>IF(AND(Table1[[#This Row],[delayed]]=1,Table1[[#This Row],[weather_condition]]="Storm"),"High Risk", IF(Table1[[#This Row],[delayed]]=1,"Medium Risk","Low Risk"))</f>
        <v>Low Risk</v>
      </c>
    </row>
    <row r="524" spans="1:14" x14ac:dyDescent="0.35">
      <c r="A524">
        <v>523</v>
      </c>
      <c r="B524" s="1">
        <v>44948.75</v>
      </c>
      <c r="C524" s="2">
        <v>4.1666666666666666E-3</v>
      </c>
      <c r="D524" s="3">
        <v>2884</v>
      </c>
      <c r="E524" s="3">
        <v>202</v>
      </c>
      <c r="F524" s="2">
        <v>18.377083333333335</v>
      </c>
      <c r="G524" t="s">
        <v>2819</v>
      </c>
      <c r="H524" t="s">
        <v>2813</v>
      </c>
      <c r="I524" s="2">
        <v>0.25486111111111109</v>
      </c>
      <c r="J524" s="4" t="str">
        <f>IF(Table1[[#This Row],[processing_time_hours]]&gt;1.5,"Slow", "Fast")</f>
        <v>Fast</v>
      </c>
      <c r="K524" t="s">
        <v>2814</v>
      </c>
      <c r="L524" s="3">
        <v>1</v>
      </c>
      <c r="M524" t="str">
        <f>IF(Table1[[#This Row],[delayed]]=1,"Delayed","On Time")</f>
        <v>Delayed</v>
      </c>
      <c r="N524" t="str">
        <f>IF(AND(Table1[[#This Row],[delayed]]=1,Table1[[#This Row],[weather_condition]]="Storm"),"High Risk", IF(Table1[[#This Row],[delayed]]=1,"Medium Risk","Low Risk"))</f>
        <v>Medium Risk</v>
      </c>
    </row>
    <row r="525" spans="1:14" x14ac:dyDescent="0.35">
      <c r="A525">
        <v>524</v>
      </c>
      <c r="B525" s="1">
        <v>44948.791666666664</v>
      </c>
      <c r="C525" s="2">
        <v>6.8749999999999992E-2</v>
      </c>
      <c r="D525" s="3">
        <v>2615</v>
      </c>
      <c r="E525" s="3">
        <v>313</v>
      </c>
      <c r="F525" s="2">
        <v>23.792361111111109</v>
      </c>
      <c r="G525" t="s">
        <v>2816</v>
      </c>
      <c r="H525" t="s">
        <v>2817</v>
      </c>
      <c r="I525" s="2">
        <v>1.8333333333333333</v>
      </c>
      <c r="J525" s="4" t="str">
        <f>IF(Table1[[#This Row],[processing_time_hours]]&gt;1.5,"Slow", "Fast")</f>
        <v>Slow</v>
      </c>
      <c r="K525" t="s">
        <v>2814</v>
      </c>
      <c r="L525" s="3">
        <v>0</v>
      </c>
      <c r="M525" t="str">
        <f>IF(Table1[[#This Row],[delayed]]=1,"Delayed","On Time")</f>
        <v>On Time</v>
      </c>
      <c r="N525" t="str">
        <f>IF(AND(Table1[[#This Row],[delayed]]=1,Table1[[#This Row],[weather_condition]]="Storm"),"High Risk", IF(Table1[[#This Row],[delayed]]=1,"Medium Risk","Low Risk"))</f>
        <v>Low Risk</v>
      </c>
    </row>
    <row r="526" spans="1:14" x14ac:dyDescent="0.35">
      <c r="A526">
        <v>525</v>
      </c>
      <c r="B526" s="1">
        <v>44948.833333333336</v>
      </c>
      <c r="C526" s="2">
        <v>6.8749999999999992E-2</v>
      </c>
      <c r="D526" s="3">
        <v>3285</v>
      </c>
      <c r="E526" s="3">
        <v>129</v>
      </c>
      <c r="F526" s="2">
        <v>10.25625</v>
      </c>
      <c r="G526" t="s">
        <v>2816</v>
      </c>
      <c r="H526" t="s">
        <v>2813</v>
      </c>
      <c r="I526" s="2">
        <v>0.87638888888888899</v>
      </c>
      <c r="J526" s="4" t="str">
        <f>IF(Table1[[#This Row],[processing_time_hours]]&gt;1.5,"Slow", "Fast")</f>
        <v>Fast</v>
      </c>
      <c r="K526" t="s">
        <v>2818</v>
      </c>
      <c r="L526" s="3">
        <v>0</v>
      </c>
      <c r="M526" t="str">
        <f>IF(Table1[[#This Row],[delayed]]=1,"Delayed","On Time")</f>
        <v>On Time</v>
      </c>
      <c r="N526" t="str">
        <f>IF(AND(Table1[[#This Row],[delayed]]=1,Table1[[#This Row],[weather_condition]]="Storm"),"High Risk", IF(Table1[[#This Row],[delayed]]=1,"Medium Risk","Low Risk"))</f>
        <v>Low Risk</v>
      </c>
    </row>
    <row r="527" spans="1:14" x14ac:dyDescent="0.35">
      <c r="A527">
        <v>526</v>
      </c>
      <c r="B527" s="1">
        <v>44948.875</v>
      </c>
      <c r="C527" s="2">
        <v>5.6250000000000001E-2</v>
      </c>
      <c r="D527" s="3">
        <v>842</v>
      </c>
      <c r="E527" s="3">
        <v>116</v>
      </c>
      <c r="F527" s="2">
        <v>39.297916666666666</v>
      </c>
      <c r="G527" t="s">
        <v>2816</v>
      </c>
      <c r="H527" t="s">
        <v>2820</v>
      </c>
      <c r="I527" s="2">
        <v>1.7097222222222221</v>
      </c>
      <c r="J527" s="4" t="str">
        <f>IF(Table1[[#This Row],[processing_time_hours]]&gt;1.5,"Slow", "Fast")</f>
        <v>Slow</v>
      </c>
      <c r="K527" t="s">
        <v>2818</v>
      </c>
      <c r="L527" s="3">
        <v>0</v>
      </c>
      <c r="M527" t="str">
        <f>IF(Table1[[#This Row],[delayed]]=1,"Delayed","On Time")</f>
        <v>On Time</v>
      </c>
      <c r="N527" t="str">
        <f>IF(AND(Table1[[#This Row],[delayed]]=1,Table1[[#This Row],[weather_condition]]="Storm"),"High Risk", IF(Table1[[#This Row],[delayed]]=1,"Medium Risk","Low Risk"))</f>
        <v>Low Risk</v>
      </c>
    </row>
    <row r="528" spans="1:14" x14ac:dyDescent="0.35">
      <c r="A528">
        <v>527</v>
      </c>
      <c r="B528" s="1">
        <v>44948.916666666664</v>
      </c>
      <c r="C528" s="2">
        <v>5.9027777777777783E-2</v>
      </c>
      <c r="D528" s="3">
        <v>3495</v>
      </c>
      <c r="E528" s="3">
        <v>131</v>
      </c>
      <c r="F528" s="2">
        <v>12.127777777777778</v>
      </c>
      <c r="G528" t="s">
        <v>2819</v>
      </c>
      <c r="H528" t="s">
        <v>2820</v>
      </c>
      <c r="I528" s="2">
        <v>2.9624999999999999</v>
      </c>
      <c r="J528" s="4" t="str">
        <f>IF(Table1[[#This Row],[processing_time_hours]]&gt;1.5,"Slow", "Fast")</f>
        <v>Slow</v>
      </c>
      <c r="K528" t="s">
        <v>2821</v>
      </c>
      <c r="L528" s="3">
        <v>0</v>
      </c>
      <c r="M528" t="str">
        <f>IF(Table1[[#This Row],[delayed]]=1,"Delayed","On Time")</f>
        <v>On Time</v>
      </c>
      <c r="N528" t="str">
        <f>IF(AND(Table1[[#This Row],[delayed]]=1,Table1[[#This Row],[weather_condition]]="Storm"),"High Risk", IF(Table1[[#This Row],[delayed]]=1,"Medium Risk","Low Risk"))</f>
        <v>Low Risk</v>
      </c>
    </row>
    <row r="529" spans="1:14" x14ac:dyDescent="0.35">
      <c r="A529">
        <v>528</v>
      </c>
      <c r="B529" s="1">
        <v>44948.958333333336</v>
      </c>
      <c r="C529" s="2">
        <v>6.0416666666666667E-2</v>
      </c>
      <c r="D529" s="3">
        <v>1367</v>
      </c>
      <c r="E529" s="3">
        <v>181</v>
      </c>
      <c r="F529" s="2">
        <v>36.170833333333334</v>
      </c>
      <c r="G529" t="s">
        <v>2815</v>
      </c>
      <c r="H529" t="s">
        <v>2817</v>
      </c>
      <c r="I529" s="2">
        <v>2.1708333333333334</v>
      </c>
      <c r="J529" s="4" t="str">
        <f>IF(Table1[[#This Row],[processing_time_hours]]&gt;1.5,"Slow", "Fast")</f>
        <v>Slow</v>
      </c>
      <c r="K529" t="s">
        <v>2818</v>
      </c>
      <c r="L529" s="3">
        <v>0</v>
      </c>
      <c r="M529" t="str">
        <f>IF(Table1[[#This Row],[delayed]]=1,"Delayed","On Time")</f>
        <v>On Time</v>
      </c>
      <c r="N529" t="str">
        <f>IF(AND(Table1[[#This Row],[delayed]]=1,Table1[[#This Row],[weather_condition]]="Storm"),"High Risk", IF(Table1[[#This Row],[delayed]]=1,"Medium Risk","Low Risk"))</f>
        <v>Low Risk</v>
      </c>
    </row>
    <row r="530" spans="1:14" x14ac:dyDescent="0.35">
      <c r="A530">
        <v>529</v>
      </c>
      <c r="B530" s="1">
        <v>44949</v>
      </c>
      <c r="C530" s="2">
        <v>6.7361111111111108E-2</v>
      </c>
      <c r="D530" s="3">
        <v>2616</v>
      </c>
      <c r="E530" s="3">
        <v>168</v>
      </c>
      <c r="F530" s="2">
        <v>55.378472222222221</v>
      </c>
      <c r="G530" t="s">
        <v>2815</v>
      </c>
      <c r="H530" t="s">
        <v>2817</v>
      </c>
      <c r="I530" s="2">
        <v>2.5479166666666666</v>
      </c>
      <c r="J530" s="4" t="str">
        <f>IF(Table1[[#This Row],[processing_time_hours]]&gt;1.5,"Slow", "Fast")</f>
        <v>Slow</v>
      </c>
      <c r="K530" t="s">
        <v>2818</v>
      </c>
      <c r="L530" s="3">
        <v>0</v>
      </c>
      <c r="M530" t="str">
        <f>IF(Table1[[#This Row],[delayed]]=1,"Delayed","On Time")</f>
        <v>On Time</v>
      </c>
      <c r="N530" t="str">
        <f>IF(AND(Table1[[#This Row],[delayed]]=1,Table1[[#This Row],[weather_condition]]="Storm"),"High Risk", IF(Table1[[#This Row],[delayed]]=1,"Medium Risk","Low Risk"))</f>
        <v>Low Risk</v>
      </c>
    </row>
    <row r="531" spans="1:14" x14ac:dyDescent="0.35">
      <c r="A531">
        <v>530</v>
      </c>
      <c r="B531" s="1">
        <v>44949.041666666664</v>
      </c>
      <c r="C531" s="2">
        <v>5.486111111111111E-2</v>
      </c>
      <c r="D531" s="3">
        <v>3874</v>
      </c>
      <c r="E531" s="3">
        <v>41</v>
      </c>
      <c r="F531" s="2">
        <v>38.418749999999996</v>
      </c>
      <c r="G531" t="s">
        <v>2812</v>
      </c>
      <c r="H531" t="s">
        <v>2813</v>
      </c>
      <c r="I531" s="2">
        <v>1.5451388888888891</v>
      </c>
      <c r="J531" s="4" t="str">
        <f>IF(Table1[[#This Row],[processing_time_hours]]&gt;1.5,"Slow", "Fast")</f>
        <v>Slow</v>
      </c>
      <c r="K531" t="s">
        <v>2821</v>
      </c>
      <c r="L531" s="3">
        <v>1</v>
      </c>
      <c r="M531" t="str">
        <f>IF(Table1[[#This Row],[delayed]]=1,"Delayed","On Time")</f>
        <v>Delayed</v>
      </c>
      <c r="N531" t="str">
        <f>IF(AND(Table1[[#This Row],[delayed]]=1,Table1[[#This Row],[weather_condition]]="Storm"),"High Risk", IF(Table1[[#This Row],[delayed]]=1,"Medium Risk","Low Risk"))</f>
        <v>Medium Risk</v>
      </c>
    </row>
    <row r="532" spans="1:14" x14ac:dyDescent="0.35">
      <c r="A532">
        <v>531</v>
      </c>
      <c r="B532" s="1">
        <v>44949.083333333336</v>
      </c>
      <c r="C532" s="2">
        <v>5.7638888888888885E-2</v>
      </c>
      <c r="D532" s="3">
        <v>3854</v>
      </c>
      <c r="E532" s="3">
        <v>473</v>
      </c>
      <c r="F532" s="2">
        <v>74.46319444444444</v>
      </c>
      <c r="G532" t="s">
        <v>2819</v>
      </c>
      <c r="H532" t="s">
        <v>2817</v>
      </c>
      <c r="I532" s="2">
        <v>0.79236111111111107</v>
      </c>
      <c r="J532" s="4" t="str">
        <f>IF(Table1[[#This Row],[processing_time_hours]]&gt;1.5,"Slow", "Fast")</f>
        <v>Fast</v>
      </c>
      <c r="K532" t="s">
        <v>2821</v>
      </c>
      <c r="L532" s="3">
        <v>0</v>
      </c>
      <c r="M532" t="str">
        <f>IF(Table1[[#This Row],[delayed]]=1,"Delayed","On Time")</f>
        <v>On Time</v>
      </c>
      <c r="N532" t="str">
        <f>IF(AND(Table1[[#This Row],[delayed]]=1,Table1[[#This Row],[weather_condition]]="Storm"),"High Risk", IF(Table1[[#This Row],[delayed]]=1,"Medium Risk","Low Risk"))</f>
        <v>Low Risk</v>
      </c>
    </row>
    <row r="533" spans="1:14" x14ac:dyDescent="0.35">
      <c r="A533">
        <v>532</v>
      </c>
      <c r="B533" s="1">
        <v>44949.125</v>
      </c>
      <c r="C533" s="2">
        <v>4.7916666666666663E-2</v>
      </c>
      <c r="D533" s="3">
        <v>4674</v>
      </c>
      <c r="E533" s="3">
        <v>69</v>
      </c>
      <c r="F533" s="2">
        <v>11.380555555555555</v>
      </c>
      <c r="G533" t="s">
        <v>2812</v>
      </c>
      <c r="H533" t="s">
        <v>2822</v>
      </c>
      <c r="I533" s="2">
        <v>1.9208333333333334</v>
      </c>
      <c r="J533" s="4" t="str">
        <f>IF(Table1[[#This Row],[processing_time_hours]]&gt;1.5,"Slow", "Fast")</f>
        <v>Slow</v>
      </c>
      <c r="K533" t="s">
        <v>2821</v>
      </c>
      <c r="L533" s="3">
        <v>0</v>
      </c>
      <c r="M533" t="str">
        <f>IF(Table1[[#This Row],[delayed]]=1,"Delayed","On Time")</f>
        <v>On Time</v>
      </c>
      <c r="N533" t="str">
        <f>IF(AND(Table1[[#This Row],[delayed]]=1,Table1[[#This Row],[weather_condition]]="Storm"),"High Risk", IF(Table1[[#This Row],[delayed]]=1,"Medium Risk","Low Risk"))</f>
        <v>Low Risk</v>
      </c>
    </row>
    <row r="534" spans="1:14" x14ac:dyDescent="0.35">
      <c r="A534">
        <v>533</v>
      </c>
      <c r="B534" s="1">
        <v>44949.166666666664</v>
      </c>
      <c r="C534" s="2">
        <v>4.8611111111111112E-3</v>
      </c>
      <c r="D534" s="3">
        <v>2669</v>
      </c>
      <c r="E534" s="3">
        <v>277</v>
      </c>
      <c r="F534" s="2">
        <v>33.461111111111116</v>
      </c>
      <c r="G534" t="s">
        <v>2816</v>
      </c>
      <c r="H534" t="s">
        <v>2813</v>
      </c>
      <c r="I534" s="2">
        <v>0.83333333333333337</v>
      </c>
      <c r="J534" s="4" t="str">
        <f>IF(Table1[[#This Row],[processing_time_hours]]&gt;1.5,"Slow", "Fast")</f>
        <v>Fast</v>
      </c>
      <c r="K534" t="s">
        <v>2821</v>
      </c>
      <c r="L534" s="3">
        <v>1</v>
      </c>
      <c r="M534" t="str">
        <f>IF(Table1[[#This Row],[delayed]]=1,"Delayed","On Time")</f>
        <v>Delayed</v>
      </c>
      <c r="N534" t="str">
        <f>IF(AND(Table1[[#This Row],[delayed]]=1,Table1[[#This Row],[weather_condition]]="Storm"),"High Risk", IF(Table1[[#This Row],[delayed]]=1,"Medium Risk","Low Risk"))</f>
        <v>Medium Risk</v>
      </c>
    </row>
    <row r="535" spans="1:14" x14ac:dyDescent="0.35">
      <c r="A535">
        <v>534</v>
      </c>
      <c r="B535" s="1">
        <v>44949.208333333336</v>
      </c>
      <c r="C535" s="2">
        <v>5.6250000000000001E-2</v>
      </c>
      <c r="D535" s="3">
        <v>1148</v>
      </c>
      <c r="E535" s="3">
        <v>63</v>
      </c>
      <c r="F535" s="2">
        <v>81.169444444444437</v>
      </c>
      <c r="G535" t="s">
        <v>2812</v>
      </c>
      <c r="H535" t="s">
        <v>2820</v>
      </c>
      <c r="I535" s="2">
        <v>2.7937499999999997</v>
      </c>
      <c r="J535" s="4" t="str">
        <f>IF(Table1[[#This Row],[processing_time_hours]]&gt;1.5,"Slow", "Fast")</f>
        <v>Slow</v>
      </c>
      <c r="K535" t="s">
        <v>2821</v>
      </c>
      <c r="L535" s="3">
        <v>0</v>
      </c>
      <c r="M535" t="str">
        <f>IF(Table1[[#This Row],[delayed]]=1,"Delayed","On Time")</f>
        <v>On Time</v>
      </c>
      <c r="N535" t="str">
        <f>IF(AND(Table1[[#This Row],[delayed]]=1,Table1[[#This Row],[weather_condition]]="Storm"),"High Risk", IF(Table1[[#This Row],[delayed]]=1,"Medium Risk","Low Risk"))</f>
        <v>Low Risk</v>
      </c>
    </row>
    <row r="536" spans="1:14" x14ac:dyDescent="0.35">
      <c r="A536">
        <v>535</v>
      </c>
      <c r="B536" s="1">
        <v>44949.25</v>
      </c>
      <c r="C536" s="2">
        <v>4.7916666666666663E-2</v>
      </c>
      <c r="D536" s="3">
        <v>4446</v>
      </c>
      <c r="E536" s="3">
        <v>381</v>
      </c>
      <c r="F536" s="2">
        <v>11.50625</v>
      </c>
      <c r="G536" t="s">
        <v>2815</v>
      </c>
      <c r="H536" t="s">
        <v>2813</v>
      </c>
      <c r="I536" s="2">
        <v>2.875</v>
      </c>
      <c r="J536" s="4" t="str">
        <f>IF(Table1[[#This Row],[processing_time_hours]]&gt;1.5,"Slow", "Fast")</f>
        <v>Slow</v>
      </c>
      <c r="K536" t="s">
        <v>2821</v>
      </c>
      <c r="L536" s="3">
        <v>0</v>
      </c>
      <c r="M536" t="str">
        <f>IF(Table1[[#This Row],[delayed]]=1,"Delayed","On Time")</f>
        <v>On Time</v>
      </c>
      <c r="N536" t="str">
        <f>IF(AND(Table1[[#This Row],[delayed]]=1,Table1[[#This Row],[weather_condition]]="Storm"),"High Risk", IF(Table1[[#This Row],[delayed]]=1,"Medium Risk","Low Risk"))</f>
        <v>Low Risk</v>
      </c>
    </row>
    <row r="537" spans="1:14" x14ac:dyDescent="0.35">
      <c r="A537">
        <v>536</v>
      </c>
      <c r="B537" s="1">
        <v>44949.291666666664</v>
      </c>
      <c r="C537" s="2">
        <v>4.2361111111111106E-2</v>
      </c>
      <c r="D537" s="3">
        <v>3473</v>
      </c>
      <c r="E537" s="3">
        <v>118</v>
      </c>
      <c r="F537" s="2">
        <v>47.084722222222219</v>
      </c>
      <c r="G537" t="s">
        <v>2819</v>
      </c>
      <c r="H537" t="s">
        <v>2822</v>
      </c>
      <c r="I537" s="2">
        <v>2.838888888888889</v>
      </c>
      <c r="J537" s="4" t="str">
        <f>IF(Table1[[#This Row],[processing_time_hours]]&gt;1.5,"Slow", "Fast")</f>
        <v>Slow</v>
      </c>
      <c r="K537" t="s">
        <v>2821</v>
      </c>
      <c r="L537" s="3">
        <v>0</v>
      </c>
      <c r="M537" t="str">
        <f>IF(Table1[[#This Row],[delayed]]=1,"Delayed","On Time")</f>
        <v>On Time</v>
      </c>
      <c r="N537" t="str">
        <f>IF(AND(Table1[[#This Row],[delayed]]=1,Table1[[#This Row],[weather_condition]]="Storm"),"High Risk", IF(Table1[[#This Row],[delayed]]=1,"Medium Risk","Low Risk"))</f>
        <v>Low Risk</v>
      </c>
    </row>
    <row r="538" spans="1:14" x14ac:dyDescent="0.35">
      <c r="A538">
        <v>537</v>
      </c>
      <c r="B538" s="1">
        <v>44949.333333333336</v>
      </c>
      <c r="C538" s="2">
        <v>5.2083333333333336E-2</v>
      </c>
      <c r="D538" s="3">
        <v>2421</v>
      </c>
      <c r="E538" s="3">
        <v>17</v>
      </c>
      <c r="F538" s="2">
        <v>45.547222222222224</v>
      </c>
      <c r="G538" t="s">
        <v>2815</v>
      </c>
      <c r="H538" t="s">
        <v>2813</v>
      </c>
      <c r="I538" s="2">
        <v>2.0874999999999999</v>
      </c>
      <c r="J538" s="4" t="str">
        <f>IF(Table1[[#This Row],[processing_time_hours]]&gt;1.5,"Slow", "Fast")</f>
        <v>Slow</v>
      </c>
      <c r="K538" t="s">
        <v>2821</v>
      </c>
      <c r="L538" s="3">
        <v>0</v>
      </c>
      <c r="M538" t="str">
        <f>IF(Table1[[#This Row],[delayed]]=1,"Delayed","On Time")</f>
        <v>On Time</v>
      </c>
      <c r="N538" t="str">
        <f>IF(AND(Table1[[#This Row],[delayed]]=1,Table1[[#This Row],[weather_condition]]="Storm"),"High Risk", IF(Table1[[#This Row],[delayed]]=1,"Medium Risk","Low Risk"))</f>
        <v>Low Risk</v>
      </c>
    </row>
    <row r="539" spans="1:14" x14ac:dyDescent="0.35">
      <c r="A539">
        <v>538</v>
      </c>
      <c r="B539" s="1">
        <v>44949.375</v>
      </c>
      <c r="C539" s="2">
        <v>6.2499999999999995E-3</v>
      </c>
      <c r="D539" s="3">
        <v>1363</v>
      </c>
      <c r="E539" s="3">
        <v>145</v>
      </c>
      <c r="F539" s="2">
        <v>76.836111111111109</v>
      </c>
      <c r="G539" t="s">
        <v>2816</v>
      </c>
      <c r="H539" t="s">
        <v>2822</v>
      </c>
      <c r="I539" s="2">
        <v>0.54375000000000007</v>
      </c>
      <c r="J539" s="4" t="str">
        <f>IF(Table1[[#This Row],[processing_time_hours]]&gt;1.5,"Slow", "Fast")</f>
        <v>Fast</v>
      </c>
      <c r="K539" t="s">
        <v>2814</v>
      </c>
      <c r="L539" s="3">
        <v>0</v>
      </c>
      <c r="M539" t="str">
        <f>IF(Table1[[#This Row],[delayed]]=1,"Delayed","On Time")</f>
        <v>On Time</v>
      </c>
      <c r="N539" t="str">
        <f>IF(AND(Table1[[#This Row],[delayed]]=1,Table1[[#This Row],[weather_condition]]="Storm"),"High Risk", IF(Table1[[#This Row],[delayed]]=1,"Medium Risk","Low Risk"))</f>
        <v>Low Risk</v>
      </c>
    </row>
    <row r="540" spans="1:14" x14ac:dyDescent="0.35">
      <c r="A540">
        <v>539</v>
      </c>
      <c r="B540" s="1">
        <v>44949.416666666664</v>
      </c>
      <c r="C540" s="2">
        <v>4.9305555555555554E-2</v>
      </c>
      <c r="D540" s="3">
        <v>1549</v>
      </c>
      <c r="E540" s="3">
        <v>285</v>
      </c>
      <c r="F540" s="2">
        <v>72.25555555555556</v>
      </c>
      <c r="G540" t="s">
        <v>2816</v>
      </c>
      <c r="H540" t="s">
        <v>2820</v>
      </c>
      <c r="I540" s="2">
        <v>2.8340277777777776</v>
      </c>
      <c r="J540" s="4" t="str">
        <f>IF(Table1[[#This Row],[processing_time_hours]]&gt;1.5,"Slow", "Fast")</f>
        <v>Slow</v>
      </c>
      <c r="K540" t="s">
        <v>2821</v>
      </c>
      <c r="L540" s="3">
        <v>0</v>
      </c>
      <c r="M540" t="str">
        <f>IF(Table1[[#This Row],[delayed]]=1,"Delayed","On Time")</f>
        <v>On Time</v>
      </c>
      <c r="N540" t="str">
        <f>IF(AND(Table1[[#This Row],[delayed]]=1,Table1[[#This Row],[weather_condition]]="Storm"),"High Risk", IF(Table1[[#This Row],[delayed]]=1,"Medium Risk","Low Risk"))</f>
        <v>Low Risk</v>
      </c>
    </row>
    <row r="541" spans="1:14" x14ac:dyDescent="0.35">
      <c r="A541">
        <v>540</v>
      </c>
      <c r="B541" s="1">
        <v>44949.458333333336</v>
      </c>
      <c r="C541" s="2">
        <v>6.5972222222222224E-2</v>
      </c>
      <c r="D541" s="3">
        <v>2931</v>
      </c>
      <c r="E541" s="3">
        <v>152</v>
      </c>
      <c r="F541" s="2">
        <v>51.377083333333331</v>
      </c>
      <c r="G541" t="s">
        <v>2819</v>
      </c>
      <c r="H541" t="s">
        <v>2822</v>
      </c>
      <c r="I541" s="2">
        <v>0.33333333333333331</v>
      </c>
      <c r="J541" s="4" t="str">
        <f>IF(Table1[[#This Row],[processing_time_hours]]&gt;1.5,"Slow", "Fast")</f>
        <v>Fast</v>
      </c>
      <c r="K541" t="s">
        <v>2814</v>
      </c>
      <c r="L541" s="3">
        <v>1</v>
      </c>
      <c r="M541" t="str">
        <f>IF(Table1[[#This Row],[delayed]]=1,"Delayed","On Time")</f>
        <v>Delayed</v>
      </c>
      <c r="N541" t="str">
        <f>IF(AND(Table1[[#This Row],[delayed]]=1,Table1[[#This Row],[weather_condition]]="Storm"),"High Risk", IF(Table1[[#This Row],[delayed]]=1,"Medium Risk","Low Risk"))</f>
        <v>Medium Risk</v>
      </c>
    </row>
    <row r="542" spans="1:14" x14ac:dyDescent="0.35">
      <c r="A542">
        <v>541</v>
      </c>
      <c r="B542" s="1">
        <v>44949.5</v>
      </c>
      <c r="C542" s="2">
        <v>6.1111111111111109E-2</v>
      </c>
      <c r="D542" s="3">
        <v>317</v>
      </c>
      <c r="E542" s="3">
        <v>22</v>
      </c>
      <c r="F542" s="2">
        <v>82.422916666666666</v>
      </c>
      <c r="G542" t="s">
        <v>2815</v>
      </c>
      <c r="H542" t="s">
        <v>2822</v>
      </c>
      <c r="I542" s="2">
        <v>1.2513888888888889</v>
      </c>
      <c r="J542" s="4" t="str">
        <f>IF(Table1[[#This Row],[processing_time_hours]]&gt;1.5,"Slow", "Fast")</f>
        <v>Fast</v>
      </c>
      <c r="K542" t="s">
        <v>2818</v>
      </c>
      <c r="L542" s="3">
        <v>0</v>
      </c>
      <c r="M542" t="str">
        <f>IF(Table1[[#This Row],[delayed]]=1,"Delayed","On Time")</f>
        <v>On Time</v>
      </c>
      <c r="N542" t="str">
        <f>IF(AND(Table1[[#This Row],[delayed]]=1,Table1[[#This Row],[weather_condition]]="Storm"),"High Risk", IF(Table1[[#This Row],[delayed]]=1,"Medium Risk","Low Risk"))</f>
        <v>Low Risk</v>
      </c>
    </row>
    <row r="543" spans="1:14" x14ac:dyDescent="0.35">
      <c r="A543">
        <v>542</v>
      </c>
      <c r="B543" s="1">
        <v>44949.541666666664</v>
      </c>
      <c r="C543" s="2">
        <v>5.9722222222222225E-2</v>
      </c>
      <c r="D543" s="3">
        <v>4407</v>
      </c>
      <c r="E543" s="3">
        <v>250</v>
      </c>
      <c r="F543" s="2">
        <v>10.168750000000001</v>
      </c>
      <c r="G543" t="s">
        <v>2815</v>
      </c>
      <c r="H543" t="s">
        <v>2817</v>
      </c>
      <c r="I543" s="2">
        <v>1.0458333333333334</v>
      </c>
      <c r="J543" s="4" t="str">
        <f>IF(Table1[[#This Row],[processing_time_hours]]&gt;1.5,"Slow", "Fast")</f>
        <v>Fast</v>
      </c>
      <c r="K543" t="s">
        <v>2821</v>
      </c>
      <c r="L543" s="3">
        <v>0</v>
      </c>
      <c r="M543" t="str">
        <f>IF(Table1[[#This Row],[delayed]]=1,"Delayed","On Time")</f>
        <v>On Time</v>
      </c>
      <c r="N543" t="str">
        <f>IF(AND(Table1[[#This Row],[delayed]]=1,Table1[[#This Row],[weather_condition]]="Storm"),"High Risk", IF(Table1[[#This Row],[delayed]]=1,"Medium Risk","Low Risk"))</f>
        <v>Low Risk</v>
      </c>
    </row>
    <row r="544" spans="1:14" x14ac:dyDescent="0.35">
      <c r="A544">
        <v>543</v>
      </c>
      <c r="B544" s="1">
        <v>44949.583333333336</v>
      </c>
      <c r="C544" s="2">
        <v>6.6666666666666666E-2</v>
      </c>
      <c r="D544" s="3">
        <v>163</v>
      </c>
      <c r="E544" s="3">
        <v>438</v>
      </c>
      <c r="F544" s="2">
        <v>58.462499999999999</v>
      </c>
      <c r="G544" t="s">
        <v>2812</v>
      </c>
      <c r="H544" t="s">
        <v>2817</v>
      </c>
      <c r="I544" s="2">
        <v>0.8340277777777777</v>
      </c>
      <c r="J544" s="4" t="str">
        <f>IF(Table1[[#This Row],[processing_time_hours]]&gt;1.5,"Slow", "Fast")</f>
        <v>Fast</v>
      </c>
      <c r="K544" t="s">
        <v>2814</v>
      </c>
      <c r="L544" s="3">
        <v>1</v>
      </c>
      <c r="M544" t="str">
        <f>IF(Table1[[#This Row],[delayed]]=1,"Delayed","On Time")</f>
        <v>Delayed</v>
      </c>
      <c r="N544" t="str">
        <f>IF(AND(Table1[[#This Row],[delayed]]=1,Table1[[#This Row],[weather_condition]]="Storm"),"High Risk", IF(Table1[[#This Row],[delayed]]=1,"Medium Risk","Low Risk"))</f>
        <v>High Risk</v>
      </c>
    </row>
    <row r="545" spans="1:14" x14ac:dyDescent="0.35">
      <c r="A545">
        <v>544</v>
      </c>
      <c r="B545" s="1">
        <v>44949.625</v>
      </c>
      <c r="C545" s="2">
        <v>4.3750000000000004E-2</v>
      </c>
      <c r="D545" s="3">
        <v>3887</v>
      </c>
      <c r="E545" s="3">
        <v>28</v>
      </c>
      <c r="F545" s="2">
        <v>61.25</v>
      </c>
      <c r="G545" t="s">
        <v>2816</v>
      </c>
      <c r="H545" t="s">
        <v>2822</v>
      </c>
      <c r="I545" s="2">
        <v>0.1673611111111111</v>
      </c>
      <c r="J545" s="4" t="str">
        <f>IF(Table1[[#This Row],[processing_time_hours]]&gt;1.5,"Slow", "Fast")</f>
        <v>Fast</v>
      </c>
      <c r="K545" t="s">
        <v>2814</v>
      </c>
      <c r="L545" s="3">
        <v>1</v>
      </c>
      <c r="M545" t="str">
        <f>IF(Table1[[#This Row],[delayed]]=1,"Delayed","On Time")</f>
        <v>Delayed</v>
      </c>
      <c r="N545" t="str">
        <f>IF(AND(Table1[[#This Row],[delayed]]=1,Table1[[#This Row],[weather_condition]]="Storm"),"High Risk", IF(Table1[[#This Row],[delayed]]=1,"Medium Risk","Low Risk"))</f>
        <v>Medium Risk</v>
      </c>
    </row>
    <row r="546" spans="1:14" x14ac:dyDescent="0.35">
      <c r="A546">
        <v>545</v>
      </c>
      <c r="B546" s="1">
        <v>44949.666666666664</v>
      </c>
      <c r="C546" s="2">
        <v>4.6527777777777779E-2</v>
      </c>
      <c r="D546" s="3">
        <v>3189</v>
      </c>
      <c r="E546" s="3">
        <v>140</v>
      </c>
      <c r="F546" s="2">
        <v>34.669444444444444</v>
      </c>
      <c r="G546" t="s">
        <v>2815</v>
      </c>
      <c r="H546" t="s">
        <v>2817</v>
      </c>
      <c r="I546" s="2">
        <v>1.1263888888888889</v>
      </c>
      <c r="J546" s="4" t="str">
        <f>IF(Table1[[#This Row],[processing_time_hours]]&gt;1.5,"Slow", "Fast")</f>
        <v>Fast</v>
      </c>
      <c r="K546" t="s">
        <v>2814</v>
      </c>
      <c r="L546" s="3">
        <v>0</v>
      </c>
      <c r="M546" t="str">
        <f>IF(Table1[[#This Row],[delayed]]=1,"Delayed","On Time")</f>
        <v>On Time</v>
      </c>
      <c r="N546" t="str">
        <f>IF(AND(Table1[[#This Row],[delayed]]=1,Table1[[#This Row],[weather_condition]]="Storm"),"High Risk", IF(Table1[[#This Row],[delayed]]=1,"Medium Risk","Low Risk"))</f>
        <v>Low Risk</v>
      </c>
    </row>
    <row r="547" spans="1:14" x14ac:dyDescent="0.35">
      <c r="A547">
        <v>546</v>
      </c>
      <c r="B547" s="1">
        <v>44949.708333333336</v>
      </c>
      <c r="C547" s="2">
        <v>6.6666666666666666E-2</v>
      </c>
      <c r="D547" s="3">
        <v>937</v>
      </c>
      <c r="E547" s="3">
        <v>203</v>
      </c>
      <c r="F547" s="2">
        <v>75.045138888888886</v>
      </c>
      <c r="G547" t="s">
        <v>2819</v>
      </c>
      <c r="H547" t="s">
        <v>2817</v>
      </c>
      <c r="I547" s="2">
        <v>0.37847222222222227</v>
      </c>
      <c r="J547" s="4" t="str">
        <f>IF(Table1[[#This Row],[processing_time_hours]]&gt;1.5,"Slow", "Fast")</f>
        <v>Fast</v>
      </c>
      <c r="K547" t="s">
        <v>2821</v>
      </c>
      <c r="L547" s="3">
        <v>1</v>
      </c>
      <c r="M547" t="str">
        <f>IF(Table1[[#This Row],[delayed]]=1,"Delayed","On Time")</f>
        <v>Delayed</v>
      </c>
      <c r="N547" t="str">
        <f>IF(AND(Table1[[#This Row],[delayed]]=1,Table1[[#This Row],[weather_condition]]="Storm"),"High Risk", IF(Table1[[#This Row],[delayed]]=1,"Medium Risk","Low Risk"))</f>
        <v>High Risk</v>
      </c>
    </row>
    <row r="548" spans="1:14" x14ac:dyDescent="0.35">
      <c r="A548">
        <v>547</v>
      </c>
      <c r="B548" s="1">
        <v>44949.75</v>
      </c>
      <c r="C548" s="2">
        <v>6.6666666666666666E-2</v>
      </c>
      <c r="D548" s="3">
        <v>3106</v>
      </c>
      <c r="E548" s="3">
        <v>247</v>
      </c>
      <c r="F548" s="2">
        <v>16.297916666666666</v>
      </c>
      <c r="G548" t="s">
        <v>2812</v>
      </c>
      <c r="H548" t="s">
        <v>2813</v>
      </c>
      <c r="I548" s="2">
        <v>0.17013888888888887</v>
      </c>
      <c r="J548" s="4" t="str">
        <f>IF(Table1[[#This Row],[processing_time_hours]]&gt;1.5,"Slow", "Fast")</f>
        <v>Fast</v>
      </c>
      <c r="K548" t="s">
        <v>2818</v>
      </c>
      <c r="L548" s="3">
        <v>1</v>
      </c>
      <c r="M548" t="str">
        <f>IF(Table1[[#This Row],[delayed]]=1,"Delayed","On Time")</f>
        <v>Delayed</v>
      </c>
      <c r="N548" t="str">
        <f>IF(AND(Table1[[#This Row],[delayed]]=1,Table1[[#This Row],[weather_condition]]="Storm"),"High Risk", IF(Table1[[#This Row],[delayed]]=1,"Medium Risk","Low Risk"))</f>
        <v>Medium Risk</v>
      </c>
    </row>
    <row r="549" spans="1:14" x14ac:dyDescent="0.35">
      <c r="A549">
        <v>548</v>
      </c>
      <c r="B549" s="1">
        <v>44949.791666666664</v>
      </c>
      <c r="C549" s="2">
        <v>4.3750000000000004E-2</v>
      </c>
      <c r="D549" s="3">
        <v>2994</v>
      </c>
      <c r="E549" s="3">
        <v>34</v>
      </c>
      <c r="F549" s="2">
        <v>1.2958333333333334</v>
      </c>
      <c r="G549" t="s">
        <v>2816</v>
      </c>
      <c r="H549" t="s">
        <v>2813</v>
      </c>
      <c r="I549" s="2">
        <v>2.6305555555555555</v>
      </c>
      <c r="J549" s="4" t="str">
        <f>IF(Table1[[#This Row],[processing_time_hours]]&gt;1.5,"Slow", "Fast")</f>
        <v>Slow</v>
      </c>
      <c r="K549" t="s">
        <v>2821</v>
      </c>
      <c r="L549" s="3">
        <v>1</v>
      </c>
      <c r="M549" t="str">
        <f>IF(Table1[[#This Row],[delayed]]=1,"Delayed","On Time")</f>
        <v>Delayed</v>
      </c>
      <c r="N549" t="str">
        <f>IF(AND(Table1[[#This Row],[delayed]]=1,Table1[[#This Row],[weather_condition]]="Storm"),"High Risk", IF(Table1[[#This Row],[delayed]]=1,"Medium Risk","Low Risk"))</f>
        <v>Medium Risk</v>
      </c>
    </row>
    <row r="550" spans="1:14" x14ac:dyDescent="0.35">
      <c r="A550">
        <v>549</v>
      </c>
      <c r="B550" s="1">
        <v>44949.833333333336</v>
      </c>
      <c r="C550" s="2">
        <v>6.3194444444444442E-2</v>
      </c>
      <c r="D550" s="3">
        <v>2682</v>
      </c>
      <c r="E550" s="3">
        <v>343</v>
      </c>
      <c r="F550" s="2">
        <v>1.6715277777777777</v>
      </c>
      <c r="G550" t="s">
        <v>2816</v>
      </c>
      <c r="H550" t="s">
        <v>2817</v>
      </c>
      <c r="I550" s="2">
        <v>1.7965277777777777</v>
      </c>
      <c r="J550" s="4" t="str">
        <f>IF(Table1[[#This Row],[processing_time_hours]]&gt;1.5,"Slow", "Fast")</f>
        <v>Slow</v>
      </c>
      <c r="K550" t="s">
        <v>2818</v>
      </c>
      <c r="L550" s="3">
        <v>1</v>
      </c>
      <c r="M550" t="str">
        <f>IF(Table1[[#This Row],[delayed]]=1,"Delayed","On Time")</f>
        <v>Delayed</v>
      </c>
      <c r="N550" t="str">
        <f>IF(AND(Table1[[#This Row],[delayed]]=1,Table1[[#This Row],[weather_condition]]="Storm"),"High Risk", IF(Table1[[#This Row],[delayed]]=1,"Medium Risk","Low Risk"))</f>
        <v>High Risk</v>
      </c>
    </row>
    <row r="551" spans="1:14" x14ac:dyDescent="0.35">
      <c r="A551">
        <v>550</v>
      </c>
      <c r="B551" s="1">
        <v>44949.875</v>
      </c>
      <c r="C551" s="2">
        <v>4.2361111111111106E-2</v>
      </c>
      <c r="D551" s="3">
        <v>4726</v>
      </c>
      <c r="E551" s="3">
        <v>79</v>
      </c>
      <c r="F551" s="2">
        <v>25.629861111111111</v>
      </c>
      <c r="G551" t="s">
        <v>2812</v>
      </c>
      <c r="H551" t="s">
        <v>2817</v>
      </c>
      <c r="I551" s="2">
        <v>1.4201388888888891</v>
      </c>
      <c r="J551" s="4" t="str">
        <f>IF(Table1[[#This Row],[processing_time_hours]]&gt;1.5,"Slow", "Fast")</f>
        <v>Fast</v>
      </c>
      <c r="K551" t="s">
        <v>2814</v>
      </c>
      <c r="L551" s="3">
        <v>0</v>
      </c>
      <c r="M551" t="str">
        <f>IF(Table1[[#This Row],[delayed]]=1,"Delayed","On Time")</f>
        <v>On Time</v>
      </c>
      <c r="N551" t="str">
        <f>IF(AND(Table1[[#This Row],[delayed]]=1,Table1[[#This Row],[weather_condition]]="Storm"),"High Risk", IF(Table1[[#This Row],[delayed]]=1,"Medium Risk","Low Risk"))</f>
        <v>Low Risk</v>
      </c>
    </row>
    <row r="552" spans="1:14" x14ac:dyDescent="0.35">
      <c r="A552">
        <v>551</v>
      </c>
      <c r="B552" s="1">
        <v>44949.916666666664</v>
      </c>
      <c r="C552" s="2">
        <v>4.5138888888888888E-2</v>
      </c>
      <c r="D552" s="3">
        <v>3470</v>
      </c>
      <c r="E552" s="3">
        <v>186</v>
      </c>
      <c r="F552" s="2">
        <v>67.797916666666666</v>
      </c>
      <c r="G552" t="s">
        <v>2816</v>
      </c>
      <c r="H552" t="s">
        <v>2813</v>
      </c>
      <c r="I552" s="2">
        <v>1.1729166666666666</v>
      </c>
      <c r="J552" s="4" t="str">
        <f>IF(Table1[[#This Row],[processing_time_hours]]&gt;1.5,"Slow", "Fast")</f>
        <v>Fast</v>
      </c>
      <c r="K552" t="s">
        <v>2818</v>
      </c>
      <c r="L552" s="3">
        <v>0</v>
      </c>
      <c r="M552" t="str">
        <f>IF(Table1[[#This Row],[delayed]]=1,"Delayed","On Time")</f>
        <v>On Time</v>
      </c>
      <c r="N552" t="str">
        <f>IF(AND(Table1[[#This Row],[delayed]]=1,Table1[[#This Row],[weather_condition]]="Storm"),"High Risk", IF(Table1[[#This Row],[delayed]]=1,"Medium Risk","Low Risk"))</f>
        <v>Low Risk</v>
      </c>
    </row>
    <row r="553" spans="1:14" x14ac:dyDescent="0.35">
      <c r="A553">
        <v>552</v>
      </c>
      <c r="B553" s="1">
        <v>44949.958333333336</v>
      </c>
      <c r="C553" s="2">
        <v>4.4444444444444446E-2</v>
      </c>
      <c r="D553" s="3">
        <v>1311</v>
      </c>
      <c r="E553" s="3">
        <v>177</v>
      </c>
      <c r="F553" s="2">
        <v>66.422222222222231</v>
      </c>
      <c r="G553" t="s">
        <v>2812</v>
      </c>
      <c r="H553" t="s">
        <v>2820</v>
      </c>
      <c r="I553" s="2">
        <v>1</v>
      </c>
      <c r="J553" s="4" t="str">
        <f>IF(Table1[[#This Row],[processing_time_hours]]&gt;1.5,"Slow", "Fast")</f>
        <v>Fast</v>
      </c>
      <c r="K553" t="s">
        <v>2821</v>
      </c>
      <c r="L553" s="3">
        <v>1</v>
      </c>
      <c r="M553" t="str">
        <f>IF(Table1[[#This Row],[delayed]]=1,"Delayed","On Time")</f>
        <v>Delayed</v>
      </c>
      <c r="N553" t="str">
        <f>IF(AND(Table1[[#This Row],[delayed]]=1,Table1[[#This Row],[weather_condition]]="Storm"),"High Risk", IF(Table1[[#This Row],[delayed]]=1,"Medium Risk","Low Risk"))</f>
        <v>Medium Risk</v>
      </c>
    </row>
    <row r="554" spans="1:14" x14ac:dyDescent="0.35">
      <c r="A554">
        <v>553</v>
      </c>
      <c r="B554" s="1">
        <v>44950</v>
      </c>
      <c r="C554" s="2">
        <v>4.9999999999999996E-2</v>
      </c>
      <c r="D554" s="3">
        <v>4655</v>
      </c>
      <c r="E554" s="3">
        <v>121</v>
      </c>
      <c r="F554" s="2">
        <v>44.295833333333327</v>
      </c>
      <c r="G554" t="s">
        <v>2816</v>
      </c>
      <c r="H554" t="s">
        <v>2817</v>
      </c>
      <c r="I554" s="2">
        <v>1.2118055555555556</v>
      </c>
      <c r="J554" s="4" t="str">
        <f>IF(Table1[[#This Row],[processing_time_hours]]&gt;1.5,"Slow", "Fast")</f>
        <v>Fast</v>
      </c>
      <c r="K554" t="s">
        <v>2814</v>
      </c>
      <c r="L554" s="3">
        <v>0</v>
      </c>
      <c r="M554" t="str">
        <f>IF(Table1[[#This Row],[delayed]]=1,"Delayed","On Time")</f>
        <v>On Time</v>
      </c>
      <c r="N554" t="str">
        <f>IF(AND(Table1[[#This Row],[delayed]]=1,Table1[[#This Row],[weather_condition]]="Storm"),"High Risk", IF(Table1[[#This Row],[delayed]]=1,"Medium Risk","Low Risk"))</f>
        <v>Low Risk</v>
      </c>
    </row>
    <row r="555" spans="1:14" x14ac:dyDescent="0.35">
      <c r="A555">
        <v>554</v>
      </c>
      <c r="B555" s="1">
        <v>44950.041666666664</v>
      </c>
      <c r="C555" s="2">
        <v>5.2777777777777778E-2</v>
      </c>
      <c r="D555" s="3">
        <v>2168</v>
      </c>
      <c r="E555" s="3">
        <v>359</v>
      </c>
      <c r="F555" s="2">
        <v>32.131250000000001</v>
      </c>
      <c r="G555" t="s">
        <v>2815</v>
      </c>
      <c r="H555" t="s">
        <v>2817</v>
      </c>
      <c r="I555" s="2">
        <v>2.3805555555555555</v>
      </c>
      <c r="J555" s="4" t="str">
        <f>IF(Table1[[#This Row],[processing_time_hours]]&gt;1.5,"Slow", "Fast")</f>
        <v>Slow</v>
      </c>
      <c r="K555" t="s">
        <v>2814</v>
      </c>
      <c r="L555" s="3">
        <v>1</v>
      </c>
      <c r="M555" t="str">
        <f>IF(Table1[[#This Row],[delayed]]=1,"Delayed","On Time")</f>
        <v>Delayed</v>
      </c>
      <c r="N555" t="str">
        <f>IF(AND(Table1[[#This Row],[delayed]]=1,Table1[[#This Row],[weather_condition]]="Storm"),"High Risk", IF(Table1[[#This Row],[delayed]]=1,"Medium Risk","Low Risk"))</f>
        <v>High Risk</v>
      </c>
    </row>
    <row r="556" spans="1:14" x14ac:dyDescent="0.35">
      <c r="A556">
        <v>555</v>
      </c>
      <c r="B556" s="1">
        <v>44950.083333333336</v>
      </c>
      <c r="C556" s="2">
        <v>6.6666666666666666E-2</v>
      </c>
      <c r="D556" s="3">
        <v>688</v>
      </c>
      <c r="E556" s="3">
        <v>384</v>
      </c>
      <c r="F556" s="2">
        <v>73.672916666666666</v>
      </c>
      <c r="G556" t="s">
        <v>2812</v>
      </c>
      <c r="H556" t="s">
        <v>2820</v>
      </c>
      <c r="I556" s="2">
        <v>2.755555555555556</v>
      </c>
      <c r="J556" s="4" t="str">
        <f>IF(Table1[[#This Row],[processing_time_hours]]&gt;1.5,"Slow", "Fast")</f>
        <v>Slow</v>
      </c>
      <c r="K556" t="s">
        <v>2818</v>
      </c>
      <c r="L556" s="3">
        <v>0</v>
      </c>
      <c r="M556" t="str">
        <f>IF(Table1[[#This Row],[delayed]]=1,"Delayed","On Time")</f>
        <v>On Time</v>
      </c>
      <c r="N556" t="str">
        <f>IF(AND(Table1[[#This Row],[delayed]]=1,Table1[[#This Row],[weather_condition]]="Storm"),"High Risk", IF(Table1[[#This Row],[delayed]]=1,"Medium Risk","Low Risk"))</f>
        <v>Low Risk</v>
      </c>
    </row>
    <row r="557" spans="1:14" x14ac:dyDescent="0.35">
      <c r="A557">
        <v>556</v>
      </c>
      <c r="B557" s="1">
        <v>44950.125</v>
      </c>
      <c r="C557" s="2">
        <v>5.3472222222222227E-2</v>
      </c>
      <c r="D557" s="3">
        <v>449</v>
      </c>
      <c r="E557" s="3">
        <v>486</v>
      </c>
      <c r="F557" s="2">
        <v>77.336111111111109</v>
      </c>
      <c r="G557" t="s">
        <v>2819</v>
      </c>
      <c r="H557" t="s">
        <v>2820</v>
      </c>
      <c r="I557" s="2">
        <v>2.4215277777777779</v>
      </c>
      <c r="J557" s="4" t="str">
        <f>IF(Table1[[#This Row],[processing_time_hours]]&gt;1.5,"Slow", "Fast")</f>
        <v>Slow</v>
      </c>
      <c r="K557" t="s">
        <v>2821</v>
      </c>
      <c r="L557" s="3">
        <v>0</v>
      </c>
      <c r="M557" t="str">
        <f>IF(Table1[[#This Row],[delayed]]=1,"Delayed","On Time")</f>
        <v>On Time</v>
      </c>
      <c r="N557" t="str">
        <f>IF(AND(Table1[[#This Row],[delayed]]=1,Table1[[#This Row],[weather_condition]]="Storm"),"High Risk", IF(Table1[[#This Row],[delayed]]=1,"Medium Risk","Low Risk"))</f>
        <v>Low Risk</v>
      </c>
    </row>
    <row r="558" spans="1:14" x14ac:dyDescent="0.35">
      <c r="A558">
        <v>557</v>
      </c>
      <c r="B558" s="1">
        <v>44950.166666666664</v>
      </c>
      <c r="C558" s="2">
        <v>4.5138888888888888E-2</v>
      </c>
      <c r="D558" s="3">
        <v>3897</v>
      </c>
      <c r="E558" s="3">
        <v>154</v>
      </c>
      <c r="F558" s="2">
        <v>52.25138888888889</v>
      </c>
      <c r="G558" t="s">
        <v>2812</v>
      </c>
      <c r="H558" t="s">
        <v>2813</v>
      </c>
      <c r="I558" s="2">
        <v>4.3055555555555562E-2</v>
      </c>
      <c r="J558" s="4" t="str">
        <f>IF(Table1[[#This Row],[processing_time_hours]]&gt;1.5,"Slow", "Fast")</f>
        <v>Fast</v>
      </c>
      <c r="K558" t="s">
        <v>2818</v>
      </c>
      <c r="L558" s="3">
        <v>0</v>
      </c>
      <c r="M558" t="str">
        <f>IF(Table1[[#This Row],[delayed]]=1,"Delayed","On Time")</f>
        <v>On Time</v>
      </c>
      <c r="N558" t="str">
        <f>IF(AND(Table1[[#This Row],[delayed]]=1,Table1[[#This Row],[weather_condition]]="Storm"),"High Risk", IF(Table1[[#This Row],[delayed]]=1,"Medium Risk","Low Risk"))</f>
        <v>Low Risk</v>
      </c>
    </row>
    <row r="559" spans="1:14" x14ac:dyDescent="0.35">
      <c r="A559">
        <v>558</v>
      </c>
      <c r="B559" s="1">
        <v>44950.208333333336</v>
      </c>
      <c r="C559" s="2">
        <v>4.9305555555555554E-2</v>
      </c>
      <c r="D559" s="3">
        <v>2002</v>
      </c>
      <c r="E559" s="3">
        <v>150</v>
      </c>
      <c r="F559" s="2">
        <v>77.46319444444444</v>
      </c>
      <c r="G559" t="s">
        <v>2819</v>
      </c>
      <c r="H559" t="s">
        <v>2820</v>
      </c>
      <c r="I559" s="2">
        <v>1.7555555555555555</v>
      </c>
      <c r="J559" s="4" t="str">
        <f>IF(Table1[[#This Row],[processing_time_hours]]&gt;1.5,"Slow", "Fast")</f>
        <v>Slow</v>
      </c>
      <c r="K559" t="s">
        <v>2821</v>
      </c>
      <c r="L559" s="3">
        <v>0</v>
      </c>
      <c r="M559" t="str">
        <f>IF(Table1[[#This Row],[delayed]]=1,"Delayed","On Time")</f>
        <v>On Time</v>
      </c>
      <c r="N559" t="str">
        <f>IF(AND(Table1[[#This Row],[delayed]]=1,Table1[[#This Row],[weather_condition]]="Storm"),"High Risk", IF(Table1[[#This Row],[delayed]]=1,"Medium Risk","Low Risk"))</f>
        <v>Low Risk</v>
      </c>
    </row>
    <row r="560" spans="1:14" x14ac:dyDescent="0.35">
      <c r="A560">
        <v>559</v>
      </c>
      <c r="B560" s="1">
        <v>44950.25</v>
      </c>
      <c r="C560" s="2">
        <v>4.1666666666666666E-3</v>
      </c>
      <c r="D560" s="3">
        <v>468</v>
      </c>
      <c r="E560" s="3">
        <v>44</v>
      </c>
      <c r="F560" s="2">
        <v>37.297222222222224</v>
      </c>
      <c r="G560" t="s">
        <v>2815</v>
      </c>
      <c r="H560" t="s">
        <v>2820</v>
      </c>
      <c r="I560" s="2">
        <v>1.8756944444444443</v>
      </c>
      <c r="J560" s="4" t="str">
        <f>IF(Table1[[#This Row],[processing_time_hours]]&gt;1.5,"Slow", "Fast")</f>
        <v>Slow</v>
      </c>
      <c r="K560" t="s">
        <v>2821</v>
      </c>
      <c r="L560" s="3">
        <v>0</v>
      </c>
      <c r="M560" t="str">
        <f>IF(Table1[[#This Row],[delayed]]=1,"Delayed","On Time")</f>
        <v>On Time</v>
      </c>
      <c r="N560" t="str">
        <f>IF(AND(Table1[[#This Row],[delayed]]=1,Table1[[#This Row],[weather_condition]]="Storm"),"High Risk", IF(Table1[[#This Row],[delayed]]=1,"Medium Risk","Low Risk"))</f>
        <v>Low Risk</v>
      </c>
    </row>
    <row r="561" spans="1:14" x14ac:dyDescent="0.35">
      <c r="A561">
        <v>560</v>
      </c>
      <c r="B561" s="1">
        <v>44950.291666666664</v>
      </c>
      <c r="C561" s="2">
        <v>4.2361111111111106E-2</v>
      </c>
      <c r="D561" s="3">
        <v>3624</v>
      </c>
      <c r="E561" s="3">
        <v>230</v>
      </c>
      <c r="F561" s="2">
        <v>52.422222222222224</v>
      </c>
      <c r="G561" t="s">
        <v>2819</v>
      </c>
      <c r="H561" t="s">
        <v>2813</v>
      </c>
      <c r="I561" s="2">
        <v>0.16805555555555554</v>
      </c>
      <c r="J561" s="4" t="str">
        <f>IF(Table1[[#This Row],[processing_time_hours]]&gt;1.5,"Slow", "Fast")</f>
        <v>Fast</v>
      </c>
      <c r="K561" t="s">
        <v>2818</v>
      </c>
      <c r="L561" s="3">
        <v>1</v>
      </c>
      <c r="M561" t="str">
        <f>IF(Table1[[#This Row],[delayed]]=1,"Delayed","On Time")</f>
        <v>Delayed</v>
      </c>
      <c r="N561" t="str">
        <f>IF(AND(Table1[[#This Row],[delayed]]=1,Table1[[#This Row],[weather_condition]]="Storm"),"High Risk", IF(Table1[[#This Row],[delayed]]=1,"Medium Risk","Low Risk"))</f>
        <v>Medium Risk</v>
      </c>
    </row>
    <row r="562" spans="1:14" x14ac:dyDescent="0.35">
      <c r="A562">
        <v>561</v>
      </c>
      <c r="B562" s="1">
        <v>44950.333333333336</v>
      </c>
      <c r="C562" s="2">
        <v>5.3472222222222227E-2</v>
      </c>
      <c r="D562" s="3">
        <v>391</v>
      </c>
      <c r="E562" s="3">
        <v>172</v>
      </c>
      <c r="F562" s="2">
        <v>30.336805555555557</v>
      </c>
      <c r="G562" t="s">
        <v>2816</v>
      </c>
      <c r="H562" t="s">
        <v>2822</v>
      </c>
      <c r="I562" s="2">
        <v>2.1680555555555556</v>
      </c>
      <c r="J562" s="4" t="str">
        <f>IF(Table1[[#This Row],[processing_time_hours]]&gt;1.5,"Slow", "Fast")</f>
        <v>Slow</v>
      </c>
      <c r="K562" t="s">
        <v>2821</v>
      </c>
      <c r="L562" s="3">
        <v>0</v>
      </c>
      <c r="M562" t="str">
        <f>IF(Table1[[#This Row],[delayed]]=1,"Delayed","On Time")</f>
        <v>On Time</v>
      </c>
      <c r="N562" t="str">
        <f>IF(AND(Table1[[#This Row],[delayed]]=1,Table1[[#This Row],[weather_condition]]="Storm"),"High Risk", IF(Table1[[#This Row],[delayed]]=1,"Medium Risk","Low Risk"))</f>
        <v>Low Risk</v>
      </c>
    </row>
    <row r="563" spans="1:14" x14ac:dyDescent="0.35">
      <c r="A563">
        <v>562</v>
      </c>
      <c r="B563" s="1">
        <v>44950.375</v>
      </c>
      <c r="C563" s="2">
        <v>5.5555555555555558E-3</v>
      </c>
      <c r="D563" s="3">
        <v>639</v>
      </c>
      <c r="E563" s="3">
        <v>199</v>
      </c>
      <c r="F563" s="2">
        <v>55.211111111111109</v>
      </c>
      <c r="G563" t="s">
        <v>2816</v>
      </c>
      <c r="H563" t="s">
        <v>2822</v>
      </c>
      <c r="I563" s="2">
        <v>0.62916666666666665</v>
      </c>
      <c r="J563" s="4" t="str">
        <f>IF(Table1[[#This Row],[processing_time_hours]]&gt;1.5,"Slow", "Fast")</f>
        <v>Fast</v>
      </c>
      <c r="K563" t="s">
        <v>2818</v>
      </c>
      <c r="L563" s="3">
        <v>0</v>
      </c>
      <c r="M563" t="str">
        <f>IF(Table1[[#This Row],[delayed]]=1,"Delayed","On Time")</f>
        <v>On Time</v>
      </c>
      <c r="N563" t="str">
        <f>IF(AND(Table1[[#This Row],[delayed]]=1,Table1[[#This Row],[weather_condition]]="Storm"),"High Risk", IF(Table1[[#This Row],[delayed]]=1,"Medium Risk","Low Risk"))</f>
        <v>Low Risk</v>
      </c>
    </row>
    <row r="564" spans="1:14" x14ac:dyDescent="0.35">
      <c r="A564">
        <v>563</v>
      </c>
      <c r="B564" s="1">
        <v>44950.416666666664</v>
      </c>
      <c r="C564" s="2">
        <v>4.8611111111111112E-3</v>
      </c>
      <c r="D564" s="3">
        <v>4260</v>
      </c>
      <c r="E564" s="3">
        <v>319</v>
      </c>
      <c r="F564" s="2">
        <v>75.045833333333334</v>
      </c>
      <c r="G564" t="s">
        <v>2819</v>
      </c>
      <c r="H564" t="s">
        <v>2813</v>
      </c>
      <c r="I564" s="2">
        <v>0.33402777777777781</v>
      </c>
      <c r="J564" s="4" t="str">
        <f>IF(Table1[[#This Row],[processing_time_hours]]&gt;1.5,"Slow", "Fast")</f>
        <v>Fast</v>
      </c>
      <c r="K564" t="s">
        <v>2818</v>
      </c>
      <c r="L564" s="3">
        <v>0</v>
      </c>
      <c r="M564" t="str">
        <f>IF(Table1[[#This Row],[delayed]]=1,"Delayed","On Time")</f>
        <v>On Time</v>
      </c>
      <c r="N564" t="str">
        <f>IF(AND(Table1[[#This Row],[delayed]]=1,Table1[[#This Row],[weather_condition]]="Storm"),"High Risk", IF(Table1[[#This Row],[delayed]]=1,"Medium Risk","Low Risk"))</f>
        <v>Low Risk</v>
      </c>
    </row>
    <row r="565" spans="1:14" x14ac:dyDescent="0.35">
      <c r="A565">
        <v>564</v>
      </c>
      <c r="B565" s="1">
        <v>44950.458333333336</v>
      </c>
      <c r="C565" s="2">
        <v>5.2083333333333336E-2</v>
      </c>
      <c r="D565" s="3">
        <v>1865</v>
      </c>
      <c r="E565" s="3">
        <v>222</v>
      </c>
      <c r="F565" s="2">
        <v>44.964583333333337</v>
      </c>
      <c r="G565" t="s">
        <v>2819</v>
      </c>
      <c r="H565" t="s">
        <v>2813</v>
      </c>
      <c r="I565" s="2">
        <v>2.2111111111111112</v>
      </c>
      <c r="J565" s="4" t="str">
        <f>IF(Table1[[#This Row],[processing_time_hours]]&gt;1.5,"Slow", "Fast")</f>
        <v>Slow</v>
      </c>
      <c r="K565" t="s">
        <v>2821</v>
      </c>
      <c r="L565" s="3">
        <v>0</v>
      </c>
      <c r="M565" t="str">
        <f>IF(Table1[[#This Row],[delayed]]=1,"Delayed","On Time")</f>
        <v>On Time</v>
      </c>
      <c r="N565" t="str">
        <f>IF(AND(Table1[[#This Row],[delayed]]=1,Table1[[#This Row],[weather_condition]]="Storm"),"High Risk", IF(Table1[[#This Row],[delayed]]=1,"Medium Risk","Low Risk"))</f>
        <v>Low Risk</v>
      </c>
    </row>
    <row r="566" spans="1:14" x14ac:dyDescent="0.35">
      <c r="A566">
        <v>565</v>
      </c>
      <c r="B566" s="1">
        <v>44950.5</v>
      </c>
      <c r="C566" s="2">
        <v>4.4444444444444446E-2</v>
      </c>
      <c r="D566" s="3">
        <v>2584</v>
      </c>
      <c r="E566" s="3">
        <v>188</v>
      </c>
      <c r="F566" s="2">
        <v>37.459722222222219</v>
      </c>
      <c r="G566" t="s">
        <v>2819</v>
      </c>
      <c r="H566" t="s">
        <v>2822</v>
      </c>
      <c r="I566" s="2">
        <v>0.87708333333333333</v>
      </c>
      <c r="J566" s="4" t="str">
        <f>IF(Table1[[#This Row],[processing_time_hours]]&gt;1.5,"Slow", "Fast")</f>
        <v>Fast</v>
      </c>
      <c r="K566" t="s">
        <v>2821</v>
      </c>
      <c r="L566" s="3">
        <v>0</v>
      </c>
      <c r="M566" t="str">
        <f>IF(Table1[[#This Row],[delayed]]=1,"Delayed","On Time")</f>
        <v>On Time</v>
      </c>
      <c r="N566" t="str">
        <f>IF(AND(Table1[[#This Row],[delayed]]=1,Table1[[#This Row],[weather_condition]]="Storm"),"High Risk", IF(Table1[[#This Row],[delayed]]=1,"Medium Risk","Low Risk"))</f>
        <v>Low Risk</v>
      </c>
    </row>
    <row r="567" spans="1:14" x14ac:dyDescent="0.35">
      <c r="A567">
        <v>566</v>
      </c>
      <c r="B567" s="1">
        <v>44950.541666666664</v>
      </c>
      <c r="C567" s="2">
        <v>5.9722222222222225E-2</v>
      </c>
      <c r="D567" s="3">
        <v>3243</v>
      </c>
      <c r="E567" s="3">
        <v>168</v>
      </c>
      <c r="F567" s="2">
        <v>59.916666666666664</v>
      </c>
      <c r="G567" t="s">
        <v>2815</v>
      </c>
      <c r="H567" t="s">
        <v>2822</v>
      </c>
      <c r="I567" s="2">
        <v>0.71458333333333324</v>
      </c>
      <c r="J567" s="4" t="str">
        <f>IF(Table1[[#This Row],[processing_time_hours]]&gt;1.5,"Slow", "Fast")</f>
        <v>Fast</v>
      </c>
      <c r="K567" t="s">
        <v>2818</v>
      </c>
      <c r="L567" s="3">
        <v>0</v>
      </c>
      <c r="M567" t="str">
        <f>IF(Table1[[#This Row],[delayed]]=1,"Delayed","On Time")</f>
        <v>On Time</v>
      </c>
      <c r="N567" t="str">
        <f>IF(AND(Table1[[#This Row],[delayed]]=1,Table1[[#This Row],[weather_condition]]="Storm"),"High Risk", IF(Table1[[#This Row],[delayed]]=1,"Medium Risk","Low Risk"))</f>
        <v>Low Risk</v>
      </c>
    </row>
    <row r="568" spans="1:14" x14ac:dyDescent="0.35">
      <c r="A568">
        <v>567</v>
      </c>
      <c r="B568" s="1">
        <v>44950.583333333336</v>
      </c>
      <c r="C568" s="2">
        <v>5.2777777777777778E-2</v>
      </c>
      <c r="D568" s="3">
        <v>4511</v>
      </c>
      <c r="E568" s="3">
        <v>410</v>
      </c>
      <c r="F568" s="2">
        <v>23.587500000000002</v>
      </c>
      <c r="G568" t="s">
        <v>2816</v>
      </c>
      <c r="H568" t="s">
        <v>2817</v>
      </c>
      <c r="I568" s="2">
        <v>2.0416666666666665</v>
      </c>
      <c r="J568" s="4" t="str">
        <f>IF(Table1[[#This Row],[processing_time_hours]]&gt;1.5,"Slow", "Fast")</f>
        <v>Slow</v>
      </c>
      <c r="K568" t="s">
        <v>2814</v>
      </c>
      <c r="L568" s="3">
        <v>0</v>
      </c>
      <c r="M568" t="str">
        <f>IF(Table1[[#This Row],[delayed]]=1,"Delayed","On Time")</f>
        <v>On Time</v>
      </c>
      <c r="N568" t="str">
        <f>IF(AND(Table1[[#This Row],[delayed]]=1,Table1[[#This Row],[weather_condition]]="Storm"),"High Risk", IF(Table1[[#This Row],[delayed]]=1,"Medium Risk","Low Risk"))</f>
        <v>Low Risk</v>
      </c>
    </row>
    <row r="569" spans="1:14" x14ac:dyDescent="0.35">
      <c r="A569">
        <v>568</v>
      </c>
      <c r="B569" s="1">
        <v>44950.625</v>
      </c>
      <c r="C569" s="2">
        <v>4.5833333333333337E-2</v>
      </c>
      <c r="D569" s="3">
        <v>2255</v>
      </c>
      <c r="E569" s="3">
        <v>231</v>
      </c>
      <c r="F569" s="2">
        <v>48.418749999999996</v>
      </c>
      <c r="G569" t="s">
        <v>2815</v>
      </c>
      <c r="H569" t="s">
        <v>2817</v>
      </c>
      <c r="I569" s="2">
        <v>2.4187499999999997</v>
      </c>
      <c r="J569" s="4" t="str">
        <f>IF(Table1[[#This Row],[processing_time_hours]]&gt;1.5,"Slow", "Fast")</f>
        <v>Slow</v>
      </c>
      <c r="K569" t="s">
        <v>2818</v>
      </c>
      <c r="L569" s="3">
        <v>0</v>
      </c>
      <c r="M569" t="str">
        <f>IF(Table1[[#This Row],[delayed]]=1,"Delayed","On Time")</f>
        <v>On Time</v>
      </c>
      <c r="N569" t="str">
        <f>IF(AND(Table1[[#This Row],[delayed]]=1,Table1[[#This Row],[weather_condition]]="Storm"),"High Risk", IF(Table1[[#This Row],[delayed]]=1,"Medium Risk","Low Risk"))</f>
        <v>Low Risk</v>
      </c>
    </row>
    <row r="570" spans="1:14" x14ac:dyDescent="0.35">
      <c r="A570">
        <v>569</v>
      </c>
      <c r="B570" s="1">
        <v>44950.666666666664</v>
      </c>
      <c r="C570" s="2">
        <v>5.5555555555555558E-3</v>
      </c>
      <c r="D570" s="3">
        <v>1373</v>
      </c>
      <c r="E570" s="3">
        <v>439</v>
      </c>
      <c r="F570" s="2">
        <v>47.586111111111109</v>
      </c>
      <c r="G570" t="s">
        <v>2815</v>
      </c>
      <c r="H570" t="s">
        <v>2813</v>
      </c>
      <c r="I570" s="2">
        <v>0.29305555555555557</v>
      </c>
      <c r="J570" s="4" t="str">
        <f>IF(Table1[[#This Row],[processing_time_hours]]&gt;1.5,"Slow", "Fast")</f>
        <v>Fast</v>
      </c>
      <c r="K570" t="s">
        <v>2814</v>
      </c>
      <c r="L570" s="3">
        <v>1</v>
      </c>
      <c r="M570" t="str">
        <f>IF(Table1[[#This Row],[delayed]]=1,"Delayed","On Time")</f>
        <v>Delayed</v>
      </c>
      <c r="N570" t="str">
        <f>IF(AND(Table1[[#This Row],[delayed]]=1,Table1[[#This Row],[weather_condition]]="Storm"),"High Risk", IF(Table1[[#This Row],[delayed]]=1,"Medium Risk","Low Risk"))</f>
        <v>Medium Risk</v>
      </c>
    </row>
    <row r="571" spans="1:14" x14ac:dyDescent="0.35">
      <c r="A571">
        <v>570</v>
      </c>
      <c r="B571" s="1">
        <v>44950.708333333336</v>
      </c>
      <c r="C571" s="2">
        <v>4.7222222222222221E-2</v>
      </c>
      <c r="D571" s="3">
        <v>351</v>
      </c>
      <c r="E571" s="3">
        <v>67</v>
      </c>
      <c r="F571" s="2">
        <v>21.625694444444445</v>
      </c>
      <c r="G571" t="s">
        <v>2815</v>
      </c>
      <c r="H571" t="s">
        <v>2822</v>
      </c>
      <c r="I571" s="2">
        <v>0.88124999999999998</v>
      </c>
      <c r="J571" s="4" t="str">
        <f>IF(Table1[[#This Row],[processing_time_hours]]&gt;1.5,"Slow", "Fast")</f>
        <v>Fast</v>
      </c>
      <c r="K571" t="s">
        <v>2821</v>
      </c>
      <c r="L571" s="3">
        <v>0</v>
      </c>
      <c r="M571" t="str">
        <f>IF(Table1[[#This Row],[delayed]]=1,"Delayed","On Time")</f>
        <v>On Time</v>
      </c>
      <c r="N571" t="str">
        <f>IF(AND(Table1[[#This Row],[delayed]]=1,Table1[[#This Row],[weather_condition]]="Storm"),"High Risk", IF(Table1[[#This Row],[delayed]]=1,"Medium Risk","Low Risk"))</f>
        <v>Low Risk</v>
      </c>
    </row>
    <row r="572" spans="1:14" x14ac:dyDescent="0.35">
      <c r="A572">
        <v>571</v>
      </c>
      <c r="B572" s="1">
        <v>44950.75</v>
      </c>
      <c r="C572" s="2">
        <v>4.9999999999999996E-2</v>
      </c>
      <c r="D572" s="3">
        <v>406</v>
      </c>
      <c r="E572" s="3">
        <v>264</v>
      </c>
      <c r="F572" s="2">
        <v>7.0888888888888886</v>
      </c>
      <c r="G572" t="s">
        <v>2812</v>
      </c>
      <c r="H572" t="s">
        <v>2817</v>
      </c>
      <c r="I572" s="2">
        <v>1.8340277777777778</v>
      </c>
      <c r="J572" s="4" t="str">
        <f>IF(Table1[[#This Row],[processing_time_hours]]&gt;1.5,"Slow", "Fast")</f>
        <v>Slow</v>
      </c>
      <c r="K572" t="s">
        <v>2814</v>
      </c>
      <c r="L572" s="3">
        <v>1</v>
      </c>
      <c r="M572" t="str">
        <f>IF(Table1[[#This Row],[delayed]]=1,"Delayed","On Time")</f>
        <v>Delayed</v>
      </c>
      <c r="N572" t="str">
        <f>IF(AND(Table1[[#This Row],[delayed]]=1,Table1[[#This Row],[weather_condition]]="Storm"),"High Risk", IF(Table1[[#This Row],[delayed]]=1,"Medium Risk","Low Risk"))</f>
        <v>High Risk</v>
      </c>
    </row>
    <row r="573" spans="1:14" x14ac:dyDescent="0.35">
      <c r="A573">
        <v>572</v>
      </c>
      <c r="B573" s="1">
        <v>44950.791666666664</v>
      </c>
      <c r="C573" s="2">
        <v>4.5138888888888888E-2</v>
      </c>
      <c r="D573" s="3">
        <v>923</v>
      </c>
      <c r="E573" s="3">
        <v>310</v>
      </c>
      <c r="F573" s="2">
        <v>20.417361111111109</v>
      </c>
      <c r="G573" t="s">
        <v>2819</v>
      </c>
      <c r="H573" t="s">
        <v>2820</v>
      </c>
      <c r="I573" s="2">
        <v>1.0027777777777778</v>
      </c>
      <c r="J573" s="4" t="str">
        <f>IF(Table1[[#This Row],[processing_time_hours]]&gt;1.5,"Slow", "Fast")</f>
        <v>Fast</v>
      </c>
      <c r="K573" t="s">
        <v>2821</v>
      </c>
      <c r="L573" s="3">
        <v>0</v>
      </c>
      <c r="M573" t="str">
        <f>IF(Table1[[#This Row],[delayed]]=1,"Delayed","On Time")</f>
        <v>On Time</v>
      </c>
      <c r="N573" t="str">
        <f>IF(AND(Table1[[#This Row],[delayed]]=1,Table1[[#This Row],[weather_condition]]="Storm"),"High Risk", IF(Table1[[#This Row],[delayed]]=1,"Medium Risk","Low Risk"))</f>
        <v>Low Risk</v>
      </c>
    </row>
    <row r="574" spans="1:14" x14ac:dyDescent="0.35">
      <c r="A574">
        <v>573</v>
      </c>
      <c r="B574" s="1">
        <v>44950.833333333336</v>
      </c>
      <c r="C574" s="2">
        <v>6.3194444444444442E-2</v>
      </c>
      <c r="D574" s="3">
        <v>2715</v>
      </c>
      <c r="E574" s="3">
        <v>456</v>
      </c>
      <c r="F574" s="2">
        <v>4.1680555555555552</v>
      </c>
      <c r="G574" t="s">
        <v>2816</v>
      </c>
      <c r="H574" t="s">
        <v>2822</v>
      </c>
      <c r="I574" s="2">
        <v>0.21458333333333335</v>
      </c>
      <c r="J574" s="4" t="str">
        <f>IF(Table1[[#This Row],[processing_time_hours]]&gt;1.5,"Slow", "Fast")</f>
        <v>Fast</v>
      </c>
      <c r="K574" t="s">
        <v>2818</v>
      </c>
      <c r="L574" s="3">
        <v>0</v>
      </c>
      <c r="M574" t="str">
        <f>IF(Table1[[#This Row],[delayed]]=1,"Delayed","On Time")</f>
        <v>On Time</v>
      </c>
      <c r="N574" t="str">
        <f>IF(AND(Table1[[#This Row],[delayed]]=1,Table1[[#This Row],[weather_condition]]="Storm"),"High Risk", IF(Table1[[#This Row],[delayed]]=1,"Medium Risk","Low Risk"))</f>
        <v>Low Risk</v>
      </c>
    </row>
    <row r="575" spans="1:14" x14ac:dyDescent="0.35">
      <c r="A575">
        <v>574</v>
      </c>
      <c r="B575" s="1">
        <v>44950.875</v>
      </c>
      <c r="C575" s="2">
        <v>4.9305555555555554E-2</v>
      </c>
      <c r="D575" s="3">
        <v>2519</v>
      </c>
      <c r="E575" s="3">
        <v>421</v>
      </c>
      <c r="F575" s="2">
        <v>11.169444444444444</v>
      </c>
      <c r="G575" t="s">
        <v>2815</v>
      </c>
      <c r="H575" t="s">
        <v>2820</v>
      </c>
      <c r="I575" s="2">
        <v>2.588888888888889</v>
      </c>
      <c r="J575" s="4" t="str">
        <f>IF(Table1[[#This Row],[processing_time_hours]]&gt;1.5,"Slow", "Fast")</f>
        <v>Slow</v>
      </c>
      <c r="K575" t="s">
        <v>2814</v>
      </c>
      <c r="L575" s="3">
        <v>0</v>
      </c>
      <c r="M575" t="str">
        <f>IF(Table1[[#This Row],[delayed]]=1,"Delayed","On Time")</f>
        <v>On Time</v>
      </c>
      <c r="N575" t="str">
        <f>IF(AND(Table1[[#This Row],[delayed]]=1,Table1[[#This Row],[weather_condition]]="Storm"),"High Risk", IF(Table1[[#This Row],[delayed]]=1,"Medium Risk","Low Risk"))</f>
        <v>Low Risk</v>
      </c>
    </row>
    <row r="576" spans="1:14" x14ac:dyDescent="0.35">
      <c r="A576">
        <v>575</v>
      </c>
      <c r="B576" s="1">
        <v>44950.916666666664</v>
      </c>
      <c r="C576" s="2">
        <v>6.805555555555555E-2</v>
      </c>
      <c r="D576" s="3">
        <v>2586</v>
      </c>
      <c r="E576" s="3">
        <v>370</v>
      </c>
      <c r="F576" s="2">
        <v>50.418055555555554</v>
      </c>
      <c r="G576" t="s">
        <v>2819</v>
      </c>
      <c r="H576" t="s">
        <v>2820</v>
      </c>
      <c r="I576" s="2">
        <v>0.66875000000000007</v>
      </c>
      <c r="J576" s="4" t="str">
        <f>IF(Table1[[#This Row],[processing_time_hours]]&gt;1.5,"Slow", "Fast")</f>
        <v>Fast</v>
      </c>
      <c r="K576" t="s">
        <v>2814</v>
      </c>
      <c r="L576" s="3">
        <v>1</v>
      </c>
      <c r="M576" t="str">
        <f>IF(Table1[[#This Row],[delayed]]=1,"Delayed","On Time")</f>
        <v>Delayed</v>
      </c>
      <c r="N576" t="str">
        <f>IF(AND(Table1[[#This Row],[delayed]]=1,Table1[[#This Row],[weather_condition]]="Storm"),"High Risk", IF(Table1[[#This Row],[delayed]]=1,"Medium Risk","Low Risk"))</f>
        <v>Medium Risk</v>
      </c>
    </row>
    <row r="577" spans="1:14" x14ac:dyDescent="0.35">
      <c r="A577">
        <v>576</v>
      </c>
      <c r="B577" s="1">
        <v>44950.958333333336</v>
      </c>
      <c r="C577" s="2">
        <v>5.2777777777777778E-2</v>
      </c>
      <c r="D577" s="3">
        <v>4918</v>
      </c>
      <c r="E577" s="3">
        <v>428</v>
      </c>
      <c r="F577" s="2">
        <v>5.5055555555555555</v>
      </c>
      <c r="G577" t="s">
        <v>2816</v>
      </c>
      <c r="H577" t="s">
        <v>2813</v>
      </c>
      <c r="I577" s="2">
        <v>1.752777777777778</v>
      </c>
      <c r="J577" s="4" t="str">
        <f>IF(Table1[[#This Row],[processing_time_hours]]&gt;1.5,"Slow", "Fast")</f>
        <v>Slow</v>
      </c>
      <c r="K577" t="s">
        <v>2818</v>
      </c>
      <c r="L577" s="3">
        <v>0</v>
      </c>
      <c r="M577" t="str">
        <f>IF(Table1[[#This Row],[delayed]]=1,"Delayed","On Time")</f>
        <v>On Time</v>
      </c>
      <c r="N577" t="str">
        <f>IF(AND(Table1[[#This Row],[delayed]]=1,Table1[[#This Row],[weather_condition]]="Storm"),"High Risk", IF(Table1[[#This Row],[delayed]]=1,"Medium Risk","Low Risk"))</f>
        <v>Low Risk</v>
      </c>
    </row>
    <row r="578" spans="1:14" x14ac:dyDescent="0.35">
      <c r="A578">
        <v>577</v>
      </c>
      <c r="B578" s="1">
        <v>44951</v>
      </c>
      <c r="C578" s="2">
        <v>4.5833333333333337E-2</v>
      </c>
      <c r="D578" s="3">
        <v>432</v>
      </c>
      <c r="E578" s="3">
        <v>148</v>
      </c>
      <c r="F578" s="2">
        <v>68.416666666666671</v>
      </c>
      <c r="G578" t="s">
        <v>2816</v>
      </c>
      <c r="H578" t="s">
        <v>2820</v>
      </c>
      <c r="I578" s="2">
        <v>2.8333333333333335</v>
      </c>
      <c r="J578" s="4" t="str">
        <f>IF(Table1[[#This Row],[processing_time_hours]]&gt;1.5,"Slow", "Fast")</f>
        <v>Slow</v>
      </c>
      <c r="K578" t="s">
        <v>2814</v>
      </c>
      <c r="L578" s="3">
        <v>0</v>
      </c>
      <c r="M578" t="str">
        <f>IF(Table1[[#This Row],[delayed]]=1,"Delayed","On Time")</f>
        <v>On Time</v>
      </c>
      <c r="N578" t="str">
        <f>IF(AND(Table1[[#This Row],[delayed]]=1,Table1[[#This Row],[weather_condition]]="Storm"),"High Risk", IF(Table1[[#This Row],[delayed]]=1,"Medium Risk","Low Risk"))</f>
        <v>Low Risk</v>
      </c>
    </row>
    <row r="579" spans="1:14" x14ac:dyDescent="0.35">
      <c r="A579">
        <v>578</v>
      </c>
      <c r="B579" s="1">
        <v>44951.041666666664</v>
      </c>
      <c r="C579" s="2">
        <v>6.1111111111111109E-2</v>
      </c>
      <c r="D579" s="3">
        <v>2130</v>
      </c>
      <c r="E579" s="3">
        <v>469</v>
      </c>
      <c r="F579" s="2">
        <v>10.792361111111111</v>
      </c>
      <c r="G579" t="s">
        <v>2815</v>
      </c>
      <c r="H579" t="s">
        <v>2822</v>
      </c>
      <c r="I579" s="2">
        <v>1.54375</v>
      </c>
      <c r="J579" s="4" t="str">
        <f>IF(Table1[[#This Row],[processing_time_hours]]&gt;1.5,"Slow", "Fast")</f>
        <v>Slow</v>
      </c>
      <c r="K579" t="s">
        <v>2821</v>
      </c>
      <c r="L579" s="3">
        <v>0</v>
      </c>
      <c r="M579" t="str">
        <f>IF(Table1[[#This Row],[delayed]]=1,"Delayed","On Time")</f>
        <v>On Time</v>
      </c>
      <c r="N579" t="str">
        <f>IF(AND(Table1[[#This Row],[delayed]]=1,Table1[[#This Row],[weather_condition]]="Storm"),"High Risk", IF(Table1[[#This Row],[delayed]]=1,"Medium Risk","Low Risk"))</f>
        <v>Low Risk</v>
      </c>
    </row>
    <row r="580" spans="1:14" x14ac:dyDescent="0.35">
      <c r="A580">
        <v>579</v>
      </c>
      <c r="B580" s="1">
        <v>44951.083333333336</v>
      </c>
      <c r="C580" s="2">
        <v>6.1805555555555558E-2</v>
      </c>
      <c r="D580" s="3">
        <v>1552</v>
      </c>
      <c r="E580" s="3">
        <v>124</v>
      </c>
      <c r="F580" s="2">
        <v>7.000694444444445</v>
      </c>
      <c r="G580" t="s">
        <v>2815</v>
      </c>
      <c r="H580" t="s">
        <v>2820</v>
      </c>
      <c r="I580" s="2">
        <v>0.75486111111111109</v>
      </c>
      <c r="J580" s="4" t="str">
        <f>IF(Table1[[#This Row],[processing_time_hours]]&gt;1.5,"Slow", "Fast")</f>
        <v>Fast</v>
      </c>
      <c r="K580" t="s">
        <v>2821</v>
      </c>
      <c r="L580" s="3">
        <v>0</v>
      </c>
      <c r="M580" t="str">
        <f>IF(Table1[[#This Row],[delayed]]=1,"Delayed","On Time")</f>
        <v>On Time</v>
      </c>
      <c r="N580" t="str">
        <f>IF(AND(Table1[[#This Row],[delayed]]=1,Table1[[#This Row],[weather_condition]]="Storm"),"High Risk", IF(Table1[[#This Row],[delayed]]=1,"Medium Risk","Low Risk"))</f>
        <v>Low Risk</v>
      </c>
    </row>
    <row r="581" spans="1:14" x14ac:dyDescent="0.35">
      <c r="A581">
        <v>580</v>
      </c>
      <c r="B581" s="1">
        <v>44951.125</v>
      </c>
      <c r="C581" s="2">
        <v>6.5972222222222224E-2</v>
      </c>
      <c r="D581" s="3">
        <v>2108</v>
      </c>
      <c r="E581" s="3">
        <v>492</v>
      </c>
      <c r="F581" s="2">
        <v>2.7145833333333336</v>
      </c>
      <c r="G581" t="s">
        <v>2812</v>
      </c>
      <c r="H581" t="s">
        <v>2820</v>
      </c>
      <c r="I581" s="2">
        <v>0.91805555555555562</v>
      </c>
      <c r="J581" s="4" t="str">
        <f>IF(Table1[[#This Row],[processing_time_hours]]&gt;1.5,"Slow", "Fast")</f>
        <v>Fast</v>
      </c>
      <c r="K581" t="s">
        <v>2818</v>
      </c>
      <c r="L581" s="3">
        <v>1</v>
      </c>
      <c r="M581" t="str">
        <f>IF(Table1[[#This Row],[delayed]]=1,"Delayed","On Time")</f>
        <v>Delayed</v>
      </c>
      <c r="N581" t="str">
        <f>IF(AND(Table1[[#This Row],[delayed]]=1,Table1[[#This Row],[weather_condition]]="Storm"),"High Risk", IF(Table1[[#This Row],[delayed]]=1,"Medium Risk","Low Risk"))</f>
        <v>Medium Risk</v>
      </c>
    </row>
    <row r="582" spans="1:14" x14ac:dyDescent="0.35">
      <c r="A582">
        <v>581</v>
      </c>
      <c r="B582" s="1">
        <v>44951.166666666664</v>
      </c>
      <c r="C582" s="2">
        <v>4.5138888888888888E-2</v>
      </c>
      <c r="D582" s="3">
        <v>4173</v>
      </c>
      <c r="E582" s="3">
        <v>498</v>
      </c>
      <c r="F582" s="2">
        <v>25.422916666666666</v>
      </c>
      <c r="G582" t="s">
        <v>2812</v>
      </c>
      <c r="H582" t="s">
        <v>2820</v>
      </c>
      <c r="I582" s="2">
        <v>2.7104166666666667</v>
      </c>
      <c r="J582" s="4" t="str">
        <f>IF(Table1[[#This Row],[processing_time_hours]]&gt;1.5,"Slow", "Fast")</f>
        <v>Slow</v>
      </c>
      <c r="K582" t="s">
        <v>2814</v>
      </c>
      <c r="L582" s="3">
        <v>0</v>
      </c>
      <c r="M582" t="str">
        <f>IF(Table1[[#This Row],[delayed]]=1,"Delayed","On Time")</f>
        <v>On Time</v>
      </c>
      <c r="N582" t="str">
        <f>IF(AND(Table1[[#This Row],[delayed]]=1,Table1[[#This Row],[weather_condition]]="Storm"),"High Risk", IF(Table1[[#This Row],[delayed]]=1,"Medium Risk","Low Risk"))</f>
        <v>Low Risk</v>
      </c>
    </row>
    <row r="583" spans="1:14" x14ac:dyDescent="0.35">
      <c r="A583">
        <v>582</v>
      </c>
      <c r="B583" s="1">
        <v>44951.208333333336</v>
      </c>
      <c r="C583" s="2">
        <v>6.3888888888888898E-2</v>
      </c>
      <c r="D583" s="3">
        <v>3981</v>
      </c>
      <c r="E583" s="3">
        <v>197</v>
      </c>
      <c r="F583" s="2">
        <v>47.87638888888889</v>
      </c>
      <c r="G583" t="s">
        <v>2816</v>
      </c>
      <c r="H583" t="s">
        <v>2822</v>
      </c>
      <c r="I583" s="2">
        <v>0.37708333333333338</v>
      </c>
      <c r="J583" s="4" t="str">
        <f>IF(Table1[[#This Row],[processing_time_hours]]&gt;1.5,"Slow", "Fast")</f>
        <v>Fast</v>
      </c>
      <c r="K583" t="s">
        <v>2818</v>
      </c>
      <c r="L583" s="3">
        <v>1</v>
      </c>
      <c r="M583" t="str">
        <f>IF(Table1[[#This Row],[delayed]]=1,"Delayed","On Time")</f>
        <v>Delayed</v>
      </c>
      <c r="N583" t="str">
        <f>IF(AND(Table1[[#This Row],[delayed]]=1,Table1[[#This Row],[weather_condition]]="Storm"),"High Risk", IF(Table1[[#This Row],[delayed]]=1,"Medium Risk","Low Risk"))</f>
        <v>Medium Risk</v>
      </c>
    </row>
    <row r="584" spans="1:14" x14ac:dyDescent="0.35">
      <c r="A584">
        <v>583</v>
      </c>
      <c r="B584" s="1">
        <v>44951.25</v>
      </c>
      <c r="C584" s="2">
        <v>6.5277777777777782E-2</v>
      </c>
      <c r="D584" s="3">
        <v>814</v>
      </c>
      <c r="E584" s="3">
        <v>415</v>
      </c>
      <c r="F584" s="2">
        <v>38.583333333333336</v>
      </c>
      <c r="G584" t="s">
        <v>2815</v>
      </c>
      <c r="H584" t="s">
        <v>2813</v>
      </c>
      <c r="I584" s="2">
        <v>2.4222222222222221</v>
      </c>
      <c r="J584" s="4" t="str">
        <f>IF(Table1[[#This Row],[processing_time_hours]]&gt;1.5,"Slow", "Fast")</f>
        <v>Slow</v>
      </c>
      <c r="K584" t="s">
        <v>2814</v>
      </c>
      <c r="L584" s="3">
        <v>0</v>
      </c>
      <c r="M584" t="str">
        <f>IF(Table1[[#This Row],[delayed]]=1,"Delayed","On Time")</f>
        <v>On Time</v>
      </c>
      <c r="N584" t="str">
        <f>IF(AND(Table1[[#This Row],[delayed]]=1,Table1[[#This Row],[weather_condition]]="Storm"),"High Risk", IF(Table1[[#This Row],[delayed]]=1,"Medium Risk","Low Risk"))</f>
        <v>Low Risk</v>
      </c>
    </row>
    <row r="585" spans="1:14" x14ac:dyDescent="0.35">
      <c r="A585">
        <v>584</v>
      </c>
      <c r="B585" s="1">
        <v>44951.291666666664</v>
      </c>
      <c r="C585" s="2">
        <v>4.9999999999999996E-2</v>
      </c>
      <c r="D585" s="3">
        <v>1531</v>
      </c>
      <c r="E585" s="3">
        <v>102</v>
      </c>
      <c r="F585" s="2">
        <v>60.046527777777776</v>
      </c>
      <c r="G585" t="s">
        <v>2816</v>
      </c>
      <c r="H585" t="s">
        <v>2813</v>
      </c>
      <c r="I585" s="2">
        <v>0.83750000000000002</v>
      </c>
      <c r="J585" s="4" t="str">
        <f>IF(Table1[[#This Row],[processing_time_hours]]&gt;1.5,"Slow", "Fast")</f>
        <v>Fast</v>
      </c>
      <c r="K585" t="s">
        <v>2814</v>
      </c>
      <c r="L585" s="3">
        <v>0</v>
      </c>
      <c r="M585" t="str">
        <f>IF(Table1[[#This Row],[delayed]]=1,"Delayed","On Time")</f>
        <v>On Time</v>
      </c>
      <c r="N585" t="str">
        <f>IF(AND(Table1[[#This Row],[delayed]]=1,Table1[[#This Row],[weather_condition]]="Storm"),"High Risk", IF(Table1[[#This Row],[delayed]]=1,"Medium Risk","Low Risk"))</f>
        <v>Low Risk</v>
      </c>
    </row>
    <row r="586" spans="1:14" x14ac:dyDescent="0.35">
      <c r="A586">
        <v>585</v>
      </c>
      <c r="B586" s="1">
        <v>44951.333333333336</v>
      </c>
      <c r="C586" s="2">
        <v>5.4166666666666669E-2</v>
      </c>
      <c r="D586" s="3">
        <v>1211</v>
      </c>
      <c r="E586" s="3">
        <v>85</v>
      </c>
      <c r="F586" s="2">
        <v>76.547916666666666</v>
      </c>
      <c r="G586" t="s">
        <v>2815</v>
      </c>
      <c r="H586" t="s">
        <v>2817</v>
      </c>
      <c r="I586" s="2">
        <v>4.2361111111111106E-2</v>
      </c>
      <c r="J586" s="4" t="str">
        <f>IF(Table1[[#This Row],[processing_time_hours]]&gt;1.5,"Slow", "Fast")</f>
        <v>Fast</v>
      </c>
      <c r="K586" t="s">
        <v>2821</v>
      </c>
      <c r="L586" s="3">
        <v>0</v>
      </c>
      <c r="M586" t="str">
        <f>IF(Table1[[#This Row],[delayed]]=1,"Delayed","On Time")</f>
        <v>On Time</v>
      </c>
      <c r="N586" t="str">
        <f>IF(AND(Table1[[#This Row],[delayed]]=1,Table1[[#This Row],[weather_condition]]="Storm"),"High Risk", IF(Table1[[#This Row],[delayed]]=1,"Medium Risk","Low Risk"))</f>
        <v>Low Risk</v>
      </c>
    </row>
    <row r="587" spans="1:14" x14ac:dyDescent="0.35">
      <c r="A587">
        <v>586</v>
      </c>
      <c r="B587" s="1">
        <v>44951.375</v>
      </c>
      <c r="C587" s="2">
        <v>5.9027777777777783E-2</v>
      </c>
      <c r="D587" s="3">
        <v>530</v>
      </c>
      <c r="E587" s="3">
        <v>46</v>
      </c>
      <c r="F587" s="2">
        <v>60.672222222222224</v>
      </c>
      <c r="G587" t="s">
        <v>2812</v>
      </c>
      <c r="H587" t="s">
        <v>2817</v>
      </c>
      <c r="I587" s="2">
        <v>1.1729166666666666</v>
      </c>
      <c r="J587" s="4" t="str">
        <f>IF(Table1[[#This Row],[processing_time_hours]]&gt;1.5,"Slow", "Fast")</f>
        <v>Fast</v>
      </c>
      <c r="K587" t="s">
        <v>2814</v>
      </c>
      <c r="L587" s="3">
        <v>1</v>
      </c>
      <c r="M587" t="str">
        <f>IF(Table1[[#This Row],[delayed]]=1,"Delayed","On Time")</f>
        <v>Delayed</v>
      </c>
      <c r="N587" t="str">
        <f>IF(AND(Table1[[#This Row],[delayed]]=1,Table1[[#This Row],[weather_condition]]="Storm"),"High Risk", IF(Table1[[#This Row],[delayed]]=1,"Medium Risk","Low Risk"))</f>
        <v>High Risk</v>
      </c>
    </row>
    <row r="588" spans="1:14" x14ac:dyDescent="0.35">
      <c r="A588">
        <v>587</v>
      </c>
      <c r="B588" s="1">
        <v>44951.416666666664</v>
      </c>
      <c r="C588" s="2">
        <v>4.8611111111111112E-3</v>
      </c>
      <c r="D588" s="3">
        <v>1596</v>
      </c>
      <c r="E588" s="3">
        <v>409</v>
      </c>
      <c r="F588" s="2">
        <v>22.417361111111109</v>
      </c>
      <c r="G588" t="s">
        <v>2815</v>
      </c>
      <c r="H588" t="s">
        <v>2813</v>
      </c>
      <c r="I588" s="2">
        <v>0.33611111111111108</v>
      </c>
      <c r="J588" s="4" t="str">
        <f>IF(Table1[[#This Row],[processing_time_hours]]&gt;1.5,"Slow", "Fast")</f>
        <v>Fast</v>
      </c>
      <c r="K588" t="s">
        <v>2814</v>
      </c>
      <c r="L588" s="3">
        <v>1</v>
      </c>
      <c r="M588" t="str">
        <f>IF(Table1[[#This Row],[delayed]]=1,"Delayed","On Time")</f>
        <v>Delayed</v>
      </c>
      <c r="N588" t="str">
        <f>IF(AND(Table1[[#This Row],[delayed]]=1,Table1[[#This Row],[weather_condition]]="Storm"),"High Risk", IF(Table1[[#This Row],[delayed]]=1,"Medium Risk","Low Risk"))</f>
        <v>Medium Risk</v>
      </c>
    </row>
    <row r="589" spans="1:14" x14ac:dyDescent="0.35">
      <c r="A589">
        <v>588</v>
      </c>
      <c r="B589" s="1">
        <v>44951.458333333336</v>
      </c>
      <c r="C589" s="2">
        <v>6.5972222222222224E-2</v>
      </c>
      <c r="D589" s="3">
        <v>3038</v>
      </c>
      <c r="E589" s="3">
        <v>176</v>
      </c>
      <c r="F589" s="2">
        <v>3.254861111111111</v>
      </c>
      <c r="G589" t="s">
        <v>2816</v>
      </c>
      <c r="H589" t="s">
        <v>2817</v>
      </c>
      <c r="I589" s="2">
        <v>0.16666666666666666</v>
      </c>
      <c r="J589" s="4" t="str">
        <f>IF(Table1[[#This Row],[processing_time_hours]]&gt;1.5,"Slow", "Fast")</f>
        <v>Fast</v>
      </c>
      <c r="K589" t="s">
        <v>2814</v>
      </c>
      <c r="L589" s="3">
        <v>0</v>
      </c>
      <c r="M589" t="str">
        <f>IF(Table1[[#This Row],[delayed]]=1,"Delayed","On Time")</f>
        <v>On Time</v>
      </c>
      <c r="N589" t="str">
        <f>IF(AND(Table1[[#This Row],[delayed]]=1,Table1[[#This Row],[weather_condition]]="Storm"),"High Risk", IF(Table1[[#This Row],[delayed]]=1,"Medium Risk","Low Risk"))</f>
        <v>Low Risk</v>
      </c>
    </row>
    <row r="590" spans="1:14" x14ac:dyDescent="0.35">
      <c r="A590">
        <v>589</v>
      </c>
      <c r="B590" s="1">
        <v>44951.5</v>
      </c>
      <c r="C590" s="2">
        <v>6.1111111111111109E-2</v>
      </c>
      <c r="D590" s="3">
        <v>1449</v>
      </c>
      <c r="E590" s="3">
        <v>477</v>
      </c>
      <c r="F590" s="2">
        <v>55.631250000000001</v>
      </c>
      <c r="G590" t="s">
        <v>2819</v>
      </c>
      <c r="H590" t="s">
        <v>2817</v>
      </c>
      <c r="I590" s="2">
        <v>2.2534722222222223</v>
      </c>
      <c r="J590" s="4" t="str">
        <f>IF(Table1[[#This Row],[processing_time_hours]]&gt;1.5,"Slow", "Fast")</f>
        <v>Slow</v>
      </c>
      <c r="K590" t="s">
        <v>2821</v>
      </c>
      <c r="L590" s="3">
        <v>0</v>
      </c>
      <c r="M590" t="str">
        <f>IF(Table1[[#This Row],[delayed]]=1,"Delayed","On Time")</f>
        <v>On Time</v>
      </c>
      <c r="N590" t="str">
        <f>IF(AND(Table1[[#This Row],[delayed]]=1,Table1[[#This Row],[weather_condition]]="Storm"),"High Risk", IF(Table1[[#This Row],[delayed]]=1,"Medium Risk","Low Risk"))</f>
        <v>Low Risk</v>
      </c>
    </row>
    <row r="591" spans="1:14" x14ac:dyDescent="0.35">
      <c r="A591">
        <v>590</v>
      </c>
      <c r="B591" s="1">
        <v>44951.541666666664</v>
      </c>
      <c r="C591" s="2">
        <v>6.5277777777777782E-2</v>
      </c>
      <c r="D591" s="3">
        <v>2552</v>
      </c>
      <c r="E591" s="3">
        <v>60</v>
      </c>
      <c r="F591" s="2">
        <v>6.1701388888888893</v>
      </c>
      <c r="G591" t="s">
        <v>2819</v>
      </c>
      <c r="H591" t="s">
        <v>2822</v>
      </c>
      <c r="I591" s="2">
        <v>2.8333333333333335</v>
      </c>
      <c r="J591" s="4" t="str">
        <f>IF(Table1[[#This Row],[processing_time_hours]]&gt;1.5,"Slow", "Fast")</f>
        <v>Slow</v>
      </c>
      <c r="K591" t="s">
        <v>2821</v>
      </c>
      <c r="L591" s="3">
        <v>0</v>
      </c>
      <c r="M591" t="str">
        <f>IF(Table1[[#This Row],[delayed]]=1,"Delayed","On Time")</f>
        <v>On Time</v>
      </c>
      <c r="N591" t="str">
        <f>IF(AND(Table1[[#This Row],[delayed]]=1,Table1[[#This Row],[weather_condition]]="Storm"),"High Risk", IF(Table1[[#This Row],[delayed]]=1,"Medium Risk","Low Risk"))</f>
        <v>Low Risk</v>
      </c>
    </row>
    <row r="592" spans="1:14" x14ac:dyDescent="0.35">
      <c r="A592">
        <v>591</v>
      </c>
      <c r="B592" s="1">
        <v>44951.583333333336</v>
      </c>
      <c r="C592" s="2">
        <v>5.4166666666666669E-2</v>
      </c>
      <c r="D592" s="3">
        <v>3769</v>
      </c>
      <c r="E592" s="3">
        <v>73</v>
      </c>
      <c r="F592" s="2">
        <v>44.422222222222224</v>
      </c>
      <c r="G592" t="s">
        <v>2816</v>
      </c>
      <c r="H592" t="s">
        <v>2820</v>
      </c>
      <c r="I592" s="2">
        <v>1.6722222222222223</v>
      </c>
      <c r="J592" s="4" t="str">
        <f>IF(Table1[[#This Row],[processing_time_hours]]&gt;1.5,"Slow", "Fast")</f>
        <v>Slow</v>
      </c>
      <c r="K592" t="s">
        <v>2821</v>
      </c>
      <c r="L592" s="3">
        <v>0</v>
      </c>
      <c r="M592" t="str">
        <f>IF(Table1[[#This Row],[delayed]]=1,"Delayed","On Time")</f>
        <v>On Time</v>
      </c>
      <c r="N592" t="str">
        <f>IF(AND(Table1[[#This Row],[delayed]]=1,Table1[[#This Row],[weather_condition]]="Storm"),"High Risk", IF(Table1[[#This Row],[delayed]]=1,"Medium Risk","Low Risk"))</f>
        <v>Low Risk</v>
      </c>
    </row>
    <row r="593" spans="1:14" x14ac:dyDescent="0.35">
      <c r="A593">
        <v>592</v>
      </c>
      <c r="B593" s="1">
        <v>44951.625</v>
      </c>
      <c r="C593" s="2">
        <v>5.6250000000000001E-2</v>
      </c>
      <c r="D593" s="3">
        <v>2510</v>
      </c>
      <c r="E593" s="3">
        <v>69</v>
      </c>
      <c r="F593" s="2">
        <v>30.293055555555554</v>
      </c>
      <c r="G593" t="s">
        <v>2819</v>
      </c>
      <c r="H593" t="s">
        <v>2822</v>
      </c>
      <c r="I593" s="2">
        <v>1.2958333333333334</v>
      </c>
      <c r="J593" s="4" t="str">
        <f>IF(Table1[[#This Row],[processing_time_hours]]&gt;1.5,"Slow", "Fast")</f>
        <v>Fast</v>
      </c>
      <c r="K593" t="s">
        <v>2821</v>
      </c>
      <c r="L593" s="3">
        <v>1</v>
      </c>
      <c r="M593" t="str">
        <f>IF(Table1[[#This Row],[delayed]]=1,"Delayed","On Time")</f>
        <v>Delayed</v>
      </c>
      <c r="N593" t="str">
        <f>IF(AND(Table1[[#This Row],[delayed]]=1,Table1[[#This Row],[weather_condition]]="Storm"),"High Risk", IF(Table1[[#This Row],[delayed]]=1,"Medium Risk","Low Risk"))</f>
        <v>Medium Risk</v>
      </c>
    </row>
    <row r="594" spans="1:14" x14ac:dyDescent="0.35">
      <c r="A594">
        <v>593</v>
      </c>
      <c r="B594" s="1">
        <v>44951.666666666664</v>
      </c>
      <c r="C594" s="2">
        <v>4.7222222222222221E-2</v>
      </c>
      <c r="D594" s="3">
        <v>535</v>
      </c>
      <c r="E594" s="3">
        <v>328</v>
      </c>
      <c r="F594" s="2">
        <v>52.297222222222224</v>
      </c>
      <c r="G594" t="s">
        <v>2815</v>
      </c>
      <c r="H594" t="s">
        <v>2820</v>
      </c>
      <c r="I594" s="2">
        <v>1.1256944444444443</v>
      </c>
      <c r="J594" s="4" t="str">
        <f>IF(Table1[[#This Row],[processing_time_hours]]&gt;1.5,"Slow", "Fast")</f>
        <v>Fast</v>
      </c>
      <c r="K594" t="s">
        <v>2818</v>
      </c>
      <c r="L594" s="3">
        <v>0</v>
      </c>
      <c r="M594" t="str">
        <f>IF(Table1[[#This Row],[delayed]]=1,"Delayed","On Time")</f>
        <v>On Time</v>
      </c>
      <c r="N594" t="str">
        <f>IF(AND(Table1[[#This Row],[delayed]]=1,Table1[[#This Row],[weather_condition]]="Storm"),"High Risk", IF(Table1[[#This Row],[delayed]]=1,"Medium Risk","Low Risk"))</f>
        <v>Low Risk</v>
      </c>
    </row>
    <row r="595" spans="1:14" x14ac:dyDescent="0.35">
      <c r="A595">
        <v>594</v>
      </c>
      <c r="B595" s="1">
        <v>44951.708333333336</v>
      </c>
      <c r="C595" s="2">
        <v>5.0694444444444438E-2</v>
      </c>
      <c r="D595" s="3">
        <v>758</v>
      </c>
      <c r="E595" s="3">
        <v>157</v>
      </c>
      <c r="F595" s="2">
        <v>68.711111111111109</v>
      </c>
      <c r="G595" t="s">
        <v>2815</v>
      </c>
      <c r="H595" t="s">
        <v>2813</v>
      </c>
      <c r="I595" s="2">
        <v>0.66805555555555562</v>
      </c>
      <c r="J595" s="4" t="str">
        <f>IF(Table1[[#This Row],[processing_time_hours]]&gt;1.5,"Slow", "Fast")</f>
        <v>Fast</v>
      </c>
      <c r="K595" t="s">
        <v>2821</v>
      </c>
      <c r="L595" s="3">
        <v>0</v>
      </c>
      <c r="M595" t="str">
        <f>IF(Table1[[#This Row],[delayed]]=1,"Delayed","On Time")</f>
        <v>On Time</v>
      </c>
      <c r="N595" t="str">
        <f>IF(AND(Table1[[#This Row],[delayed]]=1,Table1[[#This Row],[weather_condition]]="Storm"),"High Risk", IF(Table1[[#This Row],[delayed]]=1,"Medium Risk","Low Risk"))</f>
        <v>Low Risk</v>
      </c>
    </row>
    <row r="596" spans="1:14" x14ac:dyDescent="0.35">
      <c r="A596">
        <v>595</v>
      </c>
      <c r="B596" s="1">
        <v>44951.75</v>
      </c>
      <c r="C596" s="2">
        <v>6.1805555555555558E-2</v>
      </c>
      <c r="D596" s="3">
        <v>731</v>
      </c>
      <c r="E596" s="3">
        <v>217</v>
      </c>
      <c r="F596" s="2">
        <v>44.21319444444444</v>
      </c>
      <c r="G596" t="s">
        <v>2816</v>
      </c>
      <c r="H596" t="s">
        <v>2817</v>
      </c>
      <c r="I596" s="2">
        <v>0.33680555555555558</v>
      </c>
      <c r="J596" s="4" t="str">
        <f>IF(Table1[[#This Row],[processing_time_hours]]&gt;1.5,"Slow", "Fast")</f>
        <v>Fast</v>
      </c>
      <c r="K596" t="s">
        <v>2814</v>
      </c>
      <c r="L596" s="3">
        <v>0</v>
      </c>
      <c r="M596" t="str">
        <f>IF(Table1[[#This Row],[delayed]]=1,"Delayed","On Time")</f>
        <v>On Time</v>
      </c>
      <c r="N596" t="str">
        <f>IF(AND(Table1[[#This Row],[delayed]]=1,Table1[[#This Row],[weather_condition]]="Storm"),"High Risk", IF(Table1[[#This Row],[delayed]]=1,"Medium Risk","Low Risk"))</f>
        <v>Low Risk</v>
      </c>
    </row>
    <row r="597" spans="1:14" x14ac:dyDescent="0.35">
      <c r="A597">
        <v>596</v>
      </c>
      <c r="B597" s="1">
        <v>44951.791666666664</v>
      </c>
      <c r="C597" s="2">
        <v>6.805555555555555E-2</v>
      </c>
      <c r="D597" s="3">
        <v>3204</v>
      </c>
      <c r="E597" s="3">
        <v>476</v>
      </c>
      <c r="F597" s="2">
        <v>50.83680555555555</v>
      </c>
      <c r="G597" t="s">
        <v>2819</v>
      </c>
      <c r="H597" t="s">
        <v>2822</v>
      </c>
      <c r="I597" s="2">
        <v>2.2520833333333332</v>
      </c>
      <c r="J597" s="4" t="str">
        <f>IF(Table1[[#This Row],[processing_time_hours]]&gt;1.5,"Slow", "Fast")</f>
        <v>Slow</v>
      </c>
      <c r="K597" t="s">
        <v>2814</v>
      </c>
      <c r="L597" s="3">
        <v>1</v>
      </c>
      <c r="M597" t="str">
        <f>IF(Table1[[#This Row],[delayed]]=1,"Delayed","On Time")</f>
        <v>Delayed</v>
      </c>
      <c r="N597" t="str">
        <f>IF(AND(Table1[[#This Row],[delayed]]=1,Table1[[#This Row],[weather_condition]]="Storm"),"High Risk", IF(Table1[[#This Row],[delayed]]=1,"Medium Risk","Low Risk"))</f>
        <v>Medium Risk</v>
      </c>
    </row>
    <row r="598" spans="1:14" x14ac:dyDescent="0.35">
      <c r="A598">
        <v>597</v>
      </c>
      <c r="B598" s="1">
        <v>44951.833333333336</v>
      </c>
      <c r="C598" s="2">
        <v>4.5833333333333337E-2</v>
      </c>
      <c r="D598" s="3">
        <v>1679</v>
      </c>
      <c r="E598" s="3">
        <v>333</v>
      </c>
      <c r="F598" s="2">
        <v>65.712499999999991</v>
      </c>
      <c r="G598" t="s">
        <v>2819</v>
      </c>
      <c r="H598" t="s">
        <v>2817</v>
      </c>
      <c r="I598" s="2">
        <v>2.1277777777777778</v>
      </c>
      <c r="J598" s="4" t="str">
        <f>IF(Table1[[#This Row],[processing_time_hours]]&gt;1.5,"Slow", "Fast")</f>
        <v>Slow</v>
      </c>
      <c r="K598" t="s">
        <v>2814</v>
      </c>
      <c r="L598" s="3">
        <v>1</v>
      </c>
      <c r="M598" t="str">
        <f>IF(Table1[[#This Row],[delayed]]=1,"Delayed","On Time")</f>
        <v>Delayed</v>
      </c>
      <c r="N598" t="str">
        <f>IF(AND(Table1[[#This Row],[delayed]]=1,Table1[[#This Row],[weather_condition]]="Storm"),"High Risk", IF(Table1[[#This Row],[delayed]]=1,"Medium Risk","Low Risk"))</f>
        <v>High Risk</v>
      </c>
    </row>
    <row r="599" spans="1:14" x14ac:dyDescent="0.35">
      <c r="A599">
        <v>598</v>
      </c>
      <c r="B599" s="1">
        <v>44951.875</v>
      </c>
      <c r="C599" s="2">
        <v>4.3055555555555562E-2</v>
      </c>
      <c r="D599" s="3">
        <v>3739</v>
      </c>
      <c r="E599" s="3">
        <v>11</v>
      </c>
      <c r="F599" s="2">
        <v>27.417361111111109</v>
      </c>
      <c r="G599" t="s">
        <v>2815</v>
      </c>
      <c r="H599" t="s">
        <v>2820</v>
      </c>
      <c r="I599" s="2">
        <v>1.875</v>
      </c>
      <c r="J599" s="4" t="str">
        <f>IF(Table1[[#This Row],[processing_time_hours]]&gt;1.5,"Slow", "Fast")</f>
        <v>Slow</v>
      </c>
      <c r="K599" t="s">
        <v>2818</v>
      </c>
      <c r="L599" s="3">
        <v>0</v>
      </c>
      <c r="M599" t="str">
        <f>IF(Table1[[#This Row],[delayed]]=1,"Delayed","On Time")</f>
        <v>On Time</v>
      </c>
      <c r="N599" t="str">
        <f>IF(AND(Table1[[#This Row],[delayed]]=1,Table1[[#This Row],[weather_condition]]="Storm"),"High Risk", IF(Table1[[#This Row],[delayed]]=1,"Medium Risk","Low Risk"))</f>
        <v>Low Risk</v>
      </c>
    </row>
    <row r="600" spans="1:14" x14ac:dyDescent="0.35">
      <c r="A600">
        <v>599</v>
      </c>
      <c r="B600" s="1">
        <v>44951.916666666664</v>
      </c>
      <c r="C600" s="2">
        <v>4.3750000000000004E-2</v>
      </c>
      <c r="D600" s="3">
        <v>1660</v>
      </c>
      <c r="E600" s="3">
        <v>161</v>
      </c>
      <c r="F600" s="2">
        <v>52.795833333333327</v>
      </c>
      <c r="G600" t="s">
        <v>2815</v>
      </c>
      <c r="H600" t="s">
        <v>2817</v>
      </c>
      <c r="I600" s="2">
        <v>1.9173611111111111</v>
      </c>
      <c r="J600" s="4" t="str">
        <f>IF(Table1[[#This Row],[processing_time_hours]]&gt;1.5,"Slow", "Fast")</f>
        <v>Slow</v>
      </c>
      <c r="K600" t="s">
        <v>2818</v>
      </c>
      <c r="L600" s="3">
        <v>0</v>
      </c>
      <c r="M600" t="str">
        <f>IF(Table1[[#This Row],[delayed]]=1,"Delayed","On Time")</f>
        <v>On Time</v>
      </c>
      <c r="N600" t="str">
        <f>IF(AND(Table1[[#This Row],[delayed]]=1,Table1[[#This Row],[weather_condition]]="Storm"),"High Risk", IF(Table1[[#This Row],[delayed]]=1,"Medium Risk","Low Risk"))</f>
        <v>Low Risk</v>
      </c>
    </row>
    <row r="601" spans="1:14" x14ac:dyDescent="0.35">
      <c r="A601">
        <v>600</v>
      </c>
      <c r="B601" s="1">
        <v>44951.958333333336</v>
      </c>
      <c r="C601" s="2">
        <v>5.3472222222222227E-2</v>
      </c>
      <c r="D601" s="3">
        <v>2580</v>
      </c>
      <c r="E601" s="3">
        <v>371</v>
      </c>
      <c r="F601" s="2">
        <v>6.0465277777777784</v>
      </c>
      <c r="G601" t="s">
        <v>2815</v>
      </c>
      <c r="H601" t="s">
        <v>2820</v>
      </c>
      <c r="I601" s="2">
        <v>4.7916666666666663E-2</v>
      </c>
      <c r="J601" s="4" t="str">
        <f>IF(Table1[[#This Row],[processing_time_hours]]&gt;1.5,"Slow", "Fast")</f>
        <v>Fast</v>
      </c>
      <c r="K601" t="s">
        <v>2818</v>
      </c>
      <c r="L601" s="3">
        <v>1</v>
      </c>
      <c r="M601" t="str">
        <f>IF(Table1[[#This Row],[delayed]]=1,"Delayed","On Time")</f>
        <v>Delayed</v>
      </c>
      <c r="N601" t="str">
        <f>IF(AND(Table1[[#This Row],[delayed]]=1,Table1[[#This Row],[weather_condition]]="Storm"),"High Risk", IF(Table1[[#This Row],[delayed]]=1,"Medium Risk","Low Risk"))</f>
        <v>Medium Risk</v>
      </c>
    </row>
    <row r="602" spans="1:14" x14ac:dyDescent="0.35">
      <c r="A602">
        <v>601</v>
      </c>
      <c r="B602" s="1">
        <v>44952</v>
      </c>
      <c r="C602" s="2">
        <v>6.3888888888888898E-2</v>
      </c>
      <c r="D602" s="3">
        <v>3806</v>
      </c>
      <c r="E602" s="3">
        <v>135</v>
      </c>
      <c r="F602" s="2">
        <v>26.296527777777779</v>
      </c>
      <c r="G602" t="s">
        <v>2815</v>
      </c>
      <c r="H602" t="s">
        <v>2813</v>
      </c>
      <c r="I602" s="2">
        <v>2.7972222222222225</v>
      </c>
      <c r="J602" s="4" t="str">
        <f>IF(Table1[[#This Row],[processing_time_hours]]&gt;1.5,"Slow", "Fast")</f>
        <v>Slow</v>
      </c>
      <c r="K602" t="s">
        <v>2814</v>
      </c>
      <c r="L602" s="3">
        <v>1</v>
      </c>
      <c r="M602" t="str">
        <f>IF(Table1[[#This Row],[delayed]]=1,"Delayed","On Time")</f>
        <v>Delayed</v>
      </c>
      <c r="N602" t="str">
        <f>IF(AND(Table1[[#This Row],[delayed]]=1,Table1[[#This Row],[weather_condition]]="Storm"),"High Risk", IF(Table1[[#This Row],[delayed]]=1,"Medium Risk","Low Risk"))</f>
        <v>Medium Risk</v>
      </c>
    </row>
    <row r="603" spans="1:14" x14ac:dyDescent="0.35">
      <c r="A603">
        <v>602</v>
      </c>
      <c r="B603" s="1">
        <v>44952.041666666664</v>
      </c>
      <c r="C603" s="2">
        <v>4.7916666666666663E-2</v>
      </c>
      <c r="D603" s="3">
        <v>4312</v>
      </c>
      <c r="E603" s="3">
        <v>110</v>
      </c>
      <c r="F603" s="2">
        <v>39.917361111111113</v>
      </c>
      <c r="G603" t="s">
        <v>2816</v>
      </c>
      <c r="H603" t="s">
        <v>2817</v>
      </c>
      <c r="I603" s="2">
        <v>0.91666666666666663</v>
      </c>
      <c r="J603" s="4" t="str">
        <f>IF(Table1[[#This Row],[processing_time_hours]]&gt;1.5,"Slow", "Fast")</f>
        <v>Fast</v>
      </c>
      <c r="K603" t="s">
        <v>2821</v>
      </c>
      <c r="L603" s="3">
        <v>1</v>
      </c>
      <c r="M603" t="str">
        <f>IF(Table1[[#This Row],[delayed]]=1,"Delayed","On Time")</f>
        <v>Delayed</v>
      </c>
      <c r="N603" t="str">
        <f>IF(AND(Table1[[#This Row],[delayed]]=1,Table1[[#This Row],[weather_condition]]="Storm"),"High Risk", IF(Table1[[#This Row],[delayed]]=1,"Medium Risk","Low Risk"))</f>
        <v>High Risk</v>
      </c>
    </row>
    <row r="604" spans="1:14" x14ac:dyDescent="0.35">
      <c r="A604">
        <v>603</v>
      </c>
      <c r="B604" s="1">
        <v>44952.083333333336</v>
      </c>
      <c r="C604" s="2">
        <v>5.486111111111111E-2</v>
      </c>
      <c r="D604" s="3">
        <v>4349</v>
      </c>
      <c r="E604" s="3">
        <v>156</v>
      </c>
      <c r="F604" s="2">
        <v>79.919444444444437</v>
      </c>
      <c r="G604" t="s">
        <v>2815</v>
      </c>
      <c r="H604" t="s">
        <v>2820</v>
      </c>
      <c r="I604" s="2">
        <v>1.2131944444444445</v>
      </c>
      <c r="J604" s="4" t="str">
        <f>IF(Table1[[#This Row],[processing_time_hours]]&gt;1.5,"Slow", "Fast")</f>
        <v>Fast</v>
      </c>
      <c r="K604" t="s">
        <v>2814</v>
      </c>
      <c r="L604" s="3">
        <v>0</v>
      </c>
      <c r="M604" t="str">
        <f>IF(Table1[[#This Row],[delayed]]=1,"Delayed","On Time")</f>
        <v>On Time</v>
      </c>
      <c r="N604" t="str">
        <f>IF(AND(Table1[[#This Row],[delayed]]=1,Table1[[#This Row],[weather_condition]]="Storm"),"High Risk", IF(Table1[[#This Row],[delayed]]=1,"Medium Risk","Low Risk"))</f>
        <v>Low Risk</v>
      </c>
    </row>
    <row r="605" spans="1:14" x14ac:dyDescent="0.35">
      <c r="A605">
        <v>604</v>
      </c>
      <c r="B605" s="1">
        <v>44952.125</v>
      </c>
      <c r="C605" s="2">
        <v>5.6250000000000001E-2</v>
      </c>
      <c r="D605" s="3">
        <v>4734</v>
      </c>
      <c r="E605" s="3">
        <v>67</v>
      </c>
      <c r="F605" s="2">
        <v>14.166666666666666</v>
      </c>
      <c r="G605" t="s">
        <v>2819</v>
      </c>
      <c r="H605" t="s">
        <v>2822</v>
      </c>
      <c r="I605" s="2">
        <v>0.375</v>
      </c>
      <c r="J605" s="4" t="str">
        <f>IF(Table1[[#This Row],[processing_time_hours]]&gt;1.5,"Slow", "Fast")</f>
        <v>Fast</v>
      </c>
      <c r="K605" t="s">
        <v>2814</v>
      </c>
      <c r="L605" s="3">
        <v>1</v>
      </c>
      <c r="M605" t="str">
        <f>IF(Table1[[#This Row],[delayed]]=1,"Delayed","On Time")</f>
        <v>Delayed</v>
      </c>
      <c r="N605" t="str">
        <f>IF(AND(Table1[[#This Row],[delayed]]=1,Table1[[#This Row],[weather_condition]]="Storm"),"High Risk", IF(Table1[[#This Row],[delayed]]=1,"Medium Risk","Low Risk"))</f>
        <v>Medium Risk</v>
      </c>
    </row>
    <row r="606" spans="1:14" x14ac:dyDescent="0.35">
      <c r="A606">
        <v>605</v>
      </c>
      <c r="B606" s="1">
        <v>44952.166666666664</v>
      </c>
      <c r="C606" s="2">
        <v>6.5277777777777782E-2</v>
      </c>
      <c r="D606" s="3">
        <v>2981</v>
      </c>
      <c r="E606" s="3">
        <v>287</v>
      </c>
      <c r="F606" s="2">
        <v>62.291666666666664</v>
      </c>
      <c r="G606" t="s">
        <v>2816</v>
      </c>
      <c r="H606" t="s">
        <v>2820</v>
      </c>
      <c r="I606" s="2">
        <v>1.8347222222222221</v>
      </c>
      <c r="J606" s="4" t="str">
        <f>IF(Table1[[#This Row],[processing_time_hours]]&gt;1.5,"Slow", "Fast")</f>
        <v>Slow</v>
      </c>
      <c r="K606" t="s">
        <v>2814</v>
      </c>
      <c r="L606" s="3">
        <v>1</v>
      </c>
      <c r="M606" t="str">
        <f>IF(Table1[[#This Row],[delayed]]=1,"Delayed","On Time")</f>
        <v>Delayed</v>
      </c>
      <c r="N606" t="str">
        <f>IF(AND(Table1[[#This Row],[delayed]]=1,Table1[[#This Row],[weather_condition]]="Storm"),"High Risk", IF(Table1[[#This Row],[delayed]]=1,"Medium Risk","Low Risk"))</f>
        <v>Medium Risk</v>
      </c>
    </row>
    <row r="607" spans="1:14" x14ac:dyDescent="0.35">
      <c r="A607">
        <v>606</v>
      </c>
      <c r="B607" s="1">
        <v>44952.208333333336</v>
      </c>
      <c r="C607" s="2">
        <v>4.6527777777777779E-2</v>
      </c>
      <c r="D607" s="3">
        <v>1901</v>
      </c>
      <c r="E607" s="3">
        <v>96</v>
      </c>
      <c r="F607" s="2">
        <v>64.211111111111109</v>
      </c>
      <c r="G607" t="s">
        <v>2819</v>
      </c>
      <c r="H607" t="s">
        <v>2817</v>
      </c>
      <c r="I607" s="2">
        <v>8.8888888888888892E-2</v>
      </c>
      <c r="J607" s="4" t="str">
        <f>IF(Table1[[#This Row],[processing_time_hours]]&gt;1.5,"Slow", "Fast")</f>
        <v>Fast</v>
      </c>
      <c r="K607" t="s">
        <v>2821</v>
      </c>
      <c r="L607" s="3">
        <v>0</v>
      </c>
      <c r="M607" t="str">
        <f>IF(Table1[[#This Row],[delayed]]=1,"Delayed","On Time")</f>
        <v>On Time</v>
      </c>
      <c r="N607" t="str">
        <f>IF(AND(Table1[[#This Row],[delayed]]=1,Table1[[#This Row],[weather_condition]]="Storm"),"High Risk", IF(Table1[[#This Row],[delayed]]=1,"Medium Risk","Low Risk"))</f>
        <v>Low Risk</v>
      </c>
    </row>
    <row r="608" spans="1:14" x14ac:dyDescent="0.35">
      <c r="A608">
        <v>607</v>
      </c>
      <c r="B608" s="1">
        <v>44952.25</v>
      </c>
      <c r="C608" s="2">
        <v>4.2361111111111106E-2</v>
      </c>
      <c r="D608" s="3">
        <v>1568</v>
      </c>
      <c r="E608" s="3">
        <v>150</v>
      </c>
      <c r="F608" s="2">
        <v>39.584027777777777</v>
      </c>
      <c r="G608" t="s">
        <v>2812</v>
      </c>
      <c r="H608" t="s">
        <v>2820</v>
      </c>
      <c r="I608" s="2">
        <v>1.2916666666666667</v>
      </c>
      <c r="J608" s="4" t="str">
        <f>IF(Table1[[#This Row],[processing_time_hours]]&gt;1.5,"Slow", "Fast")</f>
        <v>Fast</v>
      </c>
      <c r="K608" t="s">
        <v>2814</v>
      </c>
      <c r="L608" s="3">
        <v>0</v>
      </c>
      <c r="M608" t="str">
        <f>IF(Table1[[#This Row],[delayed]]=1,"Delayed","On Time")</f>
        <v>On Time</v>
      </c>
      <c r="N608" t="str">
        <f>IF(AND(Table1[[#This Row],[delayed]]=1,Table1[[#This Row],[weather_condition]]="Storm"),"High Risk", IF(Table1[[#This Row],[delayed]]=1,"Medium Risk","Low Risk"))</f>
        <v>Low Risk</v>
      </c>
    </row>
    <row r="609" spans="1:14" x14ac:dyDescent="0.35">
      <c r="A609">
        <v>608</v>
      </c>
      <c r="B609" s="1">
        <v>44952.291666666664</v>
      </c>
      <c r="C609" s="2">
        <v>5.5555555555555558E-3</v>
      </c>
      <c r="D609" s="3">
        <v>861</v>
      </c>
      <c r="E609" s="3">
        <v>426</v>
      </c>
      <c r="F609" s="2">
        <v>12.545833333333334</v>
      </c>
      <c r="G609" t="s">
        <v>2815</v>
      </c>
      <c r="H609" t="s">
        <v>2820</v>
      </c>
      <c r="I609" s="2">
        <v>8.5416666666666655E-2</v>
      </c>
      <c r="J609" s="4" t="str">
        <f>IF(Table1[[#This Row],[processing_time_hours]]&gt;1.5,"Slow", "Fast")</f>
        <v>Fast</v>
      </c>
      <c r="K609" t="s">
        <v>2821</v>
      </c>
      <c r="L609" s="3">
        <v>0</v>
      </c>
      <c r="M609" t="str">
        <f>IF(Table1[[#This Row],[delayed]]=1,"Delayed","On Time")</f>
        <v>On Time</v>
      </c>
      <c r="N609" t="str">
        <f>IF(AND(Table1[[#This Row],[delayed]]=1,Table1[[#This Row],[weather_condition]]="Storm"),"High Risk", IF(Table1[[#This Row],[delayed]]=1,"Medium Risk","Low Risk"))</f>
        <v>Low Risk</v>
      </c>
    </row>
    <row r="610" spans="1:14" x14ac:dyDescent="0.35">
      <c r="A610">
        <v>609</v>
      </c>
      <c r="B610" s="1">
        <v>44952.333333333336</v>
      </c>
      <c r="C610" s="2">
        <v>5.1388888888888894E-2</v>
      </c>
      <c r="D610" s="3">
        <v>1743</v>
      </c>
      <c r="E610" s="3">
        <v>491</v>
      </c>
      <c r="F610" s="2">
        <v>16.00138888888889</v>
      </c>
      <c r="G610" t="s">
        <v>2816</v>
      </c>
      <c r="H610" t="s">
        <v>2813</v>
      </c>
      <c r="I610" s="2">
        <v>1.1701388888888888</v>
      </c>
      <c r="J610" s="4" t="str">
        <f>IF(Table1[[#This Row],[processing_time_hours]]&gt;1.5,"Slow", "Fast")</f>
        <v>Fast</v>
      </c>
      <c r="K610" t="s">
        <v>2814</v>
      </c>
      <c r="L610" s="3">
        <v>0</v>
      </c>
      <c r="M610" t="str">
        <f>IF(Table1[[#This Row],[delayed]]=1,"Delayed","On Time")</f>
        <v>On Time</v>
      </c>
      <c r="N610" t="str">
        <f>IF(AND(Table1[[#This Row],[delayed]]=1,Table1[[#This Row],[weather_condition]]="Storm"),"High Risk", IF(Table1[[#This Row],[delayed]]=1,"Medium Risk","Low Risk"))</f>
        <v>Low Risk</v>
      </c>
    </row>
    <row r="611" spans="1:14" x14ac:dyDescent="0.35">
      <c r="A611">
        <v>610</v>
      </c>
      <c r="B611" s="1">
        <v>44952.375</v>
      </c>
      <c r="C611" s="2">
        <v>4.9999999999999996E-2</v>
      </c>
      <c r="D611" s="3">
        <v>304</v>
      </c>
      <c r="E611" s="3">
        <v>452</v>
      </c>
      <c r="F611" s="2">
        <v>25.419444444444448</v>
      </c>
      <c r="G611" t="s">
        <v>2815</v>
      </c>
      <c r="H611" t="s">
        <v>2817</v>
      </c>
      <c r="I611" s="2">
        <v>0.25069444444444444</v>
      </c>
      <c r="J611" s="4" t="str">
        <f>IF(Table1[[#This Row],[processing_time_hours]]&gt;1.5,"Slow", "Fast")</f>
        <v>Fast</v>
      </c>
      <c r="K611" t="s">
        <v>2814</v>
      </c>
      <c r="L611" s="3">
        <v>1</v>
      </c>
      <c r="M611" t="str">
        <f>IF(Table1[[#This Row],[delayed]]=1,"Delayed","On Time")</f>
        <v>Delayed</v>
      </c>
      <c r="N611" t="str">
        <f>IF(AND(Table1[[#This Row],[delayed]]=1,Table1[[#This Row],[weather_condition]]="Storm"),"High Risk", IF(Table1[[#This Row],[delayed]]=1,"Medium Risk","Low Risk"))</f>
        <v>High Risk</v>
      </c>
    </row>
    <row r="612" spans="1:14" x14ac:dyDescent="0.35">
      <c r="A612">
        <v>611</v>
      </c>
      <c r="B612" s="1">
        <v>44952.416666666664</v>
      </c>
      <c r="C612" s="2">
        <v>6.3194444444444442E-2</v>
      </c>
      <c r="D612" s="3">
        <v>2187</v>
      </c>
      <c r="E612" s="3">
        <v>174</v>
      </c>
      <c r="F612" s="2">
        <v>51.589583333333337</v>
      </c>
      <c r="G612" t="s">
        <v>2816</v>
      </c>
      <c r="H612" t="s">
        <v>2820</v>
      </c>
      <c r="I612" s="2">
        <v>1.0430555555555556</v>
      </c>
      <c r="J612" s="4" t="str">
        <f>IF(Table1[[#This Row],[processing_time_hours]]&gt;1.5,"Slow", "Fast")</f>
        <v>Fast</v>
      </c>
      <c r="K612" t="s">
        <v>2814</v>
      </c>
      <c r="L612" s="3">
        <v>0</v>
      </c>
      <c r="M612" t="str">
        <f>IF(Table1[[#This Row],[delayed]]=1,"Delayed","On Time")</f>
        <v>On Time</v>
      </c>
      <c r="N612" t="str">
        <f>IF(AND(Table1[[#This Row],[delayed]]=1,Table1[[#This Row],[weather_condition]]="Storm"),"High Risk", IF(Table1[[#This Row],[delayed]]=1,"Medium Risk","Low Risk"))</f>
        <v>Low Risk</v>
      </c>
    </row>
    <row r="613" spans="1:14" x14ac:dyDescent="0.35">
      <c r="A613">
        <v>612</v>
      </c>
      <c r="B613" s="1">
        <v>44952.458333333336</v>
      </c>
      <c r="C613" s="2">
        <v>6.0416666666666667E-2</v>
      </c>
      <c r="D613" s="3">
        <v>1390</v>
      </c>
      <c r="E613" s="3">
        <v>83</v>
      </c>
      <c r="F613" s="2">
        <v>0.25416666666666665</v>
      </c>
      <c r="G613" t="s">
        <v>2812</v>
      </c>
      <c r="H613" t="s">
        <v>2822</v>
      </c>
      <c r="I613" s="2">
        <v>2.9173611111111111</v>
      </c>
      <c r="J613" s="4" t="str">
        <f>IF(Table1[[#This Row],[processing_time_hours]]&gt;1.5,"Slow", "Fast")</f>
        <v>Slow</v>
      </c>
      <c r="K613" t="s">
        <v>2818</v>
      </c>
      <c r="L613" s="3">
        <v>0</v>
      </c>
      <c r="M613" t="str">
        <f>IF(Table1[[#This Row],[delayed]]=1,"Delayed","On Time")</f>
        <v>On Time</v>
      </c>
      <c r="N613" t="str">
        <f>IF(AND(Table1[[#This Row],[delayed]]=1,Table1[[#This Row],[weather_condition]]="Storm"),"High Risk", IF(Table1[[#This Row],[delayed]]=1,"Medium Risk","Low Risk"))</f>
        <v>Low Risk</v>
      </c>
    </row>
    <row r="614" spans="1:14" x14ac:dyDescent="0.35">
      <c r="A614">
        <v>613</v>
      </c>
      <c r="B614" s="1">
        <v>44952.5</v>
      </c>
      <c r="C614" s="2">
        <v>4.3750000000000004E-2</v>
      </c>
      <c r="D614" s="3">
        <v>1100</v>
      </c>
      <c r="E614" s="3">
        <v>436</v>
      </c>
      <c r="F614" s="2">
        <v>65.421527777777769</v>
      </c>
      <c r="G614" t="s">
        <v>2819</v>
      </c>
      <c r="H614" t="s">
        <v>2817</v>
      </c>
      <c r="I614" s="2">
        <v>1.4631944444444445</v>
      </c>
      <c r="J614" s="4" t="str">
        <f>IF(Table1[[#This Row],[processing_time_hours]]&gt;1.5,"Slow", "Fast")</f>
        <v>Fast</v>
      </c>
      <c r="K614" t="s">
        <v>2814</v>
      </c>
      <c r="L614" s="3">
        <v>0</v>
      </c>
      <c r="M614" t="str">
        <f>IF(Table1[[#This Row],[delayed]]=1,"Delayed","On Time")</f>
        <v>On Time</v>
      </c>
      <c r="N614" t="str">
        <f>IF(AND(Table1[[#This Row],[delayed]]=1,Table1[[#This Row],[weather_condition]]="Storm"),"High Risk", IF(Table1[[#This Row],[delayed]]=1,"Medium Risk","Low Risk"))</f>
        <v>Low Risk</v>
      </c>
    </row>
    <row r="615" spans="1:14" x14ac:dyDescent="0.35">
      <c r="A615">
        <v>614</v>
      </c>
      <c r="B615" s="1">
        <v>44952.541666666664</v>
      </c>
      <c r="C615" s="2">
        <v>5.6944444444444443E-2</v>
      </c>
      <c r="D615" s="3">
        <v>1112</v>
      </c>
      <c r="E615" s="3">
        <v>302</v>
      </c>
      <c r="F615" s="2">
        <v>20.045833333333334</v>
      </c>
      <c r="G615" t="s">
        <v>2816</v>
      </c>
      <c r="H615" t="s">
        <v>2817</v>
      </c>
      <c r="I615" s="2">
        <v>1.0881944444444445</v>
      </c>
      <c r="J615" s="4" t="str">
        <f>IF(Table1[[#This Row],[processing_time_hours]]&gt;1.5,"Slow", "Fast")</f>
        <v>Fast</v>
      </c>
      <c r="K615" t="s">
        <v>2814</v>
      </c>
      <c r="L615" s="3">
        <v>0</v>
      </c>
      <c r="M615" t="str">
        <f>IF(Table1[[#This Row],[delayed]]=1,"Delayed","On Time")</f>
        <v>On Time</v>
      </c>
      <c r="N615" t="str">
        <f>IF(AND(Table1[[#This Row],[delayed]]=1,Table1[[#This Row],[weather_condition]]="Storm"),"High Risk", IF(Table1[[#This Row],[delayed]]=1,"Medium Risk","Low Risk"))</f>
        <v>Low Risk</v>
      </c>
    </row>
    <row r="616" spans="1:14" x14ac:dyDescent="0.35">
      <c r="A616">
        <v>615</v>
      </c>
      <c r="B616" s="1">
        <v>44952.583333333336</v>
      </c>
      <c r="C616" s="2">
        <v>6.3888888888888898E-2</v>
      </c>
      <c r="D616" s="3">
        <v>168</v>
      </c>
      <c r="E616" s="3">
        <v>17</v>
      </c>
      <c r="F616" s="2">
        <v>53.671527777777776</v>
      </c>
      <c r="G616" t="s">
        <v>2819</v>
      </c>
      <c r="H616" t="s">
        <v>2817</v>
      </c>
      <c r="I616" s="2">
        <v>2.7083333333333335</v>
      </c>
      <c r="J616" s="4" t="str">
        <f>IF(Table1[[#This Row],[processing_time_hours]]&gt;1.5,"Slow", "Fast")</f>
        <v>Slow</v>
      </c>
      <c r="K616" t="s">
        <v>2818</v>
      </c>
      <c r="L616" s="3">
        <v>0</v>
      </c>
      <c r="M616" t="str">
        <f>IF(Table1[[#This Row],[delayed]]=1,"Delayed","On Time")</f>
        <v>On Time</v>
      </c>
      <c r="N616" t="str">
        <f>IF(AND(Table1[[#This Row],[delayed]]=1,Table1[[#This Row],[weather_condition]]="Storm"),"High Risk", IF(Table1[[#This Row],[delayed]]=1,"Medium Risk","Low Risk"))</f>
        <v>Low Risk</v>
      </c>
    </row>
    <row r="617" spans="1:14" x14ac:dyDescent="0.35">
      <c r="A617">
        <v>616</v>
      </c>
      <c r="B617" s="1">
        <v>44952.625</v>
      </c>
      <c r="C617" s="2">
        <v>6.6666666666666666E-2</v>
      </c>
      <c r="D617" s="3">
        <v>1977</v>
      </c>
      <c r="E617" s="3">
        <v>408</v>
      </c>
      <c r="F617" s="2">
        <v>64.375</v>
      </c>
      <c r="G617" t="s">
        <v>2816</v>
      </c>
      <c r="H617" t="s">
        <v>2817</v>
      </c>
      <c r="I617" s="2">
        <v>0.5</v>
      </c>
      <c r="J617" s="4" t="str">
        <f>IF(Table1[[#This Row],[processing_time_hours]]&gt;1.5,"Slow", "Fast")</f>
        <v>Fast</v>
      </c>
      <c r="K617" t="s">
        <v>2821</v>
      </c>
      <c r="L617" s="3">
        <v>0</v>
      </c>
      <c r="M617" t="str">
        <f>IF(Table1[[#This Row],[delayed]]=1,"Delayed","On Time")</f>
        <v>On Time</v>
      </c>
      <c r="N617" t="str">
        <f>IF(AND(Table1[[#This Row],[delayed]]=1,Table1[[#This Row],[weather_condition]]="Storm"),"High Risk", IF(Table1[[#This Row],[delayed]]=1,"Medium Risk","Low Risk"))</f>
        <v>Low Risk</v>
      </c>
    </row>
    <row r="618" spans="1:14" x14ac:dyDescent="0.35">
      <c r="A618">
        <v>617</v>
      </c>
      <c r="B618" s="1">
        <v>44952.666666666664</v>
      </c>
      <c r="C618" s="2">
        <v>4.1666666666666666E-3</v>
      </c>
      <c r="D618" s="3">
        <v>615</v>
      </c>
      <c r="E618" s="3">
        <v>253</v>
      </c>
      <c r="F618" s="2">
        <v>13.583333333333334</v>
      </c>
      <c r="G618" t="s">
        <v>2816</v>
      </c>
      <c r="H618" t="s">
        <v>2813</v>
      </c>
      <c r="I618" s="2">
        <v>1.6312499999999999</v>
      </c>
      <c r="J618" s="4" t="str">
        <f>IF(Table1[[#This Row],[processing_time_hours]]&gt;1.5,"Slow", "Fast")</f>
        <v>Slow</v>
      </c>
      <c r="K618" t="s">
        <v>2814</v>
      </c>
      <c r="L618" s="3">
        <v>0</v>
      </c>
      <c r="M618" t="str">
        <f>IF(Table1[[#This Row],[delayed]]=1,"Delayed","On Time")</f>
        <v>On Time</v>
      </c>
      <c r="N618" t="str">
        <f>IF(AND(Table1[[#This Row],[delayed]]=1,Table1[[#This Row],[weather_condition]]="Storm"),"High Risk", IF(Table1[[#This Row],[delayed]]=1,"Medium Risk","Low Risk"))</f>
        <v>Low Risk</v>
      </c>
    </row>
    <row r="619" spans="1:14" x14ac:dyDescent="0.35">
      <c r="A619">
        <v>618</v>
      </c>
      <c r="B619" s="1">
        <v>44952.708333333336</v>
      </c>
      <c r="C619" s="2">
        <v>6.3888888888888898E-2</v>
      </c>
      <c r="D619" s="3">
        <v>2145</v>
      </c>
      <c r="E619" s="3">
        <v>396</v>
      </c>
      <c r="F619" s="2">
        <v>72.588888888888889</v>
      </c>
      <c r="G619" t="s">
        <v>2819</v>
      </c>
      <c r="H619" t="s">
        <v>2822</v>
      </c>
      <c r="I619" s="2">
        <v>1.9618055555555556</v>
      </c>
      <c r="J619" s="4" t="str">
        <f>IF(Table1[[#This Row],[processing_time_hours]]&gt;1.5,"Slow", "Fast")</f>
        <v>Slow</v>
      </c>
      <c r="K619" t="s">
        <v>2814</v>
      </c>
      <c r="L619" s="3">
        <v>0</v>
      </c>
      <c r="M619" t="str">
        <f>IF(Table1[[#This Row],[delayed]]=1,"Delayed","On Time")</f>
        <v>On Time</v>
      </c>
      <c r="N619" t="str">
        <f>IF(AND(Table1[[#This Row],[delayed]]=1,Table1[[#This Row],[weather_condition]]="Storm"),"High Risk", IF(Table1[[#This Row],[delayed]]=1,"Medium Risk","Low Risk"))</f>
        <v>Low Risk</v>
      </c>
    </row>
    <row r="620" spans="1:14" x14ac:dyDescent="0.35">
      <c r="A620">
        <v>619</v>
      </c>
      <c r="B620" s="1">
        <v>44952.75</v>
      </c>
      <c r="C620" s="2">
        <v>4.3055555555555562E-2</v>
      </c>
      <c r="D620" s="3">
        <v>475</v>
      </c>
      <c r="E620" s="3">
        <v>438</v>
      </c>
      <c r="F620" s="2">
        <v>46.209722222222219</v>
      </c>
      <c r="G620" t="s">
        <v>2815</v>
      </c>
      <c r="H620" t="s">
        <v>2813</v>
      </c>
      <c r="I620" s="2">
        <v>1.3770833333333332</v>
      </c>
      <c r="J620" s="4" t="str">
        <f>IF(Table1[[#This Row],[processing_time_hours]]&gt;1.5,"Slow", "Fast")</f>
        <v>Fast</v>
      </c>
      <c r="K620" t="s">
        <v>2821</v>
      </c>
      <c r="L620" s="3">
        <v>0</v>
      </c>
      <c r="M620" t="str">
        <f>IF(Table1[[#This Row],[delayed]]=1,"Delayed","On Time")</f>
        <v>On Time</v>
      </c>
      <c r="N620" t="str">
        <f>IF(AND(Table1[[#This Row],[delayed]]=1,Table1[[#This Row],[weather_condition]]="Storm"),"High Risk", IF(Table1[[#This Row],[delayed]]=1,"Medium Risk","Low Risk"))</f>
        <v>Low Risk</v>
      </c>
    </row>
    <row r="621" spans="1:14" x14ac:dyDescent="0.35">
      <c r="A621">
        <v>620</v>
      </c>
      <c r="B621" s="1">
        <v>44952.791666666664</v>
      </c>
      <c r="C621" s="2">
        <v>6.0416666666666667E-2</v>
      </c>
      <c r="D621" s="3">
        <v>1817</v>
      </c>
      <c r="E621" s="3">
        <v>286</v>
      </c>
      <c r="F621" s="2">
        <v>80.629166666666663</v>
      </c>
      <c r="G621" t="s">
        <v>2816</v>
      </c>
      <c r="H621" t="s">
        <v>2820</v>
      </c>
      <c r="I621" s="2">
        <v>2.2513888888888887</v>
      </c>
      <c r="J621" s="4" t="str">
        <f>IF(Table1[[#This Row],[processing_time_hours]]&gt;1.5,"Slow", "Fast")</f>
        <v>Slow</v>
      </c>
      <c r="K621" t="s">
        <v>2814</v>
      </c>
      <c r="L621" s="3">
        <v>1</v>
      </c>
      <c r="M621" t="str">
        <f>IF(Table1[[#This Row],[delayed]]=1,"Delayed","On Time")</f>
        <v>Delayed</v>
      </c>
      <c r="N621" t="str">
        <f>IF(AND(Table1[[#This Row],[delayed]]=1,Table1[[#This Row],[weather_condition]]="Storm"),"High Risk", IF(Table1[[#This Row],[delayed]]=1,"Medium Risk","Low Risk"))</f>
        <v>Medium Risk</v>
      </c>
    </row>
    <row r="622" spans="1:14" x14ac:dyDescent="0.35">
      <c r="A622">
        <v>621</v>
      </c>
      <c r="B622" s="1">
        <v>44952.833333333336</v>
      </c>
      <c r="C622" s="2">
        <v>5.8333333333333327E-2</v>
      </c>
      <c r="D622" s="3">
        <v>1744</v>
      </c>
      <c r="E622" s="3">
        <v>303</v>
      </c>
      <c r="F622" s="2">
        <v>82.046527777777769</v>
      </c>
      <c r="G622" t="s">
        <v>2815</v>
      </c>
      <c r="H622" t="s">
        <v>2820</v>
      </c>
      <c r="I622" s="2">
        <v>0.25347222222222221</v>
      </c>
      <c r="J622" s="4" t="str">
        <f>IF(Table1[[#This Row],[processing_time_hours]]&gt;1.5,"Slow", "Fast")</f>
        <v>Fast</v>
      </c>
      <c r="K622" t="s">
        <v>2818</v>
      </c>
      <c r="L622" s="3">
        <v>1</v>
      </c>
      <c r="M622" t="str">
        <f>IF(Table1[[#This Row],[delayed]]=1,"Delayed","On Time")</f>
        <v>Delayed</v>
      </c>
      <c r="N622" t="str">
        <f>IF(AND(Table1[[#This Row],[delayed]]=1,Table1[[#This Row],[weather_condition]]="Storm"),"High Risk", IF(Table1[[#This Row],[delayed]]=1,"Medium Risk","Low Risk"))</f>
        <v>Medium Risk</v>
      </c>
    </row>
    <row r="623" spans="1:14" x14ac:dyDescent="0.35">
      <c r="A623">
        <v>622</v>
      </c>
      <c r="B623" s="1">
        <v>44952.875</v>
      </c>
      <c r="C623" s="2">
        <v>6.805555555555555E-2</v>
      </c>
      <c r="D623" s="3">
        <v>1519</v>
      </c>
      <c r="E623" s="3">
        <v>269</v>
      </c>
      <c r="F623" s="2">
        <v>52.71180555555555</v>
      </c>
      <c r="G623" t="s">
        <v>2812</v>
      </c>
      <c r="H623" t="s">
        <v>2817</v>
      </c>
      <c r="I623" s="2">
        <v>8.5416666666666655E-2</v>
      </c>
      <c r="J623" s="4" t="str">
        <f>IF(Table1[[#This Row],[processing_time_hours]]&gt;1.5,"Slow", "Fast")</f>
        <v>Fast</v>
      </c>
      <c r="K623" t="s">
        <v>2814</v>
      </c>
      <c r="L623" s="3">
        <v>0</v>
      </c>
      <c r="M623" t="str">
        <f>IF(Table1[[#This Row],[delayed]]=1,"Delayed","On Time")</f>
        <v>On Time</v>
      </c>
      <c r="N623" t="str">
        <f>IF(AND(Table1[[#This Row],[delayed]]=1,Table1[[#This Row],[weather_condition]]="Storm"),"High Risk", IF(Table1[[#This Row],[delayed]]=1,"Medium Risk","Low Risk"))</f>
        <v>Low Risk</v>
      </c>
    </row>
    <row r="624" spans="1:14" x14ac:dyDescent="0.35">
      <c r="A624">
        <v>623</v>
      </c>
      <c r="B624" s="1">
        <v>44952.916666666664</v>
      </c>
      <c r="C624" s="2">
        <v>5.9027777777777783E-2</v>
      </c>
      <c r="D624" s="3">
        <v>3217</v>
      </c>
      <c r="E624" s="3">
        <v>87</v>
      </c>
      <c r="F624" s="2">
        <v>18.964583333333334</v>
      </c>
      <c r="G624" t="s">
        <v>2812</v>
      </c>
      <c r="H624" t="s">
        <v>2813</v>
      </c>
      <c r="I624" s="2">
        <v>2.8354166666666667</v>
      </c>
      <c r="J624" s="4" t="str">
        <f>IF(Table1[[#This Row],[processing_time_hours]]&gt;1.5,"Slow", "Fast")</f>
        <v>Slow</v>
      </c>
      <c r="K624" t="s">
        <v>2818</v>
      </c>
      <c r="L624" s="3">
        <v>0</v>
      </c>
      <c r="M624" t="str">
        <f>IF(Table1[[#This Row],[delayed]]=1,"Delayed","On Time")</f>
        <v>On Time</v>
      </c>
      <c r="N624" t="str">
        <f>IF(AND(Table1[[#This Row],[delayed]]=1,Table1[[#This Row],[weather_condition]]="Storm"),"High Risk", IF(Table1[[#This Row],[delayed]]=1,"Medium Risk","Low Risk"))</f>
        <v>Low Risk</v>
      </c>
    </row>
    <row r="625" spans="1:14" x14ac:dyDescent="0.35">
      <c r="A625">
        <v>624</v>
      </c>
      <c r="B625" s="1">
        <v>44952.958333333336</v>
      </c>
      <c r="C625" s="2">
        <v>4.3750000000000004E-2</v>
      </c>
      <c r="D625" s="3">
        <v>2944</v>
      </c>
      <c r="E625" s="3">
        <v>465</v>
      </c>
      <c r="F625" s="2">
        <v>83.167361111111106</v>
      </c>
      <c r="G625" t="s">
        <v>2816</v>
      </c>
      <c r="H625" t="s">
        <v>2817</v>
      </c>
      <c r="I625" s="2">
        <v>0.21041666666666667</v>
      </c>
      <c r="J625" s="4" t="str">
        <f>IF(Table1[[#This Row],[processing_time_hours]]&gt;1.5,"Slow", "Fast")</f>
        <v>Fast</v>
      </c>
      <c r="K625" t="s">
        <v>2814</v>
      </c>
      <c r="L625" s="3">
        <v>1</v>
      </c>
      <c r="M625" t="str">
        <f>IF(Table1[[#This Row],[delayed]]=1,"Delayed","On Time")</f>
        <v>Delayed</v>
      </c>
      <c r="N625" t="str">
        <f>IF(AND(Table1[[#This Row],[delayed]]=1,Table1[[#This Row],[weather_condition]]="Storm"),"High Risk", IF(Table1[[#This Row],[delayed]]=1,"Medium Risk","Low Risk"))</f>
        <v>High Risk</v>
      </c>
    </row>
    <row r="626" spans="1:14" x14ac:dyDescent="0.35">
      <c r="A626">
        <v>625</v>
      </c>
      <c r="B626" s="1">
        <v>44953</v>
      </c>
      <c r="C626" s="2">
        <v>6.0416666666666667E-2</v>
      </c>
      <c r="D626" s="3">
        <v>4249</v>
      </c>
      <c r="E626" s="3">
        <v>430</v>
      </c>
      <c r="F626" s="2">
        <v>67.544444444444437</v>
      </c>
      <c r="G626" t="s">
        <v>2819</v>
      </c>
      <c r="H626" t="s">
        <v>2817</v>
      </c>
      <c r="I626" s="2">
        <v>1.8805555555555555</v>
      </c>
      <c r="J626" s="4" t="str">
        <f>IF(Table1[[#This Row],[processing_time_hours]]&gt;1.5,"Slow", "Fast")</f>
        <v>Slow</v>
      </c>
      <c r="K626" t="s">
        <v>2818</v>
      </c>
      <c r="L626" s="3">
        <v>0</v>
      </c>
      <c r="M626" t="str">
        <f>IF(Table1[[#This Row],[delayed]]=1,"Delayed","On Time")</f>
        <v>On Time</v>
      </c>
      <c r="N626" t="str">
        <f>IF(AND(Table1[[#This Row],[delayed]]=1,Table1[[#This Row],[weather_condition]]="Storm"),"High Risk", IF(Table1[[#This Row],[delayed]]=1,"Medium Risk","Low Risk"))</f>
        <v>Low Risk</v>
      </c>
    </row>
    <row r="627" spans="1:14" x14ac:dyDescent="0.35">
      <c r="A627">
        <v>626</v>
      </c>
      <c r="B627" s="1">
        <v>44953.041666666664</v>
      </c>
      <c r="C627" s="2">
        <v>4.8611111111111112E-3</v>
      </c>
      <c r="D627" s="3">
        <v>2343</v>
      </c>
      <c r="E627" s="3">
        <v>97</v>
      </c>
      <c r="F627" s="2">
        <v>81.542361111111106</v>
      </c>
      <c r="G627" t="s">
        <v>2816</v>
      </c>
      <c r="H627" t="s">
        <v>2820</v>
      </c>
      <c r="I627" s="2">
        <v>2.0013888888888887</v>
      </c>
      <c r="J627" s="4" t="str">
        <f>IF(Table1[[#This Row],[processing_time_hours]]&gt;1.5,"Slow", "Fast")</f>
        <v>Slow</v>
      </c>
      <c r="K627" t="s">
        <v>2821</v>
      </c>
      <c r="L627" s="3">
        <v>0</v>
      </c>
      <c r="M627" t="str">
        <f>IF(Table1[[#This Row],[delayed]]=1,"Delayed","On Time")</f>
        <v>On Time</v>
      </c>
      <c r="N627" t="str">
        <f>IF(AND(Table1[[#This Row],[delayed]]=1,Table1[[#This Row],[weather_condition]]="Storm"),"High Risk", IF(Table1[[#This Row],[delayed]]=1,"Medium Risk","Low Risk"))</f>
        <v>Low Risk</v>
      </c>
    </row>
    <row r="628" spans="1:14" x14ac:dyDescent="0.35">
      <c r="A628">
        <v>627</v>
      </c>
      <c r="B628" s="1">
        <v>44953.083333333336</v>
      </c>
      <c r="C628" s="2">
        <v>6.458333333333334E-2</v>
      </c>
      <c r="D628" s="3">
        <v>3668</v>
      </c>
      <c r="E628" s="3">
        <v>411</v>
      </c>
      <c r="F628" s="2">
        <v>52.587499999999999</v>
      </c>
      <c r="G628" t="s">
        <v>2816</v>
      </c>
      <c r="H628" t="s">
        <v>2822</v>
      </c>
      <c r="I628" s="2">
        <v>0.91666666666666663</v>
      </c>
      <c r="J628" s="4" t="str">
        <f>IF(Table1[[#This Row],[processing_time_hours]]&gt;1.5,"Slow", "Fast")</f>
        <v>Fast</v>
      </c>
      <c r="K628" t="s">
        <v>2814</v>
      </c>
      <c r="L628" s="3">
        <v>0</v>
      </c>
      <c r="M628" t="str">
        <f>IF(Table1[[#This Row],[delayed]]=1,"Delayed","On Time")</f>
        <v>On Time</v>
      </c>
      <c r="N628" t="str">
        <f>IF(AND(Table1[[#This Row],[delayed]]=1,Table1[[#This Row],[weather_condition]]="Storm"),"High Risk", IF(Table1[[#This Row],[delayed]]=1,"Medium Risk","Low Risk"))</f>
        <v>Low Risk</v>
      </c>
    </row>
    <row r="629" spans="1:14" x14ac:dyDescent="0.35">
      <c r="A629">
        <v>628</v>
      </c>
      <c r="B629" s="1">
        <v>44953.125</v>
      </c>
      <c r="C629" s="2">
        <v>4.2361111111111106E-2</v>
      </c>
      <c r="D629" s="3">
        <v>1958</v>
      </c>
      <c r="E629" s="3">
        <v>30</v>
      </c>
      <c r="F629" s="2">
        <v>42.958333333333336</v>
      </c>
      <c r="G629" t="s">
        <v>2815</v>
      </c>
      <c r="H629" t="s">
        <v>2817</v>
      </c>
      <c r="I629" s="2">
        <v>1.377777777777778</v>
      </c>
      <c r="J629" s="4" t="str">
        <f>IF(Table1[[#This Row],[processing_time_hours]]&gt;1.5,"Slow", "Fast")</f>
        <v>Fast</v>
      </c>
      <c r="K629" t="s">
        <v>2814</v>
      </c>
      <c r="L629" s="3">
        <v>0</v>
      </c>
      <c r="M629" t="str">
        <f>IF(Table1[[#This Row],[delayed]]=1,"Delayed","On Time")</f>
        <v>On Time</v>
      </c>
      <c r="N629" t="str">
        <f>IF(AND(Table1[[#This Row],[delayed]]=1,Table1[[#This Row],[weather_condition]]="Storm"),"High Risk", IF(Table1[[#This Row],[delayed]]=1,"Medium Risk","Low Risk"))</f>
        <v>Low Risk</v>
      </c>
    </row>
    <row r="630" spans="1:14" x14ac:dyDescent="0.35">
      <c r="A630">
        <v>629</v>
      </c>
      <c r="B630" s="1">
        <v>44953.166666666664</v>
      </c>
      <c r="C630" s="2">
        <v>5.0694444444444438E-2</v>
      </c>
      <c r="D630" s="3">
        <v>3261</v>
      </c>
      <c r="E630" s="3">
        <v>143</v>
      </c>
      <c r="F630" s="2">
        <v>78.547222222222231</v>
      </c>
      <c r="G630" t="s">
        <v>2816</v>
      </c>
      <c r="H630" t="s">
        <v>2820</v>
      </c>
      <c r="I630" s="2">
        <v>2.7930555555555556</v>
      </c>
      <c r="J630" s="4" t="str">
        <f>IF(Table1[[#This Row],[processing_time_hours]]&gt;1.5,"Slow", "Fast")</f>
        <v>Slow</v>
      </c>
      <c r="K630" t="s">
        <v>2821</v>
      </c>
      <c r="L630" s="3">
        <v>0</v>
      </c>
      <c r="M630" t="str">
        <f>IF(Table1[[#This Row],[delayed]]=1,"Delayed","On Time")</f>
        <v>On Time</v>
      </c>
      <c r="N630" t="str">
        <f>IF(AND(Table1[[#This Row],[delayed]]=1,Table1[[#This Row],[weather_condition]]="Storm"),"High Risk", IF(Table1[[#This Row],[delayed]]=1,"Medium Risk","Low Risk"))</f>
        <v>Low Risk</v>
      </c>
    </row>
    <row r="631" spans="1:14" x14ac:dyDescent="0.35">
      <c r="A631">
        <v>630</v>
      </c>
      <c r="B631" s="1">
        <v>44953.208333333336</v>
      </c>
      <c r="C631" s="2">
        <v>6.0416666666666667E-2</v>
      </c>
      <c r="D631" s="3">
        <v>2229</v>
      </c>
      <c r="E631" s="3">
        <v>395</v>
      </c>
      <c r="F631" s="2">
        <v>61.00138888888889</v>
      </c>
      <c r="G631" t="s">
        <v>2816</v>
      </c>
      <c r="H631" t="s">
        <v>2813</v>
      </c>
      <c r="I631" s="2">
        <v>2.5861111111111112</v>
      </c>
      <c r="J631" s="4" t="str">
        <f>IF(Table1[[#This Row],[processing_time_hours]]&gt;1.5,"Slow", "Fast")</f>
        <v>Slow</v>
      </c>
      <c r="K631" t="s">
        <v>2814</v>
      </c>
      <c r="L631" s="3">
        <v>0</v>
      </c>
      <c r="M631" t="str">
        <f>IF(Table1[[#This Row],[delayed]]=1,"Delayed","On Time")</f>
        <v>On Time</v>
      </c>
      <c r="N631" t="str">
        <f>IF(AND(Table1[[#This Row],[delayed]]=1,Table1[[#This Row],[weather_condition]]="Storm"),"High Risk", IF(Table1[[#This Row],[delayed]]=1,"Medium Risk","Low Risk"))</f>
        <v>Low Risk</v>
      </c>
    </row>
    <row r="632" spans="1:14" x14ac:dyDescent="0.35">
      <c r="A632">
        <v>631</v>
      </c>
      <c r="B632" s="1">
        <v>44953.25</v>
      </c>
      <c r="C632" s="2">
        <v>4.5833333333333337E-2</v>
      </c>
      <c r="D632" s="3">
        <v>891</v>
      </c>
      <c r="E632" s="3">
        <v>58</v>
      </c>
      <c r="F632" s="2">
        <v>17.797916666666666</v>
      </c>
      <c r="G632" t="s">
        <v>2816</v>
      </c>
      <c r="H632" t="s">
        <v>2813</v>
      </c>
      <c r="I632" s="2">
        <v>0.29791666666666666</v>
      </c>
      <c r="J632" s="4" t="str">
        <f>IF(Table1[[#This Row],[processing_time_hours]]&gt;1.5,"Slow", "Fast")</f>
        <v>Fast</v>
      </c>
      <c r="K632" t="s">
        <v>2818</v>
      </c>
      <c r="L632" s="3">
        <v>0</v>
      </c>
      <c r="M632" t="str">
        <f>IF(Table1[[#This Row],[delayed]]=1,"Delayed","On Time")</f>
        <v>On Time</v>
      </c>
      <c r="N632" t="str">
        <f>IF(AND(Table1[[#This Row],[delayed]]=1,Table1[[#This Row],[weather_condition]]="Storm"),"High Risk", IF(Table1[[#This Row],[delayed]]=1,"Medium Risk","Low Risk"))</f>
        <v>Low Risk</v>
      </c>
    </row>
    <row r="633" spans="1:14" x14ac:dyDescent="0.35">
      <c r="A633">
        <v>632</v>
      </c>
      <c r="B633" s="1">
        <v>44953.291666666664</v>
      </c>
      <c r="C633" s="2">
        <v>5.9722222222222225E-2</v>
      </c>
      <c r="D633" s="3">
        <v>3672</v>
      </c>
      <c r="E633" s="3">
        <v>420</v>
      </c>
      <c r="F633" s="2">
        <v>52.584722222222219</v>
      </c>
      <c r="G633" t="s">
        <v>2819</v>
      </c>
      <c r="H633" t="s">
        <v>2817</v>
      </c>
      <c r="I633" s="2">
        <v>2.3354166666666667</v>
      </c>
      <c r="J633" s="4" t="str">
        <f>IF(Table1[[#This Row],[processing_time_hours]]&gt;1.5,"Slow", "Fast")</f>
        <v>Slow</v>
      </c>
      <c r="K633" t="s">
        <v>2818</v>
      </c>
      <c r="L633" s="3">
        <v>0</v>
      </c>
      <c r="M633" t="str">
        <f>IF(Table1[[#This Row],[delayed]]=1,"Delayed","On Time")</f>
        <v>On Time</v>
      </c>
      <c r="N633" t="str">
        <f>IF(AND(Table1[[#This Row],[delayed]]=1,Table1[[#This Row],[weather_condition]]="Storm"),"High Risk", IF(Table1[[#This Row],[delayed]]=1,"Medium Risk","Low Risk"))</f>
        <v>Low Risk</v>
      </c>
    </row>
    <row r="634" spans="1:14" x14ac:dyDescent="0.35">
      <c r="A634">
        <v>633</v>
      </c>
      <c r="B634" s="1">
        <v>44953.333333333336</v>
      </c>
      <c r="C634" s="2">
        <v>6.1111111111111109E-2</v>
      </c>
      <c r="D634" s="3">
        <v>3672</v>
      </c>
      <c r="E634" s="3">
        <v>434</v>
      </c>
      <c r="F634" s="2">
        <v>49.00138888888889</v>
      </c>
      <c r="G634" t="s">
        <v>2819</v>
      </c>
      <c r="H634" t="s">
        <v>2820</v>
      </c>
      <c r="I634" s="2">
        <v>1.7111111111111112</v>
      </c>
      <c r="J634" s="4" t="str">
        <f>IF(Table1[[#This Row],[processing_time_hours]]&gt;1.5,"Slow", "Fast")</f>
        <v>Slow</v>
      </c>
      <c r="K634" t="s">
        <v>2814</v>
      </c>
      <c r="L634" s="3">
        <v>0</v>
      </c>
      <c r="M634" t="str">
        <f>IF(Table1[[#This Row],[delayed]]=1,"Delayed","On Time")</f>
        <v>On Time</v>
      </c>
      <c r="N634" t="str">
        <f>IF(AND(Table1[[#This Row],[delayed]]=1,Table1[[#This Row],[weather_condition]]="Storm"),"High Risk", IF(Table1[[#This Row],[delayed]]=1,"Medium Risk","Low Risk"))</f>
        <v>Low Risk</v>
      </c>
    </row>
    <row r="635" spans="1:14" x14ac:dyDescent="0.35">
      <c r="A635">
        <v>634</v>
      </c>
      <c r="B635" s="1">
        <v>44953.375</v>
      </c>
      <c r="C635" s="2">
        <v>6.1805555555555558E-2</v>
      </c>
      <c r="D635" s="3">
        <v>3926</v>
      </c>
      <c r="E635" s="3">
        <v>162</v>
      </c>
      <c r="F635" s="2">
        <v>68.547916666666666</v>
      </c>
      <c r="G635" t="s">
        <v>2812</v>
      </c>
      <c r="H635" t="s">
        <v>2820</v>
      </c>
      <c r="I635" s="2">
        <v>1.0854166666666667</v>
      </c>
      <c r="J635" s="4" t="str">
        <f>IF(Table1[[#This Row],[processing_time_hours]]&gt;1.5,"Slow", "Fast")</f>
        <v>Fast</v>
      </c>
      <c r="K635" t="s">
        <v>2818</v>
      </c>
      <c r="L635" s="3">
        <v>0</v>
      </c>
      <c r="M635" t="str">
        <f>IF(Table1[[#This Row],[delayed]]=1,"Delayed","On Time")</f>
        <v>On Time</v>
      </c>
      <c r="N635" t="str">
        <f>IF(AND(Table1[[#This Row],[delayed]]=1,Table1[[#This Row],[weather_condition]]="Storm"),"High Risk", IF(Table1[[#This Row],[delayed]]=1,"Medium Risk","Low Risk"))</f>
        <v>Low Risk</v>
      </c>
    </row>
    <row r="636" spans="1:14" x14ac:dyDescent="0.35">
      <c r="A636">
        <v>635</v>
      </c>
      <c r="B636" s="1">
        <v>44953.416666666664</v>
      </c>
      <c r="C636" s="2">
        <v>6.5972222222222224E-2</v>
      </c>
      <c r="D636" s="3">
        <v>3714</v>
      </c>
      <c r="E636" s="3">
        <v>214</v>
      </c>
      <c r="F636" s="2">
        <v>13.708333333333334</v>
      </c>
      <c r="G636" t="s">
        <v>2815</v>
      </c>
      <c r="H636" t="s">
        <v>2813</v>
      </c>
      <c r="I636" s="2">
        <v>0.54513888888888895</v>
      </c>
      <c r="J636" s="4" t="str">
        <f>IF(Table1[[#This Row],[processing_time_hours]]&gt;1.5,"Slow", "Fast")</f>
        <v>Fast</v>
      </c>
      <c r="K636" t="s">
        <v>2821</v>
      </c>
      <c r="L636" s="3">
        <v>0</v>
      </c>
      <c r="M636" t="str">
        <f>IF(Table1[[#This Row],[delayed]]=1,"Delayed","On Time")</f>
        <v>On Time</v>
      </c>
      <c r="N636" t="str">
        <f>IF(AND(Table1[[#This Row],[delayed]]=1,Table1[[#This Row],[weather_condition]]="Storm"),"High Risk", IF(Table1[[#This Row],[delayed]]=1,"Medium Risk","Low Risk"))</f>
        <v>Low Risk</v>
      </c>
    </row>
    <row r="637" spans="1:14" x14ac:dyDescent="0.35">
      <c r="A637">
        <v>636</v>
      </c>
      <c r="B637" s="1">
        <v>44953.458333333336</v>
      </c>
      <c r="C637" s="2">
        <v>5.3472222222222227E-2</v>
      </c>
      <c r="D637" s="3">
        <v>1004</v>
      </c>
      <c r="E637" s="3">
        <v>342</v>
      </c>
      <c r="F637" s="2">
        <v>71.504861111111111</v>
      </c>
      <c r="G637" t="s">
        <v>2812</v>
      </c>
      <c r="H637" t="s">
        <v>2822</v>
      </c>
      <c r="I637" s="2">
        <v>1.4194444444444445</v>
      </c>
      <c r="J637" s="4" t="str">
        <f>IF(Table1[[#This Row],[processing_time_hours]]&gt;1.5,"Slow", "Fast")</f>
        <v>Fast</v>
      </c>
      <c r="K637" t="s">
        <v>2818</v>
      </c>
      <c r="L637" s="3">
        <v>0</v>
      </c>
      <c r="M637" t="str">
        <f>IF(Table1[[#This Row],[delayed]]=1,"Delayed","On Time")</f>
        <v>On Time</v>
      </c>
      <c r="N637" t="str">
        <f>IF(AND(Table1[[#This Row],[delayed]]=1,Table1[[#This Row],[weather_condition]]="Storm"),"High Risk", IF(Table1[[#This Row],[delayed]]=1,"Medium Risk","Low Risk"))</f>
        <v>Low Risk</v>
      </c>
    </row>
    <row r="638" spans="1:14" x14ac:dyDescent="0.35">
      <c r="A638">
        <v>637</v>
      </c>
      <c r="B638" s="1">
        <v>44953.5</v>
      </c>
      <c r="C638" s="2">
        <v>4.5833333333333337E-2</v>
      </c>
      <c r="D638" s="3">
        <v>687</v>
      </c>
      <c r="E638" s="3">
        <v>125</v>
      </c>
      <c r="F638" s="2">
        <v>71.209722222222226</v>
      </c>
      <c r="G638" t="s">
        <v>2819</v>
      </c>
      <c r="H638" t="s">
        <v>2822</v>
      </c>
      <c r="I638" s="2">
        <v>1.2513888888888889</v>
      </c>
      <c r="J638" s="4" t="str">
        <f>IF(Table1[[#This Row],[processing_time_hours]]&gt;1.5,"Slow", "Fast")</f>
        <v>Fast</v>
      </c>
      <c r="K638" t="s">
        <v>2814</v>
      </c>
      <c r="L638" s="3">
        <v>1</v>
      </c>
      <c r="M638" t="str">
        <f>IF(Table1[[#This Row],[delayed]]=1,"Delayed","On Time")</f>
        <v>Delayed</v>
      </c>
      <c r="N638" t="str">
        <f>IF(AND(Table1[[#This Row],[delayed]]=1,Table1[[#This Row],[weather_condition]]="Storm"),"High Risk", IF(Table1[[#This Row],[delayed]]=1,"Medium Risk","Low Risk"))</f>
        <v>Medium Risk</v>
      </c>
    </row>
    <row r="639" spans="1:14" x14ac:dyDescent="0.35">
      <c r="A639">
        <v>638</v>
      </c>
      <c r="B639" s="1">
        <v>44953.541666666664</v>
      </c>
      <c r="C639" s="2">
        <v>4.8611111111111112E-3</v>
      </c>
      <c r="D639" s="3">
        <v>4062</v>
      </c>
      <c r="E639" s="3">
        <v>490</v>
      </c>
      <c r="F639" s="2">
        <v>9.8763888888888882</v>
      </c>
      <c r="G639" t="s">
        <v>2812</v>
      </c>
      <c r="H639" t="s">
        <v>2822</v>
      </c>
      <c r="I639" s="2">
        <v>1.3347222222222221</v>
      </c>
      <c r="J639" s="4" t="str">
        <f>IF(Table1[[#This Row],[processing_time_hours]]&gt;1.5,"Slow", "Fast")</f>
        <v>Fast</v>
      </c>
      <c r="K639" t="s">
        <v>2818</v>
      </c>
      <c r="L639" s="3">
        <v>0</v>
      </c>
      <c r="M639" t="str">
        <f>IF(Table1[[#This Row],[delayed]]=1,"Delayed","On Time")</f>
        <v>On Time</v>
      </c>
      <c r="N639" t="str">
        <f>IF(AND(Table1[[#This Row],[delayed]]=1,Table1[[#This Row],[weather_condition]]="Storm"),"High Risk", IF(Table1[[#This Row],[delayed]]=1,"Medium Risk","Low Risk"))</f>
        <v>Low Risk</v>
      </c>
    </row>
    <row r="640" spans="1:14" x14ac:dyDescent="0.35">
      <c r="A640">
        <v>639</v>
      </c>
      <c r="B640" s="1">
        <v>44953.583333333336</v>
      </c>
      <c r="C640" s="2">
        <v>5.2777777777777778E-2</v>
      </c>
      <c r="D640" s="3">
        <v>4160</v>
      </c>
      <c r="E640" s="3">
        <v>149</v>
      </c>
      <c r="F640" s="2">
        <v>9.9638888888888886</v>
      </c>
      <c r="G640" t="s">
        <v>2819</v>
      </c>
      <c r="H640" t="s">
        <v>2822</v>
      </c>
      <c r="I640" s="2">
        <v>0.58680555555555558</v>
      </c>
      <c r="J640" s="4" t="str">
        <f>IF(Table1[[#This Row],[processing_time_hours]]&gt;1.5,"Slow", "Fast")</f>
        <v>Fast</v>
      </c>
      <c r="K640" t="s">
        <v>2814</v>
      </c>
      <c r="L640" s="3">
        <v>0</v>
      </c>
      <c r="M640" t="str">
        <f>IF(Table1[[#This Row],[delayed]]=1,"Delayed","On Time")</f>
        <v>On Time</v>
      </c>
      <c r="N640" t="str">
        <f>IF(AND(Table1[[#This Row],[delayed]]=1,Table1[[#This Row],[weather_condition]]="Storm"),"High Risk", IF(Table1[[#This Row],[delayed]]=1,"Medium Risk","Low Risk"))</f>
        <v>Low Risk</v>
      </c>
    </row>
    <row r="641" spans="1:14" x14ac:dyDescent="0.35">
      <c r="A641">
        <v>640</v>
      </c>
      <c r="B641" s="1">
        <v>44953.625</v>
      </c>
      <c r="C641" s="2">
        <v>4.3055555555555562E-2</v>
      </c>
      <c r="D641" s="3">
        <v>3623</v>
      </c>
      <c r="E641" s="3">
        <v>47</v>
      </c>
      <c r="F641" s="2">
        <v>34.463194444444447</v>
      </c>
      <c r="G641" t="s">
        <v>2815</v>
      </c>
      <c r="H641" t="s">
        <v>2813</v>
      </c>
      <c r="I641" s="2">
        <v>2.2104166666666667</v>
      </c>
      <c r="J641" s="4" t="str">
        <f>IF(Table1[[#This Row],[processing_time_hours]]&gt;1.5,"Slow", "Fast")</f>
        <v>Slow</v>
      </c>
      <c r="K641" t="s">
        <v>2814</v>
      </c>
      <c r="L641" s="3">
        <v>1</v>
      </c>
      <c r="M641" t="str">
        <f>IF(Table1[[#This Row],[delayed]]=1,"Delayed","On Time")</f>
        <v>Delayed</v>
      </c>
      <c r="N641" t="str">
        <f>IF(AND(Table1[[#This Row],[delayed]]=1,Table1[[#This Row],[weather_condition]]="Storm"),"High Risk", IF(Table1[[#This Row],[delayed]]=1,"Medium Risk","Low Risk"))</f>
        <v>Medium Risk</v>
      </c>
    </row>
    <row r="642" spans="1:14" x14ac:dyDescent="0.35">
      <c r="A642">
        <v>641</v>
      </c>
      <c r="B642" s="1">
        <v>44953.666666666664</v>
      </c>
      <c r="C642" s="2">
        <v>6.1111111111111109E-2</v>
      </c>
      <c r="D642" s="3">
        <v>2911</v>
      </c>
      <c r="E642" s="3">
        <v>457</v>
      </c>
      <c r="F642" s="2">
        <v>27.542361111111109</v>
      </c>
      <c r="G642" t="s">
        <v>2816</v>
      </c>
      <c r="H642" t="s">
        <v>2822</v>
      </c>
      <c r="I642" s="2">
        <v>1.211111111111111</v>
      </c>
      <c r="J642" s="4" t="str">
        <f>IF(Table1[[#This Row],[processing_time_hours]]&gt;1.5,"Slow", "Fast")</f>
        <v>Fast</v>
      </c>
      <c r="K642" t="s">
        <v>2818</v>
      </c>
      <c r="L642" s="3">
        <v>0</v>
      </c>
      <c r="M642" t="str">
        <f>IF(Table1[[#This Row],[delayed]]=1,"Delayed","On Time")</f>
        <v>On Time</v>
      </c>
      <c r="N642" t="str">
        <f>IF(AND(Table1[[#This Row],[delayed]]=1,Table1[[#This Row],[weather_condition]]="Storm"),"High Risk", IF(Table1[[#This Row],[delayed]]=1,"Medium Risk","Low Risk"))</f>
        <v>Low Risk</v>
      </c>
    </row>
    <row r="643" spans="1:14" x14ac:dyDescent="0.35">
      <c r="A643">
        <v>642</v>
      </c>
      <c r="B643" s="1">
        <v>44953.708333333336</v>
      </c>
      <c r="C643" s="2">
        <v>4.3750000000000004E-2</v>
      </c>
      <c r="D643" s="3">
        <v>2478</v>
      </c>
      <c r="E643" s="3">
        <v>334</v>
      </c>
      <c r="F643" s="2">
        <v>62.754166666666663</v>
      </c>
      <c r="G643" t="s">
        <v>2819</v>
      </c>
      <c r="H643" t="s">
        <v>2813</v>
      </c>
      <c r="I643" s="2">
        <v>1.1256944444444443</v>
      </c>
      <c r="J643" s="4" t="str">
        <f>IF(Table1[[#This Row],[processing_time_hours]]&gt;1.5,"Slow", "Fast")</f>
        <v>Fast</v>
      </c>
      <c r="K643" t="s">
        <v>2821</v>
      </c>
      <c r="L643" s="3">
        <v>0</v>
      </c>
      <c r="M643" t="str">
        <f>IF(Table1[[#This Row],[delayed]]=1,"Delayed","On Time")</f>
        <v>On Time</v>
      </c>
      <c r="N643" t="str">
        <f>IF(AND(Table1[[#This Row],[delayed]]=1,Table1[[#This Row],[weather_condition]]="Storm"),"High Risk", IF(Table1[[#This Row],[delayed]]=1,"Medium Risk","Low Risk"))</f>
        <v>Low Risk</v>
      </c>
    </row>
    <row r="644" spans="1:14" x14ac:dyDescent="0.35">
      <c r="A644">
        <v>643</v>
      </c>
      <c r="B644" s="1">
        <v>44953.75</v>
      </c>
      <c r="C644" s="2">
        <v>4.3055555555555562E-2</v>
      </c>
      <c r="D644" s="3">
        <v>3348</v>
      </c>
      <c r="E644" s="3">
        <v>497</v>
      </c>
      <c r="F644" s="2">
        <v>5.667361111111112</v>
      </c>
      <c r="G644" t="s">
        <v>2819</v>
      </c>
      <c r="H644" t="s">
        <v>2817</v>
      </c>
      <c r="I644" s="2">
        <v>8.7500000000000008E-2</v>
      </c>
      <c r="J644" s="4" t="str">
        <f>IF(Table1[[#This Row],[processing_time_hours]]&gt;1.5,"Slow", "Fast")</f>
        <v>Fast</v>
      </c>
      <c r="K644" t="s">
        <v>2821</v>
      </c>
      <c r="L644" s="3">
        <v>1</v>
      </c>
      <c r="M644" t="str">
        <f>IF(Table1[[#This Row],[delayed]]=1,"Delayed","On Time")</f>
        <v>Delayed</v>
      </c>
      <c r="N644" t="str">
        <f>IF(AND(Table1[[#This Row],[delayed]]=1,Table1[[#This Row],[weather_condition]]="Storm"),"High Risk", IF(Table1[[#This Row],[delayed]]=1,"Medium Risk","Low Risk"))</f>
        <v>High Risk</v>
      </c>
    </row>
    <row r="645" spans="1:14" x14ac:dyDescent="0.35">
      <c r="A645">
        <v>644</v>
      </c>
      <c r="B645" s="1">
        <v>44953.791666666664</v>
      </c>
      <c r="C645" s="2">
        <v>6.7361111111111108E-2</v>
      </c>
      <c r="D645" s="3">
        <v>1424</v>
      </c>
      <c r="E645" s="3">
        <v>13</v>
      </c>
      <c r="F645" s="2">
        <v>44.631250000000001</v>
      </c>
      <c r="G645" t="s">
        <v>2816</v>
      </c>
      <c r="H645" t="s">
        <v>2817</v>
      </c>
      <c r="I645" s="2">
        <v>0.12708333333333333</v>
      </c>
      <c r="J645" s="4" t="str">
        <f>IF(Table1[[#This Row],[processing_time_hours]]&gt;1.5,"Slow", "Fast")</f>
        <v>Fast</v>
      </c>
      <c r="K645" t="s">
        <v>2821</v>
      </c>
      <c r="L645" s="3">
        <v>0</v>
      </c>
      <c r="M645" t="str">
        <f>IF(Table1[[#This Row],[delayed]]=1,"Delayed","On Time")</f>
        <v>On Time</v>
      </c>
      <c r="N645" t="str">
        <f>IF(AND(Table1[[#This Row],[delayed]]=1,Table1[[#This Row],[weather_condition]]="Storm"),"High Risk", IF(Table1[[#This Row],[delayed]]=1,"Medium Risk","Low Risk"))</f>
        <v>Low Risk</v>
      </c>
    </row>
    <row r="646" spans="1:14" x14ac:dyDescent="0.35">
      <c r="A646">
        <v>645</v>
      </c>
      <c r="B646" s="1">
        <v>44953.833333333336</v>
      </c>
      <c r="C646" s="2">
        <v>6.3888888888888898E-2</v>
      </c>
      <c r="D646" s="3">
        <v>3287</v>
      </c>
      <c r="E646" s="3">
        <v>251</v>
      </c>
      <c r="F646" s="2">
        <v>21.087500000000002</v>
      </c>
      <c r="G646" t="s">
        <v>2812</v>
      </c>
      <c r="H646" t="s">
        <v>2820</v>
      </c>
      <c r="I646" s="2">
        <v>1.3798611111111112</v>
      </c>
      <c r="J646" s="4" t="str">
        <f>IF(Table1[[#This Row],[processing_time_hours]]&gt;1.5,"Slow", "Fast")</f>
        <v>Fast</v>
      </c>
      <c r="K646" t="s">
        <v>2818</v>
      </c>
      <c r="L646" s="3">
        <v>0</v>
      </c>
      <c r="M646" t="str">
        <f>IF(Table1[[#This Row],[delayed]]=1,"Delayed","On Time")</f>
        <v>On Time</v>
      </c>
      <c r="N646" t="str">
        <f>IF(AND(Table1[[#This Row],[delayed]]=1,Table1[[#This Row],[weather_condition]]="Storm"),"High Risk", IF(Table1[[#This Row],[delayed]]=1,"Medium Risk","Low Risk"))</f>
        <v>Low Risk</v>
      </c>
    </row>
    <row r="647" spans="1:14" x14ac:dyDescent="0.35">
      <c r="A647">
        <v>646</v>
      </c>
      <c r="B647" s="1">
        <v>44953.875</v>
      </c>
      <c r="C647" s="2">
        <v>4.8611111111111112E-3</v>
      </c>
      <c r="D647" s="3">
        <v>1634</v>
      </c>
      <c r="E647" s="3">
        <v>354</v>
      </c>
      <c r="F647" s="2">
        <v>69.922222222222231</v>
      </c>
      <c r="G647" t="s">
        <v>2815</v>
      </c>
      <c r="H647" t="s">
        <v>2817</v>
      </c>
      <c r="I647" s="2">
        <v>1.3805555555555555</v>
      </c>
      <c r="J647" s="4" t="str">
        <f>IF(Table1[[#This Row],[processing_time_hours]]&gt;1.5,"Slow", "Fast")</f>
        <v>Fast</v>
      </c>
      <c r="K647" t="s">
        <v>2818</v>
      </c>
      <c r="L647" s="3">
        <v>0</v>
      </c>
      <c r="M647" t="str">
        <f>IF(Table1[[#This Row],[delayed]]=1,"Delayed","On Time")</f>
        <v>On Time</v>
      </c>
      <c r="N647" t="str">
        <f>IF(AND(Table1[[#This Row],[delayed]]=1,Table1[[#This Row],[weather_condition]]="Storm"),"High Risk", IF(Table1[[#This Row],[delayed]]=1,"Medium Risk","Low Risk"))</f>
        <v>Low Risk</v>
      </c>
    </row>
    <row r="648" spans="1:14" x14ac:dyDescent="0.35">
      <c r="A648">
        <v>647</v>
      </c>
      <c r="B648" s="1">
        <v>44953.916666666664</v>
      </c>
      <c r="C648" s="2">
        <v>5.1388888888888894E-2</v>
      </c>
      <c r="D648" s="3">
        <v>4909</v>
      </c>
      <c r="E648" s="3">
        <v>79</v>
      </c>
      <c r="F648" s="2">
        <v>41.254861111111111</v>
      </c>
      <c r="G648" t="s">
        <v>2819</v>
      </c>
      <c r="H648" t="s">
        <v>2820</v>
      </c>
      <c r="I648" s="2">
        <v>2.0458333333333334</v>
      </c>
      <c r="J648" s="4" t="str">
        <f>IF(Table1[[#This Row],[processing_time_hours]]&gt;1.5,"Slow", "Fast")</f>
        <v>Slow</v>
      </c>
      <c r="K648" t="s">
        <v>2814</v>
      </c>
      <c r="L648" s="3">
        <v>0</v>
      </c>
      <c r="M648" t="str">
        <f>IF(Table1[[#This Row],[delayed]]=1,"Delayed","On Time")</f>
        <v>On Time</v>
      </c>
      <c r="N648" t="str">
        <f>IF(AND(Table1[[#This Row],[delayed]]=1,Table1[[#This Row],[weather_condition]]="Storm"),"High Risk", IF(Table1[[#This Row],[delayed]]=1,"Medium Risk","Low Risk"))</f>
        <v>Low Risk</v>
      </c>
    </row>
    <row r="649" spans="1:14" x14ac:dyDescent="0.35">
      <c r="A649">
        <v>648</v>
      </c>
      <c r="B649" s="1">
        <v>44953.958333333336</v>
      </c>
      <c r="C649" s="2">
        <v>6.458333333333334E-2</v>
      </c>
      <c r="D649" s="3">
        <v>67</v>
      </c>
      <c r="E649" s="3">
        <v>13</v>
      </c>
      <c r="F649" s="2">
        <v>49.71319444444444</v>
      </c>
      <c r="G649" t="s">
        <v>2812</v>
      </c>
      <c r="H649" t="s">
        <v>2822</v>
      </c>
      <c r="I649" s="2">
        <v>0.4201388888888889</v>
      </c>
      <c r="J649" s="4" t="str">
        <f>IF(Table1[[#This Row],[processing_time_hours]]&gt;1.5,"Slow", "Fast")</f>
        <v>Fast</v>
      </c>
      <c r="K649" t="s">
        <v>2818</v>
      </c>
      <c r="L649" s="3">
        <v>1</v>
      </c>
      <c r="M649" t="str">
        <f>IF(Table1[[#This Row],[delayed]]=1,"Delayed","On Time")</f>
        <v>Delayed</v>
      </c>
      <c r="N649" t="str">
        <f>IF(AND(Table1[[#This Row],[delayed]]=1,Table1[[#This Row],[weather_condition]]="Storm"),"High Risk", IF(Table1[[#This Row],[delayed]]=1,"Medium Risk","Low Risk"))</f>
        <v>Medium Risk</v>
      </c>
    </row>
    <row r="650" spans="1:14" x14ac:dyDescent="0.35">
      <c r="A650">
        <v>649</v>
      </c>
      <c r="B650" s="1">
        <v>44954</v>
      </c>
      <c r="C650" s="2">
        <v>5.9027777777777783E-2</v>
      </c>
      <c r="D650" s="3">
        <v>4632</v>
      </c>
      <c r="E650" s="3">
        <v>214</v>
      </c>
      <c r="F650" s="2">
        <v>4.333333333333333</v>
      </c>
      <c r="G650" t="s">
        <v>2812</v>
      </c>
      <c r="H650" t="s">
        <v>2820</v>
      </c>
      <c r="I650" s="2">
        <v>2.7937499999999997</v>
      </c>
      <c r="J650" s="4" t="str">
        <f>IF(Table1[[#This Row],[processing_time_hours]]&gt;1.5,"Slow", "Fast")</f>
        <v>Slow</v>
      </c>
      <c r="K650" t="s">
        <v>2814</v>
      </c>
      <c r="L650" s="3">
        <v>0</v>
      </c>
      <c r="M650" t="str">
        <f>IF(Table1[[#This Row],[delayed]]=1,"Delayed","On Time")</f>
        <v>On Time</v>
      </c>
      <c r="N650" t="str">
        <f>IF(AND(Table1[[#This Row],[delayed]]=1,Table1[[#This Row],[weather_condition]]="Storm"),"High Risk", IF(Table1[[#This Row],[delayed]]=1,"Medium Risk","Low Risk"))</f>
        <v>Low Risk</v>
      </c>
    </row>
    <row r="651" spans="1:14" x14ac:dyDescent="0.35">
      <c r="A651">
        <v>650</v>
      </c>
      <c r="B651" s="1">
        <v>44954.041666666664</v>
      </c>
      <c r="C651" s="2">
        <v>4.9305555555555554E-2</v>
      </c>
      <c r="D651" s="3">
        <v>1155</v>
      </c>
      <c r="E651" s="3">
        <v>53</v>
      </c>
      <c r="F651" s="2">
        <v>75.750694444444449</v>
      </c>
      <c r="G651" t="s">
        <v>2815</v>
      </c>
      <c r="H651" t="s">
        <v>2820</v>
      </c>
      <c r="I651" s="2">
        <v>0.46319444444444446</v>
      </c>
      <c r="J651" s="4" t="str">
        <f>IF(Table1[[#This Row],[processing_time_hours]]&gt;1.5,"Slow", "Fast")</f>
        <v>Fast</v>
      </c>
      <c r="K651" t="s">
        <v>2818</v>
      </c>
      <c r="L651" s="3">
        <v>0</v>
      </c>
      <c r="M651" t="str">
        <f>IF(Table1[[#This Row],[delayed]]=1,"Delayed","On Time")</f>
        <v>On Time</v>
      </c>
      <c r="N651" t="str">
        <f>IF(AND(Table1[[#This Row],[delayed]]=1,Table1[[#This Row],[weather_condition]]="Storm"),"High Risk", IF(Table1[[#This Row],[delayed]]=1,"Medium Risk","Low Risk"))</f>
        <v>Low Risk</v>
      </c>
    </row>
    <row r="652" spans="1:14" x14ac:dyDescent="0.35">
      <c r="A652">
        <v>651</v>
      </c>
      <c r="B652" s="1">
        <v>44954.083333333336</v>
      </c>
      <c r="C652" s="2">
        <v>5.4166666666666669E-2</v>
      </c>
      <c r="D652" s="3">
        <v>4409</v>
      </c>
      <c r="E652" s="3">
        <v>296</v>
      </c>
      <c r="F652" s="2">
        <v>33.922222222222224</v>
      </c>
      <c r="G652" t="s">
        <v>2815</v>
      </c>
      <c r="H652" t="s">
        <v>2822</v>
      </c>
      <c r="I652" s="2">
        <v>2.5465277777777779</v>
      </c>
      <c r="J652" s="4" t="str">
        <f>IF(Table1[[#This Row],[processing_time_hours]]&gt;1.5,"Slow", "Fast")</f>
        <v>Slow</v>
      </c>
      <c r="K652" t="s">
        <v>2821</v>
      </c>
      <c r="L652" s="3">
        <v>0</v>
      </c>
      <c r="M652" t="str">
        <f>IF(Table1[[#This Row],[delayed]]=1,"Delayed","On Time")</f>
        <v>On Time</v>
      </c>
      <c r="N652" t="str">
        <f>IF(AND(Table1[[#This Row],[delayed]]=1,Table1[[#This Row],[weather_condition]]="Storm"),"High Risk", IF(Table1[[#This Row],[delayed]]=1,"Medium Risk","Low Risk"))</f>
        <v>Low Risk</v>
      </c>
    </row>
    <row r="653" spans="1:14" x14ac:dyDescent="0.35">
      <c r="A653">
        <v>652</v>
      </c>
      <c r="B653" s="1">
        <v>44954.125</v>
      </c>
      <c r="C653" s="2">
        <v>6.5277777777777782E-2</v>
      </c>
      <c r="D653" s="3">
        <v>862</v>
      </c>
      <c r="E653" s="3">
        <v>444</v>
      </c>
      <c r="F653" s="2">
        <v>59.753472222222221</v>
      </c>
      <c r="G653" t="s">
        <v>2819</v>
      </c>
      <c r="H653" t="s">
        <v>2822</v>
      </c>
      <c r="I653" s="2">
        <v>0.3756944444444445</v>
      </c>
      <c r="J653" s="4" t="str">
        <f>IF(Table1[[#This Row],[processing_time_hours]]&gt;1.5,"Slow", "Fast")</f>
        <v>Fast</v>
      </c>
      <c r="K653" t="s">
        <v>2818</v>
      </c>
      <c r="L653" s="3">
        <v>0</v>
      </c>
      <c r="M653" t="str">
        <f>IF(Table1[[#This Row],[delayed]]=1,"Delayed","On Time")</f>
        <v>On Time</v>
      </c>
      <c r="N653" t="str">
        <f>IF(AND(Table1[[#This Row],[delayed]]=1,Table1[[#This Row],[weather_condition]]="Storm"),"High Risk", IF(Table1[[#This Row],[delayed]]=1,"Medium Risk","Low Risk"))</f>
        <v>Low Risk</v>
      </c>
    </row>
    <row r="654" spans="1:14" x14ac:dyDescent="0.35">
      <c r="A654">
        <v>653</v>
      </c>
      <c r="B654" s="1">
        <v>44954.166666666664</v>
      </c>
      <c r="C654" s="2">
        <v>4.1666666666666666E-3</v>
      </c>
      <c r="D654" s="3">
        <v>314</v>
      </c>
      <c r="E654" s="3">
        <v>204</v>
      </c>
      <c r="F654" s="2">
        <v>18.087500000000002</v>
      </c>
      <c r="G654" t="s">
        <v>2816</v>
      </c>
      <c r="H654" t="s">
        <v>2822</v>
      </c>
      <c r="I654" s="2">
        <v>0.91666666666666663</v>
      </c>
      <c r="J654" s="4" t="str">
        <f>IF(Table1[[#This Row],[processing_time_hours]]&gt;1.5,"Slow", "Fast")</f>
        <v>Fast</v>
      </c>
      <c r="K654" t="s">
        <v>2814</v>
      </c>
      <c r="L654" s="3">
        <v>0</v>
      </c>
      <c r="M654" t="str">
        <f>IF(Table1[[#This Row],[delayed]]=1,"Delayed","On Time")</f>
        <v>On Time</v>
      </c>
      <c r="N654" t="str">
        <f>IF(AND(Table1[[#This Row],[delayed]]=1,Table1[[#This Row],[weather_condition]]="Storm"),"High Risk", IF(Table1[[#This Row],[delayed]]=1,"Medium Risk","Low Risk"))</f>
        <v>Low Risk</v>
      </c>
    </row>
    <row r="655" spans="1:14" x14ac:dyDescent="0.35">
      <c r="A655">
        <v>654</v>
      </c>
      <c r="B655" s="1">
        <v>44954.208333333336</v>
      </c>
      <c r="C655" s="2">
        <v>4.1666666666666664E-2</v>
      </c>
      <c r="D655" s="3">
        <v>981</v>
      </c>
      <c r="E655" s="3">
        <v>282</v>
      </c>
      <c r="F655" s="2">
        <v>42.041666666666664</v>
      </c>
      <c r="G655" t="s">
        <v>2819</v>
      </c>
      <c r="H655" t="s">
        <v>2813</v>
      </c>
      <c r="I655" s="2">
        <v>4.3055555555555562E-2</v>
      </c>
      <c r="J655" s="4" t="str">
        <f>IF(Table1[[#This Row],[processing_time_hours]]&gt;1.5,"Slow", "Fast")</f>
        <v>Fast</v>
      </c>
      <c r="K655" t="s">
        <v>2814</v>
      </c>
      <c r="L655" s="3">
        <v>0</v>
      </c>
      <c r="M655" t="str">
        <f>IF(Table1[[#This Row],[delayed]]=1,"Delayed","On Time")</f>
        <v>On Time</v>
      </c>
      <c r="N655" t="str">
        <f>IF(AND(Table1[[#This Row],[delayed]]=1,Table1[[#This Row],[weather_condition]]="Storm"),"High Risk", IF(Table1[[#This Row],[delayed]]=1,"Medium Risk","Low Risk"))</f>
        <v>Low Risk</v>
      </c>
    </row>
    <row r="656" spans="1:14" x14ac:dyDescent="0.35">
      <c r="A656">
        <v>655</v>
      </c>
      <c r="B656" s="1">
        <v>44954.25</v>
      </c>
      <c r="C656" s="2">
        <v>5.7638888888888885E-2</v>
      </c>
      <c r="D656" s="3">
        <v>1833</v>
      </c>
      <c r="E656" s="3">
        <v>352</v>
      </c>
      <c r="F656" s="2">
        <v>66.712499999999991</v>
      </c>
      <c r="G656" t="s">
        <v>2819</v>
      </c>
      <c r="H656" t="s">
        <v>2822</v>
      </c>
      <c r="I656" s="2">
        <v>2.7944444444444443</v>
      </c>
      <c r="J656" s="4" t="str">
        <f>IF(Table1[[#This Row],[processing_time_hours]]&gt;1.5,"Slow", "Fast")</f>
        <v>Slow</v>
      </c>
      <c r="K656" t="s">
        <v>2814</v>
      </c>
      <c r="L656" s="3">
        <v>1</v>
      </c>
      <c r="M656" t="str">
        <f>IF(Table1[[#This Row],[delayed]]=1,"Delayed","On Time")</f>
        <v>Delayed</v>
      </c>
      <c r="N656" t="str">
        <f>IF(AND(Table1[[#This Row],[delayed]]=1,Table1[[#This Row],[weather_condition]]="Storm"),"High Risk", IF(Table1[[#This Row],[delayed]]=1,"Medium Risk","Low Risk"))</f>
        <v>Medium Risk</v>
      </c>
    </row>
    <row r="657" spans="1:14" x14ac:dyDescent="0.35">
      <c r="A657">
        <v>656</v>
      </c>
      <c r="B657" s="1">
        <v>44954.291666666664</v>
      </c>
      <c r="C657" s="2">
        <v>4.6527777777777779E-2</v>
      </c>
      <c r="D657" s="3">
        <v>1064</v>
      </c>
      <c r="E657" s="3">
        <v>228</v>
      </c>
      <c r="F657" s="2">
        <v>27.545138888888889</v>
      </c>
      <c r="G657" t="s">
        <v>2816</v>
      </c>
      <c r="H657" t="s">
        <v>2820</v>
      </c>
      <c r="I657" s="2">
        <v>4.6527777777777779E-2</v>
      </c>
      <c r="J657" s="4" t="str">
        <f>IF(Table1[[#This Row],[processing_time_hours]]&gt;1.5,"Slow", "Fast")</f>
        <v>Fast</v>
      </c>
      <c r="K657" t="s">
        <v>2821</v>
      </c>
      <c r="L657" s="3">
        <v>1</v>
      </c>
      <c r="M657" t="str">
        <f>IF(Table1[[#This Row],[delayed]]=1,"Delayed","On Time")</f>
        <v>Delayed</v>
      </c>
      <c r="N657" t="str">
        <f>IF(AND(Table1[[#This Row],[delayed]]=1,Table1[[#This Row],[weather_condition]]="Storm"),"High Risk", IF(Table1[[#This Row],[delayed]]=1,"Medium Risk","Low Risk"))</f>
        <v>Medium Risk</v>
      </c>
    </row>
    <row r="658" spans="1:14" x14ac:dyDescent="0.35">
      <c r="A658">
        <v>657</v>
      </c>
      <c r="B658" s="1">
        <v>44954.333333333336</v>
      </c>
      <c r="C658" s="2">
        <v>6.3888888888888898E-2</v>
      </c>
      <c r="D658" s="3">
        <v>317</v>
      </c>
      <c r="E658" s="3">
        <v>84</v>
      </c>
      <c r="F658" s="2">
        <v>26.795138888888889</v>
      </c>
      <c r="G658" t="s">
        <v>2815</v>
      </c>
      <c r="H658" t="s">
        <v>2813</v>
      </c>
      <c r="I658" s="2">
        <v>0.91736111111111107</v>
      </c>
      <c r="J658" s="4" t="str">
        <f>IF(Table1[[#This Row],[processing_time_hours]]&gt;1.5,"Slow", "Fast")</f>
        <v>Fast</v>
      </c>
      <c r="K658" t="s">
        <v>2814</v>
      </c>
      <c r="L658" s="3">
        <v>0</v>
      </c>
      <c r="M658" t="str">
        <f>IF(Table1[[#This Row],[delayed]]=1,"Delayed","On Time")</f>
        <v>On Time</v>
      </c>
      <c r="N658" t="str">
        <f>IF(AND(Table1[[#This Row],[delayed]]=1,Table1[[#This Row],[weather_condition]]="Storm"),"High Risk", IF(Table1[[#This Row],[delayed]]=1,"Medium Risk","Low Risk"))</f>
        <v>Low Risk</v>
      </c>
    </row>
    <row r="659" spans="1:14" x14ac:dyDescent="0.35">
      <c r="A659">
        <v>658</v>
      </c>
      <c r="B659" s="1">
        <v>44954.375</v>
      </c>
      <c r="C659" s="2">
        <v>4.3750000000000004E-2</v>
      </c>
      <c r="D659" s="3">
        <v>4067</v>
      </c>
      <c r="E659" s="3">
        <v>433</v>
      </c>
      <c r="F659" s="2">
        <v>54.50138888888889</v>
      </c>
      <c r="G659" t="s">
        <v>2816</v>
      </c>
      <c r="H659" t="s">
        <v>2820</v>
      </c>
      <c r="I659" s="2">
        <v>2.4631944444444445</v>
      </c>
      <c r="J659" s="4" t="str">
        <f>IF(Table1[[#This Row],[processing_time_hours]]&gt;1.5,"Slow", "Fast")</f>
        <v>Slow</v>
      </c>
      <c r="K659" t="s">
        <v>2821</v>
      </c>
      <c r="L659" s="3">
        <v>0</v>
      </c>
      <c r="M659" t="str">
        <f>IF(Table1[[#This Row],[delayed]]=1,"Delayed","On Time")</f>
        <v>On Time</v>
      </c>
      <c r="N659" t="str">
        <f>IF(AND(Table1[[#This Row],[delayed]]=1,Table1[[#This Row],[weather_condition]]="Storm"),"High Risk", IF(Table1[[#This Row],[delayed]]=1,"Medium Risk","Low Risk"))</f>
        <v>Low Risk</v>
      </c>
    </row>
    <row r="660" spans="1:14" x14ac:dyDescent="0.35">
      <c r="A660">
        <v>659</v>
      </c>
      <c r="B660" s="1">
        <v>44954.416666666664</v>
      </c>
      <c r="C660" s="2">
        <v>5.2777777777777778E-2</v>
      </c>
      <c r="D660" s="3">
        <v>3206</v>
      </c>
      <c r="E660" s="3">
        <v>132</v>
      </c>
      <c r="F660" s="2">
        <v>16.463194444444444</v>
      </c>
      <c r="G660" t="s">
        <v>2815</v>
      </c>
      <c r="H660" t="s">
        <v>2822</v>
      </c>
      <c r="I660" s="2">
        <v>1.8375000000000001</v>
      </c>
      <c r="J660" s="4" t="str">
        <f>IF(Table1[[#This Row],[processing_time_hours]]&gt;1.5,"Slow", "Fast")</f>
        <v>Slow</v>
      </c>
      <c r="K660" t="s">
        <v>2818</v>
      </c>
      <c r="L660" s="3">
        <v>1</v>
      </c>
      <c r="M660" t="str">
        <f>IF(Table1[[#This Row],[delayed]]=1,"Delayed","On Time")</f>
        <v>Delayed</v>
      </c>
      <c r="N660" t="str">
        <f>IF(AND(Table1[[#This Row],[delayed]]=1,Table1[[#This Row],[weather_condition]]="Storm"),"High Risk", IF(Table1[[#This Row],[delayed]]=1,"Medium Risk","Low Risk"))</f>
        <v>Medium Risk</v>
      </c>
    </row>
    <row r="661" spans="1:14" x14ac:dyDescent="0.35">
      <c r="A661">
        <v>660</v>
      </c>
      <c r="B661" s="1">
        <v>44954.458333333336</v>
      </c>
      <c r="C661" s="2">
        <v>5.7638888888888885E-2</v>
      </c>
      <c r="D661" s="3">
        <v>3543</v>
      </c>
      <c r="E661" s="3">
        <v>126</v>
      </c>
      <c r="F661" s="2">
        <v>49.793055555555554</v>
      </c>
      <c r="G661" t="s">
        <v>2812</v>
      </c>
      <c r="H661" t="s">
        <v>2822</v>
      </c>
      <c r="I661" s="2">
        <v>1.5055555555555555</v>
      </c>
      <c r="J661" s="4" t="str">
        <f>IF(Table1[[#This Row],[processing_time_hours]]&gt;1.5,"Slow", "Fast")</f>
        <v>Slow</v>
      </c>
      <c r="K661" t="s">
        <v>2818</v>
      </c>
      <c r="L661" s="3">
        <v>0</v>
      </c>
      <c r="M661" t="str">
        <f>IF(Table1[[#This Row],[delayed]]=1,"Delayed","On Time")</f>
        <v>On Time</v>
      </c>
      <c r="N661" t="str">
        <f>IF(AND(Table1[[#This Row],[delayed]]=1,Table1[[#This Row],[weather_condition]]="Storm"),"High Risk", IF(Table1[[#This Row],[delayed]]=1,"Medium Risk","Low Risk"))</f>
        <v>Low Risk</v>
      </c>
    </row>
    <row r="662" spans="1:14" x14ac:dyDescent="0.35">
      <c r="A662">
        <v>661</v>
      </c>
      <c r="B662" s="1">
        <v>44954.5</v>
      </c>
      <c r="C662" s="2">
        <v>4.8611111111111112E-3</v>
      </c>
      <c r="D662" s="3">
        <v>1066</v>
      </c>
      <c r="E662" s="3">
        <v>119</v>
      </c>
      <c r="F662" s="2">
        <v>46.921527777777776</v>
      </c>
      <c r="G662" t="s">
        <v>2816</v>
      </c>
      <c r="H662" t="s">
        <v>2822</v>
      </c>
      <c r="I662" s="2">
        <v>1.2104166666666667</v>
      </c>
      <c r="J662" s="4" t="str">
        <f>IF(Table1[[#This Row],[processing_time_hours]]&gt;1.5,"Slow", "Fast")</f>
        <v>Fast</v>
      </c>
      <c r="K662" t="s">
        <v>2814</v>
      </c>
      <c r="L662" s="3">
        <v>0</v>
      </c>
      <c r="M662" t="str">
        <f>IF(Table1[[#This Row],[delayed]]=1,"Delayed","On Time")</f>
        <v>On Time</v>
      </c>
      <c r="N662" t="str">
        <f>IF(AND(Table1[[#This Row],[delayed]]=1,Table1[[#This Row],[weather_condition]]="Storm"),"High Risk", IF(Table1[[#This Row],[delayed]]=1,"Medium Risk","Low Risk"))</f>
        <v>Low Risk</v>
      </c>
    </row>
    <row r="663" spans="1:14" x14ac:dyDescent="0.35">
      <c r="A663">
        <v>662</v>
      </c>
      <c r="B663" s="1">
        <v>44954.541666666664</v>
      </c>
      <c r="C663" s="2">
        <v>6.5972222222222224E-2</v>
      </c>
      <c r="D663" s="3">
        <v>2893</v>
      </c>
      <c r="E663" s="3">
        <v>46</v>
      </c>
      <c r="F663" s="2">
        <v>74.046527777777769</v>
      </c>
      <c r="G663" t="s">
        <v>2812</v>
      </c>
      <c r="H663" t="s">
        <v>2822</v>
      </c>
      <c r="I663" s="2">
        <v>1.9173611111111111</v>
      </c>
      <c r="J663" s="4" t="str">
        <f>IF(Table1[[#This Row],[processing_time_hours]]&gt;1.5,"Slow", "Fast")</f>
        <v>Slow</v>
      </c>
      <c r="K663" t="s">
        <v>2818</v>
      </c>
      <c r="L663" s="3">
        <v>0</v>
      </c>
      <c r="M663" t="str">
        <f>IF(Table1[[#This Row],[delayed]]=1,"Delayed","On Time")</f>
        <v>On Time</v>
      </c>
      <c r="N663" t="str">
        <f>IF(AND(Table1[[#This Row],[delayed]]=1,Table1[[#This Row],[weather_condition]]="Storm"),"High Risk", IF(Table1[[#This Row],[delayed]]=1,"Medium Risk","Low Risk"))</f>
        <v>Low Risk</v>
      </c>
    </row>
    <row r="664" spans="1:14" x14ac:dyDescent="0.35">
      <c r="A664">
        <v>663</v>
      </c>
      <c r="B664" s="1">
        <v>44954.583333333336</v>
      </c>
      <c r="C664" s="2">
        <v>6.1111111111111109E-2</v>
      </c>
      <c r="D664" s="3">
        <v>2316</v>
      </c>
      <c r="E664" s="3">
        <v>2</v>
      </c>
      <c r="F664" s="2">
        <v>24.920833333333334</v>
      </c>
      <c r="G664" t="s">
        <v>2812</v>
      </c>
      <c r="H664" t="s">
        <v>2813</v>
      </c>
      <c r="I664" s="2">
        <v>0.50069444444444444</v>
      </c>
      <c r="J664" s="4" t="str">
        <f>IF(Table1[[#This Row],[processing_time_hours]]&gt;1.5,"Slow", "Fast")</f>
        <v>Fast</v>
      </c>
      <c r="K664" t="s">
        <v>2814</v>
      </c>
      <c r="L664" s="3">
        <v>1</v>
      </c>
      <c r="M664" t="str">
        <f>IF(Table1[[#This Row],[delayed]]=1,"Delayed","On Time")</f>
        <v>Delayed</v>
      </c>
      <c r="N664" t="str">
        <f>IF(AND(Table1[[#This Row],[delayed]]=1,Table1[[#This Row],[weather_condition]]="Storm"),"High Risk", IF(Table1[[#This Row],[delayed]]=1,"Medium Risk","Low Risk"))</f>
        <v>Medium Risk</v>
      </c>
    </row>
    <row r="665" spans="1:14" x14ac:dyDescent="0.35">
      <c r="A665">
        <v>664</v>
      </c>
      <c r="B665" s="1">
        <v>44954.625</v>
      </c>
      <c r="C665" s="2">
        <v>4.5833333333333337E-2</v>
      </c>
      <c r="D665" s="3">
        <v>3463</v>
      </c>
      <c r="E665" s="3">
        <v>12</v>
      </c>
      <c r="F665" s="2">
        <v>14.75</v>
      </c>
      <c r="G665" t="s">
        <v>2815</v>
      </c>
      <c r="H665" t="s">
        <v>2817</v>
      </c>
      <c r="I665" s="2">
        <v>1.5451388888888891</v>
      </c>
      <c r="J665" s="4" t="str">
        <f>IF(Table1[[#This Row],[processing_time_hours]]&gt;1.5,"Slow", "Fast")</f>
        <v>Slow</v>
      </c>
      <c r="K665" t="s">
        <v>2821</v>
      </c>
      <c r="L665" s="3">
        <v>0</v>
      </c>
      <c r="M665" t="str">
        <f>IF(Table1[[#This Row],[delayed]]=1,"Delayed","On Time")</f>
        <v>On Time</v>
      </c>
      <c r="N665" t="str">
        <f>IF(AND(Table1[[#This Row],[delayed]]=1,Table1[[#This Row],[weather_condition]]="Storm"),"High Risk", IF(Table1[[#This Row],[delayed]]=1,"Medium Risk","Low Risk"))</f>
        <v>Low Risk</v>
      </c>
    </row>
    <row r="666" spans="1:14" x14ac:dyDescent="0.35">
      <c r="A666">
        <v>665</v>
      </c>
      <c r="B666" s="1">
        <v>44954.666666666664</v>
      </c>
      <c r="C666" s="2">
        <v>4.5833333333333337E-2</v>
      </c>
      <c r="D666" s="3">
        <v>1317</v>
      </c>
      <c r="E666" s="3">
        <v>444</v>
      </c>
      <c r="F666" s="2">
        <v>36.380555555555553</v>
      </c>
      <c r="G666" t="s">
        <v>2816</v>
      </c>
      <c r="H666" t="s">
        <v>2813</v>
      </c>
      <c r="I666" s="2">
        <v>2.6263888888888887</v>
      </c>
      <c r="J666" s="4" t="str">
        <f>IF(Table1[[#This Row],[processing_time_hours]]&gt;1.5,"Slow", "Fast")</f>
        <v>Slow</v>
      </c>
      <c r="K666" t="s">
        <v>2814</v>
      </c>
      <c r="L666" s="3">
        <v>0</v>
      </c>
      <c r="M666" t="str">
        <f>IF(Table1[[#This Row],[delayed]]=1,"Delayed","On Time")</f>
        <v>On Time</v>
      </c>
      <c r="N666" t="str">
        <f>IF(AND(Table1[[#This Row],[delayed]]=1,Table1[[#This Row],[weather_condition]]="Storm"),"High Risk", IF(Table1[[#This Row],[delayed]]=1,"Medium Risk","Low Risk"))</f>
        <v>Low Risk</v>
      </c>
    </row>
    <row r="667" spans="1:14" x14ac:dyDescent="0.35">
      <c r="A667">
        <v>666</v>
      </c>
      <c r="B667" s="1">
        <v>44954.708333333336</v>
      </c>
      <c r="C667" s="2">
        <v>4.3055555555555562E-2</v>
      </c>
      <c r="D667" s="3">
        <v>3965</v>
      </c>
      <c r="E667" s="3">
        <v>406</v>
      </c>
      <c r="F667" s="2">
        <v>47.256250000000001</v>
      </c>
      <c r="G667" t="s">
        <v>2815</v>
      </c>
      <c r="H667" t="s">
        <v>2813</v>
      </c>
      <c r="I667" s="2">
        <v>2.5847222222222221</v>
      </c>
      <c r="J667" s="4" t="str">
        <f>IF(Table1[[#This Row],[processing_time_hours]]&gt;1.5,"Slow", "Fast")</f>
        <v>Slow</v>
      </c>
      <c r="K667" t="s">
        <v>2814</v>
      </c>
      <c r="L667" s="3">
        <v>0</v>
      </c>
      <c r="M667" t="str">
        <f>IF(Table1[[#This Row],[delayed]]=1,"Delayed","On Time")</f>
        <v>On Time</v>
      </c>
      <c r="N667" t="str">
        <f>IF(AND(Table1[[#This Row],[delayed]]=1,Table1[[#This Row],[weather_condition]]="Storm"),"High Risk", IF(Table1[[#This Row],[delayed]]=1,"Medium Risk","Low Risk"))</f>
        <v>Low Risk</v>
      </c>
    </row>
    <row r="668" spans="1:14" x14ac:dyDescent="0.35">
      <c r="A668">
        <v>667</v>
      </c>
      <c r="B668" s="1">
        <v>44954.75</v>
      </c>
      <c r="C668" s="2">
        <v>5.7638888888888885E-2</v>
      </c>
      <c r="D668" s="3">
        <v>4188</v>
      </c>
      <c r="E668" s="3">
        <v>347</v>
      </c>
      <c r="F668" s="2">
        <v>10.963888888888889</v>
      </c>
      <c r="G668" t="s">
        <v>2819</v>
      </c>
      <c r="H668" t="s">
        <v>2820</v>
      </c>
      <c r="I668" s="2">
        <v>1.4631944444444445</v>
      </c>
      <c r="J668" s="4" t="str">
        <f>IF(Table1[[#This Row],[processing_time_hours]]&gt;1.5,"Slow", "Fast")</f>
        <v>Fast</v>
      </c>
      <c r="K668" t="s">
        <v>2814</v>
      </c>
      <c r="L668" s="3">
        <v>0</v>
      </c>
      <c r="M668" t="str">
        <f>IF(Table1[[#This Row],[delayed]]=1,"Delayed","On Time")</f>
        <v>On Time</v>
      </c>
      <c r="N668" t="str">
        <f>IF(AND(Table1[[#This Row],[delayed]]=1,Table1[[#This Row],[weather_condition]]="Storm"),"High Risk", IF(Table1[[#This Row],[delayed]]=1,"Medium Risk","Low Risk"))</f>
        <v>Low Risk</v>
      </c>
    </row>
    <row r="669" spans="1:14" x14ac:dyDescent="0.35">
      <c r="A669">
        <v>668</v>
      </c>
      <c r="B669" s="1">
        <v>44954.791666666664</v>
      </c>
      <c r="C669" s="2">
        <v>4.6527777777777779E-2</v>
      </c>
      <c r="D669" s="3">
        <v>1875</v>
      </c>
      <c r="E669" s="3">
        <v>27</v>
      </c>
      <c r="F669" s="2">
        <v>33.12777777777778</v>
      </c>
      <c r="G669" t="s">
        <v>2812</v>
      </c>
      <c r="H669" t="s">
        <v>2822</v>
      </c>
      <c r="I669" s="2">
        <v>1.627777777777778</v>
      </c>
      <c r="J669" s="4" t="str">
        <f>IF(Table1[[#This Row],[processing_time_hours]]&gt;1.5,"Slow", "Fast")</f>
        <v>Slow</v>
      </c>
      <c r="K669" t="s">
        <v>2818</v>
      </c>
      <c r="L669" s="3">
        <v>0</v>
      </c>
      <c r="M669" t="str">
        <f>IF(Table1[[#This Row],[delayed]]=1,"Delayed","On Time")</f>
        <v>On Time</v>
      </c>
      <c r="N669" t="str">
        <f>IF(AND(Table1[[#This Row],[delayed]]=1,Table1[[#This Row],[weather_condition]]="Storm"),"High Risk", IF(Table1[[#This Row],[delayed]]=1,"Medium Risk","Low Risk"))</f>
        <v>Low Risk</v>
      </c>
    </row>
    <row r="670" spans="1:14" x14ac:dyDescent="0.35">
      <c r="A670">
        <v>669</v>
      </c>
      <c r="B670" s="1">
        <v>44954.833333333336</v>
      </c>
      <c r="C670" s="2">
        <v>5.6944444444444443E-2</v>
      </c>
      <c r="D670" s="3">
        <v>1999</v>
      </c>
      <c r="E670" s="3">
        <v>66</v>
      </c>
      <c r="F670" s="2">
        <v>24.589583333333334</v>
      </c>
      <c r="G670" t="s">
        <v>2815</v>
      </c>
      <c r="H670" t="s">
        <v>2817</v>
      </c>
      <c r="I670" s="2">
        <v>1.4631944444444445</v>
      </c>
      <c r="J670" s="4" t="str">
        <f>IF(Table1[[#This Row],[processing_time_hours]]&gt;1.5,"Slow", "Fast")</f>
        <v>Fast</v>
      </c>
      <c r="K670" t="s">
        <v>2818</v>
      </c>
      <c r="L670" s="3">
        <v>0</v>
      </c>
      <c r="M670" t="str">
        <f>IF(Table1[[#This Row],[delayed]]=1,"Delayed","On Time")</f>
        <v>On Time</v>
      </c>
      <c r="N670" t="str">
        <f>IF(AND(Table1[[#This Row],[delayed]]=1,Table1[[#This Row],[weather_condition]]="Storm"),"High Risk", IF(Table1[[#This Row],[delayed]]=1,"Medium Risk","Low Risk"))</f>
        <v>Low Risk</v>
      </c>
    </row>
    <row r="671" spans="1:14" x14ac:dyDescent="0.35">
      <c r="A671">
        <v>670</v>
      </c>
      <c r="B671" s="1">
        <v>44954.875</v>
      </c>
      <c r="C671" s="2">
        <v>6.458333333333334E-2</v>
      </c>
      <c r="D671" s="3">
        <v>4500</v>
      </c>
      <c r="E671" s="3">
        <v>218</v>
      </c>
      <c r="F671" s="2">
        <v>30.462500000000002</v>
      </c>
      <c r="G671" t="s">
        <v>2819</v>
      </c>
      <c r="H671" t="s">
        <v>2820</v>
      </c>
      <c r="I671" s="2">
        <v>1.6263888888888889</v>
      </c>
      <c r="J671" s="4" t="str">
        <f>IF(Table1[[#This Row],[processing_time_hours]]&gt;1.5,"Slow", "Fast")</f>
        <v>Slow</v>
      </c>
      <c r="K671" t="s">
        <v>2821</v>
      </c>
      <c r="L671" s="3">
        <v>0</v>
      </c>
      <c r="M671" t="str">
        <f>IF(Table1[[#This Row],[delayed]]=1,"Delayed","On Time")</f>
        <v>On Time</v>
      </c>
      <c r="N671" t="str">
        <f>IF(AND(Table1[[#This Row],[delayed]]=1,Table1[[#This Row],[weather_condition]]="Storm"),"High Risk", IF(Table1[[#This Row],[delayed]]=1,"Medium Risk","Low Risk"))</f>
        <v>Low Risk</v>
      </c>
    </row>
    <row r="672" spans="1:14" x14ac:dyDescent="0.35">
      <c r="A672">
        <v>671</v>
      </c>
      <c r="B672" s="1">
        <v>44954.916666666664</v>
      </c>
      <c r="C672" s="2">
        <v>6.5972222222222224E-2</v>
      </c>
      <c r="D672" s="3">
        <v>2578</v>
      </c>
      <c r="E672" s="3">
        <v>118</v>
      </c>
      <c r="F672" s="2">
        <v>31.169444444444448</v>
      </c>
      <c r="G672" t="s">
        <v>2812</v>
      </c>
      <c r="H672" t="s">
        <v>2817</v>
      </c>
      <c r="I672" s="2">
        <v>1.8388888888888888</v>
      </c>
      <c r="J672" s="4" t="str">
        <f>IF(Table1[[#This Row],[processing_time_hours]]&gt;1.5,"Slow", "Fast")</f>
        <v>Slow</v>
      </c>
      <c r="K672" t="s">
        <v>2818</v>
      </c>
      <c r="L672" s="3">
        <v>0</v>
      </c>
      <c r="M672" t="str">
        <f>IF(Table1[[#This Row],[delayed]]=1,"Delayed","On Time")</f>
        <v>On Time</v>
      </c>
      <c r="N672" t="str">
        <f>IF(AND(Table1[[#This Row],[delayed]]=1,Table1[[#This Row],[weather_condition]]="Storm"),"High Risk", IF(Table1[[#This Row],[delayed]]=1,"Medium Risk","Low Risk"))</f>
        <v>Low Risk</v>
      </c>
    </row>
    <row r="673" spans="1:14" x14ac:dyDescent="0.35">
      <c r="A673">
        <v>672</v>
      </c>
      <c r="B673" s="1">
        <v>44954.958333333336</v>
      </c>
      <c r="C673" s="2">
        <v>4.5138888888888888E-2</v>
      </c>
      <c r="D673" s="3">
        <v>4463</v>
      </c>
      <c r="E673" s="3">
        <v>87</v>
      </c>
      <c r="F673" s="2">
        <v>22.213194444444444</v>
      </c>
      <c r="G673" t="s">
        <v>2815</v>
      </c>
      <c r="H673" t="s">
        <v>2822</v>
      </c>
      <c r="I673" s="2">
        <v>0.29305555555555557</v>
      </c>
      <c r="J673" s="4" t="str">
        <f>IF(Table1[[#This Row],[processing_time_hours]]&gt;1.5,"Slow", "Fast")</f>
        <v>Fast</v>
      </c>
      <c r="K673" t="s">
        <v>2818</v>
      </c>
      <c r="L673" s="3">
        <v>0</v>
      </c>
      <c r="M673" t="str">
        <f>IF(Table1[[#This Row],[delayed]]=1,"Delayed","On Time")</f>
        <v>On Time</v>
      </c>
      <c r="N673" t="str">
        <f>IF(AND(Table1[[#This Row],[delayed]]=1,Table1[[#This Row],[weather_condition]]="Storm"),"High Risk", IF(Table1[[#This Row],[delayed]]=1,"Medium Risk","Low Risk"))</f>
        <v>Low Risk</v>
      </c>
    </row>
    <row r="674" spans="1:14" x14ac:dyDescent="0.35">
      <c r="A674">
        <v>673</v>
      </c>
      <c r="B674" s="1">
        <v>44955</v>
      </c>
      <c r="C674" s="2">
        <v>5.0694444444444438E-2</v>
      </c>
      <c r="D674" s="3">
        <v>1808</v>
      </c>
      <c r="E674" s="3">
        <v>399</v>
      </c>
      <c r="F674" s="2">
        <v>29.502083333333331</v>
      </c>
      <c r="G674" t="s">
        <v>2819</v>
      </c>
      <c r="H674" t="s">
        <v>2817</v>
      </c>
      <c r="I674" s="2">
        <v>0.54583333333333328</v>
      </c>
      <c r="J674" s="4" t="str">
        <f>IF(Table1[[#This Row],[processing_time_hours]]&gt;1.5,"Slow", "Fast")</f>
        <v>Fast</v>
      </c>
      <c r="K674" t="s">
        <v>2814</v>
      </c>
      <c r="L674" s="3">
        <v>1</v>
      </c>
      <c r="M674" t="str">
        <f>IF(Table1[[#This Row],[delayed]]=1,"Delayed","On Time")</f>
        <v>Delayed</v>
      </c>
      <c r="N674" t="str">
        <f>IF(AND(Table1[[#This Row],[delayed]]=1,Table1[[#This Row],[weather_condition]]="Storm"),"High Risk", IF(Table1[[#This Row],[delayed]]=1,"Medium Risk","Low Risk"))</f>
        <v>High Risk</v>
      </c>
    </row>
    <row r="675" spans="1:14" x14ac:dyDescent="0.35">
      <c r="A675">
        <v>674</v>
      </c>
      <c r="B675" s="1">
        <v>44955.041666666664</v>
      </c>
      <c r="C675" s="2">
        <v>5.3472222222222227E-2</v>
      </c>
      <c r="D675" s="3">
        <v>4010</v>
      </c>
      <c r="E675" s="3">
        <v>359</v>
      </c>
      <c r="F675" s="2">
        <v>68.75555555555556</v>
      </c>
      <c r="G675" t="s">
        <v>2819</v>
      </c>
      <c r="H675" t="s">
        <v>2820</v>
      </c>
      <c r="I675" s="2">
        <v>0.54513888888888895</v>
      </c>
      <c r="J675" s="4" t="str">
        <f>IF(Table1[[#This Row],[processing_time_hours]]&gt;1.5,"Slow", "Fast")</f>
        <v>Fast</v>
      </c>
      <c r="K675" t="s">
        <v>2814</v>
      </c>
      <c r="L675" s="3">
        <v>0</v>
      </c>
      <c r="M675" t="str">
        <f>IF(Table1[[#This Row],[delayed]]=1,"Delayed","On Time")</f>
        <v>On Time</v>
      </c>
      <c r="N675" t="str">
        <f>IF(AND(Table1[[#This Row],[delayed]]=1,Table1[[#This Row],[weather_condition]]="Storm"),"High Risk", IF(Table1[[#This Row],[delayed]]=1,"Medium Risk","Low Risk"))</f>
        <v>Low Risk</v>
      </c>
    </row>
    <row r="676" spans="1:14" x14ac:dyDescent="0.35">
      <c r="A676">
        <v>675</v>
      </c>
      <c r="B676" s="1">
        <v>44955.083333333336</v>
      </c>
      <c r="C676" s="2">
        <v>5.2083333333333336E-2</v>
      </c>
      <c r="D676" s="3">
        <v>137</v>
      </c>
      <c r="E676" s="3">
        <v>268</v>
      </c>
      <c r="F676" s="2">
        <v>55.920138888888886</v>
      </c>
      <c r="G676" t="s">
        <v>2819</v>
      </c>
      <c r="H676" t="s">
        <v>2822</v>
      </c>
      <c r="I676" s="2">
        <v>2.4624999999999999</v>
      </c>
      <c r="J676" s="4" t="str">
        <f>IF(Table1[[#This Row],[processing_time_hours]]&gt;1.5,"Slow", "Fast")</f>
        <v>Slow</v>
      </c>
      <c r="K676" t="s">
        <v>2821</v>
      </c>
      <c r="L676" s="3">
        <v>0</v>
      </c>
      <c r="M676" t="str">
        <f>IF(Table1[[#This Row],[delayed]]=1,"Delayed","On Time")</f>
        <v>On Time</v>
      </c>
      <c r="N676" t="str">
        <f>IF(AND(Table1[[#This Row],[delayed]]=1,Table1[[#This Row],[weather_condition]]="Storm"),"High Risk", IF(Table1[[#This Row],[delayed]]=1,"Medium Risk","Low Risk"))</f>
        <v>Low Risk</v>
      </c>
    </row>
    <row r="677" spans="1:14" x14ac:dyDescent="0.35">
      <c r="A677">
        <v>676</v>
      </c>
      <c r="B677" s="1">
        <v>44955.125</v>
      </c>
      <c r="C677" s="2">
        <v>5.3472222222222227E-2</v>
      </c>
      <c r="D677" s="3">
        <v>1550</v>
      </c>
      <c r="E677" s="3">
        <v>183</v>
      </c>
      <c r="F677" s="2">
        <v>47.297222222222224</v>
      </c>
      <c r="G677" t="s">
        <v>2819</v>
      </c>
      <c r="H677" t="s">
        <v>2813</v>
      </c>
      <c r="I677" s="2">
        <v>0.7104166666666667</v>
      </c>
      <c r="J677" s="4" t="str">
        <f>IF(Table1[[#This Row],[processing_time_hours]]&gt;1.5,"Slow", "Fast")</f>
        <v>Fast</v>
      </c>
      <c r="K677" t="s">
        <v>2821</v>
      </c>
      <c r="L677" s="3">
        <v>0</v>
      </c>
      <c r="M677" t="str">
        <f>IF(Table1[[#This Row],[delayed]]=1,"Delayed","On Time")</f>
        <v>On Time</v>
      </c>
      <c r="N677" t="str">
        <f>IF(AND(Table1[[#This Row],[delayed]]=1,Table1[[#This Row],[weather_condition]]="Storm"),"High Risk", IF(Table1[[#This Row],[delayed]]=1,"Medium Risk","Low Risk"))</f>
        <v>Low Risk</v>
      </c>
    </row>
    <row r="678" spans="1:14" x14ac:dyDescent="0.35">
      <c r="A678">
        <v>677</v>
      </c>
      <c r="B678" s="1">
        <v>44955.166666666664</v>
      </c>
      <c r="C678" s="2">
        <v>5.4166666666666669E-2</v>
      </c>
      <c r="D678" s="3">
        <v>619</v>
      </c>
      <c r="E678" s="3">
        <v>403</v>
      </c>
      <c r="F678" s="2">
        <v>46.754166666666663</v>
      </c>
      <c r="G678" t="s">
        <v>2819</v>
      </c>
      <c r="H678" t="s">
        <v>2813</v>
      </c>
      <c r="I678" s="2">
        <v>0.87916666666666676</v>
      </c>
      <c r="J678" s="4" t="str">
        <f>IF(Table1[[#This Row],[processing_time_hours]]&gt;1.5,"Slow", "Fast")</f>
        <v>Fast</v>
      </c>
      <c r="K678" t="s">
        <v>2818</v>
      </c>
      <c r="L678" s="3">
        <v>0</v>
      </c>
      <c r="M678" t="str">
        <f>IF(Table1[[#This Row],[delayed]]=1,"Delayed","On Time")</f>
        <v>On Time</v>
      </c>
      <c r="N678" t="str">
        <f>IF(AND(Table1[[#This Row],[delayed]]=1,Table1[[#This Row],[weather_condition]]="Storm"),"High Risk", IF(Table1[[#This Row],[delayed]]=1,"Medium Risk","Low Risk"))</f>
        <v>Low Risk</v>
      </c>
    </row>
    <row r="679" spans="1:14" x14ac:dyDescent="0.35">
      <c r="A679">
        <v>678</v>
      </c>
      <c r="B679" s="1">
        <v>44955.208333333336</v>
      </c>
      <c r="C679" s="2">
        <v>6.2499999999999995E-3</v>
      </c>
      <c r="D679" s="3">
        <v>2153</v>
      </c>
      <c r="E679" s="3">
        <v>409</v>
      </c>
      <c r="F679" s="2">
        <v>45.170833333333327</v>
      </c>
      <c r="G679" t="s">
        <v>2816</v>
      </c>
      <c r="H679" t="s">
        <v>2817</v>
      </c>
      <c r="I679" s="2">
        <v>0.37638888888888888</v>
      </c>
      <c r="J679" s="4" t="str">
        <f>IF(Table1[[#This Row],[processing_time_hours]]&gt;1.5,"Slow", "Fast")</f>
        <v>Fast</v>
      </c>
      <c r="K679" t="s">
        <v>2821</v>
      </c>
      <c r="L679" s="3">
        <v>0</v>
      </c>
      <c r="M679" t="str">
        <f>IF(Table1[[#This Row],[delayed]]=1,"Delayed","On Time")</f>
        <v>On Time</v>
      </c>
      <c r="N679" t="str">
        <f>IF(AND(Table1[[#This Row],[delayed]]=1,Table1[[#This Row],[weather_condition]]="Storm"),"High Risk", IF(Table1[[#This Row],[delayed]]=1,"Medium Risk","Low Risk"))</f>
        <v>Low Risk</v>
      </c>
    </row>
    <row r="680" spans="1:14" x14ac:dyDescent="0.35">
      <c r="A680">
        <v>679</v>
      </c>
      <c r="B680" s="1">
        <v>44955.25</v>
      </c>
      <c r="C680" s="2">
        <v>4.9999999999999996E-2</v>
      </c>
      <c r="D680" s="3">
        <v>4577</v>
      </c>
      <c r="E680" s="3">
        <v>465</v>
      </c>
      <c r="F680" s="2">
        <v>51.672916666666673</v>
      </c>
      <c r="G680" t="s">
        <v>2815</v>
      </c>
      <c r="H680" t="s">
        <v>2813</v>
      </c>
      <c r="I680" s="2">
        <v>2.0041666666666669</v>
      </c>
      <c r="J680" s="4" t="str">
        <f>IF(Table1[[#This Row],[processing_time_hours]]&gt;1.5,"Slow", "Fast")</f>
        <v>Slow</v>
      </c>
      <c r="K680" t="s">
        <v>2814</v>
      </c>
      <c r="L680" s="3">
        <v>1</v>
      </c>
      <c r="M680" t="str">
        <f>IF(Table1[[#This Row],[delayed]]=1,"Delayed","On Time")</f>
        <v>Delayed</v>
      </c>
      <c r="N680" t="str">
        <f>IF(AND(Table1[[#This Row],[delayed]]=1,Table1[[#This Row],[weather_condition]]="Storm"),"High Risk", IF(Table1[[#This Row],[delayed]]=1,"Medium Risk","Low Risk"))</f>
        <v>Medium Risk</v>
      </c>
    </row>
    <row r="681" spans="1:14" x14ac:dyDescent="0.35">
      <c r="A681">
        <v>680</v>
      </c>
      <c r="B681" s="1">
        <v>44955.291666666664</v>
      </c>
      <c r="C681" s="2">
        <v>5.1388888888888894E-2</v>
      </c>
      <c r="D681" s="3">
        <v>3425</v>
      </c>
      <c r="E681" s="3">
        <v>153</v>
      </c>
      <c r="F681" s="2">
        <v>36.794444444444444</v>
      </c>
      <c r="G681" t="s">
        <v>2812</v>
      </c>
      <c r="H681" t="s">
        <v>2822</v>
      </c>
      <c r="I681" s="2">
        <v>2.7930555555555556</v>
      </c>
      <c r="J681" s="4" t="str">
        <f>IF(Table1[[#This Row],[processing_time_hours]]&gt;1.5,"Slow", "Fast")</f>
        <v>Slow</v>
      </c>
      <c r="K681" t="s">
        <v>2821</v>
      </c>
      <c r="L681" s="3">
        <v>1</v>
      </c>
      <c r="M681" t="str">
        <f>IF(Table1[[#This Row],[delayed]]=1,"Delayed","On Time")</f>
        <v>Delayed</v>
      </c>
      <c r="N681" t="str">
        <f>IF(AND(Table1[[#This Row],[delayed]]=1,Table1[[#This Row],[weather_condition]]="Storm"),"High Risk", IF(Table1[[#This Row],[delayed]]=1,"Medium Risk","Low Risk"))</f>
        <v>Medium Risk</v>
      </c>
    </row>
    <row r="682" spans="1:14" x14ac:dyDescent="0.35">
      <c r="A682">
        <v>681</v>
      </c>
      <c r="B682" s="1">
        <v>44955.333333333336</v>
      </c>
      <c r="C682" s="2">
        <v>5.2777777777777778E-2</v>
      </c>
      <c r="D682" s="3">
        <v>3793</v>
      </c>
      <c r="E682" s="3">
        <v>161</v>
      </c>
      <c r="F682" s="2">
        <v>23.166666666666668</v>
      </c>
      <c r="G682" t="s">
        <v>2819</v>
      </c>
      <c r="H682" t="s">
        <v>2817</v>
      </c>
      <c r="I682" s="2">
        <v>2.0034722222222223</v>
      </c>
      <c r="J682" s="4" t="str">
        <f>IF(Table1[[#This Row],[processing_time_hours]]&gt;1.5,"Slow", "Fast")</f>
        <v>Slow</v>
      </c>
      <c r="K682" t="s">
        <v>2814</v>
      </c>
      <c r="L682" s="3">
        <v>0</v>
      </c>
      <c r="M682" t="str">
        <f>IF(Table1[[#This Row],[delayed]]=1,"Delayed","On Time")</f>
        <v>On Time</v>
      </c>
      <c r="N682" t="str">
        <f>IF(AND(Table1[[#This Row],[delayed]]=1,Table1[[#This Row],[weather_condition]]="Storm"),"High Risk", IF(Table1[[#This Row],[delayed]]=1,"Medium Risk","Low Risk"))</f>
        <v>Low Risk</v>
      </c>
    </row>
    <row r="683" spans="1:14" x14ac:dyDescent="0.35">
      <c r="A683">
        <v>682</v>
      </c>
      <c r="B683" s="1">
        <v>44955.375</v>
      </c>
      <c r="C683" s="2">
        <v>4.5833333333333337E-2</v>
      </c>
      <c r="D683" s="3">
        <v>3820</v>
      </c>
      <c r="E683" s="3">
        <v>105</v>
      </c>
      <c r="F683" s="2">
        <v>33.463888888888889</v>
      </c>
      <c r="G683" t="s">
        <v>2812</v>
      </c>
      <c r="H683" t="s">
        <v>2822</v>
      </c>
      <c r="I683" s="2">
        <v>1.4173611111111111</v>
      </c>
      <c r="J683" s="4" t="str">
        <f>IF(Table1[[#This Row],[processing_time_hours]]&gt;1.5,"Slow", "Fast")</f>
        <v>Fast</v>
      </c>
      <c r="K683" t="s">
        <v>2821</v>
      </c>
      <c r="L683" s="3">
        <v>0</v>
      </c>
      <c r="M683" t="str">
        <f>IF(Table1[[#This Row],[delayed]]=1,"Delayed","On Time")</f>
        <v>On Time</v>
      </c>
      <c r="N683" t="str">
        <f>IF(AND(Table1[[#This Row],[delayed]]=1,Table1[[#This Row],[weather_condition]]="Storm"),"High Risk", IF(Table1[[#This Row],[delayed]]=1,"Medium Risk","Low Risk"))</f>
        <v>Low Risk</v>
      </c>
    </row>
    <row r="684" spans="1:14" x14ac:dyDescent="0.35">
      <c r="A684">
        <v>683</v>
      </c>
      <c r="B684" s="1">
        <v>44955.416666666664</v>
      </c>
      <c r="C684" s="2">
        <v>5.9027777777777783E-2</v>
      </c>
      <c r="D684" s="3">
        <v>1306</v>
      </c>
      <c r="E684" s="3">
        <v>85</v>
      </c>
      <c r="F684" s="2">
        <v>75.666666666666671</v>
      </c>
      <c r="G684" t="s">
        <v>2812</v>
      </c>
      <c r="H684" t="s">
        <v>2820</v>
      </c>
      <c r="I684" s="2">
        <v>1.0472222222222223</v>
      </c>
      <c r="J684" s="4" t="str">
        <f>IF(Table1[[#This Row],[processing_time_hours]]&gt;1.5,"Slow", "Fast")</f>
        <v>Fast</v>
      </c>
      <c r="K684" t="s">
        <v>2814</v>
      </c>
      <c r="L684" s="3">
        <v>0</v>
      </c>
      <c r="M684" t="str">
        <f>IF(Table1[[#This Row],[delayed]]=1,"Delayed","On Time")</f>
        <v>On Time</v>
      </c>
      <c r="N684" t="str">
        <f>IF(AND(Table1[[#This Row],[delayed]]=1,Table1[[#This Row],[weather_condition]]="Storm"),"High Risk", IF(Table1[[#This Row],[delayed]]=1,"Medium Risk","Low Risk"))</f>
        <v>Low Risk</v>
      </c>
    </row>
    <row r="685" spans="1:14" x14ac:dyDescent="0.35">
      <c r="A685">
        <v>684</v>
      </c>
      <c r="B685" s="1">
        <v>44955.458333333336</v>
      </c>
      <c r="C685" s="2">
        <v>5.2777777777777778E-2</v>
      </c>
      <c r="D685" s="3">
        <v>536</v>
      </c>
      <c r="E685" s="3">
        <v>43</v>
      </c>
      <c r="F685" s="2">
        <v>30.881249999999998</v>
      </c>
      <c r="G685" t="s">
        <v>2819</v>
      </c>
      <c r="H685" t="s">
        <v>2817</v>
      </c>
      <c r="I685" s="2">
        <v>2.5055555555555555</v>
      </c>
      <c r="J685" s="4" t="str">
        <f>IF(Table1[[#This Row],[processing_time_hours]]&gt;1.5,"Slow", "Fast")</f>
        <v>Slow</v>
      </c>
      <c r="K685" t="s">
        <v>2818</v>
      </c>
      <c r="L685" s="3">
        <v>0</v>
      </c>
      <c r="M685" t="str">
        <f>IF(Table1[[#This Row],[delayed]]=1,"Delayed","On Time")</f>
        <v>On Time</v>
      </c>
      <c r="N685" t="str">
        <f>IF(AND(Table1[[#This Row],[delayed]]=1,Table1[[#This Row],[weather_condition]]="Storm"),"High Risk", IF(Table1[[#This Row],[delayed]]=1,"Medium Risk","Low Risk"))</f>
        <v>Low Risk</v>
      </c>
    </row>
    <row r="686" spans="1:14" x14ac:dyDescent="0.35">
      <c r="A686">
        <v>685</v>
      </c>
      <c r="B686" s="1">
        <v>44955.5</v>
      </c>
      <c r="C686" s="2">
        <v>6.7361111111111108E-2</v>
      </c>
      <c r="D686" s="3">
        <v>4117</v>
      </c>
      <c r="E686" s="3">
        <v>495</v>
      </c>
      <c r="F686" s="2">
        <v>9.3770833333333332</v>
      </c>
      <c r="G686" t="s">
        <v>2819</v>
      </c>
      <c r="H686" t="s">
        <v>2813</v>
      </c>
      <c r="I686" s="2">
        <v>2.4222222222222221</v>
      </c>
      <c r="J686" s="4" t="str">
        <f>IF(Table1[[#This Row],[processing_time_hours]]&gt;1.5,"Slow", "Fast")</f>
        <v>Slow</v>
      </c>
      <c r="K686" t="s">
        <v>2814</v>
      </c>
      <c r="L686" s="3">
        <v>0</v>
      </c>
      <c r="M686" t="str">
        <f>IF(Table1[[#This Row],[delayed]]=1,"Delayed","On Time")</f>
        <v>On Time</v>
      </c>
      <c r="N686" t="str">
        <f>IF(AND(Table1[[#This Row],[delayed]]=1,Table1[[#This Row],[weather_condition]]="Storm"),"High Risk", IF(Table1[[#This Row],[delayed]]=1,"Medium Risk","Low Risk"))</f>
        <v>Low Risk</v>
      </c>
    </row>
    <row r="687" spans="1:14" x14ac:dyDescent="0.35">
      <c r="A687">
        <v>686</v>
      </c>
      <c r="B687" s="1">
        <v>44955.541666666664</v>
      </c>
      <c r="C687" s="2">
        <v>6.458333333333334E-2</v>
      </c>
      <c r="D687" s="3">
        <v>3147</v>
      </c>
      <c r="E687" s="3">
        <v>194</v>
      </c>
      <c r="F687" s="2">
        <v>59.547222222222224</v>
      </c>
      <c r="G687" t="s">
        <v>2812</v>
      </c>
      <c r="H687" t="s">
        <v>2820</v>
      </c>
      <c r="I687" s="2">
        <v>0.37986111111111115</v>
      </c>
      <c r="J687" s="4" t="str">
        <f>IF(Table1[[#This Row],[processing_time_hours]]&gt;1.5,"Slow", "Fast")</f>
        <v>Fast</v>
      </c>
      <c r="K687" t="s">
        <v>2821</v>
      </c>
      <c r="L687" s="3">
        <v>0</v>
      </c>
      <c r="M687" t="str">
        <f>IF(Table1[[#This Row],[delayed]]=1,"Delayed","On Time")</f>
        <v>On Time</v>
      </c>
      <c r="N687" t="str">
        <f>IF(AND(Table1[[#This Row],[delayed]]=1,Table1[[#This Row],[weather_condition]]="Storm"),"High Risk", IF(Table1[[#This Row],[delayed]]=1,"Medium Risk","Low Risk"))</f>
        <v>Low Risk</v>
      </c>
    </row>
    <row r="688" spans="1:14" x14ac:dyDescent="0.35">
      <c r="A688">
        <v>687</v>
      </c>
      <c r="B688" s="1">
        <v>44955.583333333336</v>
      </c>
      <c r="C688" s="2">
        <v>4.7916666666666663E-2</v>
      </c>
      <c r="D688" s="3">
        <v>2122</v>
      </c>
      <c r="E688" s="3">
        <v>26</v>
      </c>
      <c r="F688" s="2">
        <v>76.458333333333329</v>
      </c>
      <c r="G688" t="s">
        <v>2819</v>
      </c>
      <c r="H688" t="s">
        <v>2820</v>
      </c>
      <c r="I688" s="2">
        <v>2.6729166666666671</v>
      </c>
      <c r="J688" s="4" t="str">
        <f>IF(Table1[[#This Row],[processing_time_hours]]&gt;1.5,"Slow", "Fast")</f>
        <v>Slow</v>
      </c>
      <c r="K688" t="s">
        <v>2818</v>
      </c>
      <c r="L688" s="3">
        <v>1</v>
      </c>
      <c r="M688" t="str">
        <f>IF(Table1[[#This Row],[delayed]]=1,"Delayed","On Time")</f>
        <v>Delayed</v>
      </c>
      <c r="N688" t="str">
        <f>IF(AND(Table1[[#This Row],[delayed]]=1,Table1[[#This Row],[weather_condition]]="Storm"),"High Risk", IF(Table1[[#This Row],[delayed]]=1,"Medium Risk","Low Risk"))</f>
        <v>Medium Risk</v>
      </c>
    </row>
    <row r="689" spans="1:14" x14ac:dyDescent="0.35">
      <c r="A689">
        <v>688</v>
      </c>
      <c r="B689" s="1">
        <v>44955.625</v>
      </c>
      <c r="C689" s="2">
        <v>4.8611111111111112E-3</v>
      </c>
      <c r="D689" s="3">
        <v>4326</v>
      </c>
      <c r="E689" s="3">
        <v>318</v>
      </c>
      <c r="F689" s="2">
        <v>10.714583333333332</v>
      </c>
      <c r="G689" t="s">
        <v>2819</v>
      </c>
      <c r="H689" t="s">
        <v>2813</v>
      </c>
      <c r="I689" s="2">
        <v>1.6305555555555555</v>
      </c>
      <c r="J689" s="4" t="str">
        <f>IF(Table1[[#This Row],[processing_time_hours]]&gt;1.5,"Slow", "Fast")</f>
        <v>Slow</v>
      </c>
      <c r="K689" t="s">
        <v>2818</v>
      </c>
      <c r="L689" s="3">
        <v>0</v>
      </c>
      <c r="M689" t="str">
        <f>IF(Table1[[#This Row],[delayed]]=1,"Delayed","On Time")</f>
        <v>On Time</v>
      </c>
      <c r="N689" t="str">
        <f>IF(AND(Table1[[#This Row],[delayed]]=1,Table1[[#This Row],[weather_condition]]="Storm"),"High Risk", IF(Table1[[#This Row],[delayed]]=1,"Medium Risk","Low Risk"))</f>
        <v>Low Risk</v>
      </c>
    </row>
    <row r="690" spans="1:14" x14ac:dyDescent="0.35">
      <c r="A690">
        <v>689</v>
      </c>
      <c r="B690" s="1">
        <v>44955.666666666664</v>
      </c>
      <c r="C690" s="2">
        <v>6.3194444444444442E-2</v>
      </c>
      <c r="D690" s="3">
        <v>1437</v>
      </c>
      <c r="E690" s="3">
        <v>352</v>
      </c>
      <c r="F690" s="2">
        <v>48.962499999999999</v>
      </c>
      <c r="G690" t="s">
        <v>2815</v>
      </c>
      <c r="H690" t="s">
        <v>2822</v>
      </c>
      <c r="I690" s="2">
        <v>1.7513888888888889</v>
      </c>
      <c r="J690" s="4" t="str">
        <f>IF(Table1[[#This Row],[processing_time_hours]]&gt;1.5,"Slow", "Fast")</f>
        <v>Slow</v>
      </c>
      <c r="K690" t="s">
        <v>2821</v>
      </c>
      <c r="L690" s="3">
        <v>0</v>
      </c>
      <c r="M690" t="str">
        <f>IF(Table1[[#This Row],[delayed]]=1,"Delayed","On Time")</f>
        <v>On Time</v>
      </c>
      <c r="N690" t="str">
        <f>IF(AND(Table1[[#This Row],[delayed]]=1,Table1[[#This Row],[weather_condition]]="Storm"),"High Risk", IF(Table1[[#This Row],[delayed]]=1,"Medium Risk","Low Risk"))</f>
        <v>Low Risk</v>
      </c>
    </row>
    <row r="691" spans="1:14" x14ac:dyDescent="0.35">
      <c r="A691">
        <v>690</v>
      </c>
      <c r="B691" s="1">
        <v>44955.708333333336</v>
      </c>
      <c r="C691" s="2">
        <v>5.6944444444444443E-2</v>
      </c>
      <c r="D691" s="3">
        <v>1824</v>
      </c>
      <c r="E691" s="3">
        <v>156</v>
      </c>
      <c r="F691" s="2">
        <v>7.7972222222222216</v>
      </c>
      <c r="G691" t="s">
        <v>2816</v>
      </c>
      <c r="H691" t="s">
        <v>2822</v>
      </c>
      <c r="I691" s="2">
        <v>2.3770833333333332</v>
      </c>
      <c r="J691" s="4" t="str">
        <f>IF(Table1[[#This Row],[processing_time_hours]]&gt;1.5,"Slow", "Fast")</f>
        <v>Slow</v>
      </c>
      <c r="K691" t="s">
        <v>2814</v>
      </c>
      <c r="L691" s="3">
        <v>0</v>
      </c>
      <c r="M691" t="str">
        <f>IF(Table1[[#This Row],[delayed]]=1,"Delayed","On Time")</f>
        <v>On Time</v>
      </c>
      <c r="N691" t="str">
        <f>IF(AND(Table1[[#This Row],[delayed]]=1,Table1[[#This Row],[weather_condition]]="Storm"),"High Risk", IF(Table1[[#This Row],[delayed]]=1,"Medium Risk","Low Risk"))</f>
        <v>Low Risk</v>
      </c>
    </row>
    <row r="692" spans="1:14" x14ac:dyDescent="0.35">
      <c r="A692">
        <v>691</v>
      </c>
      <c r="B692" s="1">
        <v>44955.75</v>
      </c>
      <c r="C692" s="2">
        <v>4.1666666666666666E-3</v>
      </c>
      <c r="D692" s="3">
        <v>1752</v>
      </c>
      <c r="E692" s="3">
        <v>300</v>
      </c>
      <c r="F692" s="2">
        <v>12.920138888888888</v>
      </c>
      <c r="G692" t="s">
        <v>2812</v>
      </c>
      <c r="H692" t="s">
        <v>2817</v>
      </c>
      <c r="I692" s="2">
        <v>1.1277777777777778</v>
      </c>
      <c r="J692" s="4" t="str">
        <f>IF(Table1[[#This Row],[processing_time_hours]]&gt;1.5,"Slow", "Fast")</f>
        <v>Fast</v>
      </c>
      <c r="K692" t="s">
        <v>2821</v>
      </c>
      <c r="L692" s="3">
        <v>0</v>
      </c>
      <c r="M692" t="str">
        <f>IF(Table1[[#This Row],[delayed]]=1,"Delayed","On Time")</f>
        <v>On Time</v>
      </c>
      <c r="N692" t="str">
        <f>IF(AND(Table1[[#This Row],[delayed]]=1,Table1[[#This Row],[weather_condition]]="Storm"),"High Risk", IF(Table1[[#This Row],[delayed]]=1,"Medium Risk","Low Risk"))</f>
        <v>Low Risk</v>
      </c>
    </row>
    <row r="693" spans="1:14" x14ac:dyDescent="0.35">
      <c r="A693">
        <v>692</v>
      </c>
      <c r="B693" s="1">
        <v>44955.791666666664</v>
      </c>
      <c r="C693" s="2">
        <v>5.9027777777777783E-2</v>
      </c>
      <c r="D693" s="3">
        <v>1581</v>
      </c>
      <c r="E693" s="3">
        <v>201</v>
      </c>
      <c r="F693" s="2">
        <v>40.879861111111111</v>
      </c>
      <c r="G693" t="s">
        <v>2812</v>
      </c>
      <c r="H693" t="s">
        <v>2817</v>
      </c>
      <c r="I693" s="2">
        <v>0.50555555555555554</v>
      </c>
      <c r="J693" s="4" t="str">
        <f>IF(Table1[[#This Row],[processing_time_hours]]&gt;1.5,"Slow", "Fast")</f>
        <v>Fast</v>
      </c>
      <c r="K693" t="s">
        <v>2818</v>
      </c>
      <c r="L693" s="3">
        <v>0</v>
      </c>
      <c r="M693" t="str">
        <f>IF(Table1[[#This Row],[delayed]]=1,"Delayed","On Time")</f>
        <v>On Time</v>
      </c>
      <c r="N693" t="str">
        <f>IF(AND(Table1[[#This Row],[delayed]]=1,Table1[[#This Row],[weather_condition]]="Storm"),"High Risk", IF(Table1[[#This Row],[delayed]]=1,"Medium Risk","Low Risk"))</f>
        <v>Low Risk</v>
      </c>
    </row>
    <row r="694" spans="1:14" x14ac:dyDescent="0.35">
      <c r="A694">
        <v>693</v>
      </c>
      <c r="B694" s="1">
        <v>44955.833333333336</v>
      </c>
      <c r="C694" s="2">
        <v>5.2777777777777778E-2</v>
      </c>
      <c r="D694" s="3">
        <v>4096</v>
      </c>
      <c r="E694" s="3">
        <v>317</v>
      </c>
      <c r="F694" s="2">
        <v>28.171527777777779</v>
      </c>
      <c r="G694" t="s">
        <v>2816</v>
      </c>
      <c r="H694" t="s">
        <v>2817</v>
      </c>
      <c r="I694" s="2">
        <v>0.4201388888888889</v>
      </c>
      <c r="J694" s="4" t="str">
        <f>IF(Table1[[#This Row],[processing_time_hours]]&gt;1.5,"Slow", "Fast")</f>
        <v>Fast</v>
      </c>
      <c r="K694" t="s">
        <v>2821</v>
      </c>
      <c r="L694" s="3">
        <v>0</v>
      </c>
      <c r="M694" t="str">
        <f>IF(Table1[[#This Row],[delayed]]=1,"Delayed","On Time")</f>
        <v>On Time</v>
      </c>
      <c r="N694" t="str">
        <f>IF(AND(Table1[[#This Row],[delayed]]=1,Table1[[#This Row],[weather_condition]]="Storm"),"High Risk", IF(Table1[[#This Row],[delayed]]=1,"Medium Risk","Low Risk"))</f>
        <v>Low Risk</v>
      </c>
    </row>
    <row r="695" spans="1:14" x14ac:dyDescent="0.35">
      <c r="A695">
        <v>694</v>
      </c>
      <c r="B695" s="1">
        <v>44955.875</v>
      </c>
      <c r="C695" s="2">
        <v>6.3194444444444442E-2</v>
      </c>
      <c r="D695" s="3">
        <v>2873</v>
      </c>
      <c r="E695" s="3">
        <v>494</v>
      </c>
      <c r="F695" s="2">
        <v>26.503472222222225</v>
      </c>
      <c r="G695" t="s">
        <v>2815</v>
      </c>
      <c r="H695" t="s">
        <v>2813</v>
      </c>
      <c r="I695" s="2">
        <v>2.2513888888888887</v>
      </c>
      <c r="J695" s="4" t="str">
        <f>IF(Table1[[#This Row],[processing_time_hours]]&gt;1.5,"Slow", "Fast")</f>
        <v>Slow</v>
      </c>
      <c r="K695" t="s">
        <v>2821</v>
      </c>
      <c r="L695" s="3">
        <v>0</v>
      </c>
      <c r="M695" t="str">
        <f>IF(Table1[[#This Row],[delayed]]=1,"Delayed","On Time")</f>
        <v>On Time</v>
      </c>
      <c r="N695" t="str">
        <f>IF(AND(Table1[[#This Row],[delayed]]=1,Table1[[#This Row],[weather_condition]]="Storm"),"High Risk", IF(Table1[[#This Row],[delayed]]=1,"Medium Risk","Low Risk"))</f>
        <v>Low Risk</v>
      </c>
    </row>
    <row r="696" spans="1:14" x14ac:dyDescent="0.35">
      <c r="A696">
        <v>695</v>
      </c>
      <c r="B696" s="1">
        <v>44955.916666666664</v>
      </c>
      <c r="C696" s="2">
        <v>6.2499999999999995E-3</v>
      </c>
      <c r="D696" s="3">
        <v>4406</v>
      </c>
      <c r="E696" s="3">
        <v>178</v>
      </c>
      <c r="F696" s="2">
        <v>27.960416666666664</v>
      </c>
      <c r="G696" t="s">
        <v>2816</v>
      </c>
      <c r="H696" t="s">
        <v>2820</v>
      </c>
      <c r="I696" s="2">
        <v>1.9645833333333333</v>
      </c>
      <c r="J696" s="4" t="str">
        <f>IF(Table1[[#This Row],[processing_time_hours]]&gt;1.5,"Slow", "Fast")</f>
        <v>Slow</v>
      </c>
      <c r="K696" t="s">
        <v>2814</v>
      </c>
      <c r="L696" s="3">
        <v>0</v>
      </c>
      <c r="M696" t="str">
        <f>IF(Table1[[#This Row],[delayed]]=1,"Delayed","On Time")</f>
        <v>On Time</v>
      </c>
      <c r="N696" t="str">
        <f>IF(AND(Table1[[#This Row],[delayed]]=1,Table1[[#This Row],[weather_condition]]="Storm"),"High Risk", IF(Table1[[#This Row],[delayed]]=1,"Medium Risk","Low Risk"))</f>
        <v>Low Risk</v>
      </c>
    </row>
    <row r="697" spans="1:14" x14ac:dyDescent="0.35">
      <c r="A697">
        <v>696</v>
      </c>
      <c r="B697" s="1">
        <v>44955.958333333336</v>
      </c>
      <c r="C697" s="2">
        <v>6.7361111111111108E-2</v>
      </c>
      <c r="D697" s="3">
        <v>1179</v>
      </c>
      <c r="E697" s="3">
        <v>458</v>
      </c>
      <c r="F697" s="2">
        <v>14.796527777777778</v>
      </c>
      <c r="G697" t="s">
        <v>2816</v>
      </c>
      <c r="H697" t="s">
        <v>2813</v>
      </c>
      <c r="I697" s="2">
        <v>1.8381944444444445</v>
      </c>
      <c r="J697" s="4" t="str">
        <f>IF(Table1[[#This Row],[processing_time_hours]]&gt;1.5,"Slow", "Fast")</f>
        <v>Slow</v>
      </c>
      <c r="K697" t="s">
        <v>2818</v>
      </c>
      <c r="L697" s="3">
        <v>0</v>
      </c>
      <c r="M697" t="str">
        <f>IF(Table1[[#This Row],[delayed]]=1,"Delayed","On Time")</f>
        <v>On Time</v>
      </c>
      <c r="N697" t="str">
        <f>IF(AND(Table1[[#This Row],[delayed]]=1,Table1[[#This Row],[weather_condition]]="Storm"),"High Risk", IF(Table1[[#This Row],[delayed]]=1,"Medium Risk","Low Risk"))</f>
        <v>Low Risk</v>
      </c>
    </row>
    <row r="698" spans="1:14" x14ac:dyDescent="0.35">
      <c r="A698">
        <v>697</v>
      </c>
      <c r="B698" s="1">
        <v>44956</v>
      </c>
      <c r="C698" s="2">
        <v>6.1111111111111109E-2</v>
      </c>
      <c r="D698" s="3">
        <v>4615</v>
      </c>
      <c r="E698" s="3">
        <v>402</v>
      </c>
      <c r="F698" s="2">
        <v>20.087500000000002</v>
      </c>
      <c r="G698" t="s">
        <v>2819</v>
      </c>
      <c r="H698" t="s">
        <v>2813</v>
      </c>
      <c r="I698" s="2">
        <v>1.877777777777778</v>
      </c>
      <c r="J698" s="4" t="str">
        <f>IF(Table1[[#This Row],[processing_time_hours]]&gt;1.5,"Slow", "Fast")</f>
        <v>Slow</v>
      </c>
      <c r="K698" t="s">
        <v>2814</v>
      </c>
      <c r="L698" s="3">
        <v>1</v>
      </c>
      <c r="M698" t="str">
        <f>IF(Table1[[#This Row],[delayed]]=1,"Delayed","On Time")</f>
        <v>Delayed</v>
      </c>
      <c r="N698" t="str">
        <f>IF(AND(Table1[[#This Row],[delayed]]=1,Table1[[#This Row],[weather_condition]]="Storm"),"High Risk", IF(Table1[[#This Row],[delayed]]=1,"Medium Risk","Low Risk"))</f>
        <v>Medium Risk</v>
      </c>
    </row>
    <row r="699" spans="1:14" x14ac:dyDescent="0.35">
      <c r="A699">
        <v>698</v>
      </c>
      <c r="B699" s="1">
        <v>44956.041666666664</v>
      </c>
      <c r="C699" s="2">
        <v>6.7361111111111108E-2</v>
      </c>
      <c r="D699" s="3">
        <v>3044</v>
      </c>
      <c r="E699" s="3">
        <v>413</v>
      </c>
      <c r="F699" s="2">
        <v>13.543750000000001</v>
      </c>
      <c r="G699" t="s">
        <v>2812</v>
      </c>
      <c r="H699" t="s">
        <v>2813</v>
      </c>
      <c r="I699" s="2">
        <v>8.819444444444445E-2</v>
      </c>
      <c r="J699" s="4" t="str">
        <f>IF(Table1[[#This Row],[processing_time_hours]]&gt;1.5,"Slow", "Fast")</f>
        <v>Fast</v>
      </c>
      <c r="K699" t="s">
        <v>2814</v>
      </c>
      <c r="L699" s="3">
        <v>0</v>
      </c>
      <c r="M699" t="str">
        <f>IF(Table1[[#This Row],[delayed]]=1,"Delayed","On Time")</f>
        <v>On Time</v>
      </c>
      <c r="N699" t="str">
        <f>IF(AND(Table1[[#This Row],[delayed]]=1,Table1[[#This Row],[weather_condition]]="Storm"),"High Risk", IF(Table1[[#This Row],[delayed]]=1,"Medium Risk","Low Risk"))</f>
        <v>Low Risk</v>
      </c>
    </row>
    <row r="700" spans="1:14" x14ac:dyDescent="0.35">
      <c r="A700">
        <v>699</v>
      </c>
      <c r="B700" s="1">
        <v>44956.083333333336</v>
      </c>
      <c r="C700" s="2">
        <v>4.9305555555555554E-2</v>
      </c>
      <c r="D700" s="3">
        <v>669</v>
      </c>
      <c r="E700" s="3">
        <v>434</v>
      </c>
      <c r="F700" s="2">
        <v>28.547222222222221</v>
      </c>
      <c r="G700" t="s">
        <v>2819</v>
      </c>
      <c r="H700" t="s">
        <v>2813</v>
      </c>
      <c r="I700" s="2">
        <v>2.2083333333333335</v>
      </c>
      <c r="J700" s="4" t="str">
        <f>IF(Table1[[#This Row],[processing_time_hours]]&gt;1.5,"Slow", "Fast")</f>
        <v>Slow</v>
      </c>
      <c r="K700" t="s">
        <v>2818</v>
      </c>
      <c r="L700" s="3">
        <v>0</v>
      </c>
      <c r="M700" t="str">
        <f>IF(Table1[[#This Row],[delayed]]=1,"Delayed","On Time")</f>
        <v>On Time</v>
      </c>
      <c r="N700" t="str">
        <f>IF(AND(Table1[[#This Row],[delayed]]=1,Table1[[#This Row],[weather_condition]]="Storm"),"High Risk", IF(Table1[[#This Row],[delayed]]=1,"Medium Risk","Low Risk"))</f>
        <v>Low Risk</v>
      </c>
    </row>
    <row r="701" spans="1:14" x14ac:dyDescent="0.35">
      <c r="A701">
        <v>700</v>
      </c>
      <c r="B701" s="1">
        <v>44956.125</v>
      </c>
      <c r="C701" s="2">
        <v>5.1388888888888894E-2</v>
      </c>
      <c r="D701" s="3">
        <v>2829</v>
      </c>
      <c r="E701" s="3">
        <v>457</v>
      </c>
      <c r="F701" s="2">
        <v>0.58888888888888891</v>
      </c>
      <c r="G701" t="s">
        <v>2812</v>
      </c>
      <c r="H701" t="s">
        <v>2820</v>
      </c>
      <c r="I701" s="2">
        <v>0.75416666666666676</v>
      </c>
      <c r="J701" s="4" t="str">
        <f>IF(Table1[[#This Row],[processing_time_hours]]&gt;1.5,"Slow", "Fast")</f>
        <v>Fast</v>
      </c>
      <c r="K701" t="s">
        <v>2818</v>
      </c>
      <c r="L701" s="3">
        <v>1</v>
      </c>
      <c r="M701" t="str">
        <f>IF(Table1[[#This Row],[delayed]]=1,"Delayed","On Time")</f>
        <v>Delayed</v>
      </c>
      <c r="N701" t="str">
        <f>IF(AND(Table1[[#This Row],[delayed]]=1,Table1[[#This Row],[weather_condition]]="Storm"),"High Risk", IF(Table1[[#This Row],[delayed]]=1,"Medium Risk","Low Risk"))</f>
        <v>Medium Risk</v>
      </c>
    </row>
    <row r="702" spans="1:14" x14ac:dyDescent="0.35">
      <c r="A702">
        <v>701</v>
      </c>
      <c r="B702" s="1">
        <v>44956.166666666664</v>
      </c>
      <c r="C702" s="2">
        <v>4.3055555555555562E-2</v>
      </c>
      <c r="D702" s="3">
        <v>2873</v>
      </c>
      <c r="E702" s="3">
        <v>409</v>
      </c>
      <c r="F702" s="2">
        <v>50.459027777777777</v>
      </c>
      <c r="G702" t="s">
        <v>2815</v>
      </c>
      <c r="H702" t="s">
        <v>2820</v>
      </c>
      <c r="I702" s="2">
        <v>1.4166666666666667</v>
      </c>
      <c r="J702" s="4" t="str">
        <f>IF(Table1[[#This Row],[processing_time_hours]]&gt;1.5,"Slow", "Fast")</f>
        <v>Fast</v>
      </c>
      <c r="K702" t="s">
        <v>2814</v>
      </c>
      <c r="L702" s="3">
        <v>0</v>
      </c>
      <c r="M702" t="str">
        <f>IF(Table1[[#This Row],[delayed]]=1,"Delayed","On Time")</f>
        <v>On Time</v>
      </c>
      <c r="N702" t="str">
        <f>IF(AND(Table1[[#This Row],[delayed]]=1,Table1[[#This Row],[weather_condition]]="Storm"),"High Risk", IF(Table1[[#This Row],[delayed]]=1,"Medium Risk","Low Risk"))</f>
        <v>Low Risk</v>
      </c>
    </row>
    <row r="703" spans="1:14" x14ac:dyDescent="0.35">
      <c r="A703">
        <v>702</v>
      </c>
      <c r="B703" s="1">
        <v>44956.208333333336</v>
      </c>
      <c r="C703" s="2">
        <v>6.5972222222222224E-2</v>
      </c>
      <c r="D703" s="3">
        <v>330</v>
      </c>
      <c r="E703" s="3">
        <v>392</v>
      </c>
      <c r="F703" s="2">
        <v>74.504166666666663</v>
      </c>
      <c r="G703" t="s">
        <v>2816</v>
      </c>
      <c r="H703" t="s">
        <v>2822</v>
      </c>
      <c r="I703" s="2">
        <v>0.38125000000000003</v>
      </c>
      <c r="J703" s="4" t="str">
        <f>IF(Table1[[#This Row],[processing_time_hours]]&gt;1.5,"Slow", "Fast")</f>
        <v>Fast</v>
      </c>
      <c r="K703" t="s">
        <v>2818</v>
      </c>
      <c r="L703" s="3">
        <v>0</v>
      </c>
      <c r="M703" t="str">
        <f>IF(Table1[[#This Row],[delayed]]=1,"Delayed","On Time")</f>
        <v>On Time</v>
      </c>
      <c r="N703" t="str">
        <f>IF(AND(Table1[[#This Row],[delayed]]=1,Table1[[#This Row],[weather_condition]]="Storm"),"High Risk", IF(Table1[[#This Row],[delayed]]=1,"Medium Risk","Low Risk"))</f>
        <v>Low Risk</v>
      </c>
    </row>
    <row r="704" spans="1:14" x14ac:dyDescent="0.35">
      <c r="A704">
        <v>703</v>
      </c>
      <c r="B704" s="1">
        <v>44956.25</v>
      </c>
      <c r="C704" s="2">
        <v>4.5833333333333337E-2</v>
      </c>
      <c r="D704" s="3">
        <v>72</v>
      </c>
      <c r="E704" s="3">
        <v>397</v>
      </c>
      <c r="F704" s="2">
        <v>61.166666666666664</v>
      </c>
      <c r="G704" t="s">
        <v>2819</v>
      </c>
      <c r="H704" t="s">
        <v>2813</v>
      </c>
      <c r="I704" s="2">
        <v>2.2111111111111112</v>
      </c>
      <c r="J704" s="4" t="str">
        <f>IF(Table1[[#This Row],[processing_time_hours]]&gt;1.5,"Slow", "Fast")</f>
        <v>Slow</v>
      </c>
      <c r="K704" t="s">
        <v>2814</v>
      </c>
      <c r="L704" s="3">
        <v>0</v>
      </c>
      <c r="M704" t="str">
        <f>IF(Table1[[#This Row],[delayed]]=1,"Delayed","On Time")</f>
        <v>On Time</v>
      </c>
      <c r="N704" t="str">
        <f>IF(AND(Table1[[#This Row],[delayed]]=1,Table1[[#This Row],[weather_condition]]="Storm"),"High Risk", IF(Table1[[#This Row],[delayed]]=1,"Medium Risk","Low Risk"))</f>
        <v>Low Risk</v>
      </c>
    </row>
    <row r="705" spans="1:14" x14ac:dyDescent="0.35">
      <c r="A705">
        <v>704</v>
      </c>
      <c r="B705" s="1">
        <v>44956.291666666664</v>
      </c>
      <c r="C705" s="2">
        <v>5.6944444444444443E-2</v>
      </c>
      <c r="D705" s="3">
        <v>3441</v>
      </c>
      <c r="E705" s="3">
        <v>320</v>
      </c>
      <c r="F705" s="2">
        <v>51.541666666666664</v>
      </c>
      <c r="G705" t="s">
        <v>2816</v>
      </c>
      <c r="H705" t="s">
        <v>2820</v>
      </c>
      <c r="I705" s="2">
        <v>1.3381944444444445</v>
      </c>
      <c r="J705" s="4" t="str">
        <f>IF(Table1[[#This Row],[processing_time_hours]]&gt;1.5,"Slow", "Fast")</f>
        <v>Fast</v>
      </c>
      <c r="K705" t="s">
        <v>2814</v>
      </c>
      <c r="L705" s="3">
        <v>1</v>
      </c>
      <c r="M705" t="str">
        <f>IF(Table1[[#This Row],[delayed]]=1,"Delayed","On Time")</f>
        <v>Delayed</v>
      </c>
      <c r="N705" t="str">
        <f>IF(AND(Table1[[#This Row],[delayed]]=1,Table1[[#This Row],[weather_condition]]="Storm"),"High Risk", IF(Table1[[#This Row],[delayed]]=1,"Medium Risk","Low Risk"))</f>
        <v>Medium Risk</v>
      </c>
    </row>
    <row r="706" spans="1:14" x14ac:dyDescent="0.35">
      <c r="A706">
        <v>705</v>
      </c>
      <c r="B706" s="1">
        <v>44956.333333333336</v>
      </c>
      <c r="C706" s="2">
        <v>5.5555555555555558E-3</v>
      </c>
      <c r="D706" s="3">
        <v>4182</v>
      </c>
      <c r="E706" s="3">
        <v>232</v>
      </c>
      <c r="F706" s="2">
        <v>64.713888888888889</v>
      </c>
      <c r="G706" t="s">
        <v>2812</v>
      </c>
      <c r="H706" t="s">
        <v>2820</v>
      </c>
      <c r="I706" s="2">
        <v>2.463888888888889</v>
      </c>
      <c r="J706" s="4" t="str">
        <f>IF(Table1[[#This Row],[processing_time_hours]]&gt;1.5,"Slow", "Fast")</f>
        <v>Slow</v>
      </c>
      <c r="K706" t="s">
        <v>2814</v>
      </c>
      <c r="L706" s="3">
        <v>0</v>
      </c>
      <c r="M706" t="str">
        <f>IF(Table1[[#This Row],[delayed]]=1,"Delayed","On Time")</f>
        <v>On Time</v>
      </c>
      <c r="N706" t="str">
        <f>IF(AND(Table1[[#This Row],[delayed]]=1,Table1[[#This Row],[weather_condition]]="Storm"),"High Risk", IF(Table1[[#This Row],[delayed]]=1,"Medium Risk","Low Risk"))</f>
        <v>Low Risk</v>
      </c>
    </row>
    <row r="707" spans="1:14" x14ac:dyDescent="0.35">
      <c r="A707">
        <v>706</v>
      </c>
      <c r="B707" s="1">
        <v>44956.375</v>
      </c>
      <c r="C707" s="2">
        <v>6.458333333333334E-2</v>
      </c>
      <c r="D707" s="3">
        <v>2907</v>
      </c>
      <c r="E707" s="3">
        <v>419</v>
      </c>
      <c r="F707" s="2">
        <v>25.791666666666668</v>
      </c>
      <c r="G707" t="s">
        <v>2816</v>
      </c>
      <c r="H707" t="s">
        <v>2822</v>
      </c>
      <c r="I707" s="2">
        <v>0.29444444444444445</v>
      </c>
      <c r="J707" s="4" t="str">
        <f>IF(Table1[[#This Row],[processing_time_hours]]&gt;1.5,"Slow", "Fast")</f>
        <v>Fast</v>
      </c>
      <c r="K707" t="s">
        <v>2814</v>
      </c>
      <c r="L707" s="3">
        <v>0</v>
      </c>
      <c r="M707" t="str">
        <f>IF(Table1[[#This Row],[delayed]]=1,"Delayed","On Time")</f>
        <v>On Time</v>
      </c>
      <c r="N707" t="str">
        <f>IF(AND(Table1[[#This Row],[delayed]]=1,Table1[[#This Row],[weather_condition]]="Storm"),"High Risk", IF(Table1[[#This Row],[delayed]]=1,"Medium Risk","Low Risk"))</f>
        <v>Low Risk</v>
      </c>
    </row>
    <row r="708" spans="1:14" x14ac:dyDescent="0.35">
      <c r="A708">
        <v>707</v>
      </c>
      <c r="B708" s="1">
        <v>44956.416666666664</v>
      </c>
      <c r="C708" s="2">
        <v>5.2777777777777778E-2</v>
      </c>
      <c r="D708" s="3">
        <v>1900</v>
      </c>
      <c r="E708" s="3">
        <v>378</v>
      </c>
      <c r="F708" s="2">
        <v>15.752777777777778</v>
      </c>
      <c r="G708" t="s">
        <v>2812</v>
      </c>
      <c r="H708" t="s">
        <v>2813</v>
      </c>
      <c r="I708" s="2">
        <v>1.8770833333333332</v>
      </c>
      <c r="J708" s="4" t="str">
        <f>IF(Table1[[#This Row],[processing_time_hours]]&gt;1.5,"Slow", "Fast")</f>
        <v>Slow</v>
      </c>
      <c r="K708" t="s">
        <v>2814</v>
      </c>
      <c r="L708" s="3">
        <v>0</v>
      </c>
      <c r="M708" t="str">
        <f>IF(Table1[[#This Row],[delayed]]=1,"Delayed","On Time")</f>
        <v>On Time</v>
      </c>
      <c r="N708" t="str">
        <f>IF(AND(Table1[[#This Row],[delayed]]=1,Table1[[#This Row],[weather_condition]]="Storm"),"High Risk", IF(Table1[[#This Row],[delayed]]=1,"Medium Risk","Low Risk"))</f>
        <v>Low Risk</v>
      </c>
    </row>
    <row r="709" spans="1:14" x14ac:dyDescent="0.35">
      <c r="A709">
        <v>708</v>
      </c>
      <c r="B709" s="1">
        <v>44956.458333333336</v>
      </c>
      <c r="C709" s="2">
        <v>4.5833333333333337E-2</v>
      </c>
      <c r="D709" s="3">
        <v>1657</v>
      </c>
      <c r="E709" s="3">
        <v>109</v>
      </c>
      <c r="F709" s="2">
        <v>4.9618055555555554</v>
      </c>
      <c r="G709" t="s">
        <v>2812</v>
      </c>
      <c r="H709" t="s">
        <v>2817</v>
      </c>
      <c r="I709" s="2">
        <v>0.16805555555555554</v>
      </c>
      <c r="J709" s="4" t="str">
        <f>IF(Table1[[#This Row],[processing_time_hours]]&gt;1.5,"Slow", "Fast")</f>
        <v>Fast</v>
      </c>
      <c r="K709" t="s">
        <v>2818</v>
      </c>
      <c r="L709" s="3">
        <v>1</v>
      </c>
      <c r="M709" t="str">
        <f>IF(Table1[[#This Row],[delayed]]=1,"Delayed","On Time")</f>
        <v>Delayed</v>
      </c>
      <c r="N709" t="str">
        <f>IF(AND(Table1[[#This Row],[delayed]]=1,Table1[[#This Row],[weather_condition]]="Storm"),"High Risk", IF(Table1[[#This Row],[delayed]]=1,"Medium Risk","Low Risk"))</f>
        <v>High Risk</v>
      </c>
    </row>
    <row r="710" spans="1:14" x14ac:dyDescent="0.35">
      <c r="A710">
        <v>709</v>
      </c>
      <c r="B710" s="1">
        <v>44956.5</v>
      </c>
      <c r="C710" s="2">
        <v>5.2083333333333336E-2</v>
      </c>
      <c r="D710" s="3">
        <v>56</v>
      </c>
      <c r="E710" s="3">
        <v>369</v>
      </c>
      <c r="F710" s="2">
        <v>28.089583333333334</v>
      </c>
      <c r="G710" t="s">
        <v>2815</v>
      </c>
      <c r="H710" t="s">
        <v>2822</v>
      </c>
      <c r="I710" s="2">
        <v>8.4722222222222213E-2</v>
      </c>
      <c r="J710" s="4" t="str">
        <f>IF(Table1[[#This Row],[processing_time_hours]]&gt;1.5,"Slow", "Fast")</f>
        <v>Fast</v>
      </c>
      <c r="K710" t="s">
        <v>2821</v>
      </c>
      <c r="L710" s="3">
        <v>0</v>
      </c>
      <c r="M710" t="str">
        <f>IF(Table1[[#This Row],[delayed]]=1,"Delayed","On Time")</f>
        <v>On Time</v>
      </c>
      <c r="N710" t="str">
        <f>IF(AND(Table1[[#This Row],[delayed]]=1,Table1[[#This Row],[weather_condition]]="Storm"),"High Risk", IF(Table1[[#This Row],[delayed]]=1,"Medium Risk","Low Risk"))</f>
        <v>Low Risk</v>
      </c>
    </row>
    <row r="711" spans="1:14" x14ac:dyDescent="0.35">
      <c r="A711">
        <v>710</v>
      </c>
      <c r="B711" s="1">
        <v>44956.541666666664</v>
      </c>
      <c r="C711" s="2">
        <v>4.3055555555555562E-2</v>
      </c>
      <c r="D711" s="3">
        <v>1900</v>
      </c>
      <c r="E711" s="3">
        <v>418</v>
      </c>
      <c r="F711" s="2">
        <v>39.171527777777776</v>
      </c>
      <c r="G711" t="s">
        <v>2816</v>
      </c>
      <c r="H711" t="s">
        <v>2820</v>
      </c>
      <c r="I711" s="2">
        <v>2.0027777777777778</v>
      </c>
      <c r="J711" s="4" t="str">
        <f>IF(Table1[[#This Row],[processing_time_hours]]&gt;1.5,"Slow", "Fast")</f>
        <v>Slow</v>
      </c>
      <c r="K711" t="s">
        <v>2821</v>
      </c>
      <c r="L711" s="3">
        <v>0</v>
      </c>
      <c r="M711" t="str">
        <f>IF(Table1[[#This Row],[delayed]]=1,"Delayed","On Time")</f>
        <v>On Time</v>
      </c>
      <c r="N711" t="str">
        <f>IF(AND(Table1[[#This Row],[delayed]]=1,Table1[[#This Row],[weather_condition]]="Storm"),"High Risk", IF(Table1[[#This Row],[delayed]]=1,"Medium Risk","Low Risk"))</f>
        <v>Low Risk</v>
      </c>
    </row>
    <row r="712" spans="1:14" x14ac:dyDescent="0.35">
      <c r="A712">
        <v>711</v>
      </c>
      <c r="B712" s="1">
        <v>44956.583333333336</v>
      </c>
      <c r="C712" s="2">
        <v>4.9999999999999996E-2</v>
      </c>
      <c r="D712" s="3">
        <v>4406</v>
      </c>
      <c r="E712" s="3">
        <v>79</v>
      </c>
      <c r="F712" s="2">
        <v>41.12916666666667</v>
      </c>
      <c r="G712" t="s">
        <v>2815</v>
      </c>
      <c r="H712" t="s">
        <v>2820</v>
      </c>
      <c r="I712" s="2">
        <v>1.7541666666666667</v>
      </c>
      <c r="J712" s="4" t="str">
        <f>IF(Table1[[#This Row],[processing_time_hours]]&gt;1.5,"Slow", "Fast")</f>
        <v>Slow</v>
      </c>
      <c r="K712" t="s">
        <v>2818</v>
      </c>
      <c r="L712" s="3">
        <v>0</v>
      </c>
      <c r="M712" t="str">
        <f>IF(Table1[[#This Row],[delayed]]=1,"Delayed","On Time")</f>
        <v>On Time</v>
      </c>
      <c r="N712" t="str">
        <f>IF(AND(Table1[[#This Row],[delayed]]=1,Table1[[#This Row],[weather_condition]]="Storm"),"High Risk", IF(Table1[[#This Row],[delayed]]=1,"Medium Risk","Low Risk"))</f>
        <v>Low Risk</v>
      </c>
    </row>
    <row r="713" spans="1:14" x14ac:dyDescent="0.35">
      <c r="A713">
        <v>712</v>
      </c>
      <c r="B713" s="1">
        <v>44956.625</v>
      </c>
      <c r="C713" s="2">
        <v>5.9027777777777783E-2</v>
      </c>
      <c r="D713" s="3">
        <v>1304</v>
      </c>
      <c r="E713" s="3">
        <v>273</v>
      </c>
      <c r="F713" s="2">
        <v>4.0027777777777773</v>
      </c>
      <c r="G713" t="s">
        <v>2812</v>
      </c>
      <c r="H713" t="s">
        <v>2817</v>
      </c>
      <c r="I713" s="2">
        <v>2.8374999999999999</v>
      </c>
      <c r="J713" s="4" t="str">
        <f>IF(Table1[[#This Row],[processing_time_hours]]&gt;1.5,"Slow", "Fast")</f>
        <v>Slow</v>
      </c>
      <c r="K713" t="s">
        <v>2818</v>
      </c>
      <c r="L713" s="3">
        <v>1</v>
      </c>
      <c r="M713" t="str">
        <f>IF(Table1[[#This Row],[delayed]]=1,"Delayed","On Time")</f>
        <v>Delayed</v>
      </c>
      <c r="N713" t="str">
        <f>IF(AND(Table1[[#This Row],[delayed]]=1,Table1[[#This Row],[weather_condition]]="Storm"),"High Risk", IF(Table1[[#This Row],[delayed]]=1,"Medium Risk","Low Risk"))</f>
        <v>High Risk</v>
      </c>
    </row>
    <row r="714" spans="1:14" x14ac:dyDescent="0.35">
      <c r="A714">
        <v>713</v>
      </c>
      <c r="B714" s="1">
        <v>44956.666666666664</v>
      </c>
      <c r="C714" s="2">
        <v>4.3055555555555562E-2</v>
      </c>
      <c r="D714" s="3">
        <v>1309</v>
      </c>
      <c r="E714" s="3">
        <v>31</v>
      </c>
      <c r="F714" s="2">
        <v>41.711805555555557</v>
      </c>
      <c r="G714" t="s">
        <v>2812</v>
      </c>
      <c r="H714" t="s">
        <v>2817</v>
      </c>
      <c r="I714" s="2">
        <v>2.213888888888889</v>
      </c>
      <c r="J714" s="4" t="str">
        <f>IF(Table1[[#This Row],[processing_time_hours]]&gt;1.5,"Slow", "Fast")</f>
        <v>Slow</v>
      </c>
      <c r="K714" t="s">
        <v>2818</v>
      </c>
      <c r="L714" s="3">
        <v>1</v>
      </c>
      <c r="M714" t="str">
        <f>IF(Table1[[#This Row],[delayed]]=1,"Delayed","On Time")</f>
        <v>Delayed</v>
      </c>
      <c r="N714" t="str">
        <f>IF(AND(Table1[[#This Row],[delayed]]=1,Table1[[#This Row],[weather_condition]]="Storm"),"High Risk", IF(Table1[[#This Row],[delayed]]=1,"Medium Risk","Low Risk"))</f>
        <v>High Risk</v>
      </c>
    </row>
    <row r="715" spans="1:14" x14ac:dyDescent="0.35">
      <c r="A715">
        <v>714</v>
      </c>
      <c r="B715" s="1">
        <v>44956.708333333336</v>
      </c>
      <c r="C715" s="2">
        <v>4.1666666666666664E-2</v>
      </c>
      <c r="D715" s="3">
        <v>1412</v>
      </c>
      <c r="E715" s="3">
        <v>208</v>
      </c>
      <c r="F715" s="2">
        <v>28.379861111111111</v>
      </c>
      <c r="G715" t="s">
        <v>2819</v>
      </c>
      <c r="H715" t="s">
        <v>2813</v>
      </c>
      <c r="I715" s="2">
        <v>0.9194444444444444</v>
      </c>
      <c r="J715" s="4" t="str">
        <f>IF(Table1[[#This Row],[processing_time_hours]]&gt;1.5,"Slow", "Fast")</f>
        <v>Fast</v>
      </c>
      <c r="K715" t="s">
        <v>2821</v>
      </c>
      <c r="L715" s="3">
        <v>0</v>
      </c>
      <c r="M715" t="str">
        <f>IF(Table1[[#This Row],[delayed]]=1,"Delayed","On Time")</f>
        <v>On Time</v>
      </c>
      <c r="N715" t="str">
        <f>IF(AND(Table1[[#This Row],[delayed]]=1,Table1[[#This Row],[weather_condition]]="Storm"),"High Risk", IF(Table1[[#This Row],[delayed]]=1,"Medium Risk","Low Risk"))</f>
        <v>Low Risk</v>
      </c>
    </row>
    <row r="716" spans="1:14" x14ac:dyDescent="0.35">
      <c r="A716">
        <v>715</v>
      </c>
      <c r="B716" s="1">
        <v>44956.75</v>
      </c>
      <c r="C716" s="2">
        <v>5.6250000000000001E-2</v>
      </c>
      <c r="D716" s="3">
        <v>1842</v>
      </c>
      <c r="E716" s="3">
        <v>425</v>
      </c>
      <c r="F716" s="2">
        <v>3.1277777777777778</v>
      </c>
      <c r="G716" t="s">
        <v>2812</v>
      </c>
      <c r="H716" t="s">
        <v>2817</v>
      </c>
      <c r="I716" s="2">
        <v>2.2958333333333334</v>
      </c>
      <c r="J716" s="4" t="str">
        <f>IF(Table1[[#This Row],[processing_time_hours]]&gt;1.5,"Slow", "Fast")</f>
        <v>Slow</v>
      </c>
      <c r="K716" t="s">
        <v>2814</v>
      </c>
      <c r="L716" s="3">
        <v>0</v>
      </c>
      <c r="M716" t="str">
        <f>IF(Table1[[#This Row],[delayed]]=1,"Delayed","On Time")</f>
        <v>On Time</v>
      </c>
      <c r="N716" t="str">
        <f>IF(AND(Table1[[#This Row],[delayed]]=1,Table1[[#This Row],[weather_condition]]="Storm"),"High Risk", IF(Table1[[#This Row],[delayed]]=1,"Medium Risk","Low Risk"))</f>
        <v>Low Risk</v>
      </c>
    </row>
    <row r="717" spans="1:14" x14ac:dyDescent="0.35">
      <c r="A717">
        <v>716</v>
      </c>
      <c r="B717" s="1">
        <v>44956.791666666664</v>
      </c>
      <c r="C717" s="2">
        <v>4.9999999999999996E-2</v>
      </c>
      <c r="D717" s="3">
        <v>871</v>
      </c>
      <c r="E717" s="3">
        <v>53</v>
      </c>
      <c r="F717" s="2">
        <v>14.797222222222222</v>
      </c>
      <c r="G717" t="s">
        <v>2819</v>
      </c>
      <c r="H717" t="s">
        <v>2820</v>
      </c>
      <c r="I717" s="2">
        <v>2.2951388888888888</v>
      </c>
      <c r="J717" s="4" t="str">
        <f>IF(Table1[[#This Row],[processing_time_hours]]&gt;1.5,"Slow", "Fast")</f>
        <v>Slow</v>
      </c>
      <c r="K717" t="s">
        <v>2818</v>
      </c>
      <c r="L717" s="3">
        <v>1</v>
      </c>
      <c r="M717" t="str">
        <f>IF(Table1[[#This Row],[delayed]]=1,"Delayed","On Time")</f>
        <v>Delayed</v>
      </c>
      <c r="N717" t="str">
        <f>IF(AND(Table1[[#This Row],[delayed]]=1,Table1[[#This Row],[weather_condition]]="Storm"),"High Risk", IF(Table1[[#This Row],[delayed]]=1,"Medium Risk","Low Risk"))</f>
        <v>Medium Risk</v>
      </c>
    </row>
    <row r="718" spans="1:14" x14ac:dyDescent="0.35">
      <c r="A718">
        <v>717</v>
      </c>
      <c r="B718" s="1">
        <v>44956.833333333336</v>
      </c>
      <c r="C718" s="2">
        <v>6.458333333333334E-2</v>
      </c>
      <c r="D718" s="3">
        <v>2692</v>
      </c>
      <c r="E718" s="3">
        <v>419</v>
      </c>
      <c r="F718" s="2">
        <v>13.21111111111111</v>
      </c>
      <c r="G718" t="s">
        <v>2812</v>
      </c>
      <c r="H718" t="s">
        <v>2813</v>
      </c>
      <c r="I718" s="2">
        <v>1.41875</v>
      </c>
      <c r="J718" s="4" t="str">
        <f>IF(Table1[[#This Row],[processing_time_hours]]&gt;1.5,"Slow", "Fast")</f>
        <v>Fast</v>
      </c>
      <c r="K718" t="s">
        <v>2821</v>
      </c>
      <c r="L718" s="3">
        <v>0</v>
      </c>
      <c r="M718" t="str">
        <f>IF(Table1[[#This Row],[delayed]]=1,"Delayed","On Time")</f>
        <v>On Time</v>
      </c>
      <c r="N718" t="str">
        <f>IF(AND(Table1[[#This Row],[delayed]]=1,Table1[[#This Row],[weather_condition]]="Storm"),"High Risk", IF(Table1[[#This Row],[delayed]]=1,"Medium Risk","Low Risk"))</f>
        <v>Low Risk</v>
      </c>
    </row>
    <row r="719" spans="1:14" x14ac:dyDescent="0.35">
      <c r="A719">
        <v>718</v>
      </c>
      <c r="B719" s="1">
        <v>44956.875</v>
      </c>
      <c r="C719" s="2">
        <v>4.5138888888888888E-2</v>
      </c>
      <c r="D719" s="3">
        <v>4458</v>
      </c>
      <c r="E719" s="3">
        <v>299</v>
      </c>
      <c r="F719" s="2">
        <v>3.713888888888889</v>
      </c>
      <c r="G719" t="s">
        <v>2815</v>
      </c>
      <c r="H719" t="s">
        <v>2813</v>
      </c>
      <c r="I719" s="2">
        <v>4.5833333333333337E-2</v>
      </c>
      <c r="J719" s="4" t="str">
        <f>IF(Table1[[#This Row],[processing_time_hours]]&gt;1.5,"Slow", "Fast")</f>
        <v>Fast</v>
      </c>
      <c r="K719" t="s">
        <v>2814</v>
      </c>
      <c r="L719" s="3">
        <v>0</v>
      </c>
      <c r="M719" t="str">
        <f>IF(Table1[[#This Row],[delayed]]=1,"Delayed","On Time")</f>
        <v>On Time</v>
      </c>
      <c r="N719" t="str">
        <f>IF(AND(Table1[[#This Row],[delayed]]=1,Table1[[#This Row],[weather_condition]]="Storm"),"High Risk", IF(Table1[[#This Row],[delayed]]=1,"Medium Risk","Low Risk"))</f>
        <v>Low Risk</v>
      </c>
    </row>
    <row r="720" spans="1:14" x14ac:dyDescent="0.35">
      <c r="A720">
        <v>719</v>
      </c>
      <c r="B720" s="1">
        <v>44956.916666666664</v>
      </c>
      <c r="C720" s="2">
        <v>5.0694444444444438E-2</v>
      </c>
      <c r="D720" s="3">
        <v>1516</v>
      </c>
      <c r="E720" s="3">
        <v>68</v>
      </c>
      <c r="F720" s="2">
        <v>14.50625</v>
      </c>
      <c r="G720" t="s">
        <v>2819</v>
      </c>
      <c r="H720" t="s">
        <v>2817</v>
      </c>
      <c r="I720" s="2">
        <v>0.25347222222222221</v>
      </c>
      <c r="J720" s="4" t="str">
        <f>IF(Table1[[#This Row],[processing_time_hours]]&gt;1.5,"Slow", "Fast")</f>
        <v>Fast</v>
      </c>
      <c r="K720" t="s">
        <v>2818</v>
      </c>
      <c r="L720" s="3">
        <v>1</v>
      </c>
      <c r="M720" t="str">
        <f>IF(Table1[[#This Row],[delayed]]=1,"Delayed","On Time")</f>
        <v>Delayed</v>
      </c>
      <c r="N720" t="str">
        <f>IF(AND(Table1[[#This Row],[delayed]]=1,Table1[[#This Row],[weather_condition]]="Storm"),"High Risk", IF(Table1[[#This Row],[delayed]]=1,"Medium Risk","Low Risk"))</f>
        <v>High Risk</v>
      </c>
    </row>
    <row r="721" spans="1:14" x14ac:dyDescent="0.35">
      <c r="A721">
        <v>720</v>
      </c>
      <c r="B721" s="1">
        <v>44956.958333333336</v>
      </c>
      <c r="C721" s="2">
        <v>6.7361111111111108E-2</v>
      </c>
      <c r="D721" s="3">
        <v>315</v>
      </c>
      <c r="E721" s="3">
        <v>151</v>
      </c>
      <c r="F721" s="2">
        <v>57.96180555555555</v>
      </c>
      <c r="G721" t="s">
        <v>2815</v>
      </c>
      <c r="H721" t="s">
        <v>2817</v>
      </c>
      <c r="I721" s="2">
        <v>2.6256944444444446</v>
      </c>
      <c r="J721" s="4" t="str">
        <f>IF(Table1[[#This Row],[processing_time_hours]]&gt;1.5,"Slow", "Fast")</f>
        <v>Slow</v>
      </c>
      <c r="K721" t="s">
        <v>2814</v>
      </c>
      <c r="L721" s="3">
        <v>0</v>
      </c>
      <c r="M721" t="str">
        <f>IF(Table1[[#This Row],[delayed]]=1,"Delayed","On Time")</f>
        <v>On Time</v>
      </c>
      <c r="N721" t="str">
        <f>IF(AND(Table1[[#This Row],[delayed]]=1,Table1[[#This Row],[weather_condition]]="Storm"),"High Risk", IF(Table1[[#This Row],[delayed]]=1,"Medium Risk","Low Risk"))</f>
        <v>Low Risk</v>
      </c>
    </row>
    <row r="722" spans="1:14" x14ac:dyDescent="0.35">
      <c r="A722">
        <v>721</v>
      </c>
      <c r="B722" s="1">
        <v>44957</v>
      </c>
      <c r="C722" s="2">
        <v>4.8611111111111112E-3</v>
      </c>
      <c r="D722" s="3">
        <v>4689</v>
      </c>
      <c r="E722" s="3">
        <v>346</v>
      </c>
      <c r="F722" s="2">
        <v>68.628472222222214</v>
      </c>
      <c r="G722" t="s">
        <v>2812</v>
      </c>
      <c r="H722" t="s">
        <v>2822</v>
      </c>
      <c r="I722" s="2">
        <v>0.5444444444444444</v>
      </c>
      <c r="J722" s="4" t="str">
        <f>IF(Table1[[#This Row],[processing_time_hours]]&gt;1.5,"Slow", "Fast")</f>
        <v>Fast</v>
      </c>
      <c r="K722" t="s">
        <v>2821</v>
      </c>
      <c r="L722" s="3">
        <v>0</v>
      </c>
      <c r="M722" t="str">
        <f>IF(Table1[[#This Row],[delayed]]=1,"Delayed","On Time")</f>
        <v>On Time</v>
      </c>
      <c r="N722" t="str">
        <f>IF(AND(Table1[[#This Row],[delayed]]=1,Table1[[#This Row],[weather_condition]]="Storm"),"High Risk", IF(Table1[[#This Row],[delayed]]=1,"Medium Risk","Low Risk"))</f>
        <v>Low Risk</v>
      </c>
    </row>
    <row r="723" spans="1:14" x14ac:dyDescent="0.35">
      <c r="A723">
        <v>722</v>
      </c>
      <c r="B723" s="1">
        <v>44957.041666666664</v>
      </c>
      <c r="C723" s="2">
        <v>6.1805555555555558E-2</v>
      </c>
      <c r="D723" s="3">
        <v>2127</v>
      </c>
      <c r="E723" s="3">
        <v>340</v>
      </c>
      <c r="F723" s="2">
        <v>80.084027777777777</v>
      </c>
      <c r="G723" t="s">
        <v>2819</v>
      </c>
      <c r="H723" t="s">
        <v>2813</v>
      </c>
      <c r="I723" s="2">
        <v>2.2131944444444445</v>
      </c>
      <c r="J723" s="4" t="str">
        <f>IF(Table1[[#This Row],[processing_time_hours]]&gt;1.5,"Slow", "Fast")</f>
        <v>Slow</v>
      </c>
      <c r="K723" t="s">
        <v>2818</v>
      </c>
      <c r="L723" s="3">
        <v>0</v>
      </c>
      <c r="M723" t="str">
        <f>IF(Table1[[#This Row],[delayed]]=1,"Delayed","On Time")</f>
        <v>On Time</v>
      </c>
      <c r="N723" t="str">
        <f>IF(AND(Table1[[#This Row],[delayed]]=1,Table1[[#This Row],[weather_condition]]="Storm"),"High Risk", IF(Table1[[#This Row],[delayed]]=1,"Medium Risk","Low Risk"))</f>
        <v>Low Risk</v>
      </c>
    </row>
    <row r="724" spans="1:14" x14ac:dyDescent="0.35">
      <c r="A724">
        <v>723</v>
      </c>
      <c r="B724" s="1">
        <v>44957.083333333336</v>
      </c>
      <c r="C724" s="2">
        <v>4.3750000000000004E-2</v>
      </c>
      <c r="D724" s="3">
        <v>1414</v>
      </c>
      <c r="E724" s="3">
        <v>288</v>
      </c>
      <c r="F724" s="2">
        <v>71.044444444444437</v>
      </c>
      <c r="G724" t="s">
        <v>2819</v>
      </c>
      <c r="H724" t="s">
        <v>2817</v>
      </c>
      <c r="I724" s="2">
        <v>0.33402777777777781</v>
      </c>
      <c r="J724" s="4" t="str">
        <f>IF(Table1[[#This Row],[processing_time_hours]]&gt;1.5,"Slow", "Fast")</f>
        <v>Fast</v>
      </c>
      <c r="K724" t="s">
        <v>2814</v>
      </c>
      <c r="L724" s="3">
        <v>0</v>
      </c>
      <c r="M724" t="str">
        <f>IF(Table1[[#This Row],[delayed]]=1,"Delayed","On Time")</f>
        <v>On Time</v>
      </c>
      <c r="N724" t="str">
        <f>IF(AND(Table1[[#This Row],[delayed]]=1,Table1[[#This Row],[weather_condition]]="Storm"),"High Risk", IF(Table1[[#This Row],[delayed]]=1,"Medium Risk","Low Risk"))</f>
        <v>Low Risk</v>
      </c>
    </row>
    <row r="725" spans="1:14" x14ac:dyDescent="0.35">
      <c r="A725">
        <v>724</v>
      </c>
      <c r="B725" s="1">
        <v>44957.125</v>
      </c>
      <c r="C725" s="2">
        <v>5.6250000000000001E-2</v>
      </c>
      <c r="D725" s="3">
        <v>851</v>
      </c>
      <c r="E725" s="3">
        <v>99</v>
      </c>
      <c r="F725" s="2">
        <v>71.583333333333329</v>
      </c>
      <c r="G725" t="s">
        <v>2819</v>
      </c>
      <c r="H725" t="s">
        <v>2817</v>
      </c>
      <c r="I725" s="2">
        <v>1.29375</v>
      </c>
      <c r="J725" s="4" t="str">
        <f>IF(Table1[[#This Row],[processing_time_hours]]&gt;1.5,"Slow", "Fast")</f>
        <v>Fast</v>
      </c>
      <c r="K725" t="s">
        <v>2814</v>
      </c>
      <c r="L725" s="3">
        <v>0</v>
      </c>
      <c r="M725" t="str">
        <f>IF(Table1[[#This Row],[delayed]]=1,"Delayed","On Time")</f>
        <v>On Time</v>
      </c>
      <c r="N725" t="str">
        <f>IF(AND(Table1[[#This Row],[delayed]]=1,Table1[[#This Row],[weather_condition]]="Storm"),"High Risk", IF(Table1[[#This Row],[delayed]]=1,"Medium Risk","Low Risk"))</f>
        <v>Low Risk</v>
      </c>
    </row>
    <row r="726" spans="1:14" x14ac:dyDescent="0.35">
      <c r="A726">
        <v>725</v>
      </c>
      <c r="B726" s="1">
        <v>44957.166666666664</v>
      </c>
      <c r="C726" s="2">
        <v>5.9722222222222225E-2</v>
      </c>
      <c r="D726" s="3">
        <v>4018</v>
      </c>
      <c r="E726" s="3">
        <v>85</v>
      </c>
      <c r="F726" s="2">
        <v>15.96111111111111</v>
      </c>
      <c r="G726" t="s">
        <v>2812</v>
      </c>
      <c r="H726" t="s">
        <v>2817</v>
      </c>
      <c r="I726" s="2">
        <v>8.9583333333333334E-2</v>
      </c>
      <c r="J726" s="4" t="str">
        <f>IF(Table1[[#This Row],[processing_time_hours]]&gt;1.5,"Slow", "Fast")</f>
        <v>Fast</v>
      </c>
      <c r="K726" t="s">
        <v>2818</v>
      </c>
      <c r="L726" s="3">
        <v>0</v>
      </c>
      <c r="M726" t="str">
        <f>IF(Table1[[#This Row],[delayed]]=1,"Delayed","On Time")</f>
        <v>On Time</v>
      </c>
      <c r="N726" t="str">
        <f>IF(AND(Table1[[#This Row],[delayed]]=1,Table1[[#This Row],[weather_condition]]="Storm"),"High Risk", IF(Table1[[#This Row],[delayed]]=1,"Medium Risk","Low Risk"))</f>
        <v>Low Risk</v>
      </c>
    </row>
    <row r="727" spans="1:14" x14ac:dyDescent="0.35">
      <c r="A727">
        <v>726</v>
      </c>
      <c r="B727" s="1">
        <v>44957.208333333336</v>
      </c>
      <c r="C727" s="2">
        <v>4.7222222222222221E-2</v>
      </c>
      <c r="D727" s="3">
        <v>2422</v>
      </c>
      <c r="E727" s="3">
        <v>9</v>
      </c>
      <c r="F727" s="2">
        <v>71.337499999999991</v>
      </c>
      <c r="G727" t="s">
        <v>2812</v>
      </c>
      <c r="H727" t="s">
        <v>2820</v>
      </c>
      <c r="I727" s="2">
        <v>1.5048611111111112</v>
      </c>
      <c r="J727" s="4" t="str">
        <f>IF(Table1[[#This Row],[processing_time_hours]]&gt;1.5,"Slow", "Fast")</f>
        <v>Slow</v>
      </c>
      <c r="K727" t="s">
        <v>2814</v>
      </c>
      <c r="L727" s="3">
        <v>1</v>
      </c>
      <c r="M727" t="str">
        <f>IF(Table1[[#This Row],[delayed]]=1,"Delayed","On Time")</f>
        <v>Delayed</v>
      </c>
      <c r="N727" t="str">
        <f>IF(AND(Table1[[#This Row],[delayed]]=1,Table1[[#This Row],[weather_condition]]="Storm"),"High Risk", IF(Table1[[#This Row],[delayed]]=1,"Medium Risk","Low Risk"))</f>
        <v>Medium Risk</v>
      </c>
    </row>
    <row r="728" spans="1:14" x14ac:dyDescent="0.35">
      <c r="A728">
        <v>727</v>
      </c>
      <c r="B728" s="1">
        <v>44957.25</v>
      </c>
      <c r="C728" s="2">
        <v>5.0694444444444438E-2</v>
      </c>
      <c r="D728" s="3">
        <v>410</v>
      </c>
      <c r="E728" s="3">
        <v>164</v>
      </c>
      <c r="F728" s="2">
        <v>21.672222222222221</v>
      </c>
      <c r="G728" t="s">
        <v>2815</v>
      </c>
      <c r="H728" t="s">
        <v>2813</v>
      </c>
      <c r="I728" s="2">
        <v>2.8354166666666667</v>
      </c>
      <c r="J728" s="4" t="str">
        <f>IF(Table1[[#This Row],[processing_time_hours]]&gt;1.5,"Slow", "Fast")</f>
        <v>Slow</v>
      </c>
      <c r="K728" t="s">
        <v>2818</v>
      </c>
      <c r="L728" s="3">
        <v>1</v>
      </c>
      <c r="M728" t="str">
        <f>IF(Table1[[#This Row],[delayed]]=1,"Delayed","On Time")</f>
        <v>Delayed</v>
      </c>
      <c r="N728" t="str">
        <f>IF(AND(Table1[[#This Row],[delayed]]=1,Table1[[#This Row],[weather_condition]]="Storm"),"High Risk", IF(Table1[[#This Row],[delayed]]=1,"Medium Risk","Low Risk"))</f>
        <v>Medium Risk</v>
      </c>
    </row>
    <row r="729" spans="1:14" x14ac:dyDescent="0.35">
      <c r="A729">
        <v>728</v>
      </c>
      <c r="B729" s="1">
        <v>44957.291666666664</v>
      </c>
      <c r="C729" s="2">
        <v>5.6944444444444443E-2</v>
      </c>
      <c r="D729" s="3">
        <v>2225</v>
      </c>
      <c r="E729" s="3">
        <v>441</v>
      </c>
      <c r="F729" s="2">
        <v>54.958333333333336</v>
      </c>
      <c r="G729" t="s">
        <v>2819</v>
      </c>
      <c r="H729" t="s">
        <v>2820</v>
      </c>
      <c r="I729" s="2">
        <v>8.9583333333333334E-2</v>
      </c>
      <c r="J729" s="4" t="str">
        <f>IF(Table1[[#This Row],[processing_time_hours]]&gt;1.5,"Slow", "Fast")</f>
        <v>Fast</v>
      </c>
      <c r="K729" t="s">
        <v>2821</v>
      </c>
      <c r="L729" s="3">
        <v>1</v>
      </c>
      <c r="M729" t="str">
        <f>IF(Table1[[#This Row],[delayed]]=1,"Delayed","On Time")</f>
        <v>Delayed</v>
      </c>
      <c r="N729" t="str">
        <f>IF(AND(Table1[[#This Row],[delayed]]=1,Table1[[#This Row],[weather_condition]]="Storm"),"High Risk", IF(Table1[[#This Row],[delayed]]=1,"Medium Risk","Low Risk"))</f>
        <v>Medium Risk</v>
      </c>
    </row>
    <row r="730" spans="1:14" x14ac:dyDescent="0.35">
      <c r="A730">
        <v>729</v>
      </c>
      <c r="B730" s="1">
        <v>44957.333333333336</v>
      </c>
      <c r="C730" s="2">
        <v>5.8333333333333327E-2</v>
      </c>
      <c r="D730" s="3">
        <v>584</v>
      </c>
      <c r="E730" s="3">
        <v>470</v>
      </c>
      <c r="F730" s="2">
        <v>26.876388888888886</v>
      </c>
      <c r="G730" t="s">
        <v>2819</v>
      </c>
      <c r="H730" t="s">
        <v>2822</v>
      </c>
      <c r="I730" s="2">
        <v>1.9625000000000001</v>
      </c>
      <c r="J730" s="4" t="str">
        <f>IF(Table1[[#This Row],[processing_time_hours]]&gt;1.5,"Slow", "Fast")</f>
        <v>Slow</v>
      </c>
      <c r="K730" t="s">
        <v>2818</v>
      </c>
      <c r="L730" s="3">
        <v>0</v>
      </c>
      <c r="M730" t="str">
        <f>IF(Table1[[#This Row],[delayed]]=1,"Delayed","On Time")</f>
        <v>On Time</v>
      </c>
      <c r="N730" t="str">
        <f>IF(AND(Table1[[#This Row],[delayed]]=1,Table1[[#This Row],[weather_condition]]="Storm"),"High Risk", IF(Table1[[#This Row],[delayed]]=1,"Medium Risk","Low Risk"))</f>
        <v>Low Risk</v>
      </c>
    </row>
    <row r="731" spans="1:14" x14ac:dyDescent="0.35">
      <c r="A731">
        <v>730</v>
      </c>
      <c r="B731" s="1">
        <v>44957.375</v>
      </c>
      <c r="C731" s="2">
        <v>4.5833333333333337E-2</v>
      </c>
      <c r="D731" s="3">
        <v>279</v>
      </c>
      <c r="E731" s="3">
        <v>32</v>
      </c>
      <c r="F731" s="2">
        <v>66.464583333333337</v>
      </c>
      <c r="G731" t="s">
        <v>2812</v>
      </c>
      <c r="H731" t="s">
        <v>2820</v>
      </c>
      <c r="I731" s="2">
        <v>1.1715277777777777</v>
      </c>
      <c r="J731" s="4" t="str">
        <f>IF(Table1[[#This Row],[processing_time_hours]]&gt;1.5,"Slow", "Fast")</f>
        <v>Fast</v>
      </c>
      <c r="K731" t="s">
        <v>2818</v>
      </c>
      <c r="L731" s="3">
        <v>0</v>
      </c>
      <c r="M731" t="str">
        <f>IF(Table1[[#This Row],[delayed]]=1,"Delayed","On Time")</f>
        <v>On Time</v>
      </c>
      <c r="N731" t="str">
        <f>IF(AND(Table1[[#This Row],[delayed]]=1,Table1[[#This Row],[weather_condition]]="Storm"),"High Risk", IF(Table1[[#This Row],[delayed]]=1,"Medium Risk","Low Risk"))</f>
        <v>Low Risk</v>
      </c>
    </row>
    <row r="732" spans="1:14" x14ac:dyDescent="0.35">
      <c r="A732">
        <v>731</v>
      </c>
      <c r="B732" s="1">
        <v>44957.416666666664</v>
      </c>
      <c r="C732" s="2">
        <v>5.2777777777777778E-2</v>
      </c>
      <c r="D732" s="3">
        <v>1568</v>
      </c>
      <c r="E732" s="3">
        <v>371</v>
      </c>
      <c r="F732" s="2">
        <v>68.044444444444437</v>
      </c>
      <c r="G732" t="s">
        <v>2816</v>
      </c>
      <c r="H732" t="s">
        <v>2817</v>
      </c>
      <c r="I732" s="2">
        <v>2.5840277777777776</v>
      </c>
      <c r="J732" s="4" t="str">
        <f>IF(Table1[[#This Row],[processing_time_hours]]&gt;1.5,"Slow", "Fast")</f>
        <v>Slow</v>
      </c>
      <c r="K732" t="s">
        <v>2814</v>
      </c>
      <c r="L732" s="3">
        <v>0</v>
      </c>
      <c r="M732" t="str">
        <f>IF(Table1[[#This Row],[delayed]]=1,"Delayed","On Time")</f>
        <v>On Time</v>
      </c>
      <c r="N732" t="str">
        <f>IF(AND(Table1[[#This Row],[delayed]]=1,Table1[[#This Row],[weather_condition]]="Storm"),"High Risk", IF(Table1[[#This Row],[delayed]]=1,"Medium Risk","Low Risk"))</f>
        <v>Low Risk</v>
      </c>
    </row>
    <row r="733" spans="1:14" x14ac:dyDescent="0.35">
      <c r="A733">
        <v>732</v>
      </c>
      <c r="B733" s="1">
        <v>44957.458333333336</v>
      </c>
      <c r="C733" s="2">
        <v>4.1666666666666664E-2</v>
      </c>
      <c r="D733" s="3">
        <v>567</v>
      </c>
      <c r="E733" s="3">
        <v>229</v>
      </c>
      <c r="F733" s="2">
        <v>73.208333333333329</v>
      </c>
      <c r="G733" t="s">
        <v>2815</v>
      </c>
      <c r="H733" t="s">
        <v>2813</v>
      </c>
      <c r="I733" s="2">
        <v>0.875</v>
      </c>
      <c r="J733" s="4" t="str">
        <f>IF(Table1[[#This Row],[processing_time_hours]]&gt;1.5,"Slow", "Fast")</f>
        <v>Fast</v>
      </c>
      <c r="K733" t="s">
        <v>2821</v>
      </c>
      <c r="L733" s="3">
        <v>0</v>
      </c>
      <c r="M733" t="str">
        <f>IF(Table1[[#This Row],[delayed]]=1,"Delayed","On Time")</f>
        <v>On Time</v>
      </c>
      <c r="N733" t="str">
        <f>IF(AND(Table1[[#This Row],[delayed]]=1,Table1[[#This Row],[weather_condition]]="Storm"),"High Risk", IF(Table1[[#This Row],[delayed]]=1,"Medium Risk","Low Risk"))</f>
        <v>Low Risk</v>
      </c>
    </row>
    <row r="734" spans="1:14" x14ac:dyDescent="0.35">
      <c r="A734">
        <v>733</v>
      </c>
      <c r="B734" s="1">
        <v>44957.5</v>
      </c>
      <c r="C734" s="2">
        <v>5.0694444444444438E-2</v>
      </c>
      <c r="D734" s="3">
        <v>2204</v>
      </c>
      <c r="E734" s="3">
        <v>278</v>
      </c>
      <c r="F734" s="2">
        <v>58.919444444444444</v>
      </c>
      <c r="G734" t="s">
        <v>2816</v>
      </c>
      <c r="H734" t="s">
        <v>2822</v>
      </c>
      <c r="I734" s="2">
        <v>2.6701388888888888</v>
      </c>
      <c r="J734" s="4" t="str">
        <f>IF(Table1[[#This Row],[processing_time_hours]]&gt;1.5,"Slow", "Fast")</f>
        <v>Slow</v>
      </c>
      <c r="K734" t="s">
        <v>2821</v>
      </c>
      <c r="L734" s="3">
        <v>0</v>
      </c>
      <c r="M734" t="str">
        <f>IF(Table1[[#This Row],[delayed]]=1,"Delayed","On Time")</f>
        <v>On Time</v>
      </c>
      <c r="N734" t="str">
        <f>IF(AND(Table1[[#This Row],[delayed]]=1,Table1[[#This Row],[weather_condition]]="Storm"),"High Risk", IF(Table1[[#This Row],[delayed]]=1,"Medium Risk","Low Risk"))</f>
        <v>Low Risk</v>
      </c>
    </row>
    <row r="735" spans="1:14" x14ac:dyDescent="0.35">
      <c r="A735">
        <v>734</v>
      </c>
      <c r="B735" s="1">
        <v>44957.541666666664</v>
      </c>
      <c r="C735" s="2">
        <v>6.3194444444444442E-2</v>
      </c>
      <c r="D735" s="3">
        <v>3282</v>
      </c>
      <c r="E735" s="3">
        <v>358</v>
      </c>
      <c r="F735" s="2">
        <v>66.13055555555556</v>
      </c>
      <c r="G735" t="s">
        <v>2819</v>
      </c>
      <c r="H735" t="s">
        <v>2822</v>
      </c>
      <c r="I735" s="2">
        <v>2.2111111111111112</v>
      </c>
      <c r="J735" s="4" t="str">
        <f>IF(Table1[[#This Row],[processing_time_hours]]&gt;1.5,"Slow", "Fast")</f>
        <v>Slow</v>
      </c>
      <c r="K735" t="s">
        <v>2821</v>
      </c>
      <c r="L735" s="3">
        <v>0</v>
      </c>
      <c r="M735" t="str">
        <f>IF(Table1[[#This Row],[delayed]]=1,"Delayed","On Time")</f>
        <v>On Time</v>
      </c>
      <c r="N735" t="str">
        <f>IF(AND(Table1[[#This Row],[delayed]]=1,Table1[[#This Row],[weather_condition]]="Storm"),"High Risk", IF(Table1[[#This Row],[delayed]]=1,"Medium Risk","Low Risk"))</f>
        <v>Low Risk</v>
      </c>
    </row>
    <row r="736" spans="1:14" x14ac:dyDescent="0.35">
      <c r="A736">
        <v>735</v>
      </c>
      <c r="B736" s="1">
        <v>44957.583333333336</v>
      </c>
      <c r="C736" s="2">
        <v>4.7222222222222221E-2</v>
      </c>
      <c r="D736" s="3">
        <v>1431</v>
      </c>
      <c r="E736" s="3">
        <v>262</v>
      </c>
      <c r="F736" s="2">
        <v>76.959722222222226</v>
      </c>
      <c r="G736" t="s">
        <v>2815</v>
      </c>
      <c r="H736" t="s">
        <v>2822</v>
      </c>
      <c r="I736" s="2">
        <v>1.6291666666666667</v>
      </c>
      <c r="J736" s="4" t="str">
        <f>IF(Table1[[#This Row],[processing_time_hours]]&gt;1.5,"Slow", "Fast")</f>
        <v>Slow</v>
      </c>
      <c r="K736" t="s">
        <v>2821</v>
      </c>
      <c r="L736" s="3">
        <v>0</v>
      </c>
      <c r="M736" t="str">
        <f>IF(Table1[[#This Row],[delayed]]=1,"Delayed","On Time")</f>
        <v>On Time</v>
      </c>
      <c r="N736" t="str">
        <f>IF(AND(Table1[[#This Row],[delayed]]=1,Table1[[#This Row],[weather_condition]]="Storm"),"High Risk", IF(Table1[[#This Row],[delayed]]=1,"Medium Risk","Low Risk"))</f>
        <v>Low Risk</v>
      </c>
    </row>
    <row r="737" spans="1:14" x14ac:dyDescent="0.35">
      <c r="A737">
        <v>736</v>
      </c>
      <c r="B737" s="1">
        <v>44957.625</v>
      </c>
      <c r="C737" s="2">
        <v>5.4166666666666669E-2</v>
      </c>
      <c r="D737" s="3">
        <v>3155</v>
      </c>
      <c r="E737" s="3">
        <v>125</v>
      </c>
      <c r="F737" s="2">
        <v>41.293749999999996</v>
      </c>
      <c r="G737" t="s">
        <v>2819</v>
      </c>
      <c r="H737" t="s">
        <v>2820</v>
      </c>
      <c r="I737" s="2">
        <v>1.16875</v>
      </c>
      <c r="J737" s="4" t="str">
        <f>IF(Table1[[#This Row],[processing_time_hours]]&gt;1.5,"Slow", "Fast")</f>
        <v>Fast</v>
      </c>
      <c r="K737" t="s">
        <v>2818</v>
      </c>
      <c r="L737" s="3">
        <v>0</v>
      </c>
      <c r="M737" t="str">
        <f>IF(Table1[[#This Row],[delayed]]=1,"Delayed","On Time")</f>
        <v>On Time</v>
      </c>
      <c r="N737" t="str">
        <f>IF(AND(Table1[[#This Row],[delayed]]=1,Table1[[#This Row],[weather_condition]]="Storm"),"High Risk", IF(Table1[[#This Row],[delayed]]=1,"Medium Risk","Low Risk"))</f>
        <v>Low Risk</v>
      </c>
    </row>
    <row r="738" spans="1:14" x14ac:dyDescent="0.35">
      <c r="A738">
        <v>737</v>
      </c>
      <c r="B738" s="1">
        <v>44957.666666666664</v>
      </c>
      <c r="C738" s="2">
        <v>5.6250000000000001E-2</v>
      </c>
      <c r="D738" s="3">
        <v>2752</v>
      </c>
      <c r="E738" s="3">
        <v>3</v>
      </c>
      <c r="F738" s="2">
        <v>61.543055555555554</v>
      </c>
      <c r="G738" t="s">
        <v>2816</v>
      </c>
      <c r="H738" t="s">
        <v>2822</v>
      </c>
      <c r="I738" s="2">
        <v>1.6284722222222223</v>
      </c>
      <c r="J738" s="4" t="str">
        <f>IF(Table1[[#This Row],[processing_time_hours]]&gt;1.5,"Slow", "Fast")</f>
        <v>Slow</v>
      </c>
      <c r="K738" t="s">
        <v>2821</v>
      </c>
      <c r="L738" s="3">
        <v>0</v>
      </c>
      <c r="M738" t="str">
        <f>IF(Table1[[#This Row],[delayed]]=1,"Delayed","On Time")</f>
        <v>On Time</v>
      </c>
      <c r="N738" t="str">
        <f>IF(AND(Table1[[#This Row],[delayed]]=1,Table1[[#This Row],[weather_condition]]="Storm"),"High Risk", IF(Table1[[#This Row],[delayed]]=1,"Medium Risk","Low Risk"))</f>
        <v>Low Risk</v>
      </c>
    </row>
    <row r="739" spans="1:14" x14ac:dyDescent="0.35">
      <c r="A739">
        <v>738</v>
      </c>
      <c r="B739" s="1">
        <v>44957.708333333336</v>
      </c>
      <c r="C739" s="2">
        <v>5.8333333333333327E-2</v>
      </c>
      <c r="D739" s="3">
        <v>3442</v>
      </c>
      <c r="E739" s="3">
        <v>354</v>
      </c>
      <c r="F739" s="2">
        <v>37.833333333333336</v>
      </c>
      <c r="G739" t="s">
        <v>2812</v>
      </c>
      <c r="H739" t="s">
        <v>2813</v>
      </c>
      <c r="I739" s="2">
        <v>0.29166666666666669</v>
      </c>
      <c r="J739" s="4" t="str">
        <f>IF(Table1[[#This Row],[processing_time_hours]]&gt;1.5,"Slow", "Fast")</f>
        <v>Fast</v>
      </c>
      <c r="K739" t="s">
        <v>2814</v>
      </c>
      <c r="L739" s="3">
        <v>0</v>
      </c>
      <c r="M739" t="str">
        <f>IF(Table1[[#This Row],[delayed]]=1,"Delayed","On Time")</f>
        <v>On Time</v>
      </c>
      <c r="N739" t="str">
        <f>IF(AND(Table1[[#This Row],[delayed]]=1,Table1[[#This Row],[weather_condition]]="Storm"),"High Risk", IF(Table1[[#This Row],[delayed]]=1,"Medium Risk","Low Risk"))</f>
        <v>Low Risk</v>
      </c>
    </row>
    <row r="740" spans="1:14" x14ac:dyDescent="0.35">
      <c r="A740">
        <v>739</v>
      </c>
      <c r="B740" s="1">
        <v>44957.75</v>
      </c>
      <c r="C740" s="2">
        <v>6.1805555555555558E-2</v>
      </c>
      <c r="D740" s="3">
        <v>1495</v>
      </c>
      <c r="E740" s="3">
        <v>11</v>
      </c>
      <c r="F740" s="2">
        <v>49.964583333333337</v>
      </c>
      <c r="G740" t="s">
        <v>2815</v>
      </c>
      <c r="H740" t="s">
        <v>2813</v>
      </c>
      <c r="I740" s="2">
        <v>1.1673611111111111</v>
      </c>
      <c r="J740" s="4" t="str">
        <f>IF(Table1[[#This Row],[processing_time_hours]]&gt;1.5,"Slow", "Fast")</f>
        <v>Fast</v>
      </c>
      <c r="K740" t="s">
        <v>2814</v>
      </c>
      <c r="L740" s="3">
        <v>0</v>
      </c>
      <c r="M740" t="str">
        <f>IF(Table1[[#This Row],[delayed]]=1,"Delayed","On Time")</f>
        <v>On Time</v>
      </c>
      <c r="N740" t="str">
        <f>IF(AND(Table1[[#This Row],[delayed]]=1,Table1[[#This Row],[weather_condition]]="Storm"),"High Risk", IF(Table1[[#This Row],[delayed]]=1,"Medium Risk","Low Risk"))</f>
        <v>Low Risk</v>
      </c>
    </row>
    <row r="741" spans="1:14" x14ac:dyDescent="0.35">
      <c r="A741">
        <v>740</v>
      </c>
      <c r="B741" s="1">
        <v>44957.791666666664</v>
      </c>
      <c r="C741" s="2">
        <v>6.3888888888888898E-2</v>
      </c>
      <c r="D741" s="3">
        <v>1966</v>
      </c>
      <c r="E741" s="3">
        <v>457</v>
      </c>
      <c r="F741" s="2">
        <v>34.546527777777776</v>
      </c>
      <c r="G741" t="s">
        <v>2819</v>
      </c>
      <c r="H741" t="s">
        <v>2817</v>
      </c>
      <c r="I741" s="2">
        <v>0.92291666666666661</v>
      </c>
      <c r="J741" s="4" t="str">
        <f>IF(Table1[[#This Row],[processing_time_hours]]&gt;1.5,"Slow", "Fast")</f>
        <v>Fast</v>
      </c>
      <c r="K741" t="s">
        <v>2818</v>
      </c>
      <c r="L741" s="3">
        <v>0</v>
      </c>
      <c r="M741" t="str">
        <f>IF(Table1[[#This Row],[delayed]]=1,"Delayed","On Time")</f>
        <v>On Time</v>
      </c>
      <c r="N741" t="str">
        <f>IF(AND(Table1[[#This Row],[delayed]]=1,Table1[[#This Row],[weather_condition]]="Storm"),"High Risk", IF(Table1[[#This Row],[delayed]]=1,"Medium Risk","Low Risk"))</f>
        <v>Low Risk</v>
      </c>
    </row>
    <row r="742" spans="1:14" x14ac:dyDescent="0.35">
      <c r="A742">
        <v>741</v>
      </c>
      <c r="B742" s="1">
        <v>44957.833333333336</v>
      </c>
      <c r="C742" s="2">
        <v>6.1111111111111109E-2</v>
      </c>
      <c r="D742" s="3">
        <v>1016</v>
      </c>
      <c r="E742" s="3">
        <v>127</v>
      </c>
      <c r="F742" s="2">
        <v>44.088888888888896</v>
      </c>
      <c r="G742" t="s">
        <v>2812</v>
      </c>
      <c r="H742" t="s">
        <v>2822</v>
      </c>
      <c r="I742" s="2">
        <v>2.5444444444444447</v>
      </c>
      <c r="J742" s="4" t="str">
        <f>IF(Table1[[#This Row],[processing_time_hours]]&gt;1.5,"Slow", "Fast")</f>
        <v>Slow</v>
      </c>
      <c r="K742" t="s">
        <v>2818</v>
      </c>
      <c r="L742" s="3">
        <v>0</v>
      </c>
      <c r="M742" t="str">
        <f>IF(Table1[[#This Row],[delayed]]=1,"Delayed","On Time")</f>
        <v>On Time</v>
      </c>
      <c r="N742" t="str">
        <f>IF(AND(Table1[[#This Row],[delayed]]=1,Table1[[#This Row],[weather_condition]]="Storm"),"High Risk", IF(Table1[[#This Row],[delayed]]=1,"Medium Risk","Low Risk"))</f>
        <v>Low Risk</v>
      </c>
    </row>
    <row r="743" spans="1:14" x14ac:dyDescent="0.35">
      <c r="A743">
        <v>742</v>
      </c>
      <c r="B743" s="1">
        <v>44957.875</v>
      </c>
      <c r="C743" s="2">
        <v>6.3888888888888898E-2</v>
      </c>
      <c r="D743" s="3">
        <v>1838</v>
      </c>
      <c r="E743" s="3">
        <v>157</v>
      </c>
      <c r="F743" s="2">
        <v>59.252083333333331</v>
      </c>
      <c r="G743" t="s">
        <v>2816</v>
      </c>
      <c r="H743" t="s">
        <v>2813</v>
      </c>
      <c r="I743" s="2">
        <v>1.2125000000000001</v>
      </c>
      <c r="J743" s="4" t="str">
        <f>IF(Table1[[#This Row],[processing_time_hours]]&gt;1.5,"Slow", "Fast")</f>
        <v>Fast</v>
      </c>
      <c r="K743" t="s">
        <v>2814</v>
      </c>
      <c r="L743" s="3">
        <v>1</v>
      </c>
      <c r="M743" t="str">
        <f>IF(Table1[[#This Row],[delayed]]=1,"Delayed","On Time")</f>
        <v>Delayed</v>
      </c>
      <c r="N743" t="str">
        <f>IF(AND(Table1[[#This Row],[delayed]]=1,Table1[[#This Row],[weather_condition]]="Storm"),"High Risk", IF(Table1[[#This Row],[delayed]]=1,"Medium Risk","Low Risk"))</f>
        <v>Medium Risk</v>
      </c>
    </row>
    <row r="744" spans="1:14" x14ac:dyDescent="0.35">
      <c r="A744">
        <v>743</v>
      </c>
      <c r="B744" s="1">
        <v>44957.916666666664</v>
      </c>
      <c r="C744" s="2">
        <v>6.5972222222222224E-2</v>
      </c>
      <c r="D744" s="3">
        <v>3287</v>
      </c>
      <c r="E744" s="3">
        <v>218</v>
      </c>
      <c r="F744" s="2">
        <v>63.585416666666667</v>
      </c>
      <c r="G744" t="s">
        <v>2812</v>
      </c>
      <c r="H744" t="s">
        <v>2817</v>
      </c>
      <c r="I744" s="2">
        <v>1.9194444444444445</v>
      </c>
      <c r="J744" s="4" t="str">
        <f>IF(Table1[[#This Row],[processing_time_hours]]&gt;1.5,"Slow", "Fast")</f>
        <v>Slow</v>
      </c>
      <c r="K744" t="s">
        <v>2814</v>
      </c>
      <c r="L744" s="3">
        <v>0</v>
      </c>
      <c r="M744" t="str">
        <f>IF(Table1[[#This Row],[delayed]]=1,"Delayed","On Time")</f>
        <v>On Time</v>
      </c>
      <c r="N744" t="str">
        <f>IF(AND(Table1[[#This Row],[delayed]]=1,Table1[[#This Row],[weather_condition]]="Storm"),"High Risk", IF(Table1[[#This Row],[delayed]]=1,"Medium Risk","Low Risk"))</f>
        <v>Low Risk</v>
      </c>
    </row>
    <row r="745" spans="1:14" x14ac:dyDescent="0.35">
      <c r="A745">
        <v>744</v>
      </c>
      <c r="B745" s="1">
        <v>44957.958333333336</v>
      </c>
      <c r="C745" s="2">
        <v>5.0694444444444438E-2</v>
      </c>
      <c r="D745" s="3">
        <v>4894</v>
      </c>
      <c r="E745" s="3">
        <v>187</v>
      </c>
      <c r="F745" s="2">
        <v>57.291666666666664</v>
      </c>
      <c r="G745" t="s">
        <v>2812</v>
      </c>
      <c r="H745" t="s">
        <v>2820</v>
      </c>
      <c r="I745" s="2">
        <v>0.87569444444444444</v>
      </c>
      <c r="J745" s="4" t="str">
        <f>IF(Table1[[#This Row],[processing_time_hours]]&gt;1.5,"Slow", "Fast")</f>
        <v>Fast</v>
      </c>
      <c r="K745" t="s">
        <v>2818</v>
      </c>
      <c r="L745" s="3">
        <v>0</v>
      </c>
      <c r="M745" t="str">
        <f>IF(Table1[[#This Row],[delayed]]=1,"Delayed","On Time")</f>
        <v>On Time</v>
      </c>
      <c r="N745" t="str">
        <f>IF(AND(Table1[[#This Row],[delayed]]=1,Table1[[#This Row],[weather_condition]]="Storm"),"High Risk", IF(Table1[[#This Row],[delayed]]=1,"Medium Risk","Low Risk"))</f>
        <v>Low Risk</v>
      </c>
    </row>
    <row r="746" spans="1:14" x14ac:dyDescent="0.35">
      <c r="A746">
        <v>745</v>
      </c>
      <c r="B746" s="1">
        <v>44958</v>
      </c>
      <c r="C746" s="2">
        <v>6.458333333333334E-2</v>
      </c>
      <c r="D746" s="3">
        <v>1644</v>
      </c>
      <c r="E746" s="3">
        <v>45</v>
      </c>
      <c r="F746" s="2">
        <v>61.08819444444444</v>
      </c>
      <c r="G746" t="s">
        <v>2815</v>
      </c>
      <c r="H746" t="s">
        <v>2817</v>
      </c>
      <c r="I746" s="2">
        <v>2.9201388888888888</v>
      </c>
      <c r="J746" s="4" t="str">
        <f>IF(Table1[[#This Row],[processing_time_hours]]&gt;1.5,"Slow", "Fast")</f>
        <v>Slow</v>
      </c>
      <c r="K746" t="s">
        <v>2818</v>
      </c>
      <c r="L746" s="3">
        <v>0</v>
      </c>
      <c r="M746" t="str">
        <f>IF(Table1[[#This Row],[delayed]]=1,"Delayed","On Time")</f>
        <v>On Time</v>
      </c>
      <c r="N746" t="str">
        <f>IF(AND(Table1[[#This Row],[delayed]]=1,Table1[[#This Row],[weather_condition]]="Storm"),"High Risk", IF(Table1[[#This Row],[delayed]]=1,"Medium Risk","Low Risk"))</f>
        <v>Low Risk</v>
      </c>
    </row>
    <row r="747" spans="1:14" x14ac:dyDescent="0.35">
      <c r="A747">
        <v>746</v>
      </c>
      <c r="B747" s="1">
        <v>44958.041666666664</v>
      </c>
      <c r="C747" s="2">
        <v>5.6250000000000001E-2</v>
      </c>
      <c r="D747" s="3">
        <v>979</v>
      </c>
      <c r="E747" s="3">
        <v>12</v>
      </c>
      <c r="F747" s="2">
        <v>81.922222222222231</v>
      </c>
      <c r="G747" t="s">
        <v>2819</v>
      </c>
      <c r="H747" t="s">
        <v>2820</v>
      </c>
      <c r="I747" s="2">
        <v>1.6312499999999999</v>
      </c>
      <c r="J747" s="4" t="str">
        <f>IF(Table1[[#This Row],[processing_time_hours]]&gt;1.5,"Slow", "Fast")</f>
        <v>Slow</v>
      </c>
      <c r="K747" t="s">
        <v>2818</v>
      </c>
      <c r="L747" s="3">
        <v>0</v>
      </c>
      <c r="M747" t="str">
        <f>IF(Table1[[#This Row],[delayed]]=1,"Delayed","On Time")</f>
        <v>On Time</v>
      </c>
      <c r="N747" t="str">
        <f>IF(AND(Table1[[#This Row],[delayed]]=1,Table1[[#This Row],[weather_condition]]="Storm"),"High Risk", IF(Table1[[#This Row],[delayed]]=1,"Medium Risk","Low Risk"))</f>
        <v>Low Risk</v>
      </c>
    </row>
    <row r="748" spans="1:14" x14ac:dyDescent="0.35">
      <c r="A748">
        <v>747</v>
      </c>
      <c r="B748" s="1">
        <v>44958.083333333336</v>
      </c>
      <c r="C748" s="2">
        <v>4.8611111111111112E-3</v>
      </c>
      <c r="D748" s="3">
        <v>4216</v>
      </c>
      <c r="E748" s="3">
        <v>84</v>
      </c>
      <c r="F748" s="2">
        <v>57.961111111111109</v>
      </c>
      <c r="G748" t="s">
        <v>2815</v>
      </c>
      <c r="H748" t="s">
        <v>2820</v>
      </c>
      <c r="I748" s="2">
        <v>2.6270833333333332</v>
      </c>
      <c r="J748" s="4" t="str">
        <f>IF(Table1[[#This Row],[processing_time_hours]]&gt;1.5,"Slow", "Fast")</f>
        <v>Slow</v>
      </c>
      <c r="K748" t="s">
        <v>2821</v>
      </c>
      <c r="L748" s="3">
        <v>1</v>
      </c>
      <c r="M748" t="str">
        <f>IF(Table1[[#This Row],[delayed]]=1,"Delayed","On Time")</f>
        <v>Delayed</v>
      </c>
      <c r="N748" t="str">
        <f>IF(AND(Table1[[#This Row],[delayed]]=1,Table1[[#This Row],[weather_condition]]="Storm"),"High Risk", IF(Table1[[#This Row],[delayed]]=1,"Medium Risk","Low Risk"))</f>
        <v>Medium Risk</v>
      </c>
    </row>
    <row r="749" spans="1:14" x14ac:dyDescent="0.35">
      <c r="A749">
        <v>748</v>
      </c>
      <c r="B749" s="1">
        <v>44958.125</v>
      </c>
      <c r="C749" s="2">
        <v>4.6527777777777779E-2</v>
      </c>
      <c r="D749" s="3">
        <v>4961</v>
      </c>
      <c r="E749" s="3">
        <v>137</v>
      </c>
      <c r="F749" s="2">
        <v>71.213888888888889</v>
      </c>
      <c r="G749" t="s">
        <v>2819</v>
      </c>
      <c r="H749" t="s">
        <v>2822</v>
      </c>
      <c r="I749" s="2">
        <v>2.1694444444444447</v>
      </c>
      <c r="J749" s="4" t="str">
        <f>IF(Table1[[#This Row],[processing_time_hours]]&gt;1.5,"Slow", "Fast")</f>
        <v>Slow</v>
      </c>
      <c r="K749" t="s">
        <v>2814</v>
      </c>
      <c r="L749" s="3">
        <v>0</v>
      </c>
      <c r="M749" t="str">
        <f>IF(Table1[[#This Row],[delayed]]=1,"Delayed","On Time")</f>
        <v>On Time</v>
      </c>
      <c r="N749" t="str">
        <f>IF(AND(Table1[[#This Row],[delayed]]=1,Table1[[#This Row],[weather_condition]]="Storm"),"High Risk", IF(Table1[[#This Row],[delayed]]=1,"Medium Risk","Low Risk"))</f>
        <v>Low Risk</v>
      </c>
    </row>
    <row r="750" spans="1:14" x14ac:dyDescent="0.35">
      <c r="A750">
        <v>749</v>
      </c>
      <c r="B750" s="1">
        <v>44958.166666666664</v>
      </c>
      <c r="C750" s="2">
        <v>6.3194444444444442E-2</v>
      </c>
      <c r="D750" s="3">
        <v>3305</v>
      </c>
      <c r="E750" s="3">
        <v>444</v>
      </c>
      <c r="F750" s="2">
        <v>28.459027777777777</v>
      </c>
      <c r="G750" t="s">
        <v>2815</v>
      </c>
      <c r="H750" t="s">
        <v>2817</v>
      </c>
      <c r="I750" s="2">
        <v>8.7500000000000008E-2</v>
      </c>
      <c r="J750" s="4" t="str">
        <f>IF(Table1[[#This Row],[processing_time_hours]]&gt;1.5,"Slow", "Fast")</f>
        <v>Fast</v>
      </c>
      <c r="K750" t="s">
        <v>2821</v>
      </c>
      <c r="L750" s="3">
        <v>1</v>
      </c>
      <c r="M750" t="str">
        <f>IF(Table1[[#This Row],[delayed]]=1,"Delayed","On Time")</f>
        <v>Delayed</v>
      </c>
      <c r="N750" t="str">
        <f>IF(AND(Table1[[#This Row],[delayed]]=1,Table1[[#This Row],[weather_condition]]="Storm"),"High Risk", IF(Table1[[#This Row],[delayed]]=1,"Medium Risk","Low Risk"))</f>
        <v>High Risk</v>
      </c>
    </row>
    <row r="751" spans="1:14" x14ac:dyDescent="0.35">
      <c r="A751">
        <v>750</v>
      </c>
      <c r="B751" s="1">
        <v>44958.208333333336</v>
      </c>
      <c r="C751" s="2">
        <v>5.9027777777777783E-2</v>
      </c>
      <c r="D751" s="3">
        <v>478</v>
      </c>
      <c r="E751" s="3">
        <v>416</v>
      </c>
      <c r="F751" s="2">
        <v>61.209722222222219</v>
      </c>
      <c r="G751" t="s">
        <v>2819</v>
      </c>
      <c r="H751" t="s">
        <v>2813</v>
      </c>
      <c r="I751" s="2">
        <v>1.7111111111111112</v>
      </c>
      <c r="J751" s="4" t="str">
        <f>IF(Table1[[#This Row],[processing_time_hours]]&gt;1.5,"Slow", "Fast")</f>
        <v>Slow</v>
      </c>
      <c r="K751" t="s">
        <v>2814</v>
      </c>
      <c r="L751" s="3">
        <v>1</v>
      </c>
      <c r="M751" t="str">
        <f>IF(Table1[[#This Row],[delayed]]=1,"Delayed","On Time")</f>
        <v>Delayed</v>
      </c>
      <c r="N751" t="str">
        <f>IF(AND(Table1[[#This Row],[delayed]]=1,Table1[[#This Row],[weather_condition]]="Storm"),"High Risk", IF(Table1[[#This Row],[delayed]]=1,"Medium Risk","Low Risk"))</f>
        <v>Medium Risk</v>
      </c>
    </row>
    <row r="752" spans="1:14" x14ac:dyDescent="0.35">
      <c r="A752">
        <v>751</v>
      </c>
      <c r="B752" s="1">
        <v>44958.25</v>
      </c>
      <c r="C752" s="2">
        <v>4.3750000000000004E-2</v>
      </c>
      <c r="D752" s="3">
        <v>423</v>
      </c>
      <c r="E752" s="3">
        <v>180</v>
      </c>
      <c r="F752" s="2">
        <v>51.12638888888889</v>
      </c>
      <c r="G752" t="s">
        <v>2812</v>
      </c>
      <c r="H752" t="s">
        <v>2820</v>
      </c>
      <c r="I752" s="2">
        <v>0.17222222222222225</v>
      </c>
      <c r="J752" s="4" t="str">
        <f>IF(Table1[[#This Row],[processing_time_hours]]&gt;1.5,"Slow", "Fast")</f>
        <v>Fast</v>
      </c>
      <c r="K752" t="s">
        <v>2818</v>
      </c>
      <c r="L752" s="3">
        <v>0</v>
      </c>
      <c r="M752" t="str">
        <f>IF(Table1[[#This Row],[delayed]]=1,"Delayed","On Time")</f>
        <v>On Time</v>
      </c>
      <c r="N752" t="str">
        <f>IF(AND(Table1[[#This Row],[delayed]]=1,Table1[[#This Row],[weather_condition]]="Storm"),"High Risk", IF(Table1[[#This Row],[delayed]]=1,"Medium Risk","Low Risk"))</f>
        <v>Low Risk</v>
      </c>
    </row>
    <row r="753" spans="1:14" x14ac:dyDescent="0.35">
      <c r="A753">
        <v>752</v>
      </c>
      <c r="B753" s="1">
        <v>44958.291666666664</v>
      </c>
      <c r="C753" s="2">
        <v>5.7638888888888885E-2</v>
      </c>
      <c r="D753" s="3">
        <v>4005</v>
      </c>
      <c r="E753" s="3">
        <v>486</v>
      </c>
      <c r="F753" s="2">
        <v>79.209722222222226</v>
      </c>
      <c r="G753" t="s">
        <v>2812</v>
      </c>
      <c r="H753" t="s">
        <v>2822</v>
      </c>
      <c r="I753" s="2">
        <v>2.9618055555555554</v>
      </c>
      <c r="J753" s="4" t="str">
        <f>IF(Table1[[#This Row],[processing_time_hours]]&gt;1.5,"Slow", "Fast")</f>
        <v>Slow</v>
      </c>
      <c r="K753" t="s">
        <v>2821</v>
      </c>
      <c r="L753" s="3">
        <v>0</v>
      </c>
      <c r="M753" t="str">
        <f>IF(Table1[[#This Row],[delayed]]=1,"Delayed","On Time")</f>
        <v>On Time</v>
      </c>
      <c r="N753" t="str">
        <f>IF(AND(Table1[[#This Row],[delayed]]=1,Table1[[#This Row],[weather_condition]]="Storm"),"High Risk", IF(Table1[[#This Row],[delayed]]=1,"Medium Risk","Low Risk"))</f>
        <v>Low Risk</v>
      </c>
    </row>
    <row r="754" spans="1:14" x14ac:dyDescent="0.35">
      <c r="A754">
        <v>753</v>
      </c>
      <c r="B754" s="1">
        <v>44958.333333333336</v>
      </c>
      <c r="C754" s="2">
        <v>4.3055555555555562E-2</v>
      </c>
      <c r="D754" s="3">
        <v>3038</v>
      </c>
      <c r="E754" s="3">
        <v>41</v>
      </c>
      <c r="F754" s="2">
        <v>5.4180555555555552</v>
      </c>
      <c r="G754" t="s">
        <v>2816</v>
      </c>
      <c r="H754" t="s">
        <v>2822</v>
      </c>
      <c r="I754" s="2">
        <v>0.25208333333333333</v>
      </c>
      <c r="J754" s="4" t="str">
        <f>IF(Table1[[#This Row],[processing_time_hours]]&gt;1.5,"Slow", "Fast")</f>
        <v>Fast</v>
      </c>
      <c r="K754" t="s">
        <v>2814</v>
      </c>
      <c r="L754" s="3">
        <v>0</v>
      </c>
      <c r="M754" t="str">
        <f>IF(Table1[[#This Row],[delayed]]=1,"Delayed","On Time")</f>
        <v>On Time</v>
      </c>
      <c r="N754" t="str">
        <f>IF(AND(Table1[[#This Row],[delayed]]=1,Table1[[#This Row],[weather_condition]]="Storm"),"High Risk", IF(Table1[[#This Row],[delayed]]=1,"Medium Risk","Low Risk"))</f>
        <v>Low Risk</v>
      </c>
    </row>
    <row r="755" spans="1:14" x14ac:dyDescent="0.35">
      <c r="A755">
        <v>754</v>
      </c>
      <c r="B755" s="1">
        <v>44958.375</v>
      </c>
      <c r="C755" s="2">
        <v>5.2777777777777778E-2</v>
      </c>
      <c r="D755" s="3">
        <v>2552</v>
      </c>
      <c r="E755" s="3">
        <v>214</v>
      </c>
      <c r="F755" s="2">
        <v>66.416666666666671</v>
      </c>
      <c r="G755" t="s">
        <v>2816</v>
      </c>
      <c r="H755" t="s">
        <v>2817</v>
      </c>
      <c r="I755" s="2">
        <v>2.5423611111111111</v>
      </c>
      <c r="J755" s="4" t="str">
        <f>IF(Table1[[#This Row],[processing_time_hours]]&gt;1.5,"Slow", "Fast")</f>
        <v>Slow</v>
      </c>
      <c r="K755" t="s">
        <v>2818</v>
      </c>
      <c r="L755" s="3">
        <v>0</v>
      </c>
      <c r="M755" t="str">
        <f>IF(Table1[[#This Row],[delayed]]=1,"Delayed","On Time")</f>
        <v>On Time</v>
      </c>
      <c r="N755" t="str">
        <f>IF(AND(Table1[[#This Row],[delayed]]=1,Table1[[#This Row],[weather_condition]]="Storm"),"High Risk", IF(Table1[[#This Row],[delayed]]=1,"Medium Risk","Low Risk"))</f>
        <v>Low Risk</v>
      </c>
    </row>
    <row r="756" spans="1:14" x14ac:dyDescent="0.35">
      <c r="A756">
        <v>755</v>
      </c>
      <c r="B756" s="1">
        <v>44958.416666666664</v>
      </c>
      <c r="C756" s="2">
        <v>5.7638888888888885E-2</v>
      </c>
      <c r="D756" s="3">
        <v>1884</v>
      </c>
      <c r="E756" s="3">
        <v>175</v>
      </c>
      <c r="F756" s="2">
        <v>39.87777777777778</v>
      </c>
      <c r="G756" t="s">
        <v>2819</v>
      </c>
      <c r="H756" t="s">
        <v>2820</v>
      </c>
      <c r="I756" s="2">
        <v>2.3381944444444445</v>
      </c>
      <c r="J756" s="4" t="str">
        <f>IF(Table1[[#This Row],[processing_time_hours]]&gt;1.5,"Slow", "Fast")</f>
        <v>Slow</v>
      </c>
      <c r="K756" t="s">
        <v>2814</v>
      </c>
      <c r="L756" s="3">
        <v>0</v>
      </c>
      <c r="M756" t="str">
        <f>IF(Table1[[#This Row],[delayed]]=1,"Delayed","On Time")</f>
        <v>On Time</v>
      </c>
      <c r="N756" t="str">
        <f>IF(AND(Table1[[#This Row],[delayed]]=1,Table1[[#This Row],[weather_condition]]="Storm"),"High Risk", IF(Table1[[#This Row],[delayed]]=1,"Medium Risk","Low Risk"))</f>
        <v>Low Risk</v>
      </c>
    </row>
    <row r="757" spans="1:14" x14ac:dyDescent="0.35">
      <c r="A757">
        <v>756</v>
      </c>
      <c r="B757" s="1">
        <v>44958.458333333336</v>
      </c>
      <c r="C757" s="2">
        <v>5.9722222222222225E-2</v>
      </c>
      <c r="D757" s="3">
        <v>2108</v>
      </c>
      <c r="E757" s="3">
        <v>318</v>
      </c>
      <c r="F757" s="2">
        <v>72.587499999999991</v>
      </c>
      <c r="G757" t="s">
        <v>2815</v>
      </c>
      <c r="H757" t="s">
        <v>2817</v>
      </c>
      <c r="I757" s="2">
        <v>0.17291666666666669</v>
      </c>
      <c r="J757" s="4" t="str">
        <f>IF(Table1[[#This Row],[processing_time_hours]]&gt;1.5,"Slow", "Fast")</f>
        <v>Fast</v>
      </c>
      <c r="K757" t="s">
        <v>2814</v>
      </c>
      <c r="L757" s="3">
        <v>1</v>
      </c>
      <c r="M757" t="str">
        <f>IF(Table1[[#This Row],[delayed]]=1,"Delayed","On Time")</f>
        <v>Delayed</v>
      </c>
      <c r="N757" t="str">
        <f>IF(AND(Table1[[#This Row],[delayed]]=1,Table1[[#This Row],[weather_condition]]="Storm"),"High Risk", IF(Table1[[#This Row],[delayed]]=1,"Medium Risk","Low Risk"))</f>
        <v>High Risk</v>
      </c>
    </row>
    <row r="758" spans="1:14" x14ac:dyDescent="0.35">
      <c r="A758">
        <v>757</v>
      </c>
      <c r="B758" s="1">
        <v>44958.5</v>
      </c>
      <c r="C758" s="2">
        <v>4.5833333333333337E-2</v>
      </c>
      <c r="D758" s="3">
        <v>2425</v>
      </c>
      <c r="E758" s="3">
        <v>115</v>
      </c>
      <c r="F758" s="2">
        <v>76.793750000000003</v>
      </c>
      <c r="G758" t="s">
        <v>2815</v>
      </c>
      <c r="H758" t="s">
        <v>2813</v>
      </c>
      <c r="I758" s="2">
        <v>0.4597222222222222</v>
      </c>
      <c r="J758" s="4" t="str">
        <f>IF(Table1[[#This Row],[processing_time_hours]]&gt;1.5,"Slow", "Fast")</f>
        <v>Fast</v>
      </c>
      <c r="K758" t="s">
        <v>2814</v>
      </c>
      <c r="L758" s="3">
        <v>0</v>
      </c>
      <c r="M758" t="str">
        <f>IF(Table1[[#This Row],[delayed]]=1,"Delayed","On Time")</f>
        <v>On Time</v>
      </c>
      <c r="N758" t="str">
        <f>IF(AND(Table1[[#This Row],[delayed]]=1,Table1[[#This Row],[weather_condition]]="Storm"),"High Risk", IF(Table1[[#This Row],[delayed]]=1,"Medium Risk","Low Risk"))</f>
        <v>Low Risk</v>
      </c>
    </row>
    <row r="759" spans="1:14" x14ac:dyDescent="0.35">
      <c r="A759">
        <v>758</v>
      </c>
      <c r="B759" s="1">
        <v>44958.541666666664</v>
      </c>
      <c r="C759" s="2">
        <v>4.3055555555555562E-2</v>
      </c>
      <c r="D759" s="3">
        <v>4433</v>
      </c>
      <c r="E759" s="3">
        <v>470</v>
      </c>
      <c r="F759" s="2">
        <v>73.00277777777778</v>
      </c>
      <c r="G759" t="s">
        <v>2812</v>
      </c>
      <c r="H759" t="s">
        <v>2820</v>
      </c>
      <c r="I759" s="2">
        <v>2.8784722222222219</v>
      </c>
      <c r="J759" s="4" t="str">
        <f>IF(Table1[[#This Row],[processing_time_hours]]&gt;1.5,"Slow", "Fast")</f>
        <v>Slow</v>
      </c>
      <c r="K759" t="s">
        <v>2821</v>
      </c>
      <c r="L759" s="3">
        <v>0</v>
      </c>
      <c r="M759" t="str">
        <f>IF(Table1[[#This Row],[delayed]]=1,"Delayed","On Time")</f>
        <v>On Time</v>
      </c>
      <c r="N759" t="str">
        <f>IF(AND(Table1[[#This Row],[delayed]]=1,Table1[[#This Row],[weather_condition]]="Storm"),"High Risk", IF(Table1[[#This Row],[delayed]]=1,"Medium Risk","Low Risk"))</f>
        <v>Low Risk</v>
      </c>
    </row>
    <row r="760" spans="1:14" x14ac:dyDescent="0.35">
      <c r="A760">
        <v>759</v>
      </c>
      <c r="B760" s="1">
        <v>44958.583333333336</v>
      </c>
      <c r="C760" s="2">
        <v>5.7638888888888885E-2</v>
      </c>
      <c r="D760" s="3">
        <v>2289</v>
      </c>
      <c r="E760" s="3">
        <v>158</v>
      </c>
      <c r="F760" s="2">
        <v>5.625694444444445</v>
      </c>
      <c r="G760" t="s">
        <v>2815</v>
      </c>
      <c r="H760" t="s">
        <v>2817</v>
      </c>
      <c r="I760" s="2">
        <v>1.8354166666666665</v>
      </c>
      <c r="J760" s="4" t="str">
        <f>IF(Table1[[#This Row],[processing_time_hours]]&gt;1.5,"Slow", "Fast")</f>
        <v>Slow</v>
      </c>
      <c r="K760" t="s">
        <v>2821</v>
      </c>
      <c r="L760" s="3">
        <v>0</v>
      </c>
      <c r="M760" t="str">
        <f>IF(Table1[[#This Row],[delayed]]=1,"Delayed","On Time")</f>
        <v>On Time</v>
      </c>
      <c r="N760" t="str">
        <f>IF(AND(Table1[[#This Row],[delayed]]=1,Table1[[#This Row],[weather_condition]]="Storm"),"High Risk", IF(Table1[[#This Row],[delayed]]=1,"Medium Risk","Low Risk"))</f>
        <v>Low Risk</v>
      </c>
    </row>
    <row r="761" spans="1:14" x14ac:dyDescent="0.35">
      <c r="A761">
        <v>760</v>
      </c>
      <c r="B761" s="1">
        <v>44958.625</v>
      </c>
      <c r="C761" s="2">
        <v>6.458333333333334E-2</v>
      </c>
      <c r="D761" s="3">
        <v>2577</v>
      </c>
      <c r="E761" s="3">
        <v>96</v>
      </c>
      <c r="F761" s="2">
        <v>82.666666666666671</v>
      </c>
      <c r="G761" t="s">
        <v>2815</v>
      </c>
      <c r="H761" t="s">
        <v>2817</v>
      </c>
      <c r="I761" s="2">
        <v>0.38055555555555554</v>
      </c>
      <c r="J761" s="4" t="str">
        <f>IF(Table1[[#This Row],[processing_time_hours]]&gt;1.5,"Slow", "Fast")</f>
        <v>Fast</v>
      </c>
      <c r="K761" t="s">
        <v>2814</v>
      </c>
      <c r="L761" s="3">
        <v>0</v>
      </c>
      <c r="M761" t="str">
        <f>IF(Table1[[#This Row],[delayed]]=1,"Delayed","On Time")</f>
        <v>On Time</v>
      </c>
      <c r="N761" t="str">
        <f>IF(AND(Table1[[#This Row],[delayed]]=1,Table1[[#This Row],[weather_condition]]="Storm"),"High Risk", IF(Table1[[#This Row],[delayed]]=1,"Medium Risk","Low Risk"))</f>
        <v>Low Risk</v>
      </c>
    </row>
    <row r="762" spans="1:14" x14ac:dyDescent="0.35">
      <c r="A762">
        <v>761</v>
      </c>
      <c r="B762" s="1">
        <v>44958.666666666664</v>
      </c>
      <c r="C762" s="2">
        <v>6.3888888888888898E-2</v>
      </c>
      <c r="D762" s="3">
        <v>622</v>
      </c>
      <c r="E762" s="3">
        <v>411</v>
      </c>
      <c r="F762" s="2">
        <v>57.12638888888889</v>
      </c>
      <c r="G762" t="s">
        <v>2812</v>
      </c>
      <c r="H762" t="s">
        <v>2813</v>
      </c>
      <c r="I762" s="2">
        <v>0.46249999999999997</v>
      </c>
      <c r="J762" s="4" t="str">
        <f>IF(Table1[[#This Row],[processing_time_hours]]&gt;1.5,"Slow", "Fast")</f>
        <v>Fast</v>
      </c>
      <c r="K762" t="s">
        <v>2818</v>
      </c>
      <c r="L762" s="3">
        <v>0</v>
      </c>
      <c r="M762" t="str">
        <f>IF(Table1[[#This Row],[delayed]]=1,"Delayed","On Time")</f>
        <v>On Time</v>
      </c>
      <c r="N762" t="str">
        <f>IF(AND(Table1[[#This Row],[delayed]]=1,Table1[[#This Row],[weather_condition]]="Storm"),"High Risk", IF(Table1[[#This Row],[delayed]]=1,"Medium Risk","Low Risk"))</f>
        <v>Low Risk</v>
      </c>
    </row>
    <row r="763" spans="1:14" x14ac:dyDescent="0.35">
      <c r="A763">
        <v>762</v>
      </c>
      <c r="B763" s="1">
        <v>44958.708333333336</v>
      </c>
      <c r="C763" s="2">
        <v>5.1388888888888894E-2</v>
      </c>
      <c r="D763" s="3">
        <v>2413</v>
      </c>
      <c r="E763" s="3">
        <v>410</v>
      </c>
      <c r="F763" s="2">
        <v>27.627083333333331</v>
      </c>
      <c r="G763" t="s">
        <v>2815</v>
      </c>
      <c r="H763" t="s">
        <v>2822</v>
      </c>
      <c r="I763" s="2">
        <v>0.12708333333333333</v>
      </c>
      <c r="J763" s="4" t="str">
        <f>IF(Table1[[#This Row],[processing_time_hours]]&gt;1.5,"Slow", "Fast")</f>
        <v>Fast</v>
      </c>
      <c r="K763" t="s">
        <v>2814</v>
      </c>
      <c r="L763" s="3">
        <v>1</v>
      </c>
      <c r="M763" t="str">
        <f>IF(Table1[[#This Row],[delayed]]=1,"Delayed","On Time")</f>
        <v>Delayed</v>
      </c>
      <c r="N763" t="str">
        <f>IF(AND(Table1[[#This Row],[delayed]]=1,Table1[[#This Row],[weather_condition]]="Storm"),"High Risk", IF(Table1[[#This Row],[delayed]]=1,"Medium Risk","Low Risk"))</f>
        <v>Medium Risk</v>
      </c>
    </row>
    <row r="764" spans="1:14" x14ac:dyDescent="0.35">
      <c r="A764">
        <v>763</v>
      </c>
      <c r="B764" s="1">
        <v>44958.75</v>
      </c>
      <c r="C764" s="2">
        <v>5.7638888888888885E-2</v>
      </c>
      <c r="D764" s="3">
        <v>1495</v>
      </c>
      <c r="E764" s="3">
        <v>338</v>
      </c>
      <c r="F764" s="2">
        <v>63.918055555555554</v>
      </c>
      <c r="G764" t="s">
        <v>2819</v>
      </c>
      <c r="H764" t="s">
        <v>2820</v>
      </c>
      <c r="I764" s="2">
        <v>2.4611111111111112</v>
      </c>
      <c r="J764" s="4" t="str">
        <f>IF(Table1[[#This Row],[processing_time_hours]]&gt;1.5,"Slow", "Fast")</f>
        <v>Slow</v>
      </c>
      <c r="K764" t="s">
        <v>2821</v>
      </c>
      <c r="L764" s="3">
        <v>0</v>
      </c>
      <c r="M764" t="str">
        <f>IF(Table1[[#This Row],[delayed]]=1,"Delayed","On Time")</f>
        <v>On Time</v>
      </c>
      <c r="N764" t="str">
        <f>IF(AND(Table1[[#This Row],[delayed]]=1,Table1[[#This Row],[weather_condition]]="Storm"),"High Risk", IF(Table1[[#This Row],[delayed]]=1,"Medium Risk","Low Risk"))</f>
        <v>Low Risk</v>
      </c>
    </row>
    <row r="765" spans="1:14" x14ac:dyDescent="0.35">
      <c r="A765">
        <v>764</v>
      </c>
      <c r="B765" s="1">
        <v>44958.791666666664</v>
      </c>
      <c r="C765" s="2">
        <v>6.1805555555555558E-2</v>
      </c>
      <c r="D765" s="3">
        <v>394</v>
      </c>
      <c r="E765" s="3">
        <v>15</v>
      </c>
      <c r="F765" s="2">
        <v>5.3354166666666671</v>
      </c>
      <c r="G765" t="s">
        <v>2815</v>
      </c>
      <c r="H765" t="s">
        <v>2820</v>
      </c>
      <c r="I765" s="2">
        <v>1.9631944444444445</v>
      </c>
      <c r="J765" s="4" t="str">
        <f>IF(Table1[[#This Row],[processing_time_hours]]&gt;1.5,"Slow", "Fast")</f>
        <v>Slow</v>
      </c>
      <c r="K765" t="s">
        <v>2814</v>
      </c>
      <c r="L765" s="3">
        <v>0</v>
      </c>
      <c r="M765" t="str">
        <f>IF(Table1[[#This Row],[delayed]]=1,"Delayed","On Time")</f>
        <v>On Time</v>
      </c>
      <c r="N765" t="str">
        <f>IF(AND(Table1[[#This Row],[delayed]]=1,Table1[[#This Row],[weather_condition]]="Storm"),"High Risk", IF(Table1[[#This Row],[delayed]]=1,"Medium Risk","Low Risk"))</f>
        <v>Low Risk</v>
      </c>
    </row>
    <row r="766" spans="1:14" x14ac:dyDescent="0.35">
      <c r="A766">
        <v>765</v>
      </c>
      <c r="B766" s="1">
        <v>44958.833333333336</v>
      </c>
      <c r="C766" s="2">
        <v>6.5972222222222224E-2</v>
      </c>
      <c r="D766" s="3">
        <v>4648</v>
      </c>
      <c r="E766" s="3">
        <v>223</v>
      </c>
      <c r="F766" s="2">
        <v>9.7520833333333332</v>
      </c>
      <c r="G766" t="s">
        <v>2816</v>
      </c>
      <c r="H766" t="s">
        <v>2822</v>
      </c>
      <c r="I766" s="2">
        <v>1.875</v>
      </c>
      <c r="J766" s="4" t="str">
        <f>IF(Table1[[#This Row],[processing_time_hours]]&gt;1.5,"Slow", "Fast")</f>
        <v>Slow</v>
      </c>
      <c r="K766" t="s">
        <v>2818</v>
      </c>
      <c r="L766" s="3">
        <v>1</v>
      </c>
      <c r="M766" t="str">
        <f>IF(Table1[[#This Row],[delayed]]=1,"Delayed","On Time")</f>
        <v>Delayed</v>
      </c>
      <c r="N766" t="str">
        <f>IF(AND(Table1[[#This Row],[delayed]]=1,Table1[[#This Row],[weather_condition]]="Storm"),"High Risk", IF(Table1[[#This Row],[delayed]]=1,"Medium Risk","Low Risk"))</f>
        <v>Medium Risk</v>
      </c>
    </row>
    <row r="767" spans="1:14" x14ac:dyDescent="0.35">
      <c r="A767">
        <v>766</v>
      </c>
      <c r="B767" s="1">
        <v>44958.875</v>
      </c>
      <c r="C767" s="2">
        <v>5.5555555555555558E-3</v>
      </c>
      <c r="D767" s="3">
        <v>2632</v>
      </c>
      <c r="E767" s="3">
        <v>26</v>
      </c>
      <c r="F767" s="2">
        <v>63.041666666666664</v>
      </c>
      <c r="G767" t="s">
        <v>2816</v>
      </c>
      <c r="H767" t="s">
        <v>2817</v>
      </c>
      <c r="I767" s="2">
        <v>0.21180555555555555</v>
      </c>
      <c r="J767" s="4" t="str">
        <f>IF(Table1[[#This Row],[processing_time_hours]]&gt;1.5,"Slow", "Fast")</f>
        <v>Fast</v>
      </c>
      <c r="K767" t="s">
        <v>2814</v>
      </c>
      <c r="L767" s="3">
        <v>1</v>
      </c>
      <c r="M767" t="str">
        <f>IF(Table1[[#This Row],[delayed]]=1,"Delayed","On Time")</f>
        <v>Delayed</v>
      </c>
      <c r="N767" t="str">
        <f>IF(AND(Table1[[#This Row],[delayed]]=1,Table1[[#This Row],[weather_condition]]="Storm"),"High Risk", IF(Table1[[#This Row],[delayed]]=1,"Medium Risk","Low Risk"))</f>
        <v>High Risk</v>
      </c>
    </row>
    <row r="768" spans="1:14" x14ac:dyDescent="0.35">
      <c r="A768">
        <v>767</v>
      </c>
      <c r="B768" s="1">
        <v>44958.916666666664</v>
      </c>
      <c r="C768" s="2">
        <v>6.5972222222222224E-2</v>
      </c>
      <c r="D768" s="3">
        <v>4683</v>
      </c>
      <c r="E768" s="3">
        <v>210</v>
      </c>
      <c r="F768" s="2">
        <v>21.584722222222222</v>
      </c>
      <c r="G768" t="s">
        <v>2812</v>
      </c>
      <c r="H768" t="s">
        <v>2820</v>
      </c>
      <c r="I768" s="2">
        <v>0.29444444444444445</v>
      </c>
      <c r="J768" s="4" t="str">
        <f>IF(Table1[[#This Row],[processing_time_hours]]&gt;1.5,"Slow", "Fast")</f>
        <v>Fast</v>
      </c>
      <c r="K768" t="s">
        <v>2818</v>
      </c>
      <c r="L768" s="3">
        <v>0</v>
      </c>
      <c r="M768" t="str">
        <f>IF(Table1[[#This Row],[delayed]]=1,"Delayed","On Time")</f>
        <v>On Time</v>
      </c>
      <c r="N768" t="str">
        <f>IF(AND(Table1[[#This Row],[delayed]]=1,Table1[[#This Row],[weather_condition]]="Storm"),"High Risk", IF(Table1[[#This Row],[delayed]]=1,"Medium Risk","Low Risk"))</f>
        <v>Low Risk</v>
      </c>
    </row>
    <row r="769" spans="1:14" x14ac:dyDescent="0.35">
      <c r="A769">
        <v>768</v>
      </c>
      <c r="B769" s="1">
        <v>44958.958333333336</v>
      </c>
      <c r="C769" s="2">
        <v>5.0694444444444438E-2</v>
      </c>
      <c r="D769" s="3">
        <v>2760</v>
      </c>
      <c r="E769" s="3">
        <v>224</v>
      </c>
      <c r="F769" s="2">
        <v>60.041666666666664</v>
      </c>
      <c r="G769" t="s">
        <v>2819</v>
      </c>
      <c r="H769" t="s">
        <v>2820</v>
      </c>
      <c r="I769" s="2">
        <v>0.92222222222222217</v>
      </c>
      <c r="J769" s="4" t="str">
        <f>IF(Table1[[#This Row],[processing_time_hours]]&gt;1.5,"Slow", "Fast")</f>
        <v>Fast</v>
      </c>
      <c r="K769" t="s">
        <v>2814</v>
      </c>
      <c r="L769" s="3">
        <v>1</v>
      </c>
      <c r="M769" t="str">
        <f>IF(Table1[[#This Row],[delayed]]=1,"Delayed","On Time")</f>
        <v>Delayed</v>
      </c>
      <c r="N769" t="str">
        <f>IF(AND(Table1[[#This Row],[delayed]]=1,Table1[[#This Row],[weather_condition]]="Storm"),"High Risk", IF(Table1[[#This Row],[delayed]]=1,"Medium Risk","Low Risk"))</f>
        <v>Medium Risk</v>
      </c>
    </row>
    <row r="770" spans="1:14" x14ac:dyDescent="0.35">
      <c r="A770">
        <v>769</v>
      </c>
      <c r="B770" s="1">
        <v>44959</v>
      </c>
      <c r="C770" s="2">
        <v>4.7916666666666663E-2</v>
      </c>
      <c r="D770" s="3">
        <v>2092</v>
      </c>
      <c r="E770" s="3">
        <v>269</v>
      </c>
      <c r="F770" s="2">
        <v>54.213888888888896</v>
      </c>
      <c r="G770" t="s">
        <v>2816</v>
      </c>
      <c r="H770" t="s">
        <v>2822</v>
      </c>
      <c r="I770" s="2">
        <v>1.7965277777777777</v>
      </c>
      <c r="J770" s="4" t="str">
        <f>IF(Table1[[#This Row],[processing_time_hours]]&gt;1.5,"Slow", "Fast")</f>
        <v>Slow</v>
      </c>
      <c r="K770" t="s">
        <v>2821</v>
      </c>
      <c r="L770" s="3">
        <v>0</v>
      </c>
      <c r="M770" t="str">
        <f>IF(Table1[[#This Row],[delayed]]=1,"Delayed","On Time")</f>
        <v>On Time</v>
      </c>
      <c r="N770" t="str">
        <f>IF(AND(Table1[[#This Row],[delayed]]=1,Table1[[#This Row],[weather_condition]]="Storm"),"High Risk", IF(Table1[[#This Row],[delayed]]=1,"Medium Risk","Low Risk"))</f>
        <v>Low Risk</v>
      </c>
    </row>
    <row r="771" spans="1:14" x14ac:dyDescent="0.35">
      <c r="A771">
        <v>770</v>
      </c>
      <c r="B771" s="1">
        <v>44959.041666666664</v>
      </c>
      <c r="C771" s="2">
        <v>4.9999999999999996E-2</v>
      </c>
      <c r="D771" s="3">
        <v>3474</v>
      </c>
      <c r="E771" s="3">
        <v>7</v>
      </c>
      <c r="F771" s="2">
        <v>76.416666666666671</v>
      </c>
      <c r="G771" t="s">
        <v>2815</v>
      </c>
      <c r="H771" t="s">
        <v>2817</v>
      </c>
      <c r="I771" s="2">
        <v>1.7930555555555554</v>
      </c>
      <c r="J771" s="4" t="str">
        <f>IF(Table1[[#This Row],[processing_time_hours]]&gt;1.5,"Slow", "Fast")</f>
        <v>Slow</v>
      </c>
      <c r="K771" t="s">
        <v>2821</v>
      </c>
      <c r="L771" s="3">
        <v>1</v>
      </c>
      <c r="M771" t="str">
        <f>IF(Table1[[#This Row],[delayed]]=1,"Delayed","On Time")</f>
        <v>Delayed</v>
      </c>
      <c r="N771" t="str">
        <f>IF(AND(Table1[[#This Row],[delayed]]=1,Table1[[#This Row],[weather_condition]]="Storm"),"High Risk", IF(Table1[[#This Row],[delayed]]=1,"Medium Risk","Low Risk"))</f>
        <v>High Risk</v>
      </c>
    </row>
    <row r="772" spans="1:14" x14ac:dyDescent="0.35">
      <c r="A772">
        <v>771</v>
      </c>
      <c r="B772" s="1">
        <v>44959.083333333336</v>
      </c>
      <c r="C772" s="2">
        <v>6.1805555555555558E-2</v>
      </c>
      <c r="D772" s="3">
        <v>617</v>
      </c>
      <c r="E772" s="3">
        <v>334</v>
      </c>
      <c r="F772" s="2">
        <v>49.006250000000001</v>
      </c>
      <c r="G772" t="s">
        <v>2819</v>
      </c>
      <c r="H772" t="s">
        <v>2817</v>
      </c>
      <c r="I772" s="2">
        <v>0.62638888888888888</v>
      </c>
      <c r="J772" s="4" t="str">
        <f>IF(Table1[[#This Row],[processing_time_hours]]&gt;1.5,"Slow", "Fast")</f>
        <v>Fast</v>
      </c>
      <c r="K772" t="s">
        <v>2821</v>
      </c>
      <c r="L772" s="3">
        <v>1</v>
      </c>
      <c r="M772" t="str">
        <f>IF(Table1[[#This Row],[delayed]]=1,"Delayed","On Time")</f>
        <v>Delayed</v>
      </c>
      <c r="N772" t="str">
        <f>IF(AND(Table1[[#This Row],[delayed]]=1,Table1[[#This Row],[weather_condition]]="Storm"),"High Risk", IF(Table1[[#This Row],[delayed]]=1,"Medium Risk","Low Risk"))</f>
        <v>High Risk</v>
      </c>
    </row>
    <row r="773" spans="1:14" x14ac:dyDescent="0.35">
      <c r="A773">
        <v>772</v>
      </c>
      <c r="B773" s="1">
        <v>44959.125</v>
      </c>
      <c r="C773" s="2">
        <v>6.5972222222222224E-2</v>
      </c>
      <c r="D773" s="3">
        <v>2936</v>
      </c>
      <c r="E773" s="3">
        <v>41</v>
      </c>
      <c r="F773" s="2">
        <v>41.754861111111111</v>
      </c>
      <c r="G773" t="s">
        <v>2816</v>
      </c>
      <c r="H773" t="s">
        <v>2817</v>
      </c>
      <c r="I773" s="2">
        <v>1.625</v>
      </c>
      <c r="J773" s="4" t="str">
        <f>IF(Table1[[#This Row],[processing_time_hours]]&gt;1.5,"Slow", "Fast")</f>
        <v>Slow</v>
      </c>
      <c r="K773" t="s">
        <v>2821</v>
      </c>
      <c r="L773" s="3">
        <v>1</v>
      </c>
      <c r="M773" t="str">
        <f>IF(Table1[[#This Row],[delayed]]=1,"Delayed","On Time")</f>
        <v>Delayed</v>
      </c>
      <c r="N773" t="str">
        <f>IF(AND(Table1[[#This Row],[delayed]]=1,Table1[[#This Row],[weather_condition]]="Storm"),"High Risk", IF(Table1[[#This Row],[delayed]]=1,"Medium Risk","Low Risk"))</f>
        <v>High Risk</v>
      </c>
    </row>
    <row r="774" spans="1:14" x14ac:dyDescent="0.35">
      <c r="A774">
        <v>773</v>
      </c>
      <c r="B774" s="1">
        <v>44959.166666666664</v>
      </c>
      <c r="C774" s="2">
        <v>5.486111111111111E-2</v>
      </c>
      <c r="D774" s="3">
        <v>2915</v>
      </c>
      <c r="E774" s="3">
        <v>338</v>
      </c>
      <c r="F774" s="2">
        <v>49.546527777777776</v>
      </c>
      <c r="G774" t="s">
        <v>2816</v>
      </c>
      <c r="H774" t="s">
        <v>2813</v>
      </c>
      <c r="I774" s="2">
        <v>2.1312500000000001</v>
      </c>
      <c r="J774" s="4" t="str">
        <f>IF(Table1[[#This Row],[processing_time_hours]]&gt;1.5,"Slow", "Fast")</f>
        <v>Slow</v>
      </c>
      <c r="K774" t="s">
        <v>2821</v>
      </c>
      <c r="L774" s="3">
        <v>1</v>
      </c>
      <c r="M774" t="str">
        <f>IF(Table1[[#This Row],[delayed]]=1,"Delayed","On Time")</f>
        <v>Delayed</v>
      </c>
      <c r="N774" t="str">
        <f>IF(AND(Table1[[#This Row],[delayed]]=1,Table1[[#This Row],[weather_condition]]="Storm"),"High Risk", IF(Table1[[#This Row],[delayed]]=1,"Medium Risk","Low Risk"))</f>
        <v>Medium Risk</v>
      </c>
    </row>
    <row r="775" spans="1:14" x14ac:dyDescent="0.35">
      <c r="A775">
        <v>774</v>
      </c>
      <c r="B775" s="1">
        <v>44959.208333333336</v>
      </c>
      <c r="C775" s="2">
        <v>6.1111111111111109E-2</v>
      </c>
      <c r="D775" s="3">
        <v>1857</v>
      </c>
      <c r="E775" s="3">
        <v>362</v>
      </c>
      <c r="F775" s="2">
        <v>75.211805555555557</v>
      </c>
      <c r="G775" t="s">
        <v>2812</v>
      </c>
      <c r="H775" t="s">
        <v>2813</v>
      </c>
      <c r="I775" s="2">
        <v>2.4194444444444447</v>
      </c>
      <c r="J775" s="4" t="str">
        <f>IF(Table1[[#This Row],[processing_time_hours]]&gt;1.5,"Slow", "Fast")</f>
        <v>Slow</v>
      </c>
      <c r="K775" t="s">
        <v>2814</v>
      </c>
      <c r="L775" s="3">
        <v>1</v>
      </c>
      <c r="M775" t="str">
        <f>IF(Table1[[#This Row],[delayed]]=1,"Delayed","On Time")</f>
        <v>Delayed</v>
      </c>
      <c r="N775" t="str">
        <f>IF(AND(Table1[[#This Row],[delayed]]=1,Table1[[#This Row],[weather_condition]]="Storm"),"High Risk", IF(Table1[[#This Row],[delayed]]=1,"Medium Risk","Low Risk"))</f>
        <v>Medium Risk</v>
      </c>
    </row>
    <row r="776" spans="1:14" x14ac:dyDescent="0.35">
      <c r="A776">
        <v>775</v>
      </c>
      <c r="B776" s="1">
        <v>44959.25</v>
      </c>
      <c r="C776" s="2">
        <v>4.5833333333333337E-2</v>
      </c>
      <c r="D776" s="3">
        <v>432</v>
      </c>
      <c r="E776" s="3">
        <v>230</v>
      </c>
      <c r="F776" s="2">
        <v>79.084027777777777</v>
      </c>
      <c r="G776" t="s">
        <v>2815</v>
      </c>
      <c r="H776" t="s">
        <v>2813</v>
      </c>
      <c r="I776" s="2">
        <v>1.377777777777778</v>
      </c>
      <c r="J776" s="4" t="str">
        <f>IF(Table1[[#This Row],[processing_time_hours]]&gt;1.5,"Slow", "Fast")</f>
        <v>Fast</v>
      </c>
      <c r="K776" t="s">
        <v>2818</v>
      </c>
      <c r="L776" s="3">
        <v>0</v>
      </c>
      <c r="M776" t="str">
        <f>IF(Table1[[#This Row],[delayed]]=1,"Delayed","On Time")</f>
        <v>On Time</v>
      </c>
      <c r="N776" t="str">
        <f>IF(AND(Table1[[#This Row],[delayed]]=1,Table1[[#This Row],[weather_condition]]="Storm"),"High Risk", IF(Table1[[#This Row],[delayed]]=1,"Medium Risk","Low Risk"))</f>
        <v>Low Risk</v>
      </c>
    </row>
    <row r="777" spans="1:14" x14ac:dyDescent="0.35">
      <c r="A777">
        <v>776</v>
      </c>
      <c r="B777" s="1">
        <v>44959.291666666664</v>
      </c>
      <c r="C777" s="2">
        <v>5.5555555555555558E-3</v>
      </c>
      <c r="D777" s="3">
        <v>250</v>
      </c>
      <c r="E777" s="3">
        <v>176</v>
      </c>
      <c r="F777" s="2">
        <v>19.669444444444444</v>
      </c>
      <c r="G777" t="s">
        <v>2816</v>
      </c>
      <c r="H777" t="s">
        <v>2822</v>
      </c>
      <c r="I777" s="2">
        <v>1.5062499999999999</v>
      </c>
      <c r="J777" s="4" t="str">
        <f>IF(Table1[[#This Row],[processing_time_hours]]&gt;1.5,"Slow", "Fast")</f>
        <v>Slow</v>
      </c>
      <c r="K777" t="s">
        <v>2821</v>
      </c>
      <c r="L777" s="3">
        <v>1</v>
      </c>
      <c r="M777" t="str">
        <f>IF(Table1[[#This Row],[delayed]]=1,"Delayed","On Time")</f>
        <v>Delayed</v>
      </c>
      <c r="N777" t="str">
        <f>IF(AND(Table1[[#This Row],[delayed]]=1,Table1[[#This Row],[weather_condition]]="Storm"),"High Risk", IF(Table1[[#This Row],[delayed]]=1,"Medium Risk","Low Risk"))</f>
        <v>Medium Risk</v>
      </c>
    </row>
    <row r="778" spans="1:14" x14ac:dyDescent="0.35">
      <c r="A778">
        <v>777</v>
      </c>
      <c r="B778" s="1">
        <v>44959.333333333336</v>
      </c>
      <c r="C778" s="2">
        <v>5.3472222222222227E-2</v>
      </c>
      <c r="D778" s="3">
        <v>1009</v>
      </c>
      <c r="E778" s="3">
        <v>495</v>
      </c>
      <c r="F778" s="2">
        <v>70.294444444444437</v>
      </c>
      <c r="G778" t="s">
        <v>2812</v>
      </c>
      <c r="H778" t="s">
        <v>2820</v>
      </c>
      <c r="I778" s="2">
        <v>2.0451388888888888</v>
      </c>
      <c r="J778" s="4" t="str">
        <f>IF(Table1[[#This Row],[processing_time_hours]]&gt;1.5,"Slow", "Fast")</f>
        <v>Slow</v>
      </c>
      <c r="K778" t="s">
        <v>2821</v>
      </c>
      <c r="L778" s="3">
        <v>0</v>
      </c>
      <c r="M778" t="str">
        <f>IF(Table1[[#This Row],[delayed]]=1,"Delayed","On Time")</f>
        <v>On Time</v>
      </c>
      <c r="N778" t="str">
        <f>IF(AND(Table1[[#This Row],[delayed]]=1,Table1[[#This Row],[weather_condition]]="Storm"),"High Risk", IF(Table1[[#This Row],[delayed]]=1,"Medium Risk","Low Risk"))</f>
        <v>Low Risk</v>
      </c>
    </row>
    <row r="779" spans="1:14" x14ac:dyDescent="0.35">
      <c r="A779">
        <v>778</v>
      </c>
      <c r="B779" s="1">
        <v>44959.375</v>
      </c>
      <c r="C779" s="2">
        <v>5.3472222222222227E-2</v>
      </c>
      <c r="D779" s="3">
        <v>1093</v>
      </c>
      <c r="E779" s="3">
        <v>314</v>
      </c>
      <c r="F779" s="2">
        <v>49.754861111111104</v>
      </c>
      <c r="G779" t="s">
        <v>2812</v>
      </c>
      <c r="H779" t="s">
        <v>2820</v>
      </c>
      <c r="I779" s="2">
        <v>2.7104166666666667</v>
      </c>
      <c r="J779" s="4" t="str">
        <f>IF(Table1[[#This Row],[processing_time_hours]]&gt;1.5,"Slow", "Fast")</f>
        <v>Slow</v>
      </c>
      <c r="K779" t="s">
        <v>2821</v>
      </c>
      <c r="L779" s="3">
        <v>0</v>
      </c>
      <c r="M779" t="str">
        <f>IF(Table1[[#This Row],[delayed]]=1,"Delayed","On Time")</f>
        <v>On Time</v>
      </c>
      <c r="N779" t="str">
        <f>IF(AND(Table1[[#This Row],[delayed]]=1,Table1[[#This Row],[weather_condition]]="Storm"),"High Risk", IF(Table1[[#This Row],[delayed]]=1,"Medium Risk","Low Risk"))</f>
        <v>Low Risk</v>
      </c>
    </row>
    <row r="780" spans="1:14" x14ac:dyDescent="0.35">
      <c r="A780">
        <v>779</v>
      </c>
      <c r="B780" s="1">
        <v>44959.416666666664</v>
      </c>
      <c r="C780" s="2">
        <v>4.7222222222222221E-2</v>
      </c>
      <c r="D780" s="3">
        <v>3821</v>
      </c>
      <c r="E780" s="3">
        <v>78</v>
      </c>
      <c r="F780" s="2">
        <v>64.170138888888886</v>
      </c>
      <c r="G780" t="s">
        <v>2816</v>
      </c>
      <c r="H780" t="s">
        <v>2817</v>
      </c>
      <c r="I780" s="2">
        <v>1.9611111111111112</v>
      </c>
      <c r="J780" s="4" t="str">
        <f>IF(Table1[[#This Row],[processing_time_hours]]&gt;1.5,"Slow", "Fast")</f>
        <v>Slow</v>
      </c>
      <c r="K780" t="s">
        <v>2818</v>
      </c>
      <c r="L780" s="3">
        <v>0</v>
      </c>
      <c r="M780" t="str">
        <f>IF(Table1[[#This Row],[delayed]]=1,"Delayed","On Time")</f>
        <v>On Time</v>
      </c>
      <c r="N780" t="str">
        <f>IF(AND(Table1[[#This Row],[delayed]]=1,Table1[[#This Row],[weather_condition]]="Storm"),"High Risk", IF(Table1[[#This Row],[delayed]]=1,"Medium Risk","Low Risk"))</f>
        <v>Low Risk</v>
      </c>
    </row>
    <row r="781" spans="1:14" x14ac:dyDescent="0.35">
      <c r="A781">
        <v>780</v>
      </c>
      <c r="B781" s="1">
        <v>44959.458333333336</v>
      </c>
      <c r="C781" s="2">
        <v>5.9027777777777783E-2</v>
      </c>
      <c r="D781" s="3">
        <v>1387</v>
      </c>
      <c r="E781" s="3">
        <v>382</v>
      </c>
      <c r="F781" s="2">
        <v>37.918749999999996</v>
      </c>
      <c r="G781" t="s">
        <v>2816</v>
      </c>
      <c r="H781" t="s">
        <v>2813</v>
      </c>
      <c r="I781" s="2">
        <v>1.4166666666666667</v>
      </c>
      <c r="J781" s="4" t="str">
        <f>IF(Table1[[#This Row],[processing_time_hours]]&gt;1.5,"Slow", "Fast")</f>
        <v>Fast</v>
      </c>
      <c r="K781" t="s">
        <v>2814</v>
      </c>
      <c r="L781" s="3">
        <v>0</v>
      </c>
      <c r="M781" t="str">
        <f>IF(Table1[[#This Row],[delayed]]=1,"Delayed","On Time")</f>
        <v>On Time</v>
      </c>
      <c r="N781" t="str">
        <f>IF(AND(Table1[[#This Row],[delayed]]=1,Table1[[#This Row],[weather_condition]]="Storm"),"High Risk", IF(Table1[[#This Row],[delayed]]=1,"Medium Risk","Low Risk"))</f>
        <v>Low Risk</v>
      </c>
    </row>
    <row r="782" spans="1:14" x14ac:dyDescent="0.35">
      <c r="A782">
        <v>781</v>
      </c>
      <c r="B782" s="1">
        <v>44959.5</v>
      </c>
      <c r="C782" s="2">
        <v>6.0416666666666667E-2</v>
      </c>
      <c r="D782" s="3">
        <v>636</v>
      </c>
      <c r="E782" s="3">
        <v>20</v>
      </c>
      <c r="F782" s="2">
        <v>1.0048611111111112</v>
      </c>
      <c r="G782" t="s">
        <v>2816</v>
      </c>
      <c r="H782" t="s">
        <v>2813</v>
      </c>
      <c r="I782" s="2">
        <v>2.75</v>
      </c>
      <c r="J782" s="4" t="str">
        <f>IF(Table1[[#This Row],[processing_time_hours]]&gt;1.5,"Slow", "Fast")</f>
        <v>Slow</v>
      </c>
      <c r="K782" t="s">
        <v>2821</v>
      </c>
      <c r="L782" s="3">
        <v>1</v>
      </c>
      <c r="M782" t="str">
        <f>IF(Table1[[#This Row],[delayed]]=1,"Delayed","On Time")</f>
        <v>Delayed</v>
      </c>
      <c r="N782" t="str">
        <f>IF(AND(Table1[[#This Row],[delayed]]=1,Table1[[#This Row],[weather_condition]]="Storm"),"High Risk", IF(Table1[[#This Row],[delayed]]=1,"Medium Risk","Low Risk"))</f>
        <v>Medium Risk</v>
      </c>
    </row>
    <row r="783" spans="1:14" x14ac:dyDescent="0.35">
      <c r="A783">
        <v>782</v>
      </c>
      <c r="B783" s="1">
        <v>44959.541666666664</v>
      </c>
      <c r="C783" s="2">
        <v>5.9027777777777783E-2</v>
      </c>
      <c r="D783" s="3">
        <v>2908</v>
      </c>
      <c r="E783" s="3">
        <v>13</v>
      </c>
      <c r="F783" s="2">
        <v>13.375694444444443</v>
      </c>
      <c r="G783" t="s">
        <v>2816</v>
      </c>
      <c r="H783" t="s">
        <v>2822</v>
      </c>
      <c r="I783" s="2">
        <v>0.46249999999999997</v>
      </c>
      <c r="J783" s="4" t="str">
        <f>IF(Table1[[#This Row],[processing_time_hours]]&gt;1.5,"Slow", "Fast")</f>
        <v>Fast</v>
      </c>
      <c r="K783" t="s">
        <v>2814</v>
      </c>
      <c r="L783" s="3">
        <v>0</v>
      </c>
      <c r="M783" t="str">
        <f>IF(Table1[[#This Row],[delayed]]=1,"Delayed","On Time")</f>
        <v>On Time</v>
      </c>
      <c r="N783" t="str">
        <f>IF(AND(Table1[[#This Row],[delayed]]=1,Table1[[#This Row],[weather_condition]]="Storm"),"High Risk", IF(Table1[[#This Row],[delayed]]=1,"Medium Risk","Low Risk"))</f>
        <v>Low Risk</v>
      </c>
    </row>
    <row r="784" spans="1:14" x14ac:dyDescent="0.35">
      <c r="A784">
        <v>783</v>
      </c>
      <c r="B784" s="1">
        <v>44959.583333333336</v>
      </c>
      <c r="C784" s="2">
        <v>6.2499999999999995E-3</v>
      </c>
      <c r="D784" s="3">
        <v>4178</v>
      </c>
      <c r="E784" s="3">
        <v>96</v>
      </c>
      <c r="F784" s="2">
        <v>13.543055555555556</v>
      </c>
      <c r="G784" t="s">
        <v>2819</v>
      </c>
      <c r="H784" t="s">
        <v>2817</v>
      </c>
      <c r="I784" s="2">
        <v>1.4611111111111112</v>
      </c>
      <c r="J784" s="4" t="str">
        <f>IF(Table1[[#This Row],[processing_time_hours]]&gt;1.5,"Slow", "Fast")</f>
        <v>Fast</v>
      </c>
      <c r="K784" t="s">
        <v>2818</v>
      </c>
      <c r="L784" s="3">
        <v>1</v>
      </c>
      <c r="M784" t="str">
        <f>IF(Table1[[#This Row],[delayed]]=1,"Delayed","On Time")</f>
        <v>Delayed</v>
      </c>
      <c r="N784" t="str">
        <f>IF(AND(Table1[[#This Row],[delayed]]=1,Table1[[#This Row],[weather_condition]]="Storm"),"High Risk", IF(Table1[[#This Row],[delayed]]=1,"Medium Risk","Low Risk"))</f>
        <v>High Risk</v>
      </c>
    </row>
    <row r="785" spans="1:14" x14ac:dyDescent="0.35">
      <c r="A785">
        <v>784</v>
      </c>
      <c r="B785" s="1">
        <v>44959.625</v>
      </c>
      <c r="C785" s="2">
        <v>5.4166666666666669E-2</v>
      </c>
      <c r="D785" s="3">
        <v>4927</v>
      </c>
      <c r="E785" s="3">
        <v>291</v>
      </c>
      <c r="F785" s="2">
        <v>72.172222222222231</v>
      </c>
      <c r="G785" t="s">
        <v>2815</v>
      </c>
      <c r="H785" t="s">
        <v>2817</v>
      </c>
      <c r="I785" s="2">
        <v>0.83888888888888891</v>
      </c>
      <c r="J785" s="4" t="str">
        <f>IF(Table1[[#This Row],[processing_time_hours]]&gt;1.5,"Slow", "Fast")</f>
        <v>Fast</v>
      </c>
      <c r="K785" t="s">
        <v>2814</v>
      </c>
      <c r="L785" s="3">
        <v>0</v>
      </c>
      <c r="M785" t="str">
        <f>IF(Table1[[#This Row],[delayed]]=1,"Delayed","On Time")</f>
        <v>On Time</v>
      </c>
      <c r="N785" t="str">
        <f>IF(AND(Table1[[#This Row],[delayed]]=1,Table1[[#This Row],[weather_condition]]="Storm"),"High Risk", IF(Table1[[#This Row],[delayed]]=1,"Medium Risk","Low Risk"))</f>
        <v>Low Risk</v>
      </c>
    </row>
    <row r="786" spans="1:14" x14ac:dyDescent="0.35">
      <c r="A786">
        <v>785</v>
      </c>
      <c r="B786" s="1">
        <v>44959.666666666664</v>
      </c>
      <c r="C786" s="2">
        <v>6.5277777777777782E-2</v>
      </c>
      <c r="D786" s="3">
        <v>1823</v>
      </c>
      <c r="E786" s="3">
        <v>341</v>
      </c>
      <c r="F786" s="2">
        <v>21.295833333333334</v>
      </c>
      <c r="G786" t="s">
        <v>2816</v>
      </c>
      <c r="H786" t="s">
        <v>2820</v>
      </c>
      <c r="I786" s="2">
        <v>2.9597222222222221</v>
      </c>
      <c r="J786" s="4" t="str">
        <f>IF(Table1[[#This Row],[processing_time_hours]]&gt;1.5,"Slow", "Fast")</f>
        <v>Slow</v>
      </c>
      <c r="K786" t="s">
        <v>2821</v>
      </c>
      <c r="L786" s="3">
        <v>0</v>
      </c>
      <c r="M786" t="str">
        <f>IF(Table1[[#This Row],[delayed]]=1,"Delayed","On Time")</f>
        <v>On Time</v>
      </c>
      <c r="N786" t="str">
        <f>IF(AND(Table1[[#This Row],[delayed]]=1,Table1[[#This Row],[weather_condition]]="Storm"),"High Risk", IF(Table1[[#This Row],[delayed]]=1,"Medium Risk","Low Risk"))</f>
        <v>Low Risk</v>
      </c>
    </row>
    <row r="787" spans="1:14" x14ac:dyDescent="0.35">
      <c r="A787">
        <v>786</v>
      </c>
      <c r="B787" s="1">
        <v>44959.708333333336</v>
      </c>
      <c r="C787" s="2">
        <v>5.7638888888888885E-2</v>
      </c>
      <c r="D787" s="3">
        <v>4635</v>
      </c>
      <c r="E787" s="3">
        <v>202</v>
      </c>
      <c r="F787" s="2">
        <v>62.713888888888896</v>
      </c>
      <c r="G787" t="s">
        <v>2819</v>
      </c>
      <c r="H787" t="s">
        <v>2813</v>
      </c>
      <c r="I787" s="2">
        <v>1.0048611111111112</v>
      </c>
      <c r="J787" s="4" t="str">
        <f>IF(Table1[[#This Row],[processing_time_hours]]&gt;1.5,"Slow", "Fast")</f>
        <v>Fast</v>
      </c>
      <c r="K787" t="s">
        <v>2821</v>
      </c>
      <c r="L787" s="3">
        <v>0</v>
      </c>
      <c r="M787" t="str">
        <f>IF(Table1[[#This Row],[delayed]]=1,"Delayed","On Time")</f>
        <v>On Time</v>
      </c>
      <c r="N787" t="str">
        <f>IF(AND(Table1[[#This Row],[delayed]]=1,Table1[[#This Row],[weather_condition]]="Storm"),"High Risk", IF(Table1[[#This Row],[delayed]]=1,"Medium Risk","Low Risk"))</f>
        <v>Low Risk</v>
      </c>
    </row>
    <row r="788" spans="1:14" x14ac:dyDescent="0.35">
      <c r="A788">
        <v>787</v>
      </c>
      <c r="B788" s="1">
        <v>44959.75</v>
      </c>
      <c r="C788" s="2">
        <v>6.5972222222222224E-2</v>
      </c>
      <c r="D788" s="3">
        <v>1714</v>
      </c>
      <c r="E788" s="3">
        <v>102</v>
      </c>
      <c r="F788" s="2">
        <v>26.920138888888889</v>
      </c>
      <c r="G788" t="s">
        <v>2819</v>
      </c>
      <c r="H788" t="s">
        <v>2817</v>
      </c>
      <c r="I788" s="2">
        <v>4.6527777777777779E-2</v>
      </c>
      <c r="J788" s="4" t="str">
        <f>IF(Table1[[#This Row],[processing_time_hours]]&gt;1.5,"Slow", "Fast")</f>
        <v>Fast</v>
      </c>
      <c r="K788" t="s">
        <v>2818</v>
      </c>
      <c r="L788" s="3">
        <v>1</v>
      </c>
      <c r="M788" t="str">
        <f>IF(Table1[[#This Row],[delayed]]=1,"Delayed","On Time")</f>
        <v>Delayed</v>
      </c>
      <c r="N788" t="str">
        <f>IF(AND(Table1[[#This Row],[delayed]]=1,Table1[[#This Row],[weather_condition]]="Storm"),"High Risk", IF(Table1[[#This Row],[delayed]]=1,"Medium Risk","Low Risk"))</f>
        <v>High Risk</v>
      </c>
    </row>
    <row r="789" spans="1:14" x14ac:dyDescent="0.35">
      <c r="A789">
        <v>788</v>
      </c>
      <c r="B789" s="1">
        <v>44959.791666666664</v>
      </c>
      <c r="C789" s="2">
        <v>5.2777777777777778E-2</v>
      </c>
      <c r="D789" s="3">
        <v>761</v>
      </c>
      <c r="E789" s="3">
        <v>437</v>
      </c>
      <c r="F789" s="2">
        <v>67.543055555555554</v>
      </c>
      <c r="G789" t="s">
        <v>2815</v>
      </c>
      <c r="H789" t="s">
        <v>2817</v>
      </c>
      <c r="I789" s="2">
        <v>1.16875</v>
      </c>
      <c r="J789" s="4" t="str">
        <f>IF(Table1[[#This Row],[processing_time_hours]]&gt;1.5,"Slow", "Fast")</f>
        <v>Fast</v>
      </c>
      <c r="K789" t="s">
        <v>2814</v>
      </c>
      <c r="L789" s="3">
        <v>1</v>
      </c>
      <c r="M789" t="str">
        <f>IF(Table1[[#This Row],[delayed]]=1,"Delayed","On Time")</f>
        <v>Delayed</v>
      </c>
      <c r="N789" t="str">
        <f>IF(AND(Table1[[#This Row],[delayed]]=1,Table1[[#This Row],[weather_condition]]="Storm"),"High Risk", IF(Table1[[#This Row],[delayed]]=1,"Medium Risk","Low Risk"))</f>
        <v>High Risk</v>
      </c>
    </row>
    <row r="790" spans="1:14" x14ac:dyDescent="0.35">
      <c r="A790">
        <v>789</v>
      </c>
      <c r="B790" s="1">
        <v>44959.833333333336</v>
      </c>
      <c r="C790" s="2">
        <v>6.1111111111111109E-2</v>
      </c>
      <c r="D790" s="3">
        <v>1208</v>
      </c>
      <c r="E790" s="3">
        <v>11</v>
      </c>
      <c r="F790" s="2">
        <v>73.5</v>
      </c>
      <c r="G790" t="s">
        <v>2815</v>
      </c>
      <c r="H790" t="s">
        <v>2820</v>
      </c>
      <c r="I790" s="2">
        <v>0.3347222222222222</v>
      </c>
      <c r="J790" s="4" t="str">
        <f>IF(Table1[[#This Row],[processing_time_hours]]&gt;1.5,"Slow", "Fast")</f>
        <v>Fast</v>
      </c>
      <c r="K790" t="s">
        <v>2821</v>
      </c>
      <c r="L790" s="3">
        <v>1</v>
      </c>
      <c r="M790" t="str">
        <f>IF(Table1[[#This Row],[delayed]]=1,"Delayed","On Time")</f>
        <v>Delayed</v>
      </c>
      <c r="N790" t="str">
        <f>IF(AND(Table1[[#This Row],[delayed]]=1,Table1[[#This Row],[weather_condition]]="Storm"),"High Risk", IF(Table1[[#This Row],[delayed]]=1,"Medium Risk","Low Risk"))</f>
        <v>Medium Risk</v>
      </c>
    </row>
    <row r="791" spans="1:14" x14ac:dyDescent="0.35">
      <c r="A791">
        <v>790</v>
      </c>
      <c r="B791" s="1">
        <v>44959.875</v>
      </c>
      <c r="C791" s="2">
        <v>4.7222222222222221E-2</v>
      </c>
      <c r="D791" s="3">
        <v>1282</v>
      </c>
      <c r="E791" s="3">
        <v>334</v>
      </c>
      <c r="F791" s="2">
        <v>7.5479166666666666</v>
      </c>
      <c r="G791" t="s">
        <v>2819</v>
      </c>
      <c r="H791" t="s">
        <v>2813</v>
      </c>
      <c r="I791" s="2">
        <v>1.29375</v>
      </c>
      <c r="J791" s="4" t="str">
        <f>IF(Table1[[#This Row],[processing_time_hours]]&gt;1.5,"Slow", "Fast")</f>
        <v>Fast</v>
      </c>
      <c r="K791" t="s">
        <v>2814</v>
      </c>
      <c r="L791" s="3">
        <v>0</v>
      </c>
      <c r="M791" t="str">
        <f>IF(Table1[[#This Row],[delayed]]=1,"Delayed","On Time")</f>
        <v>On Time</v>
      </c>
      <c r="N791" t="str">
        <f>IF(AND(Table1[[#This Row],[delayed]]=1,Table1[[#This Row],[weather_condition]]="Storm"),"High Risk", IF(Table1[[#This Row],[delayed]]=1,"Medium Risk","Low Risk"))</f>
        <v>Low Risk</v>
      </c>
    </row>
    <row r="792" spans="1:14" x14ac:dyDescent="0.35">
      <c r="A792">
        <v>791</v>
      </c>
      <c r="B792" s="1">
        <v>44959.916666666664</v>
      </c>
      <c r="C792" s="2">
        <v>4.3750000000000004E-2</v>
      </c>
      <c r="D792" s="3">
        <v>4996</v>
      </c>
      <c r="E792" s="3">
        <v>385</v>
      </c>
      <c r="F792" s="2">
        <v>10.959722222222224</v>
      </c>
      <c r="G792" t="s">
        <v>2819</v>
      </c>
      <c r="H792" t="s">
        <v>2820</v>
      </c>
      <c r="I792" s="2">
        <v>0.50208333333333333</v>
      </c>
      <c r="J792" s="4" t="str">
        <f>IF(Table1[[#This Row],[processing_time_hours]]&gt;1.5,"Slow", "Fast")</f>
        <v>Fast</v>
      </c>
      <c r="K792" t="s">
        <v>2821</v>
      </c>
      <c r="L792" s="3">
        <v>0</v>
      </c>
      <c r="M792" t="str">
        <f>IF(Table1[[#This Row],[delayed]]=1,"Delayed","On Time")</f>
        <v>On Time</v>
      </c>
      <c r="N792" t="str">
        <f>IF(AND(Table1[[#This Row],[delayed]]=1,Table1[[#This Row],[weather_condition]]="Storm"),"High Risk", IF(Table1[[#This Row],[delayed]]=1,"Medium Risk","Low Risk"))</f>
        <v>Low Risk</v>
      </c>
    </row>
    <row r="793" spans="1:14" x14ac:dyDescent="0.35">
      <c r="A793">
        <v>792</v>
      </c>
      <c r="B793" s="1">
        <v>44959.958333333336</v>
      </c>
      <c r="C793" s="2">
        <v>6.7361111111111108E-2</v>
      </c>
      <c r="D793" s="3">
        <v>1366</v>
      </c>
      <c r="E793" s="3">
        <v>90</v>
      </c>
      <c r="F793" s="2">
        <v>78.087499999999991</v>
      </c>
      <c r="G793" t="s">
        <v>2812</v>
      </c>
      <c r="H793" t="s">
        <v>2820</v>
      </c>
      <c r="I793" s="2">
        <v>0.54791666666666672</v>
      </c>
      <c r="J793" s="4" t="str">
        <f>IF(Table1[[#This Row],[processing_time_hours]]&gt;1.5,"Slow", "Fast")</f>
        <v>Fast</v>
      </c>
      <c r="K793" t="s">
        <v>2814</v>
      </c>
      <c r="L793" s="3">
        <v>0</v>
      </c>
      <c r="M793" t="str">
        <f>IF(Table1[[#This Row],[delayed]]=1,"Delayed","On Time")</f>
        <v>On Time</v>
      </c>
      <c r="N793" t="str">
        <f>IF(AND(Table1[[#This Row],[delayed]]=1,Table1[[#This Row],[weather_condition]]="Storm"),"High Risk", IF(Table1[[#This Row],[delayed]]=1,"Medium Risk","Low Risk"))</f>
        <v>Low Risk</v>
      </c>
    </row>
    <row r="794" spans="1:14" x14ac:dyDescent="0.35">
      <c r="A794">
        <v>793</v>
      </c>
      <c r="B794" s="1">
        <v>44960</v>
      </c>
      <c r="C794" s="2">
        <v>5.2083333333333336E-2</v>
      </c>
      <c r="D794" s="3">
        <v>931</v>
      </c>
      <c r="E794" s="3">
        <v>132</v>
      </c>
      <c r="F794" s="2">
        <v>57.339583333333337</v>
      </c>
      <c r="G794" t="s">
        <v>2815</v>
      </c>
      <c r="H794" t="s">
        <v>2820</v>
      </c>
      <c r="I794" s="2">
        <v>0.33958333333333335</v>
      </c>
      <c r="J794" s="4" t="str">
        <f>IF(Table1[[#This Row],[processing_time_hours]]&gt;1.5,"Slow", "Fast")</f>
        <v>Fast</v>
      </c>
      <c r="K794" t="s">
        <v>2821</v>
      </c>
      <c r="L794" s="3">
        <v>0</v>
      </c>
      <c r="M794" t="str">
        <f>IF(Table1[[#This Row],[delayed]]=1,"Delayed","On Time")</f>
        <v>On Time</v>
      </c>
      <c r="N794" t="str">
        <f>IF(AND(Table1[[#This Row],[delayed]]=1,Table1[[#This Row],[weather_condition]]="Storm"),"High Risk", IF(Table1[[#This Row],[delayed]]=1,"Medium Risk","Low Risk"))</f>
        <v>Low Risk</v>
      </c>
    </row>
    <row r="795" spans="1:14" x14ac:dyDescent="0.35">
      <c r="A795">
        <v>794</v>
      </c>
      <c r="B795" s="1">
        <v>44960.041666666664</v>
      </c>
      <c r="C795" s="2">
        <v>4.3055555555555562E-2</v>
      </c>
      <c r="D795" s="3">
        <v>4818</v>
      </c>
      <c r="E795" s="3">
        <v>71</v>
      </c>
      <c r="F795" s="2">
        <v>47.796527777777776</v>
      </c>
      <c r="G795" t="s">
        <v>2812</v>
      </c>
      <c r="H795" t="s">
        <v>2822</v>
      </c>
      <c r="I795" s="2">
        <v>1.5034722222222223</v>
      </c>
      <c r="J795" s="4" t="str">
        <f>IF(Table1[[#This Row],[processing_time_hours]]&gt;1.5,"Slow", "Fast")</f>
        <v>Slow</v>
      </c>
      <c r="K795" t="s">
        <v>2821</v>
      </c>
      <c r="L795" s="3">
        <v>1</v>
      </c>
      <c r="M795" t="str">
        <f>IF(Table1[[#This Row],[delayed]]=1,"Delayed","On Time")</f>
        <v>Delayed</v>
      </c>
      <c r="N795" t="str">
        <f>IF(AND(Table1[[#This Row],[delayed]]=1,Table1[[#This Row],[weather_condition]]="Storm"),"High Risk", IF(Table1[[#This Row],[delayed]]=1,"Medium Risk","Low Risk"))</f>
        <v>Medium Risk</v>
      </c>
    </row>
    <row r="796" spans="1:14" x14ac:dyDescent="0.35">
      <c r="A796">
        <v>795</v>
      </c>
      <c r="B796" s="1">
        <v>44960.083333333336</v>
      </c>
      <c r="C796" s="2">
        <v>5.9027777777777783E-2</v>
      </c>
      <c r="D796" s="3">
        <v>2801</v>
      </c>
      <c r="E796" s="3">
        <v>271</v>
      </c>
      <c r="F796" s="2">
        <v>14.879861111111111</v>
      </c>
      <c r="G796" t="s">
        <v>2812</v>
      </c>
      <c r="H796" t="s">
        <v>2813</v>
      </c>
      <c r="I796" s="2">
        <v>1.6666666666666667</v>
      </c>
      <c r="J796" s="4" t="str">
        <f>IF(Table1[[#This Row],[processing_time_hours]]&gt;1.5,"Slow", "Fast")</f>
        <v>Slow</v>
      </c>
      <c r="K796" t="s">
        <v>2814</v>
      </c>
      <c r="L796" s="3">
        <v>0</v>
      </c>
      <c r="M796" t="str">
        <f>IF(Table1[[#This Row],[delayed]]=1,"Delayed","On Time")</f>
        <v>On Time</v>
      </c>
      <c r="N796" t="str">
        <f>IF(AND(Table1[[#This Row],[delayed]]=1,Table1[[#This Row],[weather_condition]]="Storm"),"High Risk", IF(Table1[[#This Row],[delayed]]=1,"Medium Risk","Low Risk"))</f>
        <v>Low Risk</v>
      </c>
    </row>
    <row r="797" spans="1:14" x14ac:dyDescent="0.35">
      <c r="A797">
        <v>796</v>
      </c>
      <c r="B797" s="1">
        <v>44960.125</v>
      </c>
      <c r="C797" s="2">
        <v>6.7361111111111108E-2</v>
      </c>
      <c r="D797" s="3">
        <v>2207</v>
      </c>
      <c r="E797" s="3">
        <v>408</v>
      </c>
      <c r="F797" s="2">
        <v>17.334722222222222</v>
      </c>
      <c r="G797" t="s">
        <v>2812</v>
      </c>
      <c r="H797" t="s">
        <v>2817</v>
      </c>
      <c r="I797" s="2">
        <v>2.4631944444444445</v>
      </c>
      <c r="J797" s="4" t="str">
        <f>IF(Table1[[#This Row],[processing_time_hours]]&gt;1.5,"Slow", "Fast")</f>
        <v>Slow</v>
      </c>
      <c r="K797" t="s">
        <v>2814</v>
      </c>
      <c r="L797" s="3">
        <v>0</v>
      </c>
      <c r="M797" t="str">
        <f>IF(Table1[[#This Row],[delayed]]=1,"Delayed","On Time")</f>
        <v>On Time</v>
      </c>
      <c r="N797" t="str">
        <f>IF(AND(Table1[[#This Row],[delayed]]=1,Table1[[#This Row],[weather_condition]]="Storm"),"High Risk", IF(Table1[[#This Row],[delayed]]=1,"Medium Risk","Low Risk"))</f>
        <v>Low Risk</v>
      </c>
    </row>
    <row r="798" spans="1:14" x14ac:dyDescent="0.35">
      <c r="A798">
        <v>797</v>
      </c>
      <c r="B798" s="1">
        <v>44960.166666666664</v>
      </c>
      <c r="C798" s="2">
        <v>6.3194444444444442E-2</v>
      </c>
      <c r="D798" s="3">
        <v>2250</v>
      </c>
      <c r="E798" s="3">
        <v>345</v>
      </c>
      <c r="F798" s="2">
        <v>0.75069444444444444</v>
      </c>
      <c r="G798" t="s">
        <v>2819</v>
      </c>
      <c r="H798" t="s">
        <v>2820</v>
      </c>
      <c r="I798" s="2">
        <v>1.8354166666666665</v>
      </c>
      <c r="J798" s="4" t="str">
        <f>IF(Table1[[#This Row],[processing_time_hours]]&gt;1.5,"Slow", "Fast")</f>
        <v>Slow</v>
      </c>
      <c r="K798" t="s">
        <v>2814</v>
      </c>
      <c r="L798" s="3">
        <v>0</v>
      </c>
      <c r="M798" t="str">
        <f>IF(Table1[[#This Row],[delayed]]=1,"Delayed","On Time")</f>
        <v>On Time</v>
      </c>
      <c r="N798" t="str">
        <f>IF(AND(Table1[[#This Row],[delayed]]=1,Table1[[#This Row],[weather_condition]]="Storm"),"High Risk", IF(Table1[[#This Row],[delayed]]=1,"Medium Risk","Low Risk"))</f>
        <v>Low Risk</v>
      </c>
    </row>
    <row r="799" spans="1:14" x14ac:dyDescent="0.35">
      <c r="A799">
        <v>798</v>
      </c>
      <c r="B799" s="1">
        <v>44960.208333333336</v>
      </c>
      <c r="C799" s="2">
        <v>6.8749999999999992E-2</v>
      </c>
      <c r="D799" s="3">
        <v>2164</v>
      </c>
      <c r="E799" s="3">
        <v>32</v>
      </c>
      <c r="F799" s="2">
        <v>81.918750000000003</v>
      </c>
      <c r="G799" t="s">
        <v>2815</v>
      </c>
      <c r="H799" t="s">
        <v>2813</v>
      </c>
      <c r="I799" s="2">
        <v>2.6312500000000001</v>
      </c>
      <c r="J799" s="4" t="str">
        <f>IF(Table1[[#This Row],[processing_time_hours]]&gt;1.5,"Slow", "Fast")</f>
        <v>Slow</v>
      </c>
      <c r="K799" t="s">
        <v>2814</v>
      </c>
      <c r="L799" s="3">
        <v>1</v>
      </c>
      <c r="M799" t="str">
        <f>IF(Table1[[#This Row],[delayed]]=1,"Delayed","On Time")</f>
        <v>Delayed</v>
      </c>
      <c r="N799" t="str">
        <f>IF(AND(Table1[[#This Row],[delayed]]=1,Table1[[#This Row],[weather_condition]]="Storm"),"High Risk", IF(Table1[[#This Row],[delayed]]=1,"Medium Risk","Low Risk"))</f>
        <v>Medium Risk</v>
      </c>
    </row>
    <row r="800" spans="1:14" x14ac:dyDescent="0.35">
      <c r="A800">
        <v>799</v>
      </c>
      <c r="B800" s="1">
        <v>44960.25</v>
      </c>
      <c r="C800" s="2">
        <v>6.7361111111111108E-2</v>
      </c>
      <c r="D800" s="3">
        <v>93</v>
      </c>
      <c r="E800" s="3">
        <v>206</v>
      </c>
      <c r="F800" s="2">
        <v>21.791666666666668</v>
      </c>
      <c r="G800" t="s">
        <v>2812</v>
      </c>
      <c r="H800" t="s">
        <v>2813</v>
      </c>
      <c r="I800" s="2">
        <v>1.0458333333333334</v>
      </c>
      <c r="J800" s="4" t="str">
        <f>IF(Table1[[#This Row],[processing_time_hours]]&gt;1.5,"Slow", "Fast")</f>
        <v>Fast</v>
      </c>
      <c r="K800" t="s">
        <v>2814</v>
      </c>
      <c r="L800" s="3">
        <v>0</v>
      </c>
      <c r="M800" t="str">
        <f>IF(Table1[[#This Row],[delayed]]=1,"Delayed","On Time")</f>
        <v>On Time</v>
      </c>
      <c r="N800" t="str">
        <f>IF(AND(Table1[[#This Row],[delayed]]=1,Table1[[#This Row],[weather_condition]]="Storm"),"High Risk", IF(Table1[[#This Row],[delayed]]=1,"Medium Risk","Low Risk"))</f>
        <v>Low Risk</v>
      </c>
    </row>
    <row r="801" spans="1:14" x14ac:dyDescent="0.35">
      <c r="A801">
        <v>800</v>
      </c>
      <c r="B801" s="1">
        <v>44960.291666666664</v>
      </c>
      <c r="C801" s="2">
        <v>5.4166666666666669E-2</v>
      </c>
      <c r="D801" s="3">
        <v>662</v>
      </c>
      <c r="E801" s="3">
        <v>17</v>
      </c>
      <c r="F801" s="2">
        <v>66.381250000000009</v>
      </c>
      <c r="G801" t="s">
        <v>2816</v>
      </c>
      <c r="H801" t="s">
        <v>2820</v>
      </c>
      <c r="I801" s="2">
        <v>1.0868055555555556</v>
      </c>
      <c r="J801" s="4" t="str">
        <f>IF(Table1[[#This Row],[processing_time_hours]]&gt;1.5,"Slow", "Fast")</f>
        <v>Fast</v>
      </c>
      <c r="K801" t="s">
        <v>2821</v>
      </c>
      <c r="L801" s="3">
        <v>0</v>
      </c>
      <c r="M801" t="str">
        <f>IF(Table1[[#This Row],[delayed]]=1,"Delayed","On Time")</f>
        <v>On Time</v>
      </c>
      <c r="N801" t="str">
        <f>IF(AND(Table1[[#This Row],[delayed]]=1,Table1[[#This Row],[weather_condition]]="Storm"),"High Risk", IF(Table1[[#This Row],[delayed]]=1,"Medium Risk","Low Risk"))</f>
        <v>Low Risk</v>
      </c>
    </row>
    <row r="802" spans="1:14" x14ac:dyDescent="0.35">
      <c r="A802">
        <v>801</v>
      </c>
      <c r="B802" s="1">
        <v>44960.333333333336</v>
      </c>
      <c r="C802" s="2">
        <v>4.7916666666666663E-2</v>
      </c>
      <c r="D802" s="3">
        <v>1514</v>
      </c>
      <c r="E802" s="3">
        <v>332</v>
      </c>
      <c r="F802" s="2">
        <v>4.0881944444444445</v>
      </c>
      <c r="G802" t="s">
        <v>2812</v>
      </c>
      <c r="H802" t="s">
        <v>2813</v>
      </c>
      <c r="I802" s="2">
        <v>0.62708333333333333</v>
      </c>
      <c r="J802" s="4" t="str">
        <f>IF(Table1[[#This Row],[processing_time_hours]]&gt;1.5,"Slow", "Fast")</f>
        <v>Fast</v>
      </c>
      <c r="K802" t="s">
        <v>2814</v>
      </c>
      <c r="L802" s="3">
        <v>0</v>
      </c>
      <c r="M802" t="str">
        <f>IF(Table1[[#This Row],[delayed]]=1,"Delayed","On Time")</f>
        <v>On Time</v>
      </c>
      <c r="N802" t="str">
        <f>IF(AND(Table1[[#This Row],[delayed]]=1,Table1[[#This Row],[weather_condition]]="Storm"),"High Risk", IF(Table1[[#This Row],[delayed]]=1,"Medium Risk","Low Risk"))</f>
        <v>Low Risk</v>
      </c>
    </row>
    <row r="803" spans="1:14" x14ac:dyDescent="0.35">
      <c r="A803">
        <v>802</v>
      </c>
      <c r="B803" s="1">
        <v>44960.375</v>
      </c>
      <c r="C803" s="2">
        <v>4.3750000000000004E-2</v>
      </c>
      <c r="D803" s="3">
        <v>4604</v>
      </c>
      <c r="E803" s="3">
        <v>280</v>
      </c>
      <c r="F803" s="2">
        <v>50.795138888888886</v>
      </c>
      <c r="G803" t="s">
        <v>2815</v>
      </c>
      <c r="H803" t="s">
        <v>2813</v>
      </c>
      <c r="I803" s="2">
        <v>1.3354166666666665</v>
      </c>
      <c r="J803" s="4" t="str">
        <f>IF(Table1[[#This Row],[processing_time_hours]]&gt;1.5,"Slow", "Fast")</f>
        <v>Fast</v>
      </c>
      <c r="K803" t="s">
        <v>2821</v>
      </c>
      <c r="L803" s="3">
        <v>0</v>
      </c>
      <c r="M803" t="str">
        <f>IF(Table1[[#This Row],[delayed]]=1,"Delayed","On Time")</f>
        <v>On Time</v>
      </c>
      <c r="N803" t="str">
        <f>IF(AND(Table1[[#This Row],[delayed]]=1,Table1[[#This Row],[weather_condition]]="Storm"),"High Risk", IF(Table1[[#This Row],[delayed]]=1,"Medium Risk","Low Risk"))</f>
        <v>Low Risk</v>
      </c>
    </row>
    <row r="804" spans="1:14" x14ac:dyDescent="0.35">
      <c r="A804">
        <v>803</v>
      </c>
      <c r="B804" s="1">
        <v>44960.416666666664</v>
      </c>
      <c r="C804" s="2">
        <v>4.9305555555555554E-2</v>
      </c>
      <c r="D804" s="3">
        <v>4257</v>
      </c>
      <c r="E804" s="3">
        <v>120</v>
      </c>
      <c r="F804" s="2">
        <v>40.333333333333336</v>
      </c>
      <c r="G804" t="s">
        <v>2812</v>
      </c>
      <c r="H804" t="s">
        <v>2813</v>
      </c>
      <c r="I804" s="2">
        <v>0.83819444444444446</v>
      </c>
      <c r="J804" s="4" t="str">
        <f>IF(Table1[[#This Row],[processing_time_hours]]&gt;1.5,"Slow", "Fast")</f>
        <v>Fast</v>
      </c>
      <c r="K804" t="s">
        <v>2814</v>
      </c>
      <c r="L804" s="3">
        <v>0</v>
      </c>
      <c r="M804" t="str">
        <f>IF(Table1[[#This Row],[delayed]]=1,"Delayed","On Time")</f>
        <v>On Time</v>
      </c>
      <c r="N804" t="str">
        <f>IF(AND(Table1[[#This Row],[delayed]]=1,Table1[[#This Row],[weather_condition]]="Storm"),"High Risk", IF(Table1[[#This Row],[delayed]]=1,"Medium Risk","Low Risk"))</f>
        <v>Low Risk</v>
      </c>
    </row>
    <row r="805" spans="1:14" x14ac:dyDescent="0.35">
      <c r="A805">
        <v>804</v>
      </c>
      <c r="B805" s="1">
        <v>44960.458333333336</v>
      </c>
      <c r="C805" s="2">
        <v>5.9027777777777783E-2</v>
      </c>
      <c r="D805" s="3">
        <v>4020</v>
      </c>
      <c r="E805" s="3">
        <v>217</v>
      </c>
      <c r="F805" s="2">
        <v>52.333333333333336</v>
      </c>
      <c r="G805" t="s">
        <v>2812</v>
      </c>
      <c r="H805" t="s">
        <v>2820</v>
      </c>
      <c r="I805" s="2">
        <v>8.4722222222222213E-2</v>
      </c>
      <c r="J805" s="4" t="str">
        <f>IF(Table1[[#This Row],[processing_time_hours]]&gt;1.5,"Slow", "Fast")</f>
        <v>Fast</v>
      </c>
      <c r="K805" t="s">
        <v>2821</v>
      </c>
      <c r="L805" s="3">
        <v>0</v>
      </c>
      <c r="M805" t="str">
        <f>IF(Table1[[#This Row],[delayed]]=1,"Delayed","On Time")</f>
        <v>On Time</v>
      </c>
      <c r="N805" t="str">
        <f>IF(AND(Table1[[#This Row],[delayed]]=1,Table1[[#This Row],[weather_condition]]="Storm"),"High Risk", IF(Table1[[#This Row],[delayed]]=1,"Medium Risk","Low Risk"))</f>
        <v>Low Risk</v>
      </c>
    </row>
    <row r="806" spans="1:14" x14ac:dyDescent="0.35">
      <c r="A806">
        <v>805</v>
      </c>
      <c r="B806" s="1">
        <v>44960.5</v>
      </c>
      <c r="C806" s="2">
        <v>6.6666666666666666E-2</v>
      </c>
      <c r="D806" s="3">
        <v>3450</v>
      </c>
      <c r="E806" s="3">
        <v>189</v>
      </c>
      <c r="F806" s="2">
        <v>73.671527777777769</v>
      </c>
      <c r="G806" t="s">
        <v>2815</v>
      </c>
      <c r="H806" t="s">
        <v>2820</v>
      </c>
      <c r="I806" s="2">
        <v>0.87916666666666676</v>
      </c>
      <c r="J806" s="4" t="str">
        <f>IF(Table1[[#This Row],[processing_time_hours]]&gt;1.5,"Slow", "Fast")</f>
        <v>Fast</v>
      </c>
      <c r="K806" t="s">
        <v>2818</v>
      </c>
      <c r="L806" s="3">
        <v>0</v>
      </c>
      <c r="M806" t="str">
        <f>IF(Table1[[#This Row],[delayed]]=1,"Delayed","On Time")</f>
        <v>On Time</v>
      </c>
      <c r="N806" t="str">
        <f>IF(AND(Table1[[#This Row],[delayed]]=1,Table1[[#This Row],[weather_condition]]="Storm"),"High Risk", IF(Table1[[#This Row],[delayed]]=1,"Medium Risk","Low Risk"))</f>
        <v>Low Risk</v>
      </c>
    </row>
    <row r="807" spans="1:14" x14ac:dyDescent="0.35">
      <c r="A807">
        <v>806</v>
      </c>
      <c r="B807" s="1">
        <v>44960.541666666664</v>
      </c>
      <c r="C807" s="2">
        <v>4.1666666666666666E-3</v>
      </c>
      <c r="D807" s="3">
        <v>4194</v>
      </c>
      <c r="E807" s="3">
        <v>324</v>
      </c>
      <c r="F807" s="2">
        <v>51.210416666666667</v>
      </c>
      <c r="G807" t="s">
        <v>2816</v>
      </c>
      <c r="H807" t="s">
        <v>2817</v>
      </c>
      <c r="I807" s="2">
        <v>0.33819444444444446</v>
      </c>
      <c r="J807" s="4" t="str">
        <f>IF(Table1[[#This Row],[processing_time_hours]]&gt;1.5,"Slow", "Fast")</f>
        <v>Fast</v>
      </c>
      <c r="K807" t="s">
        <v>2818</v>
      </c>
      <c r="L807" s="3">
        <v>0</v>
      </c>
      <c r="M807" t="str">
        <f>IF(Table1[[#This Row],[delayed]]=1,"Delayed","On Time")</f>
        <v>On Time</v>
      </c>
      <c r="N807" t="str">
        <f>IF(AND(Table1[[#This Row],[delayed]]=1,Table1[[#This Row],[weather_condition]]="Storm"),"High Risk", IF(Table1[[#This Row],[delayed]]=1,"Medium Risk","Low Risk"))</f>
        <v>Low Risk</v>
      </c>
    </row>
    <row r="808" spans="1:14" x14ac:dyDescent="0.35">
      <c r="A808">
        <v>807</v>
      </c>
      <c r="B808" s="1">
        <v>44960.583333333336</v>
      </c>
      <c r="C808" s="2">
        <v>6.458333333333334E-2</v>
      </c>
      <c r="D808" s="3">
        <v>2139</v>
      </c>
      <c r="E808" s="3">
        <v>453</v>
      </c>
      <c r="F808" s="2">
        <v>42.292361111111113</v>
      </c>
      <c r="G808" t="s">
        <v>2812</v>
      </c>
      <c r="H808" t="s">
        <v>2822</v>
      </c>
      <c r="I808" s="2">
        <v>1.7965277777777777</v>
      </c>
      <c r="J808" s="4" t="str">
        <f>IF(Table1[[#This Row],[processing_time_hours]]&gt;1.5,"Slow", "Fast")</f>
        <v>Slow</v>
      </c>
      <c r="K808" t="s">
        <v>2814</v>
      </c>
      <c r="L808" s="3">
        <v>0</v>
      </c>
      <c r="M808" t="str">
        <f>IF(Table1[[#This Row],[delayed]]=1,"Delayed","On Time")</f>
        <v>On Time</v>
      </c>
      <c r="N808" t="str">
        <f>IF(AND(Table1[[#This Row],[delayed]]=1,Table1[[#This Row],[weather_condition]]="Storm"),"High Risk", IF(Table1[[#This Row],[delayed]]=1,"Medium Risk","Low Risk"))</f>
        <v>Low Risk</v>
      </c>
    </row>
    <row r="809" spans="1:14" x14ac:dyDescent="0.35">
      <c r="A809">
        <v>808</v>
      </c>
      <c r="B809" s="1">
        <v>44960.625</v>
      </c>
      <c r="C809" s="2">
        <v>6.3194444444444442E-2</v>
      </c>
      <c r="D809" s="3">
        <v>869</v>
      </c>
      <c r="E809" s="3">
        <v>171</v>
      </c>
      <c r="F809" s="2">
        <v>44.045138888888886</v>
      </c>
      <c r="G809" t="s">
        <v>2816</v>
      </c>
      <c r="H809" t="s">
        <v>2822</v>
      </c>
      <c r="I809" s="2">
        <v>1.5458333333333334</v>
      </c>
      <c r="J809" s="4" t="str">
        <f>IF(Table1[[#This Row],[processing_time_hours]]&gt;1.5,"Slow", "Fast")</f>
        <v>Slow</v>
      </c>
      <c r="K809" t="s">
        <v>2821</v>
      </c>
      <c r="L809" s="3">
        <v>1</v>
      </c>
      <c r="M809" t="str">
        <f>IF(Table1[[#This Row],[delayed]]=1,"Delayed","On Time")</f>
        <v>Delayed</v>
      </c>
      <c r="N809" t="str">
        <f>IF(AND(Table1[[#This Row],[delayed]]=1,Table1[[#This Row],[weather_condition]]="Storm"),"High Risk", IF(Table1[[#This Row],[delayed]]=1,"Medium Risk","Low Risk"))</f>
        <v>Medium Risk</v>
      </c>
    </row>
    <row r="810" spans="1:14" x14ac:dyDescent="0.35">
      <c r="A810">
        <v>809</v>
      </c>
      <c r="B810" s="1">
        <v>44960.666666666664</v>
      </c>
      <c r="C810" s="2">
        <v>6.1111111111111109E-2</v>
      </c>
      <c r="D810" s="3">
        <v>1717</v>
      </c>
      <c r="E810" s="3">
        <v>499</v>
      </c>
      <c r="F810" s="2">
        <v>27.711111111111112</v>
      </c>
      <c r="G810" t="s">
        <v>2812</v>
      </c>
      <c r="H810" t="s">
        <v>2813</v>
      </c>
      <c r="I810" s="2">
        <v>0.12847222222222224</v>
      </c>
      <c r="J810" s="4" t="str">
        <f>IF(Table1[[#This Row],[processing_time_hours]]&gt;1.5,"Slow", "Fast")</f>
        <v>Fast</v>
      </c>
      <c r="K810" t="s">
        <v>2821</v>
      </c>
      <c r="L810" s="3">
        <v>0</v>
      </c>
      <c r="M810" t="str">
        <f>IF(Table1[[#This Row],[delayed]]=1,"Delayed","On Time")</f>
        <v>On Time</v>
      </c>
      <c r="N810" t="str">
        <f>IF(AND(Table1[[#This Row],[delayed]]=1,Table1[[#This Row],[weather_condition]]="Storm"),"High Risk", IF(Table1[[#This Row],[delayed]]=1,"Medium Risk","Low Risk"))</f>
        <v>Low Risk</v>
      </c>
    </row>
    <row r="811" spans="1:14" x14ac:dyDescent="0.35">
      <c r="A811">
        <v>810</v>
      </c>
      <c r="B811" s="1">
        <v>44960.708333333336</v>
      </c>
      <c r="C811" s="2">
        <v>4.5138888888888888E-2</v>
      </c>
      <c r="D811" s="3">
        <v>300</v>
      </c>
      <c r="E811" s="3">
        <v>471</v>
      </c>
      <c r="F811" s="2">
        <v>16.502083333333335</v>
      </c>
      <c r="G811" t="s">
        <v>2816</v>
      </c>
      <c r="H811" t="s">
        <v>2820</v>
      </c>
      <c r="I811" s="2">
        <v>1.086111111111111</v>
      </c>
      <c r="J811" s="4" t="str">
        <f>IF(Table1[[#This Row],[processing_time_hours]]&gt;1.5,"Slow", "Fast")</f>
        <v>Fast</v>
      </c>
      <c r="K811" t="s">
        <v>2821</v>
      </c>
      <c r="L811" s="3">
        <v>1</v>
      </c>
      <c r="M811" t="str">
        <f>IF(Table1[[#This Row],[delayed]]=1,"Delayed","On Time")</f>
        <v>Delayed</v>
      </c>
      <c r="N811" t="str">
        <f>IF(AND(Table1[[#This Row],[delayed]]=1,Table1[[#This Row],[weather_condition]]="Storm"),"High Risk", IF(Table1[[#This Row],[delayed]]=1,"Medium Risk","Low Risk"))</f>
        <v>Medium Risk</v>
      </c>
    </row>
    <row r="812" spans="1:14" x14ac:dyDescent="0.35">
      <c r="A812">
        <v>811</v>
      </c>
      <c r="B812" s="1">
        <v>44960.75</v>
      </c>
      <c r="C812" s="2">
        <v>4.3055555555555562E-2</v>
      </c>
      <c r="D812" s="3">
        <v>1397</v>
      </c>
      <c r="E812" s="3">
        <v>194</v>
      </c>
      <c r="F812" s="2">
        <v>44.794444444444444</v>
      </c>
      <c r="G812" t="s">
        <v>2815</v>
      </c>
      <c r="H812" t="s">
        <v>2813</v>
      </c>
      <c r="I812" s="2">
        <v>0.87777777777777777</v>
      </c>
      <c r="J812" s="4" t="str">
        <f>IF(Table1[[#This Row],[processing_time_hours]]&gt;1.5,"Slow", "Fast")</f>
        <v>Fast</v>
      </c>
      <c r="K812" t="s">
        <v>2821</v>
      </c>
      <c r="L812" s="3">
        <v>0</v>
      </c>
      <c r="M812" t="str">
        <f>IF(Table1[[#This Row],[delayed]]=1,"Delayed","On Time")</f>
        <v>On Time</v>
      </c>
      <c r="N812" t="str">
        <f>IF(AND(Table1[[#This Row],[delayed]]=1,Table1[[#This Row],[weather_condition]]="Storm"),"High Risk", IF(Table1[[#This Row],[delayed]]=1,"Medium Risk","Low Risk"))</f>
        <v>Low Risk</v>
      </c>
    </row>
    <row r="813" spans="1:14" x14ac:dyDescent="0.35">
      <c r="A813">
        <v>812</v>
      </c>
      <c r="B813" s="1">
        <v>44960.791666666664</v>
      </c>
      <c r="C813" s="2">
        <v>6.1805555555555558E-2</v>
      </c>
      <c r="D813" s="3">
        <v>3564</v>
      </c>
      <c r="E813" s="3">
        <v>190</v>
      </c>
      <c r="F813" s="2">
        <v>46.377777777777773</v>
      </c>
      <c r="G813" t="s">
        <v>2816</v>
      </c>
      <c r="H813" t="s">
        <v>2813</v>
      </c>
      <c r="I813" s="2">
        <v>2.5430555555555556</v>
      </c>
      <c r="J813" s="4" t="str">
        <f>IF(Table1[[#This Row],[processing_time_hours]]&gt;1.5,"Slow", "Fast")</f>
        <v>Slow</v>
      </c>
      <c r="K813" t="s">
        <v>2821</v>
      </c>
      <c r="L813" s="3">
        <v>0</v>
      </c>
      <c r="M813" t="str">
        <f>IF(Table1[[#This Row],[delayed]]=1,"Delayed","On Time")</f>
        <v>On Time</v>
      </c>
      <c r="N813" t="str">
        <f>IF(AND(Table1[[#This Row],[delayed]]=1,Table1[[#This Row],[weather_condition]]="Storm"),"High Risk", IF(Table1[[#This Row],[delayed]]=1,"Medium Risk","Low Risk"))</f>
        <v>Low Risk</v>
      </c>
    </row>
    <row r="814" spans="1:14" x14ac:dyDescent="0.35">
      <c r="A814">
        <v>813</v>
      </c>
      <c r="B814" s="1">
        <v>44960.833333333336</v>
      </c>
      <c r="C814" s="2">
        <v>5.9722222222222225E-2</v>
      </c>
      <c r="D814" s="3">
        <v>4008</v>
      </c>
      <c r="E814" s="3">
        <v>60</v>
      </c>
      <c r="F814" s="2">
        <v>71.042361111111106</v>
      </c>
      <c r="G814" t="s">
        <v>2812</v>
      </c>
      <c r="H814" t="s">
        <v>2817</v>
      </c>
      <c r="I814" s="2">
        <v>0.87916666666666676</v>
      </c>
      <c r="J814" s="4" t="str">
        <f>IF(Table1[[#This Row],[processing_time_hours]]&gt;1.5,"Slow", "Fast")</f>
        <v>Fast</v>
      </c>
      <c r="K814" t="s">
        <v>2814</v>
      </c>
      <c r="L814" s="3">
        <v>0</v>
      </c>
      <c r="M814" t="str">
        <f>IF(Table1[[#This Row],[delayed]]=1,"Delayed","On Time")</f>
        <v>On Time</v>
      </c>
      <c r="N814" t="str">
        <f>IF(AND(Table1[[#This Row],[delayed]]=1,Table1[[#This Row],[weather_condition]]="Storm"),"High Risk", IF(Table1[[#This Row],[delayed]]=1,"Medium Risk","Low Risk"))</f>
        <v>Low Risk</v>
      </c>
    </row>
    <row r="815" spans="1:14" x14ac:dyDescent="0.35">
      <c r="A815">
        <v>814</v>
      </c>
      <c r="B815" s="1">
        <v>44960.875</v>
      </c>
      <c r="C815" s="2">
        <v>5.2083333333333336E-2</v>
      </c>
      <c r="D815" s="3">
        <v>81</v>
      </c>
      <c r="E815" s="3">
        <v>459</v>
      </c>
      <c r="F815" s="2">
        <v>41.584722222222219</v>
      </c>
      <c r="G815" t="s">
        <v>2816</v>
      </c>
      <c r="H815" t="s">
        <v>2817</v>
      </c>
      <c r="I815" s="2">
        <v>2.1284722222222223</v>
      </c>
      <c r="J815" s="4" t="str">
        <f>IF(Table1[[#This Row],[processing_time_hours]]&gt;1.5,"Slow", "Fast")</f>
        <v>Slow</v>
      </c>
      <c r="K815" t="s">
        <v>2814</v>
      </c>
      <c r="L815" s="3">
        <v>0</v>
      </c>
      <c r="M815" t="str">
        <f>IF(Table1[[#This Row],[delayed]]=1,"Delayed","On Time")</f>
        <v>On Time</v>
      </c>
      <c r="N815" t="str">
        <f>IF(AND(Table1[[#This Row],[delayed]]=1,Table1[[#This Row],[weather_condition]]="Storm"),"High Risk", IF(Table1[[#This Row],[delayed]]=1,"Medium Risk","Low Risk"))</f>
        <v>Low Risk</v>
      </c>
    </row>
    <row r="816" spans="1:14" x14ac:dyDescent="0.35">
      <c r="A816">
        <v>815</v>
      </c>
      <c r="B816" s="1">
        <v>44960.916666666664</v>
      </c>
      <c r="C816" s="2">
        <v>5.1388888888888894E-2</v>
      </c>
      <c r="D816" s="3">
        <v>4652</v>
      </c>
      <c r="E816" s="3">
        <v>251</v>
      </c>
      <c r="F816" s="2">
        <v>44.293749999999996</v>
      </c>
      <c r="G816" t="s">
        <v>2819</v>
      </c>
      <c r="H816" t="s">
        <v>2817</v>
      </c>
      <c r="I816" s="2">
        <v>2.4631944444444445</v>
      </c>
      <c r="J816" s="4" t="str">
        <f>IF(Table1[[#This Row],[processing_time_hours]]&gt;1.5,"Slow", "Fast")</f>
        <v>Slow</v>
      </c>
      <c r="K816" t="s">
        <v>2821</v>
      </c>
      <c r="L816" s="3">
        <v>0</v>
      </c>
      <c r="M816" t="str">
        <f>IF(Table1[[#This Row],[delayed]]=1,"Delayed","On Time")</f>
        <v>On Time</v>
      </c>
      <c r="N816" t="str">
        <f>IF(AND(Table1[[#This Row],[delayed]]=1,Table1[[#This Row],[weather_condition]]="Storm"),"High Risk", IF(Table1[[#This Row],[delayed]]=1,"Medium Risk","Low Risk"))</f>
        <v>Low Risk</v>
      </c>
    </row>
    <row r="817" spans="1:14" x14ac:dyDescent="0.35">
      <c r="A817">
        <v>816</v>
      </c>
      <c r="B817" s="1">
        <v>44960.958333333336</v>
      </c>
      <c r="C817" s="2">
        <v>4.2361111111111106E-2</v>
      </c>
      <c r="D817" s="3">
        <v>597</v>
      </c>
      <c r="E817" s="3">
        <v>357</v>
      </c>
      <c r="F817" s="2">
        <v>33.875694444444441</v>
      </c>
      <c r="G817" t="s">
        <v>2816</v>
      </c>
      <c r="H817" t="s">
        <v>2813</v>
      </c>
      <c r="I817" s="2">
        <v>1.0027777777777778</v>
      </c>
      <c r="J817" s="4" t="str">
        <f>IF(Table1[[#This Row],[processing_time_hours]]&gt;1.5,"Slow", "Fast")</f>
        <v>Fast</v>
      </c>
      <c r="K817" t="s">
        <v>2818</v>
      </c>
      <c r="L817" s="3">
        <v>0</v>
      </c>
      <c r="M817" t="str">
        <f>IF(Table1[[#This Row],[delayed]]=1,"Delayed","On Time")</f>
        <v>On Time</v>
      </c>
      <c r="N817" t="str">
        <f>IF(AND(Table1[[#This Row],[delayed]]=1,Table1[[#This Row],[weather_condition]]="Storm"),"High Risk", IF(Table1[[#This Row],[delayed]]=1,"Medium Risk","Low Risk"))</f>
        <v>Low Risk</v>
      </c>
    </row>
    <row r="818" spans="1:14" x14ac:dyDescent="0.35">
      <c r="A818">
        <v>817</v>
      </c>
      <c r="B818" s="1">
        <v>44961</v>
      </c>
      <c r="C818" s="2">
        <v>4.1666666666666664E-2</v>
      </c>
      <c r="D818" s="3">
        <v>221</v>
      </c>
      <c r="E818" s="3">
        <v>62</v>
      </c>
      <c r="F818" s="2">
        <v>59.254166666666663</v>
      </c>
      <c r="G818" t="s">
        <v>2812</v>
      </c>
      <c r="H818" t="s">
        <v>2813</v>
      </c>
      <c r="I818" s="2">
        <v>2.5840277777777776</v>
      </c>
      <c r="J818" s="4" t="str">
        <f>IF(Table1[[#This Row],[processing_time_hours]]&gt;1.5,"Slow", "Fast")</f>
        <v>Slow</v>
      </c>
      <c r="K818" t="s">
        <v>2818</v>
      </c>
      <c r="L818" s="3">
        <v>0</v>
      </c>
      <c r="M818" t="str">
        <f>IF(Table1[[#This Row],[delayed]]=1,"Delayed","On Time")</f>
        <v>On Time</v>
      </c>
      <c r="N818" t="str">
        <f>IF(AND(Table1[[#This Row],[delayed]]=1,Table1[[#This Row],[weather_condition]]="Storm"),"High Risk", IF(Table1[[#This Row],[delayed]]=1,"Medium Risk","Low Risk"))</f>
        <v>Low Risk</v>
      </c>
    </row>
    <row r="819" spans="1:14" x14ac:dyDescent="0.35">
      <c r="A819">
        <v>818</v>
      </c>
      <c r="B819" s="1">
        <v>44961.041666666664</v>
      </c>
      <c r="C819" s="2">
        <v>6.458333333333334E-2</v>
      </c>
      <c r="D819" s="3">
        <v>1584</v>
      </c>
      <c r="E819" s="3">
        <v>456</v>
      </c>
      <c r="F819" s="2">
        <v>54.254166666666663</v>
      </c>
      <c r="G819" t="s">
        <v>2816</v>
      </c>
      <c r="H819" t="s">
        <v>2820</v>
      </c>
      <c r="I819" s="2">
        <v>2.5444444444444447</v>
      </c>
      <c r="J819" s="4" t="str">
        <f>IF(Table1[[#This Row],[processing_time_hours]]&gt;1.5,"Slow", "Fast")</f>
        <v>Slow</v>
      </c>
      <c r="K819" t="s">
        <v>2818</v>
      </c>
      <c r="L819" s="3">
        <v>0</v>
      </c>
      <c r="M819" t="str">
        <f>IF(Table1[[#This Row],[delayed]]=1,"Delayed","On Time")</f>
        <v>On Time</v>
      </c>
      <c r="N819" t="str">
        <f>IF(AND(Table1[[#This Row],[delayed]]=1,Table1[[#This Row],[weather_condition]]="Storm"),"High Risk", IF(Table1[[#This Row],[delayed]]=1,"Medium Risk","Low Risk"))</f>
        <v>Low Risk</v>
      </c>
    </row>
    <row r="820" spans="1:14" x14ac:dyDescent="0.35">
      <c r="A820">
        <v>819</v>
      </c>
      <c r="B820" s="1">
        <v>44961.083333333336</v>
      </c>
      <c r="C820" s="2">
        <v>6.8749999999999992E-2</v>
      </c>
      <c r="D820" s="3">
        <v>2138</v>
      </c>
      <c r="E820" s="3">
        <v>107</v>
      </c>
      <c r="F820" s="2">
        <v>49.084722222222219</v>
      </c>
      <c r="G820" t="s">
        <v>2812</v>
      </c>
      <c r="H820" t="s">
        <v>2820</v>
      </c>
      <c r="I820" s="2">
        <v>0.16666666666666666</v>
      </c>
      <c r="J820" s="4" t="str">
        <f>IF(Table1[[#This Row],[processing_time_hours]]&gt;1.5,"Slow", "Fast")</f>
        <v>Fast</v>
      </c>
      <c r="K820" t="s">
        <v>2818</v>
      </c>
      <c r="L820" s="3">
        <v>0</v>
      </c>
      <c r="M820" t="str">
        <f>IF(Table1[[#This Row],[delayed]]=1,"Delayed","On Time")</f>
        <v>On Time</v>
      </c>
      <c r="N820" t="str">
        <f>IF(AND(Table1[[#This Row],[delayed]]=1,Table1[[#This Row],[weather_condition]]="Storm"),"High Risk", IF(Table1[[#This Row],[delayed]]=1,"Medium Risk","Low Risk"))</f>
        <v>Low Risk</v>
      </c>
    </row>
    <row r="821" spans="1:14" x14ac:dyDescent="0.35">
      <c r="A821">
        <v>820</v>
      </c>
      <c r="B821" s="1">
        <v>44961.125</v>
      </c>
      <c r="C821" s="2">
        <v>6.458333333333334E-2</v>
      </c>
      <c r="D821" s="3">
        <v>4004</v>
      </c>
      <c r="E821" s="3">
        <v>137</v>
      </c>
      <c r="F821" s="2">
        <v>16.337500000000002</v>
      </c>
      <c r="G821" t="s">
        <v>2815</v>
      </c>
      <c r="H821" t="s">
        <v>2817</v>
      </c>
      <c r="I821" s="2">
        <v>2.5847222222222221</v>
      </c>
      <c r="J821" s="4" t="str">
        <f>IF(Table1[[#This Row],[processing_time_hours]]&gt;1.5,"Slow", "Fast")</f>
        <v>Slow</v>
      </c>
      <c r="K821" t="s">
        <v>2818</v>
      </c>
      <c r="L821" s="3">
        <v>0</v>
      </c>
      <c r="M821" t="str">
        <f>IF(Table1[[#This Row],[delayed]]=1,"Delayed","On Time")</f>
        <v>On Time</v>
      </c>
      <c r="N821" t="str">
        <f>IF(AND(Table1[[#This Row],[delayed]]=1,Table1[[#This Row],[weather_condition]]="Storm"),"High Risk", IF(Table1[[#This Row],[delayed]]=1,"Medium Risk","Low Risk"))</f>
        <v>Low Risk</v>
      </c>
    </row>
    <row r="822" spans="1:14" x14ac:dyDescent="0.35">
      <c r="A822">
        <v>821</v>
      </c>
      <c r="B822" s="1">
        <v>44961.166666666664</v>
      </c>
      <c r="C822" s="2">
        <v>5.4166666666666669E-2</v>
      </c>
      <c r="D822" s="3">
        <v>1488</v>
      </c>
      <c r="E822" s="3">
        <v>435</v>
      </c>
      <c r="F822" s="2">
        <v>64.379166666666663</v>
      </c>
      <c r="G822" t="s">
        <v>2815</v>
      </c>
      <c r="H822" t="s">
        <v>2820</v>
      </c>
      <c r="I822" s="2">
        <v>8.6805555555555566E-2</v>
      </c>
      <c r="J822" s="4" t="str">
        <f>IF(Table1[[#This Row],[processing_time_hours]]&gt;1.5,"Slow", "Fast")</f>
        <v>Fast</v>
      </c>
      <c r="K822" t="s">
        <v>2814</v>
      </c>
      <c r="L822" s="3">
        <v>0</v>
      </c>
      <c r="M822" t="str">
        <f>IF(Table1[[#This Row],[delayed]]=1,"Delayed","On Time")</f>
        <v>On Time</v>
      </c>
      <c r="N822" t="str">
        <f>IF(AND(Table1[[#This Row],[delayed]]=1,Table1[[#This Row],[weather_condition]]="Storm"),"High Risk", IF(Table1[[#This Row],[delayed]]=1,"Medium Risk","Low Risk"))</f>
        <v>Low Risk</v>
      </c>
    </row>
    <row r="823" spans="1:14" x14ac:dyDescent="0.35">
      <c r="A823">
        <v>822</v>
      </c>
      <c r="B823" s="1">
        <v>44961.208333333336</v>
      </c>
      <c r="C823" s="2">
        <v>6.5277777777777782E-2</v>
      </c>
      <c r="D823" s="3">
        <v>2369</v>
      </c>
      <c r="E823" s="3">
        <v>84</v>
      </c>
      <c r="F823" s="2">
        <v>48.875</v>
      </c>
      <c r="G823" t="s">
        <v>2816</v>
      </c>
      <c r="H823" t="s">
        <v>2822</v>
      </c>
      <c r="I823" s="2">
        <v>2.9173611111111111</v>
      </c>
      <c r="J823" s="4" t="str">
        <f>IF(Table1[[#This Row],[processing_time_hours]]&gt;1.5,"Slow", "Fast")</f>
        <v>Slow</v>
      </c>
      <c r="K823" t="s">
        <v>2814</v>
      </c>
      <c r="L823" s="3">
        <v>0</v>
      </c>
      <c r="M823" t="str">
        <f>IF(Table1[[#This Row],[delayed]]=1,"Delayed","On Time")</f>
        <v>On Time</v>
      </c>
      <c r="N823" t="str">
        <f>IF(AND(Table1[[#This Row],[delayed]]=1,Table1[[#This Row],[weather_condition]]="Storm"),"High Risk", IF(Table1[[#This Row],[delayed]]=1,"Medium Risk","Low Risk"))</f>
        <v>Low Risk</v>
      </c>
    </row>
    <row r="824" spans="1:14" x14ac:dyDescent="0.35">
      <c r="A824">
        <v>823</v>
      </c>
      <c r="B824" s="1">
        <v>44961.25</v>
      </c>
      <c r="C824" s="2">
        <v>4.7222222222222221E-2</v>
      </c>
      <c r="D824" s="3">
        <v>3268</v>
      </c>
      <c r="E824" s="3">
        <v>74</v>
      </c>
      <c r="F824" s="2">
        <v>69.791666666666671</v>
      </c>
      <c r="G824" t="s">
        <v>2812</v>
      </c>
      <c r="H824" t="s">
        <v>2813</v>
      </c>
      <c r="I824" s="2">
        <v>0.9604166666666667</v>
      </c>
      <c r="J824" s="4" t="str">
        <f>IF(Table1[[#This Row],[processing_time_hours]]&gt;1.5,"Slow", "Fast")</f>
        <v>Fast</v>
      </c>
      <c r="K824" t="s">
        <v>2821</v>
      </c>
      <c r="L824" s="3">
        <v>0</v>
      </c>
      <c r="M824" t="str">
        <f>IF(Table1[[#This Row],[delayed]]=1,"Delayed","On Time")</f>
        <v>On Time</v>
      </c>
      <c r="N824" t="str">
        <f>IF(AND(Table1[[#This Row],[delayed]]=1,Table1[[#This Row],[weather_condition]]="Storm"),"High Risk", IF(Table1[[#This Row],[delayed]]=1,"Medium Risk","Low Risk"))</f>
        <v>Low Risk</v>
      </c>
    </row>
    <row r="825" spans="1:14" x14ac:dyDescent="0.35">
      <c r="A825">
        <v>824</v>
      </c>
      <c r="B825" s="1">
        <v>44961.291666666664</v>
      </c>
      <c r="C825" s="2">
        <v>6.0416666666666667E-2</v>
      </c>
      <c r="D825" s="3">
        <v>335</v>
      </c>
      <c r="E825" s="3">
        <v>105</v>
      </c>
      <c r="F825" s="2">
        <v>45.836111111111109</v>
      </c>
      <c r="G825" t="s">
        <v>2815</v>
      </c>
      <c r="H825" t="s">
        <v>2817</v>
      </c>
      <c r="I825" s="2">
        <v>2.254861111111111</v>
      </c>
      <c r="J825" s="4" t="str">
        <f>IF(Table1[[#This Row],[processing_time_hours]]&gt;1.5,"Slow", "Fast")</f>
        <v>Slow</v>
      </c>
      <c r="K825" t="s">
        <v>2814</v>
      </c>
      <c r="L825" s="3">
        <v>0</v>
      </c>
      <c r="M825" t="str">
        <f>IF(Table1[[#This Row],[delayed]]=1,"Delayed","On Time")</f>
        <v>On Time</v>
      </c>
      <c r="N825" t="str">
        <f>IF(AND(Table1[[#This Row],[delayed]]=1,Table1[[#This Row],[weather_condition]]="Storm"),"High Risk", IF(Table1[[#This Row],[delayed]]=1,"Medium Risk","Low Risk"))</f>
        <v>Low Risk</v>
      </c>
    </row>
    <row r="826" spans="1:14" x14ac:dyDescent="0.35">
      <c r="A826">
        <v>825</v>
      </c>
      <c r="B826" s="1">
        <v>44961.333333333336</v>
      </c>
      <c r="C826" s="2">
        <v>4.7916666666666663E-2</v>
      </c>
      <c r="D826" s="3">
        <v>1322</v>
      </c>
      <c r="E826" s="3">
        <v>387</v>
      </c>
      <c r="F826" s="2">
        <v>43.502777777777773</v>
      </c>
      <c r="G826" t="s">
        <v>2816</v>
      </c>
      <c r="H826" t="s">
        <v>2817</v>
      </c>
      <c r="I826" s="2">
        <v>1.4611111111111112</v>
      </c>
      <c r="J826" s="4" t="str">
        <f>IF(Table1[[#This Row],[processing_time_hours]]&gt;1.5,"Slow", "Fast")</f>
        <v>Fast</v>
      </c>
      <c r="K826" t="s">
        <v>2814</v>
      </c>
      <c r="L826" s="3">
        <v>0</v>
      </c>
      <c r="M826" t="str">
        <f>IF(Table1[[#This Row],[delayed]]=1,"Delayed","On Time")</f>
        <v>On Time</v>
      </c>
      <c r="N826" t="str">
        <f>IF(AND(Table1[[#This Row],[delayed]]=1,Table1[[#This Row],[weather_condition]]="Storm"),"High Risk", IF(Table1[[#This Row],[delayed]]=1,"Medium Risk","Low Risk"))</f>
        <v>Low Risk</v>
      </c>
    </row>
    <row r="827" spans="1:14" x14ac:dyDescent="0.35">
      <c r="A827">
        <v>826</v>
      </c>
      <c r="B827" s="1">
        <v>44961.375</v>
      </c>
      <c r="C827" s="2">
        <v>5.2777777777777778E-2</v>
      </c>
      <c r="D827" s="3">
        <v>2468</v>
      </c>
      <c r="E827" s="3">
        <v>132</v>
      </c>
      <c r="F827" s="2">
        <v>1.7520833333333332</v>
      </c>
      <c r="G827" t="s">
        <v>2812</v>
      </c>
      <c r="H827" t="s">
        <v>2820</v>
      </c>
      <c r="I827" s="2">
        <v>2.7923611111111111</v>
      </c>
      <c r="J827" s="4" t="str">
        <f>IF(Table1[[#This Row],[processing_time_hours]]&gt;1.5,"Slow", "Fast")</f>
        <v>Slow</v>
      </c>
      <c r="K827" t="s">
        <v>2818</v>
      </c>
      <c r="L827" s="3">
        <v>0</v>
      </c>
      <c r="M827" t="str">
        <f>IF(Table1[[#This Row],[delayed]]=1,"Delayed","On Time")</f>
        <v>On Time</v>
      </c>
      <c r="N827" t="str">
        <f>IF(AND(Table1[[#This Row],[delayed]]=1,Table1[[#This Row],[weather_condition]]="Storm"),"High Risk", IF(Table1[[#This Row],[delayed]]=1,"Medium Risk","Low Risk"))</f>
        <v>Low Risk</v>
      </c>
    </row>
    <row r="828" spans="1:14" x14ac:dyDescent="0.35">
      <c r="A828">
        <v>827</v>
      </c>
      <c r="B828" s="1">
        <v>44961.416666666664</v>
      </c>
      <c r="C828" s="2">
        <v>6.5972222222222224E-2</v>
      </c>
      <c r="D828" s="3">
        <v>834</v>
      </c>
      <c r="E828" s="3">
        <v>38</v>
      </c>
      <c r="F828" s="2">
        <v>55.045138888888886</v>
      </c>
      <c r="G828" t="s">
        <v>2815</v>
      </c>
      <c r="H828" t="s">
        <v>2822</v>
      </c>
      <c r="I828" s="2">
        <v>0.29791666666666666</v>
      </c>
      <c r="J828" s="4" t="str">
        <f>IF(Table1[[#This Row],[processing_time_hours]]&gt;1.5,"Slow", "Fast")</f>
        <v>Fast</v>
      </c>
      <c r="K828" t="s">
        <v>2821</v>
      </c>
      <c r="L828" s="3">
        <v>0</v>
      </c>
      <c r="M828" t="str">
        <f>IF(Table1[[#This Row],[delayed]]=1,"Delayed","On Time")</f>
        <v>On Time</v>
      </c>
      <c r="N828" t="str">
        <f>IF(AND(Table1[[#This Row],[delayed]]=1,Table1[[#This Row],[weather_condition]]="Storm"),"High Risk", IF(Table1[[#This Row],[delayed]]=1,"Medium Risk","Low Risk"))</f>
        <v>Low Risk</v>
      </c>
    </row>
    <row r="829" spans="1:14" x14ac:dyDescent="0.35">
      <c r="A829">
        <v>828</v>
      </c>
      <c r="B829" s="1">
        <v>44961.458333333336</v>
      </c>
      <c r="C829" s="2">
        <v>5.3472222222222227E-2</v>
      </c>
      <c r="D829" s="3">
        <v>1759</v>
      </c>
      <c r="E829" s="3">
        <v>241</v>
      </c>
      <c r="F829" s="2">
        <v>73.084027777777777</v>
      </c>
      <c r="G829" t="s">
        <v>2812</v>
      </c>
      <c r="H829" t="s">
        <v>2822</v>
      </c>
      <c r="I829" s="2">
        <v>2.3756944444444446</v>
      </c>
      <c r="J829" s="4" t="str">
        <f>IF(Table1[[#This Row],[processing_time_hours]]&gt;1.5,"Slow", "Fast")</f>
        <v>Slow</v>
      </c>
      <c r="K829" t="s">
        <v>2818</v>
      </c>
      <c r="L829" s="3">
        <v>1</v>
      </c>
      <c r="M829" t="str">
        <f>IF(Table1[[#This Row],[delayed]]=1,"Delayed","On Time")</f>
        <v>Delayed</v>
      </c>
      <c r="N829" t="str">
        <f>IF(AND(Table1[[#This Row],[delayed]]=1,Table1[[#This Row],[weather_condition]]="Storm"),"High Risk", IF(Table1[[#This Row],[delayed]]=1,"Medium Risk","Low Risk"))</f>
        <v>Medium Risk</v>
      </c>
    </row>
    <row r="830" spans="1:14" x14ac:dyDescent="0.35">
      <c r="A830">
        <v>829</v>
      </c>
      <c r="B830" s="1">
        <v>44961.5</v>
      </c>
      <c r="C830" s="2">
        <v>6.6666666666666666E-2</v>
      </c>
      <c r="D830" s="3">
        <v>3070</v>
      </c>
      <c r="E830" s="3">
        <v>138</v>
      </c>
      <c r="F830" s="2">
        <v>81.75555555555556</v>
      </c>
      <c r="G830" t="s">
        <v>2816</v>
      </c>
      <c r="H830" t="s">
        <v>2822</v>
      </c>
      <c r="I830" s="2">
        <v>1.2541666666666667</v>
      </c>
      <c r="J830" s="4" t="str">
        <f>IF(Table1[[#This Row],[processing_time_hours]]&gt;1.5,"Slow", "Fast")</f>
        <v>Fast</v>
      </c>
      <c r="K830" t="s">
        <v>2821</v>
      </c>
      <c r="L830" s="3">
        <v>0</v>
      </c>
      <c r="M830" t="str">
        <f>IF(Table1[[#This Row],[delayed]]=1,"Delayed","On Time")</f>
        <v>On Time</v>
      </c>
      <c r="N830" t="str">
        <f>IF(AND(Table1[[#This Row],[delayed]]=1,Table1[[#This Row],[weather_condition]]="Storm"),"High Risk", IF(Table1[[#This Row],[delayed]]=1,"Medium Risk","Low Risk"))</f>
        <v>Low Risk</v>
      </c>
    </row>
    <row r="831" spans="1:14" x14ac:dyDescent="0.35">
      <c r="A831">
        <v>830</v>
      </c>
      <c r="B831" s="1">
        <v>44961.541666666664</v>
      </c>
      <c r="C831" s="2">
        <v>5.8333333333333327E-2</v>
      </c>
      <c r="D831" s="3">
        <v>2272</v>
      </c>
      <c r="E831" s="3">
        <v>102</v>
      </c>
      <c r="F831" s="2">
        <v>58.377777777777773</v>
      </c>
      <c r="G831" t="s">
        <v>2812</v>
      </c>
      <c r="H831" t="s">
        <v>2820</v>
      </c>
      <c r="I831" s="2">
        <v>0.25486111111111109</v>
      </c>
      <c r="J831" s="4" t="str">
        <f>IF(Table1[[#This Row],[processing_time_hours]]&gt;1.5,"Slow", "Fast")</f>
        <v>Fast</v>
      </c>
      <c r="K831" t="s">
        <v>2814</v>
      </c>
      <c r="L831" s="3">
        <v>0</v>
      </c>
      <c r="M831" t="str">
        <f>IF(Table1[[#This Row],[delayed]]=1,"Delayed","On Time")</f>
        <v>On Time</v>
      </c>
      <c r="N831" t="str">
        <f>IF(AND(Table1[[#This Row],[delayed]]=1,Table1[[#This Row],[weather_condition]]="Storm"),"High Risk", IF(Table1[[#This Row],[delayed]]=1,"Medium Risk","Low Risk"))</f>
        <v>Low Risk</v>
      </c>
    </row>
    <row r="832" spans="1:14" x14ac:dyDescent="0.35">
      <c r="A832">
        <v>831</v>
      </c>
      <c r="B832" s="1">
        <v>44961.583333333336</v>
      </c>
      <c r="C832" s="2">
        <v>4.9999999999999996E-2</v>
      </c>
      <c r="D832" s="3">
        <v>3238</v>
      </c>
      <c r="E832" s="3">
        <v>165</v>
      </c>
      <c r="F832" s="2">
        <v>23.916666666666668</v>
      </c>
      <c r="G832" t="s">
        <v>2815</v>
      </c>
      <c r="H832" t="s">
        <v>2813</v>
      </c>
      <c r="I832" s="2">
        <v>1.0041666666666667</v>
      </c>
      <c r="J832" s="4" t="str">
        <f>IF(Table1[[#This Row],[processing_time_hours]]&gt;1.5,"Slow", "Fast")</f>
        <v>Fast</v>
      </c>
      <c r="K832" t="s">
        <v>2818</v>
      </c>
      <c r="L832" s="3">
        <v>0</v>
      </c>
      <c r="M832" t="str">
        <f>IF(Table1[[#This Row],[delayed]]=1,"Delayed","On Time")</f>
        <v>On Time</v>
      </c>
      <c r="N832" t="str">
        <f>IF(AND(Table1[[#This Row],[delayed]]=1,Table1[[#This Row],[weather_condition]]="Storm"),"High Risk", IF(Table1[[#This Row],[delayed]]=1,"Medium Risk","Low Risk"))</f>
        <v>Low Risk</v>
      </c>
    </row>
    <row r="833" spans="1:14" x14ac:dyDescent="0.35">
      <c r="A833">
        <v>832</v>
      </c>
      <c r="B833" s="1">
        <v>44961.625</v>
      </c>
      <c r="C833" s="2">
        <v>4.8611111111111112E-3</v>
      </c>
      <c r="D833" s="3">
        <v>4584</v>
      </c>
      <c r="E833" s="3">
        <v>247</v>
      </c>
      <c r="F833" s="2">
        <v>58.211111111111109</v>
      </c>
      <c r="G833" t="s">
        <v>2812</v>
      </c>
      <c r="H833" t="s">
        <v>2817</v>
      </c>
      <c r="I833" s="2">
        <v>0.12569444444444444</v>
      </c>
      <c r="J833" s="4" t="str">
        <f>IF(Table1[[#This Row],[processing_time_hours]]&gt;1.5,"Slow", "Fast")</f>
        <v>Fast</v>
      </c>
      <c r="K833" t="s">
        <v>2821</v>
      </c>
      <c r="L833" s="3">
        <v>0</v>
      </c>
      <c r="M833" t="str">
        <f>IF(Table1[[#This Row],[delayed]]=1,"Delayed","On Time")</f>
        <v>On Time</v>
      </c>
      <c r="N833" t="str">
        <f>IF(AND(Table1[[#This Row],[delayed]]=1,Table1[[#This Row],[weather_condition]]="Storm"),"High Risk", IF(Table1[[#This Row],[delayed]]=1,"Medium Risk","Low Risk"))</f>
        <v>Low Risk</v>
      </c>
    </row>
    <row r="834" spans="1:14" x14ac:dyDescent="0.35">
      <c r="A834">
        <v>833</v>
      </c>
      <c r="B834" s="1">
        <v>44961.666666666664</v>
      </c>
      <c r="C834" s="2">
        <v>4.1666666666666666E-3</v>
      </c>
      <c r="D834" s="3">
        <v>2009</v>
      </c>
      <c r="E834" s="3">
        <v>328</v>
      </c>
      <c r="F834" s="2">
        <v>71.542361111111106</v>
      </c>
      <c r="G834" t="s">
        <v>2812</v>
      </c>
      <c r="H834" t="s">
        <v>2820</v>
      </c>
      <c r="I834" s="2">
        <v>2.1729166666666666</v>
      </c>
      <c r="J834" s="4" t="str">
        <f>IF(Table1[[#This Row],[processing_time_hours]]&gt;1.5,"Slow", "Fast")</f>
        <v>Slow</v>
      </c>
      <c r="K834" t="s">
        <v>2814</v>
      </c>
      <c r="L834" s="3">
        <v>0</v>
      </c>
      <c r="M834" t="str">
        <f>IF(Table1[[#This Row],[delayed]]=1,"Delayed","On Time")</f>
        <v>On Time</v>
      </c>
      <c r="N834" t="str">
        <f>IF(AND(Table1[[#This Row],[delayed]]=1,Table1[[#This Row],[weather_condition]]="Storm"),"High Risk", IF(Table1[[#This Row],[delayed]]=1,"Medium Risk","Low Risk"))</f>
        <v>Low Risk</v>
      </c>
    </row>
    <row r="835" spans="1:14" x14ac:dyDescent="0.35">
      <c r="A835">
        <v>834</v>
      </c>
      <c r="B835" s="1">
        <v>44961.708333333336</v>
      </c>
      <c r="C835" s="2">
        <v>5.7638888888888885E-2</v>
      </c>
      <c r="D835" s="3">
        <v>3300</v>
      </c>
      <c r="E835" s="3">
        <v>256</v>
      </c>
      <c r="F835" s="2">
        <v>27.334027777777777</v>
      </c>
      <c r="G835" t="s">
        <v>2816</v>
      </c>
      <c r="H835" t="s">
        <v>2813</v>
      </c>
      <c r="I835" s="2">
        <v>1.0479166666666666</v>
      </c>
      <c r="J835" s="4" t="str">
        <f>IF(Table1[[#This Row],[processing_time_hours]]&gt;1.5,"Slow", "Fast")</f>
        <v>Fast</v>
      </c>
      <c r="K835" t="s">
        <v>2814</v>
      </c>
      <c r="L835" s="3">
        <v>1</v>
      </c>
      <c r="M835" t="str">
        <f>IF(Table1[[#This Row],[delayed]]=1,"Delayed","On Time")</f>
        <v>Delayed</v>
      </c>
      <c r="N835" t="str">
        <f>IF(AND(Table1[[#This Row],[delayed]]=1,Table1[[#This Row],[weather_condition]]="Storm"),"High Risk", IF(Table1[[#This Row],[delayed]]=1,"Medium Risk","Low Risk"))</f>
        <v>Medium Risk</v>
      </c>
    </row>
    <row r="836" spans="1:14" x14ac:dyDescent="0.35">
      <c r="A836">
        <v>835</v>
      </c>
      <c r="B836" s="1">
        <v>44961.75</v>
      </c>
      <c r="C836" s="2">
        <v>6.5277777777777782E-2</v>
      </c>
      <c r="D836" s="3">
        <v>4663</v>
      </c>
      <c r="E836" s="3">
        <v>291</v>
      </c>
      <c r="F836" s="2">
        <v>48.250694444444441</v>
      </c>
      <c r="G836" t="s">
        <v>2819</v>
      </c>
      <c r="H836" t="s">
        <v>2820</v>
      </c>
      <c r="I836" s="2">
        <v>1.6298611111111112</v>
      </c>
      <c r="J836" s="4" t="str">
        <f>IF(Table1[[#This Row],[processing_time_hours]]&gt;1.5,"Slow", "Fast")</f>
        <v>Slow</v>
      </c>
      <c r="K836" t="s">
        <v>2818</v>
      </c>
      <c r="L836" s="3">
        <v>0</v>
      </c>
      <c r="M836" t="str">
        <f>IF(Table1[[#This Row],[delayed]]=1,"Delayed","On Time")</f>
        <v>On Time</v>
      </c>
      <c r="N836" t="str">
        <f>IF(AND(Table1[[#This Row],[delayed]]=1,Table1[[#This Row],[weather_condition]]="Storm"),"High Risk", IF(Table1[[#This Row],[delayed]]=1,"Medium Risk","Low Risk"))</f>
        <v>Low Risk</v>
      </c>
    </row>
    <row r="837" spans="1:14" x14ac:dyDescent="0.35">
      <c r="A837">
        <v>836</v>
      </c>
      <c r="B837" s="1">
        <v>44961.791666666664</v>
      </c>
      <c r="C837" s="2">
        <v>4.7916666666666663E-2</v>
      </c>
      <c r="D837" s="3">
        <v>4245</v>
      </c>
      <c r="E837" s="3">
        <v>366</v>
      </c>
      <c r="F837" s="2">
        <v>38.209722222222219</v>
      </c>
      <c r="G837" t="s">
        <v>2819</v>
      </c>
      <c r="H837" t="s">
        <v>2822</v>
      </c>
      <c r="I837" s="2">
        <v>1.2131944444444445</v>
      </c>
      <c r="J837" s="4" t="str">
        <f>IF(Table1[[#This Row],[processing_time_hours]]&gt;1.5,"Slow", "Fast")</f>
        <v>Fast</v>
      </c>
      <c r="K837" t="s">
        <v>2814</v>
      </c>
      <c r="L837" s="3">
        <v>1</v>
      </c>
      <c r="M837" t="str">
        <f>IF(Table1[[#This Row],[delayed]]=1,"Delayed","On Time")</f>
        <v>Delayed</v>
      </c>
      <c r="N837" t="str">
        <f>IF(AND(Table1[[#This Row],[delayed]]=1,Table1[[#This Row],[weather_condition]]="Storm"),"High Risk", IF(Table1[[#This Row],[delayed]]=1,"Medium Risk","Low Risk"))</f>
        <v>Medium Risk</v>
      </c>
    </row>
    <row r="838" spans="1:14" x14ac:dyDescent="0.35">
      <c r="A838">
        <v>837</v>
      </c>
      <c r="B838" s="1">
        <v>44961.833333333336</v>
      </c>
      <c r="C838" s="2">
        <v>5.486111111111111E-2</v>
      </c>
      <c r="D838" s="3">
        <v>1876</v>
      </c>
      <c r="E838" s="3">
        <v>149</v>
      </c>
      <c r="F838" s="2">
        <v>7.7111111111111112</v>
      </c>
      <c r="G838" t="s">
        <v>2812</v>
      </c>
      <c r="H838" t="s">
        <v>2820</v>
      </c>
      <c r="I838" s="2">
        <v>0.46388888888888885</v>
      </c>
      <c r="J838" s="4" t="str">
        <f>IF(Table1[[#This Row],[processing_time_hours]]&gt;1.5,"Slow", "Fast")</f>
        <v>Fast</v>
      </c>
      <c r="K838" t="s">
        <v>2821</v>
      </c>
      <c r="L838" s="3">
        <v>1</v>
      </c>
      <c r="M838" t="str">
        <f>IF(Table1[[#This Row],[delayed]]=1,"Delayed","On Time")</f>
        <v>Delayed</v>
      </c>
      <c r="N838" t="str">
        <f>IF(AND(Table1[[#This Row],[delayed]]=1,Table1[[#This Row],[weather_condition]]="Storm"),"High Risk", IF(Table1[[#This Row],[delayed]]=1,"Medium Risk","Low Risk"))</f>
        <v>Medium Risk</v>
      </c>
    </row>
    <row r="839" spans="1:14" x14ac:dyDescent="0.35">
      <c r="A839">
        <v>838</v>
      </c>
      <c r="B839" s="1">
        <v>44961.875</v>
      </c>
      <c r="C839" s="2">
        <v>6.8749999999999992E-2</v>
      </c>
      <c r="D839" s="3">
        <v>3569</v>
      </c>
      <c r="E839" s="3">
        <v>115</v>
      </c>
      <c r="F839" s="2">
        <v>38.086805555555557</v>
      </c>
      <c r="G839" t="s">
        <v>2819</v>
      </c>
      <c r="H839" t="s">
        <v>2822</v>
      </c>
      <c r="I839" s="2">
        <v>1.4631944444444445</v>
      </c>
      <c r="J839" s="4" t="str">
        <f>IF(Table1[[#This Row],[processing_time_hours]]&gt;1.5,"Slow", "Fast")</f>
        <v>Fast</v>
      </c>
      <c r="K839" t="s">
        <v>2821</v>
      </c>
      <c r="L839" s="3">
        <v>0</v>
      </c>
      <c r="M839" t="str">
        <f>IF(Table1[[#This Row],[delayed]]=1,"Delayed","On Time")</f>
        <v>On Time</v>
      </c>
      <c r="N839" t="str">
        <f>IF(AND(Table1[[#This Row],[delayed]]=1,Table1[[#This Row],[weather_condition]]="Storm"),"High Risk", IF(Table1[[#This Row],[delayed]]=1,"Medium Risk","Low Risk"))</f>
        <v>Low Risk</v>
      </c>
    </row>
    <row r="840" spans="1:14" x14ac:dyDescent="0.35">
      <c r="A840">
        <v>839</v>
      </c>
      <c r="B840" s="1">
        <v>44961.916666666664</v>
      </c>
      <c r="C840" s="2">
        <v>5.2777777777777778E-2</v>
      </c>
      <c r="D840" s="3">
        <v>176</v>
      </c>
      <c r="E840" s="3">
        <v>421</v>
      </c>
      <c r="F840" s="2">
        <v>57.297222222222224</v>
      </c>
      <c r="G840" t="s">
        <v>2816</v>
      </c>
      <c r="H840" t="s">
        <v>2820</v>
      </c>
      <c r="I840" s="2">
        <v>2.1666666666666665</v>
      </c>
      <c r="J840" s="4" t="str">
        <f>IF(Table1[[#This Row],[processing_time_hours]]&gt;1.5,"Slow", "Fast")</f>
        <v>Slow</v>
      </c>
      <c r="K840" t="s">
        <v>2814</v>
      </c>
      <c r="L840" s="3">
        <v>0</v>
      </c>
      <c r="M840" t="str">
        <f>IF(Table1[[#This Row],[delayed]]=1,"Delayed","On Time")</f>
        <v>On Time</v>
      </c>
      <c r="N840" t="str">
        <f>IF(AND(Table1[[#This Row],[delayed]]=1,Table1[[#This Row],[weather_condition]]="Storm"),"High Risk", IF(Table1[[#This Row],[delayed]]=1,"Medium Risk","Low Risk"))</f>
        <v>Low Risk</v>
      </c>
    </row>
    <row r="841" spans="1:14" x14ac:dyDescent="0.35">
      <c r="A841">
        <v>840</v>
      </c>
      <c r="B841" s="1">
        <v>44961.958333333336</v>
      </c>
      <c r="C841" s="2">
        <v>6.805555555555555E-2</v>
      </c>
      <c r="D841" s="3">
        <v>1450</v>
      </c>
      <c r="E841" s="3">
        <v>21</v>
      </c>
      <c r="F841" s="2">
        <v>69.754166666666663</v>
      </c>
      <c r="G841" t="s">
        <v>2819</v>
      </c>
      <c r="H841" t="s">
        <v>2817</v>
      </c>
      <c r="I841" s="2">
        <v>1.0020833333333334</v>
      </c>
      <c r="J841" s="4" t="str">
        <f>IF(Table1[[#This Row],[processing_time_hours]]&gt;1.5,"Slow", "Fast")</f>
        <v>Fast</v>
      </c>
      <c r="K841" t="s">
        <v>2818</v>
      </c>
      <c r="L841" s="3">
        <v>0</v>
      </c>
      <c r="M841" t="str">
        <f>IF(Table1[[#This Row],[delayed]]=1,"Delayed","On Time")</f>
        <v>On Time</v>
      </c>
      <c r="N841" t="str">
        <f>IF(AND(Table1[[#This Row],[delayed]]=1,Table1[[#This Row],[weather_condition]]="Storm"),"High Risk", IF(Table1[[#This Row],[delayed]]=1,"Medium Risk","Low Risk"))</f>
        <v>Low Risk</v>
      </c>
    </row>
    <row r="842" spans="1:14" x14ac:dyDescent="0.35">
      <c r="A842">
        <v>841</v>
      </c>
      <c r="B842" s="1">
        <v>44962</v>
      </c>
      <c r="C842" s="2">
        <v>6.458333333333334E-2</v>
      </c>
      <c r="D842" s="3">
        <v>2658</v>
      </c>
      <c r="E842" s="3">
        <v>352</v>
      </c>
      <c r="F842" s="2">
        <v>12.12638888888889</v>
      </c>
      <c r="G842" t="s">
        <v>2812</v>
      </c>
      <c r="H842" t="s">
        <v>2820</v>
      </c>
      <c r="I842" s="2">
        <v>0.17291666666666669</v>
      </c>
      <c r="J842" s="4" t="str">
        <f>IF(Table1[[#This Row],[processing_time_hours]]&gt;1.5,"Slow", "Fast")</f>
        <v>Fast</v>
      </c>
      <c r="K842" t="s">
        <v>2814</v>
      </c>
      <c r="L842" s="3">
        <v>0</v>
      </c>
      <c r="M842" t="str">
        <f>IF(Table1[[#This Row],[delayed]]=1,"Delayed","On Time")</f>
        <v>On Time</v>
      </c>
      <c r="N842" t="str">
        <f>IF(AND(Table1[[#This Row],[delayed]]=1,Table1[[#This Row],[weather_condition]]="Storm"),"High Risk", IF(Table1[[#This Row],[delayed]]=1,"Medium Risk","Low Risk"))</f>
        <v>Low Risk</v>
      </c>
    </row>
    <row r="843" spans="1:14" x14ac:dyDescent="0.35">
      <c r="A843">
        <v>842</v>
      </c>
      <c r="B843" s="1">
        <v>44962.041666666664</v>
      </c>
      <c r="C843" s="2">
        <v>5.5555555555555558E-3</v>
      </c>
      <c r="D843" s="3">
        <v>4727</v>
      </c>
      <c r="E843" s="3">
        <v>109</v>
      </c>
      <c r="F843" s="2">
        <v>77.168055555555554</v>
      </c>
      <c r="G843" t="s">
        <v>2815</v>
      </c>
      <c r="H843" t="s">
        <v>2822</v>
      </c>
      <c r="I843" s="2">
        <v>2.4624999999999999</v>
      </c>
      <c r="J843" s="4" t="str">
        <f>IF(Table1[[#This Row],[processing_time_hours]]&gt;1.5,"Slow", "Fast")</f>
        <v>Slow</v>
      </c>
      <c r="K843" t="s">
        <v>2821</v>
      </c>
      <c r="L843" s="3">
        <v>0</v>
      </c>
      <c r="M843" t="str">
        <f>IF(Table1[[#This Row],[delayed]]=1,"Delayed","On Time")</f>
        <v>On Time</v>
      </c>
      <c r="N843" t="str">
        <f>IF(AND(Table1[[#This Row],[delayed]]=1,Table1[[#This Row],[weather_condition]]="Storm"),"High Risk", IF(Table1[[#This Row],[delayed]]=1,"Medium Risk","Low Risk"))</f>
        <v>Low Risk</v>
      </c>
    </row>
    <row r="844" spans="1:14" x14ac:dyDescent="0.35">
      <c r="A844">
        <v>843</v>
      </c>
      <c r="B844" s="1">
        <v>44962.083333333336</v>
      </c>
      <c r="C844" s="2">
        <v>5.9027777777777783E-2</v>
      </c>
      <c r="D844" s="3">
        <v>4613</v>
      </c>
      <c r="E844" s="3">
        <v>437</v>
      </c>
      <c r="F844" s="2">
        <v>63.586111111111109</v>
      </c>
      <c r="G844" t="s">
        <v>2819</v>
      </c>
      <c r="H844" t="s">
        <v>2817</v>
      </c>
      <c r="I844" s="2">
        <v>1.2527777777777778</v>
      </c>
      <c r="J844" s="4" t="str">
        <f>IF(Table1[[#This Row],[processing_time_hours]]&gt;1.5,"Slow", "Fast")</f>
        <v>Fast</v>
      </c>
      <c r="K844" t="s">
        <v>2814</v>
      </c>
      <c r="L844" s="3">
        <v>1</v>
      </c>
      <c r="M844" t="str">
        <f>IF(Table1[[#This Row],[delayed]]=1,"Delayed","On Time")</f>
        <v>Delayed</v>
      </c>
      <c r="N844" t="str">
        <f>IF(AND(Table1[[#This Row],[delayed]]=1,Table1[[#This Row],[weather_condition]]="Storm"),"High Risk", IF(Table1[[#This Row],[delayed]]=1,"Medium Risk","Low Risk"))</f>
        <v>High Risk</v>
      </c>
    </row>
    <row r="845" spans="1:14" x14ac:dyDescent="0.35">
      <c r="A845">
        <v>844</v>
      </c>
      <c r="B845" s="1">
        <v>44962.125</v>
      </c>
      <c r="C845" s="2">
        <v>4.3750000000000004E-2</v>
      </c>
      <c r="D845" s="3">
        <v>4220</v>
      </c>
      <c r="E845" s="3">
        <v>13</v>
      </c>
      <c r="F845" s="2">
        <v>37.422222222222224</v>
      </c>
      <c r="G845" t="s">
        <v>2816</v>
      </c>
      <c r="H845" t="s">
        <v>2820</v>
      </c>
      <c r="I845" s="2">
        <v>1.1284722222222221</v>
      </c>
      <c r="J845" s="4" t="str">
        <f>IF(Table1[[#This Row],[processing_time_hours]]&gt;1.5,"Slow", "Fast")</f>
        <v>Fast</v>
      </c>
      <c r="K845" t="s">
        <v>2818</v>
      </c>
      <c r="L845" s="3">
        <v>0</v>
      </c>
      <c r="M845" t="str">
        <f>IF(Table1[[#This Row],[delayed]]=1,"Delayed","On Time")</f>
        <v>On Time</v>
      </c>
      <c r="N845" t="str">
        <f>IF(AND(Table1[[#This Row],[delayed]]=1,Table1[[#This Row],[weather_condition]]="Storm"),"High Risk", IF(Table1[[#This Row],[delayed]]=1,"Medium Risk","Low Risk"))</f>
        <v>Low Risk</v>
      </c>
    </row>
    <row r="846" spans="1:14" x14ac:dyDescent="0.35">
      <c r="A846">
        <v>845</v>
      </c>
      <c r="B846" s="1">
        <v>44962.166666666664</v>
      </c>
      <c r="C846" s="2">
        <v>5.6250000000000001E-2</v>
      </c>
      <c r="D846" s="3">
        <v>1276</v>
      </c>
      <c r="E846" s="3">
        <v>70</v>
      </c>
      <c r="F846" s="2">
        <v>14.627083333333333</v>
      </c>
      <c r="G846" t="s">
        <v>2812</v>
      </c>
      <c r="H846" t="s">
        <v>2817</v>
      </c>
      <c r="I846" s="2">
        <v>1.9173611111111111</v>
      </c>
      <c r="J846" s="4" t="str">
        <f>IF(Table1[[#This Row],[processing_time_hours]]&gt;1.5,"Slow", "Fast")</f>
        <v>Slow</v>
      </c>
      <c r="K846" t="s">
        <v>2818</v>
      </c>
      <c r="L846" s="3">
        <v>0</v>
      </c>
      <c r="M846" t="str">
        <f>IF(Table1[[#This Row],[delayed]]=1,"Delayed","On Time")</f>
        <v>On Time</v>
      </c>
      <c r="N846" t="str">
        <f>IF(AND(Table1[[#This Row],[delayed]]=1,Table1[[#This Row],[weather_condition]]="Storm"),"High Risk", IF(Table1[[#This Row],[delayed]]=1,"Medium Risk","Low Risk"))</f>
        <v>Low Risk</v>
      </c>
    </row>
    <row r="847" spans="1:14" x14ac:dyDescent="0.35">
      <c r="A847">
        <v>846</v>
      </c>
      <c r="B847" s="1">
        <v>44962.208333333336</v>
      </c>
      <c r="C847" s="2">
        <v>6.2499999999999995E-3</v>
      </c>
      <c r="D847" s="3">
        <v>2780</v>
      </c>
      <c r="E847" s="3">
        <v>405</v>
      </c>
      <c r="F847" s="2">
        <v>29.002083333333331</v>
      </c>
      <c r="G847" t="s">
        <v>2819</v>
      </c>
      <c r="H847" t="s">
        <v>2820</v>
      </c>
      <c r="I847" s="2">
        <v>2.5874999999999999</v>
      </c>
      <c r="J847" s="4" t="str">
        <f>IF(Table1[[#This Row],[processing_time_hours]]&gt;1.5,"Slow", "Fast")</f>
        <v>Slow</v>
      </c>
      <c r="K847" t="s">
        <v>2818</v>
      </c>
      <c r="L847" s="3">
        <v>1</v>
      </c>
      <c r="M847" t="str">
        <f>IF(Table1[[#This Row],[delayed]]=1,"Delayed","On Time")</f>
        <v>Delayed</v>
      </c>
      <c r="N847" t="str">
        <f>IF(AND(Table1[[#This Row],[delayed]]=1,Table1[[#This Row],[weather_condition]]="Storm"),"High Risk", IF(Table1[[#This Row],[delayed]]=1,"Medium Risk","Low Risk"))</f>
        <v>Medium Risk</v>
      </c>
    </row>
    <row r="848" spans="1:14" x14ac:dyDescent="0.35">
      <c r="A848">
        <v>847</v>
      </c>
      <c r="B848" s="1">
        <v>44962.25</v>
      </c>
      <c r="C848" s="2">
        <v>4.7916666666666663E-2</v>
      </c>
      <c r="D848" s="3">
        <v>3473</v>
      </c>
      <c r="E848" s="3">
        <v>338</v>
      </c>
      <c r="F848" s="2">
        <v>37.668749999999996</v>
      </c>
      <c r="G848" t="s">
        <v>2819</v>
      </c>
      <c r="H848" t="s">
        <v>2813</v>
      </c>
      <c r="I848" s="2">
        <v>1.8395833333333333</v>
      </c>
      <c r="J848" s="4" t="str">
        <f>IF(Table1[[#This Row],[processing_time_hours]]&gt;1.5,"Slow", "Fast")</f>
        <v>Slow</v>
      </c>
      <c r="K848" t="s">
        <v>2814</v>
      </c>
      <c r="L848" s="3">
        <v>1</v>
      </c>
      <c r="M848" t="str">
        <f>IF(Table1[[#This Row],[delayed]]=1,"Delayed","On Time")</f>
        <v>Delayed</v>
      </c>
      <c r="N848" t="str">
        <f>IF(AND(Table1[[#This Row],[delayed]]=1,Table1[[#This Row],[weather_condition]]="Storm"),"High Risk", IF(Table1[[#This Row],[delayed]]=1,"Medium Risk","Low Risk"))</f>
        <v>Medium Risk</v>
      </c>
    </row>
    <row r="849" spans="1:14" x14ac:dyDescent="0.35">
      <c r="A849">
        <v>848</v>
      </c>
      <c r="B849" s="1">
        <v>44962.291666666664</v>
      </c>
      <c r="C849" s="2">
        <v>4.3055555555555562E-2</v>
      </c>
      <c r="D849" s="3">
        <v>1954</v>
      </c>
      <c r="E849" s="3">
        <v>83</v>
      </c>
      <c r="F849" s="2">
        <v>41.047222222222224</v>
      </c>
      <c r="G849" t="s">
        <v>2819</v>
      </c>
      <c r="H849" t="s">
        <v>2820</v>
      </c>
      <c r="I849" s="2">
        <v>0.21458333333333335</v>
      </c>
      <c r="J849" s="4" t="str">
        <f>IF(Table1[[#This Row],[processing_time_hours]]&gt;1.5,"Slow", "Fast")</f>
        <v>Fast</v>
      </c>
      <c r="K849" t="s">
        <v>2821</v>
      </c>
      <c r="L849" s="3">
        <v>1</v>
      </c>
      <c r="M849" t="str">
        <f>IF(Table1[[#This Row],[delayed]]=1,"Delayed","On Time")</f>
        <v>Delayed</v>
      </c>
      <c r="N849" t="str">
        <f>IF(AND(Table1[[#This Row],[delayed]]=1,Table1[[#This Row],[weather_condition]]="Storm"),"High Risk", IF(Table1[[#This Row],[delayed]]=1,"Medium Risk","Low Risk"))</f>
        <v>Medium Risk</v>
      </c>
    </row>
    <row r="850" spans="1:14" x14ac:dyDescent="0.35">
      <c r="A850">
        <v>849</v>
      </c>
      <c r="B850" s="1">
        <v>44962.333333333336</v>
      </c>
      <c r="C850" s="2">
        <v>4.2361111111111106E-2</v>
      </c>
      <c r="D850" s="3">
        <v>2762</v>
      </c>
      <c r="E850" s="3">
        <v>219</v>
      </c>
      <c r="F850" s="2">
        <v>31.793055555555554</v>
      </c>
      <c r="G850" t="s">
        <v>2816</v>
      </c>
      <c r="H850" t="s">
        <v>2820</v>
      </c>
      <c r="I850" s="2">
        <v>0.96111111111111114</v>
      </c>
      <c r="J850" s="4" t="str">
        <f>IF(Table1[[#This Row],[processing_time_hours]]&gt;1.5,"Slow", "Fast")</f>
        <v>Fast</v>
      </c>
      <c r="K850" t="s">
        <v>2814</v>
      </c>
      <c r="L850" s="3">
        <v>0</v>
      </c>
      <c r="M850" t="str">
        <f>IF(Table1[[#This Row],[delayed]]=1,"Delayed","On Time")</f>
        <v>On Time</v>
      </c>
      <c r="N850" t="str">
        <f>IF(AND(Table1[[#This Row],[delayed]]=1,Table1[[#This Row],[weather_condition]]="Storm"),"High Risk", IF(Table1[[#This Row],[delayed]]=1,"Medium Risk","Low Risk"))</f>
        <v>Low Risk</v>
      </c>
    </row>
    <row r="851" spans="1:14" x14ac:dyDescent="0.35">
      <c r="A851">
        <v>850</v>
      </c>
      <c r="B851" s="1">
        <v>44962.375</v>
      </c>
      <c r="C851" s="2">
        <v>4.5833333333333337E-2</v>
      </c>
      <c r="D851" s="3">
        <v>4901</v>
      </c>
      <c r="E851" s="3">
        <v>1</v>
      </c>
      <c r="F851" s="2">
        <v>82.338888888888889</v>
      </c>
      <c r="G851" t="s">
        <v>2812</v>
      </c>
      <c r="H851" t="s">
        <v>2813</v>
      </c>
      <c r="I851" s="2">
        <v>1.1666666666666667</v>
      </c>
      <c r="J851" s="4" t="str">
        <f>IF(Table1[[#This Row],[processing_time_hours]]&gt;1.5,"Slow", "Fast")</f>
        <v>Fast</v>
      </c>
      <c r="K851" t="s">
        <v>2814</v>
      </c>
      <c r="L851" s="3">
        <v>1</v>
      </c>
      <c r="M851" t="str">
        <f>IF(Table1[[#This Row],[delayed]]=1,"Delayed","On Time")</f>
        <v>Delayed</v>
      </c>
      <c r="N851" t="str">
        <f>IF(AND(Table1[[#This Row],[delayed]]=1,Table1[[#This Row],[weather_condition]]="Storm"),"High Risk", IF(Table1[[#This Row],[delayed]]=1,"Medium Risk","Low Risk"))</f>
        <v>Medium Risk</v>
      </c>
    </row>
    <row r="852" spans="1:14" x14ac:dyDescent="0.35">
      <c r="A852">
        <v>851</v>
      </c>
      <c r="B852" s="1">
        <v>44962.416666666664</v>
      </c>
      <c r="C852" s="2">
        <v>4.8611111111111112E-3</v>
      </c>
      <c r="D852" s="3">
        <v>3659</v>
      </c>
      <c r="E852" s="3">
        <v>62</v>
      </c>
      <c r="F852" s="2">
        <v>19.500694444444445</v>
      </c>
      <c r="G852" t="s">
        <v>2815</v>
      </c>
      <c r="H852" t="s">
        <v>2813</v>
      </c>
      <c r="I852" s="2">
        <v>2.1256944444444446</v>
      </c>
      <c r="J852" s="4" t="str">
        <f>IF(Table1[[#This Row],[processing_time_hours]]&gt;1.5,"Slow", "Fast")</f>
        <v>Slow</v>
      </c>
      <c r="K852" t="s">
        <v>2814</v>
      </c>
      <c r="L852" s="3">
        <v>0</v>
      </c>
      <c r="M852" t="str">
        <f>IF(Table1[[#This Row],[delayed]]=1,"Delayed","On Time")</f>
        <v>On Time</v>
      </c>
      <c r="N852" t="str">
        <f>IF(AND(Table1[[#This Row],[delayed]]=1,Table1[[#This Row],[weather_condition]]="Storm"),"High Risk", IF(Table1[[#This Row],[delayed]]=1,"Medium Risk","Low Risk"))</f>
        <v>Low Risk</v>
      </c>
    </row>
    <row r="853" spans="1:14" x14ac:dyDescent="0.35">
      <c r="A853">
        <v>852</v>
      </c>
      <c r="B853" s="1">
        <v>44962.458333333336</v>
      </c>
      <c r="C853" s="2">
        <v>6.3888888888888898E-2</v>
      </c>
      <c r="D853" s="3">
        <v>487</v>
      </c>
      <c r="E853" s="3">
        <v>425</v>
      </c>
      <c r="F853" s="2">
        <v>15.668750000000001</v>
      </c>
      <c r="G853" t="s">
        <v>2819</v>
      </c>
      <c r="H853" t="s">
        <v>2820</v>
      </c>
      <c r="I853" s="2">
        <v>1.1284722222222221</v>
      </c>
      <c r="J853" s="4" t="str">
        <f>IF(Table1[[#This Row],[processing_time_hours]]&gt;1.5,"Slow", "Fast")</f>
        <v>Fast</v>
      </c>
      <c r="K853" t="s">
        <v>2814</v>
      </c>
      <c r="L853" s="3">
        <v>0</v>
      </c>
      <c r="M853" t="str">
        <f>IF(Table1[[#This Row],[delayed]]=1,"Delayed","On Time")</f>
        <v>On Time</v>
      </c>
      <c r="N853" t="str">
        <f>IF(AND(Table1[[#This Row],[delayed]]=1,Table1[[#This Row],[weather_condition]]="Storm"),"High Risk", IF(Table1[[#This Row],[delayed]]=1,"Medium Risk","Low Risk"))</f>
        <v>Low Risk</v>
      </c>
    </row>
    <row r="854" spans="1:14" x14ac:dyDescent="0.35">
      <c r="A854">
        <v>853</v>
      </c>
      <c r="B854" s="1">
        <v>44962.5</v>
      </c>
      <c r="C854" s="2">
        <v>5.4166666666666669E-2</v>
      </c>
      <c r="D854" s="3">
        <v>363</v>
      </c>
      <c r="E854" s="3">
        <v>449</v>
      </c>
      <c r="F854" s="2">
        <v>72.918055555555554</v>
      </c>
      <c r="G854" t="s">
        <v>2815</v>
      </c>
      <c r="H854" t="s">
        <v>2817</v>
      </c>
      <c r="I854" s="2">
        <v>2.588888888888889</v>
      </c>
      <c r="J854" s="4" t="str">
        <f>IF(Table1[[#This Row],[processing_time_hours]]&gt;1.5,"Slow", "Fast")</f>
        <v>Slow</v>
      </c>
      <c r="K854" t="s">
        <v>2821</v>
      </c>
      <c r="L854" s="3">
        <v>1</v>
      </c>
      <c r="M854" t="str">
        <f>IF(Table1[[#This Row],[delayed]]=1,"Delayed","On Time")</f>
        <v>Delayed</v>
      </c>
      <c r="N854" t="str">
        <f>IF(AND(Table1[[#This Row],[delayed]]=1,Table1[[#This Row],[weather_condition]]="Storm"),"High Risk", IF(Table1[[#This Row],[delayed]]=1,"Medium Risk","Low Risk"))</f>
        <v>High Risk</v>
      </c>
    </row>
    <row r="855" spans="1:14" x14ac:dyDescent="0.35">
      <c r="A855">
        <v>854</v>
      </c>
      <c r="B855" s="1">
        <v>44962.541666666664</v>
      </c>
      <c r="C855" s="2">
        <v>5.6250000000000001E-2</v>
      </c>
      <c r="D855" s="3">
        <v>66</v>
      </c>
      <c r="E855" s="3">
        <v>50</v>
      </c>
      <c r="F855" s="2">
        <v>59.710416666666667</v>
      </c>
      <c r="G855" t="s">
        <v>2819</v>
      </c>
      <c r="H855" t="s">
        <v>2822</v>
      </c>
      <c r="I855" s="2">
        <v>1.1277777777777778</v>
      </c>
      <c r="J855" s="4" t="str">
        <f>IF(Table1[[#This Row],[processing_time_hours]]&gt;1.5,"Slow", "Fast")</f>
        <v>Fast</v>
      </c>
      <c r="K855" t="s">
        <v>2814</v>
      </c>
      <c r="L855" s="3">
        <v>0</v>
      </c>
      <c r="M855" t="str">
        <f>IF(Table1[[#This Row],[delayed]]=1,"Delayed","On Time")</f>
        <v>On Time</v>
      </c>
      <c r="N855" t="str">
        <f>IF(AND(Table1[[#This Row],[delayed]]=1,Table1[[#This Row],[weather_condition]]="Storm"),"High Risk", IF(Table1[[#This Row],[delayed]]=1,"Medium Risk","Low Risk"))</f>
        <v>Low Risk</v>
      </c>
    </row>
    <row r="856" spans="1:14" x14ac:dyDescent="0.35">
      <c r="A856">
        <v>855</v>
      </c>
      <c r="B856" s="1">
        <v>44962.583333333336</v>
      </c>
      <c r="C856" s="2">
        <v>5.0694444444444438E-2</v>
      </c>
      <c r="D856" s="3">
        <v>1872</v>
      </c>
      <c r="E856" s="3">
        <v>319</v>
      </c>
      <c r="F856" s="2">
        <v>19.547222222222221</v>
      </c>
      <c r="G856" t="s">
        <v>2815</v>
      </c>
      <c r="H856" t="s">
        <v>2813</v>
      </c>
      <c r="I856" s="2">
        <v>1.1729166666666666</v>
      </c>
      <c r="J856" s="4" t="str">
        <f>IF(Table1[[#This Row],[processing_time_hours]]&gt;1.5,"Slow", "Fast")</f>
        <v>Fast</v>
      </c>
      <c r="K856" t="s">
        <v>2814</v>
      </c>
      <c r="L856" s="3">
        <v>0</v>
      </c>
      <c r="M856" t="str">
        <f>IF(Table1[[#This Row],[delayed]]=1,"Delayed","On Time")</f>
        <v>On Time</v>
      </c>
      <c r="N856" t="str">
        <f>IF(AND(Table1[[#This Row],[delayed]]=1,Table1[[#This Row],[weather_condition]]="Storm"),"High Risk", IF(Table1[[#This Row],[delayed]]=1,"Medium Risk","Low Risk"))</f>
        <v>Low Risk</v>
      </c>
    </row>
    <row r="857" spans="1:14" x14ac:dyDescent="0.35">
      <c r="A857">
        <v>856</v>
      </c>
      <c r="B857" s="1">
        <v>44962.625</v>
      </c>
      <c r="C857" s="2">
        <v>4.9999999999999996E-2</v>
      </c>
      <c r="D857" s="3">
        <v>1608</v>
      </c>
      <c r="E857" s="3">
        <v>121</v>
      </c>
      <c r="F857" s="2">
        <v>42.046527777777776</v>
      </c>
      <c r="G857" t="s">
        <v>2819</v>
      </c>
      <c r="H857" t="s">
        <v>2813</v>
      </c>
      <c r="I857" s="2">
        <v>1.8347222222222221</v>
      </c>
      <c r="J857" s="4" t="str">
        <f>IF(Table1[[#This Row],[processing_time_hours]]&gt;1.5,"Slow", "Fast")</f>
        <v>Slow</v>
      </c>
      <c r="K857" t="s">
        <v>2818</v>
      </c>
      <c r="L857" s="3">
        <v>1</v>
      </c>
      <c r="M857" t="str">
        <f>IF(Table1[[#This Row],[delayed]]=1,"Delayed","On Time")</f>
        <v>Delayed</v>
      </c>
      <c r="N857" t="str">
        <f>IF(AND(Table1[[#This Row],[delayed]]=1,Table1[[#This Row],[weather_condition]]="Storm"),"High Risk", IF(Table1[[#This Row],[delayed]]=1,"Medium Risk","Low Risk"))</f>
        <v>Medium Risk</v>
      </c>
    </row>
    <row r="858" spans="1:14" x14ac:dyDescent="0.35">
      <c r="A858">
        <v>857</v>
      </c>
      <c r="B858" s="1">
        <v>44962.666666666664</v>
      </c>
      <c r="C858" s="2">
        <v>5.6944444444444443E-2</v>
      </c>
      <c r="D858" s="3">
        <v>4424</v>
      </c>
      <c r="E858" s="3">
        <v>133</v>
      </c>
      <c r="F858" s="2">
        <v>20.416666666666668</v>
      </c>
      <c r="G858" t="s">
        <v>2816</v>
      </c>
      <c r="H858" t="s">
        <v>2817</v>
      </c>
      <c r="I858" s="2">
        <v>2.0444444444444447</v>
      </c>
      <c r="J858" s="4" t="str">
        <f>IF(Table1[[#This Row],[processing_time_hours]]&gt;1.5,"Slow", "Fast")</f>
        <v>Slow</v>
      </c>
      <c r="K858" t="s">
        <v>2821</v>
      </c>
      <c r="L858" s="3">
        <v>1</v>
      </c>
      <c r="M858" t="str">
        <f>IF(Table1[[#This Row],[delayed]]=1,"Delayed","On Time")</f>
        <v>Delayed</v>
      </c>
      <c r="N858" t="str">
        <f>IF(AND(Table1[[#This Row],[delayed]]=1,Table1[[#This Row],[weather_condition]]="Storm"),"High Risk", IF(Table1[[#This Row],[delayed]]=1,"Medium Risk","Low Risk"))</f>
        <v>High Risk</v>
      </c>
    </row>
    <row r="859" spans="1:14" x14ac:dyDescent="0.35">
      <c r="A859">
        <v>858</v>
      </c>
      <c r="B859" s="1">
        <v>44962.708333333336</v>
      </c>
      <c r="C859" s="2">
        <v>6.2499999999999995E-3</v>
      </c>
      <c r="D859" s="3">
        <v>2547</v>
      </c>
      <c r="E859" s="3">
        <v>317</v>
      </c>
      <c r="F859" s="2">
        <v>9.4583333333333339</v>
      </c>
      <c r="G859" t="s">
        <v>2812</v>
      </c>
      <c r="H859" t="s">
        <v>2822</v>
      </c>
      <c r="I859" s="2">
        <v>2.5847222222222221</v>
      </c>
      <c r="J859" s="4" t="str">
        <f>IF(Table1[[#This Row],[processing_time_hours]]&gt;1.5,"Slow", "Fast")</f>
        <v>Slow</v>
      </c>
      <c r="K859" t="s">
        <v>2818</v>
      </c>
      <c r="L859" s="3">
        <v>0</v>
      </c>
      <c r="M859" t="str">
        <f>IF(Table1[[#This Row],[delayed]]=1,"Delayed","On Time")</f>
        <v>On Time</v>
      </c>
      <c r="N859" t="str">
        <f>IF(AND(Table1[[#This Row],[delayed]]=1,Table1[[#This Row],[weather_condition]]="Storm"),"High Risk", IF(Table1[[#This Row],[delayed]]=1,"Medium Risk","Low Risk"))</f>
        <v>Low Risk</v>
      </c>
    </row>
    <row r="860" spans="1:14" x14ac:dyDescent="0.35">
      <c r="A860">
        <v>859</v>
      </c>
      <c r="B860" s="1">
        <v>44962.75</v>
      </c>
      <c r="C860" s="2">
        <v>4.6527777777777779E-2</v>
      </c>
      <c r="D860" s="3">
        <v>3512</v>
      </c>
      <c r="E860" s="3">
        <v>492</v>
      </c>
      <c r="F860" s="2">
        <v>23.336111111111112</v>
      </c>
      <c r="G860" t="s">
        <v>2819</v>
      </c>
      <c r="H860" t="s">
        <v>2822</v>
      </c>
      <c r="I860" s="2">
        <v>0.29652777777777778</v>
      </c>
      <c r="J860" s="4" t="str">
        <f>IF(Table1[[#This Row],[processing_time_hours]]&gt;1.5,"Slow", "Fast")</f>
        <v>Fast</v>
      </c>
      <c r="K860" t="s">
        <v>2818</v>
      </c>
      <c r="L860" s="3">
        <v>0</v>
      </c>
      <c r="M860" t="str">
        <f>IF(Table1[[#This Row],[delayed]]=1,"Delayed","On Time")</f>
        <v>On Time</v>
      </c>
      <c r="N860" t="str">
        <f>IF(AND(Table1[[#This Row],[delayed]]=1,Table1[[#This Row],[weather_condition]]="Storm"),"High Risk", IF(Table1[[#This Row],[delayed]]=1,"Medium Risk","Low Risk"))</f>
        <v>Low Risk</v>
      </c>
    </row>
    <row r="861" spans="1:14" x14ac:dyDescent="0.35">
      <c r="A861">
        <v>860</v>
      </c>
      <c r="B861" s="1">
        <v>44962.791666666664</v>
      </c>
      <c r="C861" s="2">
        <v>5.3472222222222227E-2</v>
      </c>
      <c r="D861" s="3">
        <v>2147</v>
      </c>
      <c r="E861" s="3">
        <v>253</v>
      </c>
      <c r="F861" s="2">
        <v>55.543749999999996</v>
      </c>
      <c r="G861" t="s">
        <v>2815</v>
      </c>
      <c r="H861" t="s">
        <v>2813</v>
      </c>
      <c r="I861" s="2">
        <v>0.54305555555555551</v>
      </c>
      <c r="J861" s="4" t="str">
        <f>IF(Table1[[#This Row],[processing_time_hours]]&gt;1.5,"Slow", "Fast")</f>
        <v>Fast</v>
      </c>
      <c r="K861" t="s">
        <v>2814</v>
      </c>
      <c r="L861" s="3">
        <v>0</v>
      </c>
      <c r="M861" t="str">
        <f>IF(Table1[[#This Row],[delayed]]=1,"Delayed","On Time")</f>
        <v>On Time</v>
      </c>
      <c r="N861" t="str">
        <f>IF(AND(Table1[[#This Row],[delayed]]=1,Table1[[#This Row],[weather_condition]]="Storm"),"High Risk", IF(Table1[[#This Row],[delayed]]=1,"Medium Risk","Low Risk"))</f>
        <v>Low Risk</v>
      </c>
    </row>
    <row r="862" spans="1:14" x14ac:dyDescent="0.35">
      <c r="A862">
        <v>861</v>
      </c>
      <c r="B862" s="1">
        <v>44962.833333333336</v>
      </c>
      <c r="C862" s="2">
        <v>5.9722222222222225E-2</v>
      </c>
      <c r="D862" s="3">
        <v>2525</v>
      </c>
      <c r="E862" s="3">
        <v>399</v>
      </c>
      <c r="F862" s="2">
        <v>47.669444444444444</v>
      </c>
      <c r="G862" t="s">
        <v>2812</v>
      </c>
      <c r="H862" t="s">
        <v>2820</v>
      </c>
      <c r="I862" s="2">
        <v>1.7555555555555555</v>
      </c>
      <c r="J862" s="4" t="str">
        <f>IF(Table1[[#This Row],[processing_time_hours]]&gt;1.5,"Slow", "Fast")</f>
        <v>Slow</v>
      </c>
      <c r="K862" t="s">
        <v>2814</v>
      </c>
      <c r="L862" s="3">
        <v>0</v>
      </c>
      <c r="M862" t="str">
        <f>IF(Table1[[#This Row],[delayed]]=1,"Delayed","On Time")</f>
        <v>On Time</v>
      </c>
      <c r="N862" t="str">
        <f>IF(AND(Table1[[#This Row],[delayed]]=1,Table1[[#This Row],[weather_condition]]="Storm"),"High Risk", IF(Table1[[#This Row],[delayed]]=1,"Medium Risk","Low Risk"))</f>
        <v>Low Risk</v>
      </c>
    </row>
    <row r="863" spans="1:14" x14ac:dyDescent="0.35">
      <c r="A863">
        <v>862</v>
      </c>
      <c r="B863" s="1">
        <v>44962.875</v>
      </c>
      <c r="C863" s="2">
        <v>6.805555555555555E-2</v>
      </c>
      <c r="D863" s="3">
        <v>1612</v>
      </c>
      <c r="E863" s="3">
        <v>179</v>
      </c>
      <c r="F863" s="2">
        <v>23.671527777777779</v>
      </c>
      <c r="G863" t="s">
        <v>2812</v>
      </c>
      <c r="H863" t="s">
        <v>2822</v>
      </c>
      <c r="I863" s="2">
        <v>0.71250000000000002</v>
      </c>
      <c r="J863" s="4" t="str">
        <f>IF(Table1[[#This Row],[processing_time_hours]]&gt;1.5,"Slow", "Fast")</f>
        <v>Fast</v>
      </c>
      <c r="K863" t="s">
        <v>2818</v>
      </c>
      <c r="L863" s="3">
        <v>0</v>
      </c>
      <c r="M863" t="str">
        <f>IF(Table1[[#This Row],[delayed]]=1,"Delayed","On Time")</f>
        <v>On Time</v>
      </c>
      <c r="N863" t="str">
        <f>IF(AND(Table1[[#This Row],[delayed]]=1,Table1[[#This Row],[weather_condition]]="Storm"),"High Risk", IF(Table1[[#This Row],[delayed]]=1,"Medium Risk","Low Risk"))</f>
        <v>Low Risk</v>
      </c>
    </row>
    <row r="864" spans="1:14" x14ac:dyDescent="0.35">
      <c r="A864">
        <v>863</v>
      </c>
      <c r="B864" s="1">
        <v>44962.916666666664</v>
      </c>
      <c r="C864" s="2">
        <v>4.9305555555555554E-2</v>
      </c>
      <c r="D864" s="3">
        <v>4915</v>
      </c>
      <c r="E864" s="3">
        <v>132</v>
      </c>
      <c r="F864" s="2">
        <v>26.880555555555556</v>
      </c>
      <c r="G864" t="s">
        <v>2812</v>
      </c>
      <c r="H864" t="s">
        <v>2820</v>
      </c>
      <c r="I864" s="2">
        <v>8.4027777777777771E-2</v>
      </c>
      <c r="J864" s="4" t="str">
        <f>IF(Table1[[#This Row],[processing_time_hours]]&gt;1.5,"Slow", "Fast")</f>
        <v>Fast</v>
      </c>
      <c r="K864" t="s">
        <v>2814</v>
      </c>
      <c r="L864" s="3">
        <v>0</v>
      </c>
      <c r="M864" t="str">
        <f>IF(Table1[[#This Row],[delayed]]=1,"Delayed","On Time")</f>
        <v>On Time</v>
      </c>
      <c r="N864" t="str">
        <f>IF(AND(Table1[[#This Row],[delayed]]=1,Table1[[#This Row],[weather_condition]]="Storm"),"High Risk", IF(Table1[[#This Row],[delayed]]=1,"Medium Risk","Low Risk"))</f>
        <v>Low Risk</v>
      </c>
    </row>
    <row r="865" spans="1:14" x14ac:dyDescent="0.35">
      <c r="A865">
        <v>864</v>
      </c>
      <c r="B865" s="1">
        <v>44962.958333333336</v>
      </c>
      <c r="C865" s="2">
        <v>5.2777777777777778E-2</v>
      </c>
      <c r="D865" s="3">
        <v>1371</v>
      </c>
      <c r="E865" s="3">
        <v>391</v>
      </c>
      <c r="F865" s="2">
        <v>65.000694444444449</v>
      </c>
      <c r="G865" t="s">
        <v>2815</v>
      </c>
      <c r="H865" t="s">
        <v>2813</v>
      </c>
      <c r="I865" s="2">
        <v>1.1277777777777778</v>
      </c>
      <c r="J865" s="4" t="str">
        <f>IF(Table1[[#This Row],[processing_time_hours]]&gt;1.5,"Slow", "Fast")</f>
        <v>Fast</v>
      </c>
      <c r="K865" t="s">
        <v>2818</v>
      </c>
      <c r="L865" s="3">
        <v>0</v>
      </c>
      <c r="M865" t="str">
        <f>IF(Table1[[#This Row],[delayed]]=1,"Delayed","On Time")</f>
        <v>On Time</v>
      </c>
      <c r="N865" t="str">
        <f>IF(AND(Table1[[#This Row],[delayed]]=1,Table1[[#This Row],[weather_condition]]="Storm"),"High Risk", IF(Table1[[#This Row],[delayed]]=1,"Medium Risk","Low Risk"))</f>
        <v>Low Risk</v>
      </c>
    </row>
    <row r="866" spans="1:14" x14ac:dyDescent="0.35">
      <c r="A866">
        <v>865</v>
      </c>
      <c r="B866" s="1">
        <v>44963</v>
      </c>
      <c r="C866" s="2">
        <v>5.7638888888888885E-2</v>
      </c>
      <c r="D866" s="3">
        <v>2196</v>
      </c>
      <c r="E866" s="3">
        <v>333</v>
      </c>
      <c r="F866" s="2">
        <v>39.87916666666667</v>
      </c>
      <c r="G866" t="s">
        <v>2816</v>
      </c>
      <c r="H866" t="s">
        <v>2817</v>
      </c>
      <c r="I866" s="2">
        <v>1.375</v>
      </c>
      <c r="J866" s="4" t="str">
        <f>IF(Table1[[#This Row],[processing_time_hours]]&gt;1.5,"Slow", "Fast")</f>
        <v>Fast</v>
      </c>
      <c r="K866" t="s">
        <v>2821</v>
      </c>
      <c r="L866" s="3">
        <v>1</v>
      </c>
      <c r="M866" t="str">
        <f>IF(Table1[[#This Row],[delayed]]=1,"Delayed","On Time")</f>
        <v>Delayed</v>
      </c>
      <c r="N866" t="str">
        <f>IF(AND(Table1[[#This Row],[delayed]]=1,Table1[[#This Row],[weather_condition]]="Storm"),"High Risk", IF(Table1[[#This Row],[delayed]]=1,"Medium Risk","Low Risk"))</f>
        <v>High Risk</v>
      </c>
    </row>
    <row r="867" spans="1:14" x14ac:dyDescent="0.35">
      <c r="A867">
        <v>866</v>
      </c>
      <c r="B867" s="1">
        <v>44963.041666666664</v>
      </c>
      <c r="C867" s="2">
        <v>4.5833333333333337E-2</v>
      </c>
      <c r="D867" s="3">
        <v>4865</v>
      </c>
      <c r="E867" s="3">
        <v>444</v>
      </c>
      <c r="F867" s="2">
        <v>63.71319444444444</v>
      </c>
      <c r="G867" t="s">
        <v>2816</v>
      </c>
      <c r="H867" t="s">
        <v>2817</v>
      </c>
      <c r="I867" s="2">
        <v>1.502777777777778</v>
      </c>
      <c r="J867" s="4" t="str">
        <f>IF(Table1[[#This Row],[processing_time_hours]]&gt;1.5,"Slow", "Fast")</f>
        <v>Slow</v>
      </c>
      <c r="K867" t="s">
        <v>2814</v>
      </c>
      <c r="L867" s="3">
        <v>1</v>
      </c>
      <c r="M867" t="str">
        <f>IF(Table1[[#This Row],[delayed]]=1,"Delayed","On Time")</f>
        <v>Delayed</v>
      </c>
      <c r="N867" t="str">
        <f>IF(AND(Table1[[#This Row],[delayed]]=1,Table1[[#This Row],[weather_condition]]="Storm"),"High Risk", IF(Table1[[#This Row],[delayed]]=1,"Medium Risk","Low Risk"))</f>
        <v>High Risk</v>
      </c>
    </row>
    <row r="868" spans="1:14" x14ac:dyDescent="0.35">
      <c r="A868">
        <v>867</v>
      </c>
      <c r="B868" s="1">
        <v>44963.083333333336</v>
      </c>
      <c r="C868" s="2">
        <v>5.8333333333333327E-2</v>
      </c>
      <c r="D868" s="3">
        <v>4370</v>
      </c>
      <c r="E868" s="3">
        <v>405</v>
      </c>
      <c r="F868" s="2">
        <v>36.088888888888889</v>
      </c>
      <c r="G868" t="s">
        <v>2812</v>
      </c>
      <c r="H868" t="s">
        <v>2820</v>
      </c>
      <c r="I868" s="2">
        <v>1.2972222222222223</v>
      </c>
      <c r="J868" s="4" t="str">
        <f>IF(Table1[[#This Row],[processing_time_hours]]&gt;1.5,"Slow", "Fast")</f>
        <v>Fast</v>
      </c>
      <c r="K868" t="s">
        <v>2818</v>
      </c>
      <c r="L868" s="3">
        <v>0</v>
      </c>
      <c r="M868" t="str">
        <f>IF(Table1[[#This Row],[delayed]]=1,"Delayed","On Time")</f>
        <v>On Time</v>
      </c>
      <c r="N868" t="str">
        <f>IF(AND(Table1[[#This Row],[delayed]]=1,Table1[[#This Row],[weather_condition]]="Storm"),"High Risk", IF(Table1[[#This Row],[delayed]]=1,"Medium Risk","Low Risk"))</f>
        <v>Low Risk</v>
      </c>
    </row>
    <row r="869" spans="1:14" x14ac:dyDescent="0.35">
      <c r="A869">
        <v>868</v>
      </c>
      <c r="B869" s="1">
        <v>44963.125</v>
      </c>
      <c r="C869" s="2">
        <v>6.8749999999999992E-2</v>
      </c>
      <c r="D869" s="3">
        <v>2138</v>
      </c>
      <c r="E869" s="3">
        <v>406</v>
      </c>
      <c r="F869" s="2">
        <v>66.752083333333331</v>
      </c>
      <c r="G869" t="s">
        <v>2816</v>
      </c>
      <c r="H869" t="s">
        <v>2817</v>
      </c>
      <c r="I869" s="2">
        <v>0.92152777777777783</v>
      </c>
      <c r="J869" s="4" t="str">
        <f>IF(Table1[[#This Row],[processing_time_hours]]&gt;1.5,"Slow", "Fast")</f>
        <v>Fast</v>
      </c>
      <c r="K869" t="s">
        <v>2814</v>
      </c>
      <c r="L869" s="3">
        <v>0</v>
      </c>
      <c r="M869" t="str">
        <f>IF(Table1[[#This Row],[delayed]]=1,"Delayed","On Time")</f>
        <v>On Time</v>
      </c>
      <c r="N869" t="str">
        <f>IF(AND(Table1[[#This Row],[delayed]]=1,Table1[[#This Row],[weather_condition]]="Storm"),"High Risk", IF(Table1[[#This Row],[delayed]]=1,"Medium Risk","Low Risk"))</f>
        <v>Low Risk</v>
      </c>
    </row>
    <row r="870" spans="1:14" x14ac:dyDescent="0.35">
      <c r="A870">
        <v>869</v>
      </c>
      <c r="B870" s="1">
        <v>44963.166666666664</v>
      </c>
      <c r="C870" s="2">
        <v>4.9305555555555554E-2</v>
      </c>
      <c r="D870" s="3">
        <v>3901</v>
      </c>
      <c r="E870" s="3">
        <v>160</v>
      </c>
      <c r="F870" s="2">
        <v>11.00138888888889</v>
      </c>
      <c r="G870" t="s">
        <v>2815</v>
      </c>
      <c r="H870" t="s">
        <v>2820</v>
      </c>
      <c r="I870" s="2">
        <v>1.1277777777777778</v>
      </c>
      <c r="J870" s="4" t="str">
        <f>IF(Table1[[#This Row],[processing_time_hours]]&gt;1.5,"Slow", "Fast")</f>
        <v>Fast</v>
      </c>
      <c r="K870" t="s">
        <v>2821</v>
      </c>
      <c r="L870" s="3">
        <v>0</v>
      </c>
      <c r="M870" t="str">
        <f>IF(Table1[[#This Row],[delayed]]=1,"Delayed","On Time")</f>
        <v>On Time</v>
      </c>
      <c r="N870" t="str">
        <f>IF(AND(Table1[[#This Row],[delayed]]=1,Table1[[#This Row],[weather_condition]]="Storm"),"High Risk", IF(Table1[[#This Row],[delayed]]=1,"Medium Risk","Low Risk"))</f>
        <v>Low Risk</v>
      </c>
    </row>
    <row r="871" spans="1:14" x14ac:dyDescent="0.35">
      <c r="A871">
        <v>870</v>
      </c>
      <c r="B871" s="1">
        <v>44963.208333333336</v>
      </c>
      <c r="C871" s="2">
        <v>5.486111111111111E-2</v>
      </c>
      <c r="D871" s="3">
        <v>1283</v>
      </c>
      <c r="E871" s="3">
        <v>223</v>
      </c>
      <c r="F871" s="2">
        <v>23.668055555555554</v>
      </c>
      <c r="G871" t="s">
        <v>2819</v>
      </c>
      <c r="H871" t="s">
        <v>2813</v>
      </c>
      <c r="I871" s="2">
        <v>1.2118055555555556</v>
      </c>
      <c r="J871" s="4" t="str">
        <f>IF(Table1[[#This Row],[processing_time_hours]]&gt;1.5,"Slow", "Fast")</f>
        <v>Fast</v>
      </c>
      <c r="K871" t="s">
        <v>2814</v>
      </c>
      <c r="L871" s="3">
        <v>0</v>
      </c>
      <c r="M871" t="str">
        <f>IF(Table1[[#This Row],[delayed]]=1,"Delayed","On Time")</f>
        <v>On Time</v>
      </c>
      <c r="N871" t="str">
        <f>IF(AND(Table1[[#This Row],[delayed]]=1,Table1[[#This Row],[weather_condition]]="Storm"),"High Risk", IF(Table1[[#This Row],[delayed]]=1,"Medium Risk","Low Risk"))</f>
        <v>Low Risk</v>
      </c>
    </row>
    <row r="872" spans="1:14" x14ac:dyDescent="0.35">
      <c r="A872">
        <v>871</v>
      </c>
      <c r="B872" s="1">
        <v>44963.25</v>
      </c>
      <c r="C872" s="2">
        <v>4.5138888888888888E-2</v>
      </c>
      <c r="D872" s="3">
        <v>2125</v>
      </c>
      <c r="E872" s="3">
        <v>254</v>
      </c>
      <c r="F872" s="2">
        <v>4.334027777777778</v>
      </c>
      <c r="G872" t="s">
        <v>2815</v>
      </c>
      <c r="H872" t="s">
        <v>2817</v>
      </c>
      <c r="I872" s="2">
        <v>0.29652777777777778</v>
      </c>
      <c r="J872" s="4" t="str">
        <f>IF(Table1[[#This Row],[processing_time_hours]]&gt;1.5,"Slow", "Fast")</f>
        <v>Fast</v>
      </c>
      <c r="K872" t="s">
        <v>2814</v>
      </c>
      <c r="L872" s="3">
        <v>1</v>
      </c>
      <c r="M872" t="str">
        <f>IF(Table1[[#This Row],[delayed]]=1,"Delayed","On Time")</f>
        <v>Delayed</v>
      </c>
      <c r="N872" t="str">
        <f>IF(AND(Table1[[#This Row],[delayed]]=1,Table1[[#This Row],[weather_condition]]="Storm"),"High Risk", IF(Table1[[#This Row],[delayed]]=1,"Medium Risk","Low Risk"))</f>
        <v>High Risk</v>
      </c>
    </row>
    <row r="873" spans="1:14" x14ac:dyDescent="0.35">
      <c r="A873">
        <v>872</v>
      </c>
      <c r="B873" s="1">
        <v>44963.291666666664</v>
      </c>
      <c r="C873" s="2">
        <v>5.6250000000000001E-2</v>
      </c>
      <c r="D873" s="3">
        <v>2217</v>
      </c>
      <c r="E873" s="3">
        <v>418</v>
      </c>
      <c r="F873" s="2">
        <v>69.293750000000003</v>
      </c>
      <c r="G873" t="s">
        <v>2812</v>
      </c>
      <c r="H873" t="s">
        <v>2817</v>
      </c>
      <c r="I873" s="2">
        <v>2.6715277777777775</v>
      </c>
      <c r="J873" s="4" t="str">
        <f>IF(Table1[[#This Row],[processing_time_hours]]&gt;1.5,"Slow", "Fast")</f>
        <v>Slow</v>
      </c>
      <c r="K873" t="s">
        <v>2818</v>
      </c>
      <c r="L873" s="3">
        <v>0</v>
      </c>
      <c r="M873" t="str">
        <f>IF(Table1[[#This Row],[delayed]]=1,"Delayed","On Time")</f>
        <v>On Time</v>
      </c>
      <c r="N873" t="str">
        <f>IF(AND(Table1[[#This Row],[delayed]]=1,Table1[[#This Row],[weather_condition]]="Storm"),"High Risk", IF(Table1[[#This Row],[delayed]]=1,"Medium Risk","Low Risk"))</f>
        <v>Low Risk</v>
      </c>
    </row>
    <row r="874" spans="1:14" x14ac:dyDescent="0.35">
      <c r="A874">
        <v>873</v>
      </c>
      <c r="B874" s="1">
        <v>44963.333333333336</v>
      </c>
      <c r="C874" s="2">
        <v>6.8749999999999992E-2</v>
      </c>
      <c r="D874" s="3">
        <v>4302</v>
      </c>
      <c r="E874" s="3">
        <v>107</v>
      </c>
      <c r="F874" s="2">
        <v>41.294444444444444</v>
      </c>
      <c r="G874" t="s">
        <v>2816</v>
      </c>
      <c r="H874" t="s">
        <v>2813</v>
      </c>
      <c r="I874" s="2">
        <v>2.338888888888889</v>
      </c>
      <c r="J874" s="4" t="str">
        <f>IF(Table1[[#This Row],[processing_time_hours]]&gt;1.5,"Slow", "Fast")</f>
        <v>Slow</v>
      </c>
      <c r="K874" t="s">
        <v>2818</v>
      </c>
      <c r="L874" s="3">
        <v>1</v>
      </c>
      <c r="M874" t="str">
        <f>IF(Table1[[#This Row],[delayed]]=1,"Delayed","On Time")</f>
        <v>Delayed</v>
      </c>
      <c r="N874" t="str">
        <f>IF(AND(Table1[[#This Row],[delayed]]=1,Table1[[#This Row],[weather_condition]]="Storm"),"High Risk", IF(Table1[[#This Row],[delayed]]=1,"Medium Risk","Low Risk"))</f>
        <v>Medium Risk</v>
      </c>
    </row>
    <row r="875" spans="1:14" x14ac:dyDescent="0.35">
      <c r="A875">
        <v>874</v>
      </c>
      <c r="B875" s="1">
        <v>44963.375</v>
      </c>
      <c r="C875" s="2">
        <v>5.6944444444444443E-2</v>
      </c>
      <c r="D875" s="3">
        <v>2261</v>
      </c>
      <c r="E875" s="3">
        <v>361</v>
      </c>
      <c r="F875" s="2">
        <v>57.836111111111109</v>
      </c>
      <c r="G875" t="s">
        <v>2815</v>
      </c>
      <c r="H875" t="s">
        <v>2817</v>
      </c>
      <c r="I875" s="2">
        <v>1.2145833333333333</v>
      </c>
      <c r="J875" s="4" t="str">
        <f>IF(Table1[[#This Row],[processing_time_hours]]&gt;1.5,"Slow", "Fast")</f>
        <v>Fast</v>
      </c>
      <c r="K875" t="s">
        <v>2818</v>
      </c>
      <c r="L875" s="3">
        <v>0</v>
      </c>
      <c r="M875" t="str">
        <f>IF(Table1[[#This Row],[delayed]]=1,"Delayed","On Time")</f>
        <v>On Time</v>
      </c>
      <c r="N875" t="str">
        <f>IF(AND(Table1[[#This Row],[delayed]]=1,Table1[[#This Row],[weather_condition]]="Storm"),"High Risk", IF(Table1[[#This Row],[delayed]]=1,"Medium Risk","Low Risk"))</f>
        <v>Low Risk</v>
      </c>
    </row>
    <row r="876" spans="1:14" x14ac:dyDescent="0.35">
      <c r="A876">
        <v>875</v>
      </c>
      <c r="B876" s="1">
        <v>44963.416666666664</v>
      </c>
      <c r="C876" s="2">
        <v>4.7916666666666663E-2</v>
      </c>
      <c r="D876" s="3">
        <v>4270</v>
      </c>
      <c r="E876" s="3">
        <v>224</v>
      </c>
      <c r="F876" s="2">
        <v>78.214583333333337</v>
      </c>
      <c r="G876" t="s">
        <v>2816</v>
      </c>
      <c r="H876" t="s">
        <v>2820</v>
      </c>
      <c r="I876" s="2">
        <v>0.62986111111111109</v>
      </c>
      <c r="J876" s="4" t="str">
        <f>IF(Table1[[#This Row],[processing_time_hours]]&gt;1.5,"Slow", "Fast")</f>
        <v>Fast</v>
      </c>
      <c r="K876" t="s">
        <v>2821</v>
      </c>
      <c r="L876" s="3">
        <v>0</v>
      </c>
      <c r="M876" t="str">
        <f>IF(Table1[[#This Row],[delayed]]=1,"Delayed","On Time")</f>
        <v>On Time</v>
      </c>
      <c r="N876" t="str">
        <f>IF(AND(Table1[[#This Row],[delayed]]=1,Table1[[#This Row],[weather_condition]]="Storm"),"High Risk", IF(Table1[[#This Row],[delayed]]=1,"Medium Risk","Low Risk"))</f>
        <v>Low Risk</v>
      </c>
    </row>
    <row r="877" spans="1:14" x14ac:dyDescent="0.35">
      <c r="A877">
        <v>876</v>
      </c>
      <c r="B877" s="1">
        <v>44963.458333333336</v>
      </c>
      <c r="C877" s="2">
        <v>4.9999999999999996E-2</v>
      </c>
      <c r="D877" s="3">
        <v>3601</v>
      </c>
      <c r="E877" s="3">
        <v>130</v>
      </c>
      <c r="F877" s="2">
        <v>21.131249999999998</v>
      </c>
      <c r="G877" t="s">
        <v>2816</v>
      </c>
      <c r="H877" t="s">
        <v>2820</v>
      </c>
      <c r="I877" s="2">
        <v>1.8395833333333333</v>
      </c>
      <c r="J877" s="4" t="str">
        <f>IF(Table1[[#This Row],[processing_time_hours]]&gt;1.5,"Slow", "Fast")</f>
        <v>Slow</v>
      </c>
      <c r="K877" t="s">
        <v>2821</v>
      </c>
      <c r="L877" s="3">
        <v>0</v>
      </c>
      <c r="M877" t="str">
        <f>IF(Table1[[#This Row],[delayed]]=1,"Delayed","On Time")</f>
        <v>On Time</v>
      </c>
      <c r="N877" t="str">
        <f>IF(AND(Table1[[#This Row],[delayed]]=1,Table1[[#This Row],[weather_condition]]="Storm"),"High Risk", IF(Table1[[#This Row],[delayed]]=1,"Medium Risk","Low Risk"))</f>
        <v>Low Risk</v>
      </c>
    </row>
    <row r="878" spans="1:14" x14ac:dyDescent="0.35">
      <c r="A878">
        <v>877</v>
      </c>
      <c r="B878" s="1">
        <v>44963.5</v>
      </c>
      <c r="C878" s="2">
        <v>5.9027777777777783E-2</v>
      </c>
      <c r="D878" s="3">
        <v>1952</v>
      </c>
      <c r="E878" s="3">
        <v>428</v>
      </c>
      <c r="F878" s="2">
        <v>28.001388888888886</v>
      </c>
      <c r="G878" t="s">
        <v>2812</v>
      </c>
      <c r="H878" t="s">
        <v>2813</v>
      </c>
      <c r="I878" s="2">
        <v>0.21458333333333335</v>
      </c>
      <c r="J878" s="4" t="str">
        <f>IF(Table1[[#This Row],[processing_time_hours]]&gt;1.5,"Slow", "Fast")</f>
        <v>Fast</v>
      </c>
      <c r="K878" t="s">
        <v>2814</v>
      </c>
      <c r="L878" s="3">
        <v>0</v>
      </c>
      <c r="M878" t="str">
        <f>IF(Table1[[#This Row],[delayed]]=1,"Delayed","On Time")</f>
        <v>On Time</v>
      </c>
      <c r="N878" t="str">
        <f>IF(AND(Table1[[#This Row],[delayed]]=1,Table1[[#This Row],[weather_condition]]="Storm"),"High Risk", IF(Table1[[#This Row],[delayed]]=1,"Medium Risk","Low Risk"))</f>
        <v>Low Risk</v>
      </c>
    </row>
    <row r="879" spans="1:14" x14ac:dyDescent="0.35">
      <c r="A879">
        <v>878</v>
      </c>
      <c r="B879" s="1">
        <v>44963.541666666664</v>
      </c>
      <c r="C879" s="2">
        <v>6.5277777777777782E-2</v>
      </c>
      <c r="D879" s="3">
        <v>868</v>
      </c>
      <c r="E879" s="3">
        <v>468</v>
      </c>
      <c r="F879" s="2">
        <v>67.25</v>
      </c>
      <c r="G879" t="s">
        <v>2812</v>
      </c>
      <c r="H879" t="s">
        <v>2820</v>
      </c>
      <c r="I879" s="2">
        <v>1.7131944444444445</v>
      </c>
      <c r="J879" s="4" t="str">
        <f>IF(Table1[[#This Row],[processing_time_hours]]&gt;1.5,"Slow", "Fast")</f>
        <v>Slow</v>
      </c>
      <c r="K879" t="s">
        <v>2821</v>
      </c>
      <c r="L879" s="3">
        <v>0</v>
      </c>
      <c r="M879" t="str">
        <f>IF(Table1[[#This Row],[delayed]]=1,"Delayed","On Time")</f>
        <v>On Time</v>
      </c>
      <c r="N879" t="str">
        <f>IF(AND(Table1[[#This Row],[delayed]]=1,Table1[[#This Row],[weather_condition]]="Storm"),"High Risk", IF(Table1[[#This Row],[delayed]]=1,"Medium Risk","Low Risk"))</f>
        <v>Low Risk</v>
      </c>
    </row>
    <row r="880" spans="1:14" x14ac:dyDescent="0.35">
      <c r="A880">
        <v>879</v>
      </c>
      <c r="B880" s="1">
        <v>44963.583333333336</v>
      </c>
      <c r="C880" s="2">
        <v>5.4166666666666669E-2</v>
      </c>
      <c r="D880" s="3">
        <v>661</v>
      </c>
      <c r="E880" s="3">
        <v>140</v>
      </c>
      <c r="F880" s="2">
        <v>40.547916666666666</v>
      </c>
      <c r="G880" t="s">
        <v>2819</v>
      </c>
      <c r="H880" t="s">
        <v>2820</v>
      </c>
      <c r="I880" s="2">
        <v>0.41875000000000001</v>
      </c>
      <c r="J880" s="4" t="str">
        <f>IF(Table1[[#This Row],[processing_time_hours]]&gt;1.5,"Slow", "Fast")</f>
        <v>Fast</v>
      </c>
      <c r="K880" t="s">
        <v>2814</v>
      </c>
      <c r="L880" s="3">
        <v>0</v>
      </c>
      <c r="M880" t="str">
        <f>IF(Table1[[#This Row],[delayed]]=1,"Delayed","On Time")</f>
        <v>On Time</v>
      </c>
      <c r="N880" t="str">
        <f>IF(AND(Table1[[#This Row],[delayed]]=1,Table1[[#This Row],[weather_condition]]="Storm"),"High Risk", IF(Table1[[#This Row],[delayed]]=1,"Medium Risk","Low Risk"))</f>
        <v>Low Risk</v>
      </c>
    </row>
    <row r="881" spans="1:14" x14ac:dyDescent="0.35">
      <c r="A881">
        <v>880</v>
      </c>
      <c r="B881" s="1">
        <v>44963.625</v>
      </c>
      <c r="C881" s="2">
        <v>5.5555555555555558E-3</v>
      </c>
      <c r="D881" s="3">
        <v>2676</v>
      </c>
      <c r="E881" s="3">
        <v>94</v>
      </c>
      <c r="F881" s="2">
        <v>61.504861111111104</v>
      </c>
      <c r="G881" t="s">
        <v>2816</v>
      </c>
      <c r="H881" t="s">
        <v>2813</v>
      </c>
      <c r="I881" s="2">
        <v>0.79375000000000007</v>
      </c>
      <c r="J881" s="4" t="str">
        <f>IF(Table1[[#This Row],[processing_time_hours]]&gt;1.5,"Slow", "Fast")</f>
        <v>Fast</v>
      </c>
      <c r="K881" t="s">
        <v>2821</v>
      </c>
      <c r="L881" s="3">
        <v>0</v>
      </c>
      <c r="M881" t="str">
        <f>IF(Table1[[#This Row],[delayed]]=1,"Delayed","On Time")</f>
        <v>On Time</v>
      </c>
      <c r="N881" t="str">
        <f>IF(AND(Table1[[#This Row],[delayed]]=1,Table1[[#This Row],[weather_condition]]="Storm"),"High Risk", IF(Table1[[#This Row],[delayed]]=1,"Medium Risk","Low Risk"))</f>
        <v>Low Risk</v>
      </c>
    </row>
    <row r="882" spans="1:14" x14ac:dyDescent="0.35">
      <c r="A882">
        <v>881</v>
      </c>
      <c r="B882" s="1">
        <v>44963.666666666664</v>
      </c>
      <c r="C882" s="2">
        <v>6.3888888888888898E-2</v>
      </c>
      <c r="D882" s="3">
        <v>4373</v>
      </c>
      <c r="E882" s="3">
        <v>479</v>
      </c>
      <c r="F882" s="2">
        <v>23.254166666666666</v>
      </c>
      <c r="G882" t="s">
        <v>2812</v>
      </c>
      <c r="H882" t="s">
        <v>2822</v>
      </c>
      <c r="I882" s="2">
        <v>0.42291666666666666</v>
      </c>
      <c r="J882" s="4" t="str">
        <f>IF(Table1[[#This Row],[processing_time_hours]]&gt;1.5,"Slow", "Fast")</f>
        <v>Fast</v>
      </c>
      <c r="K882" t="s">
        <v>2821</v>
      </c>
      <c r="L882" s="3">
        <v>0</v>
      </c>
      <c r="M882" t="str">
        <f>IF(Table1[[#This Row],[delayed]]=1,"Delayed","On Time")</f>
        <v>On Time</v>
      </c>
      <c r="N882" t="str">
        <f>IF(AND(Table1[[#This Row],[delayed]]=1,Table1[[#This Row],[weather_condition]]="Storm"),"High Risk", IF(Table1[[#This Row],[delayed]]=1,"Medium Risk","Low Risk"))</f>
        <v>Low Risk</v>
      </c>
    </row>
    <row r="883" spans="1:14" x14ac:dyDescent="0.35">
      <c r="A883">
        <v>882</v>
      </c>
      <c r="B883" s="1">
        <v>44963.708333333336</v>
      </c>
      <c r="C883" s="2">
        <v>4.4444444444444446E-2</v>
      </c>
      <c r="D883" s="3">
        <v>1598</v>
      </c>
      <c r="E883" s="3">
        <v>451</v>
      </c>
      <c r="F883" s="2">
        <v>3.875</v>
      </c>
      <c r="G883" t="s">
        <v>2815</v>
      </c>
      <c r="H883" t="s">
        <v>2817</v>
      </c>
      <c r="I883" s="2">
        <v>0.21111111111111111</v>
      </c>
      <c r="J883" s="4" t="str">
        <f>IF(Table1[[#This Row],[processing_time_hours]]&gt;1.5,"Slow", "Fast")</f>
        <v>Fast</v>
      </c>
      <c r="K883" t="s">
        <v>2814</v>
      </c>
      <c r="L883" s="3">
        <v>0</v>
      </c>
      <c r="M883" t="str">
        <f>IF(Table1[[#This Row],[delayed]]=1,"Delayed","On Time")</f>
        <v>On Time</v>
      </c>
      <c r="N883" t="str">
        <f>IF(AND(Table1[[#This Row],[delayed]]=1,Table1[[#This Row],[weather_condition]]="Storm"),"High Risk", IF(Table1[[#This Row],[delayed]]=1,"Medium Risk","Low Risk"))</f>
        <v>Low Risk</v>
      </c>
    </row>
    <row r="884" spans="1:14" x14ac:dyDescent="0.35">
      <c r="A884">
        <v>883</v>
      </c>
      <c r="B884" s="1">
        <v>44963.75</v>
      </c>
      <c r="C884" s="2">
        <v>6.805555555555555E-2</v>
      </c>
      <c r="D884" s="3">
        <v>2350</v>
      </c>
      <c r="E884" s="3">
        <v>181</v>
      </c>
      <c r="F884" s="2">
        <v>36.00416666666667</v>
      </c>
      <c r="G884" t="s">
        <v>2819</v>
      </c>
      <c r="H884" t="s">
        <v>2822</v>
      </c>
      <c r="I884" s="2">
        <v>1.211111111111111</v>
      </c>
      <c r="J884" s="4" t="str">
        <f>IF(Table1[[#This Row],[processing_time_hours]]&gt;1.5,"Slow", "Fast")</f>
        <v>Fast</v>
      </c>
      <c r="K884" t="s">
        <v>2814</v>
      </c>
      <c r="L884" s="3">
        <v>0</v>
      </c>
      <c r="M884" t="str">
        <f>IF(Table1[[#This Row],[delayed]]=1,"Delayed","On Time")</f>
        <v>On Time</v>
      </c>
      <c r="N884" t="str">
        <f>IF(AND(Table1[[#This Row],[delayed]]=1,Table1[[#This Row],[weather_condition]]="Storm"),"High Risk", IF(Table1[[#This Row],[delayed]]=1,"Medium Risk","Low Risk"))</f>
        <v>Low Risk</v>
      </c>
    </row>
    <row r="885" spans="1:14" x14ac:dyDescent="0.35">
      <c r="A885">
        <v>884</v>
      </c>
      <c r="B885" s="1">
        <v>44963.791666666664</v>
      </c>
      <c r="C885" s="2">
        <v>5.486111111111111E-2</v>
      </c>
      <c r="D885" s="3">
        <v>2989</v>
      </c>
      <c r="E885" s="3">
        <v>455</v>
      </c>
      <c r="F885" s="2">
        <v>59.504861111111104</v>
      </c>
      <c r="G885" t="s">
        <v>2815</v>
      </c>
      <c r="H885" t="s">
        <v>2817</v>
      </c>
      <c r="I885" s="2">
        <v>1.4173611111111111</v>
      </c>
      <c r="J885" s="4" t="str">
        <f>IF(Table1[[#This Row],[processing_time_hours]]&gt;1.5,"Slow", "Fast")</f>
        <v>Fast</v>
      </c>
      <c r="K885" t="s">
        <v>2818</v>
      </c>
      <c r="L885" s="3">
        <v>1</v>
      </c>
      <c r="M885" t="str">
        <f>IF(Table1[[#This Row],[delayed]]=1,"Delayed","On Time")</f>
        <v>Delayed</v>
      </c>
      <c r="N885" t="str">
        <f>IF(AND(Table1[[#This Row],[delayed]]=1,Table1[[#This Row],[weather_condition]]="Storm"),"High Risk", IF(Table1[[#This Row],[delayed]]=1,"Medium Risk","Low Risk"))</f>
        <v>High Risk</v>
      </c>
    </row>
    <row r="886" spans="1:14" x14ac:dyDescent="0.35">
      <c r="A886">
        <v>885</v>
      </c>
      <c r="B886" s="1">
        <v>44963.833333333336</v>
      </c>
      <c r="C886" s="2">
        <v>5.0694444444444438E-2</v>
      </c>
      <c r="D886" s="3">
        <v>2766</v>
      </c>
      <c r="E886" s="3">
        <v>78</v>
      </c>
      <c r="F886" s="2">
        <v>40.047916666666666</v>
      </c>
      <c r="G886" t="s">
        <v>2816</v>
      </c>
      <c r="H886" t="s">
        <v>2820</v>
      </c>
      <c r="I886" s="2">
        <v>0.63055555555555554</v>
      </c>
      <c r="J886" s="4" t="str">
        <f>IF(Table1[[#This Row],[processing_time_hours]]&gt;1.5,"Slow", "Fast")</f>
        <v>Fast</v>
      </c>
      <c r="K886" t="s">
        <v>2814</v>
      </c>
      <c r="L886" s="3">
        <v>0</v>
      </c>
      <c r="M886" t="str">
        <f>IF(Table1[[#This Row],[delayed]]=1,"Delayed","On Time")</f>
        <v>On Time</v>
      </c>
      <c r="N886" t="str">
        <f>IF(AND(Table1[[#This Row],[delayed]]=1,Table1[[#This Row],[weather_condition]]="Storm"),"High Risk", IF(Table1[[#This Row],[delayed]]=1,"Medium Risk","Low Risk"))</f>
        <v>Low Risk</v>
      </c>
    </row>
    <row r="887" spans="1:14" x14ac:dyDescent="0.35">
      <c r="A887">
        <v>886</v>
      </c>
      <c r="B887" s="1">
        <v>44963.875</v>
      </c>
      <c r="C887" s="2">
        <v>6.3194444444444442E-2</v>
      </c>
      <c r="D887" s="3">
        <v>1724</v>
      </c>
      <c r="E887" s="3">
        <v>227</v>
      </c>
      <c r="F887" s="2">
        <v>35.250694444444441</v>
      </c>
      <c r="G887" t="s">
        <v>2815</v>
      </c>
      <c r="H887" t="s">
        <v>2822</v>
      </c>
      <c r="I887" s="2">
        <v>2.9618055555555554</v>
      </c>
      <c r="J887" s="4" t="str">
        <f>IF(Table1[[#This Row],[processing_time_hours]]&gt;1.5,"Slow", "Fast")</f>
        <v>Slow</v>
      </c>
      <c r="K887" t="s">
        <v>2818</v>
      </c>
      <c r="L887" s="3">
        <v>0</v>
      </c>
      <c r="M887" t="str">
        <f>IF(Table1[[#This Row],[delayed]]=1,"Delayed","On Time")</f>
        <v>On Time</v>
      </c>
      <c r="N887" t="str">
        <f>IF(AND(Table1[[#This Row],[delayed]]=1,Table1[[#This Row],[weather_condition]]="Storm"),"High Risk", IF(Table1[[#This Row],[delayed]]=1,"Medium Risk","Low Risk"))</f>
        <v>Low Risk</v>
      </c>
    </row>
    <row r="888" spans="1:14" x14ac:dyDescent="0.35">
      <c r="A888">
        <v>887</v>
      </c>
      <c r="B888" s="1">
        <v>44963.916666666664</v>
      </c>
      <c r="C888" s="2">
        <v>4.8611111111111112E-3</v>
      </c>
      <c r="D888" s="3">
        <v>1766</v>
      </c>
      <c r="E888" s="3">
        <v>160</v>
      </c>
      <c r="F888" s="2">
        <v>62.047222222222224</v>
      </c>
      <c r="G888" t="s">
        <v>2815</v>
      </c>
      <c r="H888" t="s">
        <v>2817</v>
      </c>
      <c r="I888" s="2">
        <v>2.6729166666666671</v>
      </c>
      <c r="J888" s="4" t="str">
        <f>IF(Table1[[#This Row],[processing_time_hours]]&gt;1.5,"Slow", "Fast")</f>
        <v>Slow</v>
      </c>
      <c r="K888" t="s">
        <v>2818</v>
      </c>
      <c r="L888" s="3">
        <v>0</v>
      </c>
      <c r="M888" t="str">
        <f>IF(Table1[[#This Row],[delayed]]=1,"Delayed","On Time")</f>
        <v>On Time</v>
      </c>
      <c r="N888" t="str">
        <f>IF(AND(Table1[[#This Row],[delayed]]=1,Table1[[#This Row],[weather_condition]]="Storm"),"High Risk", IF(Table1[[#This Row],[delayed]]=1,"Medium Risk","Low Risk"))</f>
        <v>Low Risk</v>
      </c>
    </row>
    <row r="889" spans="1:14" x14ac:dyDescent="0.35">
      <c r="A889">
        <v>888</v>
      </c>
      <c r="B889" s="1">
        <v>44963.958333333336</v>
      </c>
      <c r="C889" s="2">
        <v>4.5833333333333337E-2</v>
      </c>
      <c r="D889" s="3">
        <v>1390</v>
      </c>
      <c r="E889" s="3">
        <v>231</v>
      </c>
      <c r="F889" s="2">
        <v>3.0034722222222219</v>
      </c>
      <c r="G889" t="s">
        <v>2816</v>
      </c>
      <c r="H889" t="s">
        <v>2813</v>
      </c>
      <c r="I889" s="2">
        <v>2.0874999999999999</v>
      </c>
      <c r="J889" s="4" t="str">
        <f>IF(Table1[[#This Row],[processing_time_hours]]&gt;1.5,"Slow", "Fast")</f>
        <v>Slow</v>
      </c>
      <c r="K889" t="s">
        <v>2821</v>
      </c>
      <c r="L889" s="3">
        <v>1</v>
      </c>
      <c r="M889" t="str">
        <f>IF(Table1[[#This Row],[delayed]]=1,"Delayed","On Time")</f>
        <v>Delayed</v>
      </c>
      <c r="N889" t="str">
        <f>IF(AND(Table1[[#This Row],[delayed]]=1,Table1[[#This Row],[weather_condition]]="Storm"),"High Risk", IF(Table1[[#This Row],[delayed]]=1,"Medium Risk","Low Risk"))</f>
        <v>Medium Risk</v>
      </c>
    </row>
    <row r="890" spans="1:14" x14ac:dyDescent="0.35">
      <c r="A890">
        <v>889</v>
      </c>
      <c r="B890" s="1">
        <v>44964</v>
      </c>
      <c r="C890" s="2">
        <v>4.8611111111111112E-3</v>
      </c>
      <c r="D890" s="3">
        <v>2440</v>
      </c>
      <c r="E890" s="3">
        <v>348</v>
      </c>
      <c r="F890" s="2">
        <v>81.541666666666671</v>
      </c>
      <c r="G890" t="s">
        <v>2819</v>
      </c>
      <c r="H890" t="s">
        <v>2817</v>
      </c>
      <c r="I890" s="2">
        <v>2.3340277777777776</v>
      </c>
      <c r="J890" s="4" t="str">
        <f>IF(Table1[[#This Row],[processing_time_hours]]&gt;1.5,"Slow", "Fast")</f>
        <v>Slow</v>
      </c>
      <c r="K890" t="s">
        <v>2814</v>
      </c>
      <c r="L890" s="3">
        <v>0</v>
      </c>
      <c r="M890" t="str">
        <f>IF(Table1[[#This Row],[delayed]]=1,"Delayed","On Time")</f>
        <v>On Time</v>
      </c>
      <c r="N890" t="str">
        <f>IF(AND(Table1[[#This Row],[delayed]]=1,Table1[[#This Row],[weather_condition]]="Storm"),"High Risk", IF(Table1[[#This Row],[delayed]]=1,"Medium Risk","Low Risk"))</f>
        <v>Low Risk</v>
      </c>
    </row>
    <row r="891" spans="1:14" x14ac:dyDescent="0.35">
      <c r="A891">
        <v>890</v>
      </c>
      <c r="B891" s="1">
        <v>44964.041666666664</v>
      </c>
      <c r="C891" s="2">
        <v>6.0416666666666667E-2</v>
      </c>
      <c r="D891" s="3">
        <v>1462</v>
      </c>
      <c r="E891" s="3">
        <v>119</v>
      </c>
      <c r="F891" s="2">
        <v>65.25555555555556</v>
      </c>
      <c r="G891" t="s">
        <v>2816</v>
      </c>
      <c r="H891" t="s">
        <v>2817</v>
      </c>
      <c r="I891" s="2">
        <v>0.37916666666666665</v>
      </c>
      <c r="J891" s="4" t="str">
        <f>IF(Table1[[#This Row],[processing_time_hours]]&gt;1.5,"Slow", "Fast")</f>
        <v>Fast</v>
      </c>
      <c r="K891" t="s">
        <v>2814</v>
      </c>
      <c r="L891" s="3">
        <v>1</v>
      </c>
      <c r="M891" t="str">
        <f>IF(Table1[[#This Row],[delayed]]=1,"Delayed","On Time")</f>
        <v>Delayed</v>
      </c>
      <c r="N891" t="str">
        <f>IF(AND(Table1[[#This Row],[delayed]]=1,Table1[[#This Row],[weather_condition]]="Storm"),"High Risk", IF(Table1[[#This Row],[delayed]]=1,"Medium Risk","Low Risk"))</f>
        <v>High Risk</v>
      </c>
    </row>
    <row r="892" spans="1:14" x14ac:dyDescent="0.35">
      <c r="A892">
        <v>891</v>
      </c>
      <c r="B892" s="1">
        <v>44964.083333333336</v>
      </c>
      <c r="C892" s="2">
        <v>4.4444444444444446E-2</v>
      </c>
      <c r="D892" s="3">
        <v>3722</v>
      </c>
      <c r="E892" s="3">
        <v>204</v>
      </c>
      <c r="F892" s="2">
        <v>11.547222222222222</v>
      </c>
      <c r="G892" t="s">
        <v>2819</v>
      </c>
      <c r="H892" t="s">
        <v>2822</v>
      </c>
      <c r="I892" s="2">
        <v>2.2555555555555555</v>
      </c>
      <c r="J892" s="4" t="str">
        <f>IF(Table1[[#This Row],[processing_time_hours]]&gt;1.5,"Slow", "Fast")</f>
        <v>Slow</v>
      </c>
      <c r="K892" t="s">
        <v>2821</v>
      </c>
      <c r="L892" s="3">
        <v>0</v>
      </c>
      <c r="M892" t="str">
        <f>IF(Table1[[#This Row],[delayed]]=1,"Delayed","On Time")</f>
        <v>On Time</v>
      </c>
      <c r="N892" t="str">
        <f>IF(AND(Table1[[#This Row],[delayed]]=1,Table1[[#This Row],[weather_condition]]="Storm"),"High Risk", IF(Table1[[#This Row],[delayed]]=1,"Medium Risk","Low Risk"))</f>
        <v>Low Risk</v>
      </c>
    </row>
    <row r="893" spans="1:14" x14ac:dyDescent="0.35">
      <c r="A893">
        <v>892</v>
      </c>
      <c r="B893" s="1">
        <v>44964.125</v>
      </c>
      <c r="C893" s="2">
        <v>5.4166666666666669E-2</v>
      </c>
      <c r="D893" s="3">
        <v>3679</v>
      </c>
      <c r="E893" s="3">
        <v>392</v>
      </c>
      <c r="F893" s="2">
        <v>32.62916666666667</v>
      </c>
      <c r="G893" t="s">
        <v>2815</v>
      </c>
      <c r="H893" t="s">
        <v>2813</v>
      </c>
      <c r="I893" s="2">
        <v>2.5874999999999999</v>
      </c>
      <c r="J893" s="4" t="str">
        <f>IF(Table1[[#This Row],[processing_time_hours]]&gt;1.5,"Slow", "Fast")</f>
        <v>Slow</v>
      </c>
      <c r="K893" t="s">
        <v>2818</v>
      </c>
      <c r="L893" s="3">
        <v>1</v>
      </c>
      <c r="M893" t="str">
        <f>IF(Table1[[#This Row],[delayed]]=1,"Delayed","On Time")</f>
        <v>Delayed</v>
      </c>
      <c r="N893" t="str">
        <f>IF(AND(Table1[[#This Row],[delayed]]=1,Table1[[#This Row],[weather_condition]]="Storm"),"High Risk", IF(Table1[[#This Row],[delayed]]=1,"Medium Risk","Low Risk"))</f>
        <v>Medium Risk</v>
      </c>
    </row>
    <row r="894" spans="1:14" x14ac:dyDescent="0.35">
      <c r="A894">
        <v>893</v>
      </c>
      <c r="B894" s="1">
        <v>44964.166666666664</v>
      </c>
      <c r="C894" s="2">
        <v>4.7916666666666663E-2</v>
      </c>
      <c r="D894" s="3">
        <v>4674</v>
      </c>
      <c r="E894" s="3">
        <v>283</v>
      </c>
      <c r="F894" s="2">
        <v>66.875694444444449</v>
      </c>
      <c r="G894" t="s">
        <v>2819</v>
      </c>
      <c r="H894" t="s">
        <v>2820</v>
      </c>
      <c r="I894" s="2">
        <v>2.6277777777777778</v>
      </c>
      <c r="J894" s="4" t="str">
        <f>IF(Table1[[#This Row],[processing_time_hours]]&gt;1.5,"Slow", "Fast")</f>
        <v>Slow</v>
      </c>
      <c r="K894" t="s">
        <v>2821</v>
      </c>
      <c r="L894" s="3">
        <v>1</v>
      </c>
      <c r="M894" t="str">
        <f>IF(Table1[[#This Row],[delayed]]=1,"Delayed","On Time")</f>
        <v>Delayed</v>
      </c>
      <c r="N894" t="str">
        <f>IF(AND(Table1[[#This Row],[delayed]]=1,Table1[[#This Row],[weather_condition]]="Storm"),"High Risk", IF(Table1[[#This Row],[delayed]]=1,"Medium Risk","Low Risk"))</f>
        <v>Medium Risk</v>
      </c>
    </row>
    <row r="895" spans="1:14" x14ac:dyDescent="0.35">
      <c r="A895">
        <v>894</v>
      </c>
      <c r="B895" s="1">
        <v>44964.208333333336</v>
      </c>
      <c r="C895" s="2">
        <v>5.6944444444444443E-2</v>
      </c>
      <c r="D895" s="3">
        <v>2652</v>
      </c>
      <c r="E895" s="3">
        <v>247</v>
      </c>
      <c r="F895" s="2">
        <v>55.670833333333327</v>
      </c>
      <c r="G895" t="s">
        <v>2815</v>
      </c>
      <c r="H895" t="s">
        <v>2817</v>
      </c>
      <c r="I895" s="2">
        <v>1.8375000000000001</v>
      </c>
      <c r="J895" s="4" t="str">
        <f>IF(Table1[[#This Row],[processing_time_hours]]&gt;1.5,"Slow", "Fast")</f>
        <v>Slow</v>
      </c>
      <c r="K895" t="s">
        <v>2814</v>
      </c>
      <c r="L895" s="3">
        <v>0</v>
      </c>
      <c r="M895" t="str">
        <f>IF(Table1[[#This Row],[delayed]]=1,"Delayed","On Time")</f>
        <v>On Time</v>
      </c>
      <c r="N895" t="str">
        <f>IF(AND(Table1[[#This Row],[delayed]]=1,Table1[[#This Row],[weather_condition]]="Storm"),"High Risk", IF(Table1[[#This Row],[delayed]]=1,"Medium Risk","Low Risk"))</f>
        <v>Low Risk</v>
      </c>
    </row>
    <row r="896" spans="1:14" x14ac:dyDescent="0.35">
      <c r="A896">
        <v>895</v>
      </c>
      <c r="B896" s="1">
        <v>44964.25</v>
      </c>
      <c r="C896" s="2">
        <v>4.5833333333333337E-2</v>
      </c>
      <c r="D896" s="3">
        <v>1805</v>
      </c>
      <c r="E896" s="3">
        <v>197</v>
      </c>
      <c r="F896" s="2">
        <v>15.875</v>
      </c>
      <c r="G896" t="s">
        <v>2812</v>
      </c>
      <c r="H896" t="s">
        <v>2817</v>
      </c>
      <c r="I896" s="2">
        <v>0.87708333333333333</v>
      </c>
      <c r="J896" s="4" t="str">
        <f>IF(Table1[[#This Row],[processing_time_hours]]&gt;1.5,"Slow", "Fast")</f>
        <v>Fast</v>
      </c>
      <c r="K896" t="s">
        <v>2821</v>
      </c>
      <c r="L896" s="3">
        <v>1</v>
      </c>
      <c r="M896" t="str">
        <f>IF(Table1[[#This Row],[delayed]]=1,"Delayed","On Time")</f>
        <v>Delayed</v>
      </c>
      <c r="N896" t="str">
        <f>IF(AND(Table1[[#This Row],[delayed]]=1,Table1[[#This Row],[weather_condition]]="Storm"),"High Risk", IF(Table1[[#This Row],[delayed]]=1,"Medium Risk","Low Risk"))</f>
        <v>High Risk</v>
      </c>
    </row>
    <row r="897" spans="1:14" x14ac:dyDescent="0.35">
      <c r="A897">
        <v>896</v>
      </c>
      <c r="B897" s="1">
        <v>44964.291666666664</v>
      </c>
      <c r="C897" s="2">
        <v>6.3194444444444442E-2</v>
      </c>
      <c r="D897" s="3">
        <v>3177</v>
      </c>
      <c r="E897" s="3">
        <v>21</v>
      </c>
      <c r="F897" s="2">
        <v>56.625694444444441</v>
      </c>
      <c r="G897" t="s">
        <v>2816</v>
      </c>
      <c r="H897" t="s">
        <v>2820</v>
      </c>
      <c r="I897" s="2">
        <v>0.62986111111111109</v>
      </c>
      <c r="J897" s="4" t="str">
        <f>IF(Table1[[#This Row],[processing_time_hours]]&gt;1.5,"Slow", "Fast")</f>
        <v>Fast</v>
      </c>
      <c r="K897" t="s">
        <v>2818</v>
      </c>
      <c r="L897" s="3">
        <v>0</v>
      </c>
      <c r="M897" t="str">
        <f>IF(Table1[[#This Row],[delayed]]=1,"Delayed","On Time")</f>
        <v>On Time</v>
      </c>
      <c r="N897" t="str">
        <f>IF(AND(Table1[[#This Row],[delayed]]=1,Table1[[#This Row],[weather_condition]]="Storm"),"High Risk", IF(Table1[[#This Row],[delayed]]=1,"Medium Risk","Low Risk"))</f>
        <v>Low Risk</v>
      </c>
    </row>
    <row r="898" spans="1:14" x14ac:dyDescent="0.35">
      <c r="A898">
        <v>897</v>
      </c>
      <c r="B898" s="1">
        <v>44964.333333333336</v>
      </c>
      <c r="C898" s="2">
        <v>6.7361111111111108E-2</v>
      </c>
      <c r="D898" s="3">
        <v>1360</v>
      </c>
      <c r="E898" s="3">
        <v>377</v>
      </c>
      <c r="F898" s="2">
        <v>26.214583333333334</v>
      </c>
      <c r="G898" t="s">
        <v>2812</v>
      </c>
      <c r="H898" t="s">
        <v>2820</v>
      </c>
      <c r="I898" s="2">
        <v>0.4597222222222222</v>
      </c>
      <c r="J898" s="4" t="str">
        <f>IF(Table1[[#This Row],[processing_time_hours]]&gt;1.5,"Slow", "Fast")</f>
        <v>Fast</v>
      </c>
      <c r="K898" t="s">
        <v>2814</v>
      </c>
      <c r="L898" s="3">
        <v>0</v>
      </c>
      <c r="M898" t="str">
        <f>IF(Table1[[#This Row],[delayed]]=1,"Delayed","On Time")</f>
        <v>On Time</v>
      </c>
      <c r="N898" t="str">
        <f>IF(AND(Table1[[#This Row],[delayed]]=1,Table1[[#This Row],[weather_condition]]="Storm"),"High Risk", IF(Table1[[#This Row],[delayed]]=1,"Medium Risk","Low Risk"))</f>
        <v>Low Risk</v>
      </c>
    </row>
    <row r="899" spans="1:14" x14ac:dyDescent="0.35">
      <c r="A899">
        <v>898</v>
      </c>
      <c r="B899" s="1">
        <v>44964.375</v>
      </c>
      <c r="C899" s="2">
        <v>5.0694444444444438E-2</v>
      </c>
      <c r="D899" s="3">
        <v>2778</v>
      </c>
      <c r="E899" s="3">
        <v>190</v>
      </c>
      <c r="F899" s="2">
        <v>20.296527777777779</v>
      </c>
      <c r="G899" t="s">
        <v>2812</v>
      </c>
      <c r="H899" t="s">
        <v>2822</v>
      </c>
      <c r="I899" s="2">
        <v>2.7979166666666671</v>
      </c>
      <c r="J899" s="4" t="str">
        <f>IF(Table1[[#This Row],[processing_time_hours]]&gt;1.5,"Slow", "Fast")</f>
        <v>Slow</v>
      </c>
      <c r="K899" t="s">
        <v>2814</v>
      </c>
      <c r="L899" s="3">
        <v>1</v>
      </c>
      <c r="M899" t="str">
        <f>IF(Table1[[#This Row],[delayed]]=1,"Delayed","On Time")</f>
        <v>Delayed</v>
      </c>
      <c r="N899" t="str">
        <f>IF(AND(Table1[[#This Row],[delayed]]=1,Table1[[#This Row],[weather_condition]]="Storm"),"High Risk", IF(Table1[[#This Row],[delayed]]=1,"Medium Risk","Low Risk"))</f>
        <v>Medium Risk</v>
      </c>
    </row>
    <row r="900" spans="1:14" x14ac:dyDescent="0.35">
      <c r="A900">
        <v>899</v>
      </c>
      <c r="B900" s="1">
        <v>44964.416666666664</v>
      </c>
      <c r="C900" s="2">
        <v>5.1388888888888894E-2</v>
      </c>
      <c r="D900" s="3">
        <v>4158</v>
      </c>
      <c r="E900" s="3">
        <v>285</v>
      </c>
      <c r="F900" s="2">
        <v>17.254166666666666</v>
      </c>
      <c r="G900" t="s">
        <v>2819</v>
      </c>
      <c r="H900" t="s">
        <v>2822</v>
      </c>
      <c r="I900" s="2">
        <v>2.5416666666666665</v>
      </c>
      <c r="J900" s="4" t="str">
        <f>IF(Table1[[#This Row],[processing_time_hours]]&gt;1.5,"Slow", "Fast")</f>
        <v>Slow</v>
      </c>
      <c r="K900" t="s">
        <v>2814</v>
      </c>
      <c r="L900" s="3">
        <v>1</v>
      </c>
      <c r="M900" t="str">
        <f>IF(Table1[[#This Row],[delayed]]=1,"Delayed","On Time")</f>
        <v>Delayed</v>
      </c>
      <c r="N900" t="str">
        <f>IF(AND(Table1[[#This Row],[delayed]]=1,Table1[[#This Row],[weather_condition]]="Storm"),"High Risk", IF(Table1[[#This Row],[delayed]]=1,"Medium Risk","Low Risk"))</f>
        <v>Medium Risk</v>
      </c>
    </row>
    <row r="901" spans="1:14" x14ac:dyDescent="0.35">
      <c r="A901">
        <v>900</v>
      </c>
      <c r="B901" s="1">
        <v>44964.458333333336</v>
      </c>
      <c r="C901" s="2">
        <v>5.8333333333333327E-2</v>
      </c>
      <c r="D901" s="3">
        <v>1601</v>
      </c>
      <c r="E901" s="3">
        <v>388</v>
      </c>
      <c r="F901" s="2">
        <v>43.667361111111113</v>
      </c>
      <c r="G901" t="s">
        <v>2815</v>
      </c>
      <c r="H901" t="s">
        <v>2817</v>
      </c>
      <c r="I901" s="2">
        <v>1.6284722222222223</v>
      </c>
      <c r="J901" s="4" t="str">
        <f>IF(Table1[[#This Row],[processing_time_hours]]&gt;1.5,"Slow", "Fast")</f>
        <v>Slow</v>
      </c>
      <c r="K901" t="s">
        <v>2821</v>
      </c>
      <c r="L901" s="3">
        <v>0</v>
      </c>
      <c r="M901" t="str">
        <f>IF(Table1[[#This Row],[delayed]]=1,"Delayed","On Time")</f>
        <v>On Time</v>
      </c>
      <c r="N901" t="str">
        <f>IF(AND(Table1[[#This Row],[delayed]]=1,Table1[[#This Row],[weather_condition]]="Storm"),"High Risk", IF(Table1[[#This Row],[delayed]]=1,"Medium Risk","Low Risk"))</f>
        <v>Low Risk</v>
      </c>
    </row>
    <row r="902" spans="1:14" x14ac:dyDescent="0.35">
      <c r="A902">
        <v>901</v>
      </c>
      <c r="B902" s="1">
        <v>44964.5</v>
      </c>
      <c r="C902" s="2">
        <v>6.2499999999999995E-3</v>
      </c>
      <c r="D902" s="3">
        <v>3006</v>
      </c>
      <c r="E902" s="3">
        <v>326</v>
      </c>
      <c r="F902" s="2">
        <v>34.668055555555554</v>
      </c>
      <c r="G902" t="s">
        <v>2815</v>
      </c>
      <c r="H902" t="s">
        <v>2820</v>
      </c>
      <c r="I902" s="2">
        <v>2.8333333333333335</v>
      </c>
      <c r="J902" s="4" t="str">
        <f>IF(Table1[[#This Row],[processing_time_hours]]&gt;1.5,"Slow", "Fast")</f>
        <v>Slow</v>
      </c>
      <c r="K902" t="s">
        <v>2821</v>
      </c>
      <c r="L902" s="3">
        <v>0</v>
      </c>
      <c r="M902" t="str">
        <f>IF(Table1[[#This Row],[delayed]]=1,"Delayed","On Time")</f>
        <v>On Time</v>
      </c>
      <c r="N902" t="str">
        <f>IF(AND(Table1[[#This Row],[delayed]]=1,Table1[[#This Row],[weather_condition]]="Storm"),"High Risk", IF(Table1[[#This Row],[delayed]]=1,"Medium Risk","Low Risk"))</f>
        <v>Low Risk</v>
      </c>
    </row>
    <row r="903" spans="1:14" x14ac:dyDescent="0.35">
      <c r="A903">
        <v>902</v>
      </c>
      <c r="B903" s="1">
        <v>44964.541666666664</v>
      </c>
      <c r="C903" s="2">
        <v>4.3055555555555562E-2</v>
      </c>
      <c r="D903" s="3">
        <v>3715</v>
      </c>
      <c r="E903" s="3">
        <v>266</v>
      </c>
      <c r="F903" s="2">
        <v>34.422222222222224</v>
      </c>
      <c r="G903" t="s">
        <v>2815</v>
      </c>
      <c r="H903" t="s">
        <v>2822</v>
      </c>
      <c r="I903" s="2">
        <v>8.9583333333333334E-2</v>
      </c>
      <c r="J903" s="4" t="str">
        <f>IF(Table1[[#This Row],[processing_time_hours]]&gt;1.5,"Slow", "Fast")</f>
        <v>Fast</v>
      </c>
      <c r="K903" t="s">
        <v>2821</v>
      </c>
      <c r="L903" s="3">
        <v>0</v>
      </c>
      <c r="M903" t="str">
        <f>IF(Table1[[#This Row],[delayed]]=1,"Delayed","On Time")</f>
        <v>On Time</v>
      </c>
      <c r="N903" t="str">
        <f>IF(AND(Table1[[#This Row],[delayed]]=1,Table1[[#This Row],[weather_condition]]="Storm"),"High Risk", IF(Table1[[#This Row],[delayed]]=1,"Medium Risk","Low Risk"))</f>
        <v>Low Risk</v>
      </c>
    </row>
    <row r="904" spans="1:14" x14ac:dyDescent="0.35">
      <c r="A904">
        <v>903</v>
      </c>
      <c r="B904" s="1">
        <v>44964.583333333336</v>
      </c>
      <c r="C904" s="2">
        <v>6.0416666666666667E-2</v>
      </c>
      <c r="D904" s="3">
        <v>848</v>
      </c>
      <c r="E904" s="3">
        <v>260</v>
      </c>
      <c r="F904" s="2">
        <v>69.504861111111111</v>
      </c>
      <c r="G904" t="s">
        <v>2816</v>
      </c>
      <c r="H904" t="s">
        <v>2822</v>
      </c>
      <c r="I904" s="2">
        <v>0.95972222222222225</v>
      </c>
      <c r="J904" s="4" t="str">
        <f>IF(Table1[[#This Row],[processing_time_hours]]&gt;1.5,"Slow", "Fast")</f>
        <v>Fast</v>
      </c>
      <c r="K904" t="s">
        <v>2821</v>
      </c>
      <c r="L904" s="3">
        <v>0</v>
      </c>
      <c r="M904" t="str">
        <f>IF(Table1[[#This Row],[delayed]]=1,"Delayed","On Time")</f>
        <v>On Time</v>
      </c>
      <c r="N904" t="str">
        <f>IF(AND(Table1[[#This Row],[delayed]]=1,Table1[[#This Row],[weather_condition]]="Storm"),"High Risk", IF(Table1[[#This Row],[delayed]]=1,"Medium Risk","Low Risk"))</f>
        <v>Low Risk</v>
      </c>
    </row>
    <row r="905" spans="1:14" x14ac:dyDescent="0.35">
      <c r="A905">
        <v>904</v>
      </c>
      <c r="B905" s="1">
        <v>44964.625</v>
      </c>
      <c r="C905" s="2">
        <v>6.458333333333334E-2</v>
      </c>
      <c r="D905" s="3">
        <v>4270</v>
      </c>
      <c r="E905" s="3">
        <v>273</v>
      </c>
      <c r="F905" s="2">
        <v>6.1263888888888891</v>
      </c>
      <c r="G905" t="s">
        <v>2815</v>
      </c>
      <c r="H905" t="s">
        <v>2820</v>
      </c>
      <c r="I905" s="2">
        <v>1.5465277777777777</v>
      </c>
      <c r="J905" s="4" t="str">
        <f>IF(Table1[[#This Row],[processing_time_hours]]&gt;1.5,"Slow", "Fast")</f>
        <v>Slow</v>
      </c>
      <c r="K905" t="s">
        <v>2818</v>
      </c>
      <c r="L905" s="3">
        <v>0</v>
      </c>
      <c r="M905" t="str">
        <f>IF(Table1[[#This Row],[delayed]]=1,"Delayed","On Time")</f>
        <v>On Time</v>
      </c>
      <c r="N905" t="str">
        <f>IF(AND(Table1[[#This Row],[delayed]]=1,Table1[[#This Row],[weather_condition]]="Storm"),"High Risk", IF(Table1[[#This Row],[delayed]]=1,"Medium Risk","Low Risk"))</f>
        <v>Low Risk</v>
      </c>
    </row>
    <row r="906" spans="1:14" x14ac:dyDescent="0.35">
      <c r="A906">
        <v>905</v>
      </c>
      <c r="B906" s="1">
        <v>44964.666666666664</v>
      </c>
      <c r="C906" s="2">
        <v>6.3888888888888898E-2</v>
      </c>
      <c r="D906" s="3">
        <v>84</v>
      </c>
      <c r="E906" s="3">
        <v>357</v>
      </c>
      <c r="F906" s="2">
        <v>2.0062500000000001</v>
      </c>
      <c r="G906" t="s">
        <v>2815</v>
      </c>
      <c r="H906" t="s">
        <v>2817</v>
      </c>
      <c r="I906" s="2">
        <v>1.9180555555555554</v>
      </c>
      <c r="J906" s="4" t="str">
        <f>IF(Table1[[#This Row],[processing_time_hours]]&gt;1.5,"Slow", "Fast")</f>
        <v>Slow</v>
      </c>
      <c r="K906" t="s">
        <v>2821</v>
      </c>
      <c r="L906" s="3">
        <v>0</v>
      </c>
      <c r="M906" t="str">
        <f>IF(Table1[[#This Row],[delayed]]=1,"Delayed","On Time")</f>
        <v>On Time</v>
      </c>
      <c r="N906" t="str">
        <f>IF(AND(Table1[[#This Row],[delayed]]=1,Table1[[#This Row],[weather_condition]]="Storm"),"High Risk", IF(Table1[[#This Row],[delayed]]=1,"Medium Risk","Low Risk"))</f>
        <v>Low Risk</v>
      </c>
    </row>
    <row r="907" spans="1:14" x14ac:dyDescent="0.35">
      <c r="A907">
        <v>906</v>
      </c>
      <c r="B907" s="1">
        <v>44964.708333333336</v>
      </c>
      <c r="C907" s="2">
        <v>5.4166666666666669E-2</v>
      </c>
      <c r="D907" s="3">
        <v>522</v>
      </c>
      <c r="E907" s="3">
        <v>137</v>
      </c>
      <c r="F907" s="2">
        <v>83.00555555555556</v>
      </c>
      <c r="G907" t="s">
        <v>2812</v>
      </c>
      <c r="H907" t="s">
        <v>2817</v>
      </c>
      <c r="I907" s="2">
        <v>0.83958333333333324</v>
      </c>
      <c r="J907" s="4" t="str">
        <f>IF(Table1[[#This Row],[processing_time_hours]]&gt;1.5,"Slow", "Fast")</f>
        <v>Fast</v>
      </c>
      <c r="K907" t="s">
        <v>2818</v>
      </c>
      <c r="L907" s="3">
        <v>0</v>
      </c>
      <c r="M907" t="str">
        <f>IF(Table1[[#This Row],[delayed]]=1,"Delayed","On Time")</f>
        <v>On Time</v>
      </c>
      <c r="N907" t="str">
        <f>IF(AND(Table1[[#This Row],[delayed]]=1,Table1[[#This Row],[weather_condition]]="Storm"),"High Risk", IF(Table1[[#This Row],[delayed]]=1,"Medium Risk","Low Risk"))</f>
        <v>Low Risk</v>
      </c>
    </row>
    <row r="908" spans="1:14" x14ac:dyDescent="0.35">
      <c r="A908">
        <v>907</v>
      </c>
      <c r="B908" s="1">
        <v>44964.75</v>
      </c>
      <c r="C908" s="2">
        <v>6.458333333333334E-2</v>
      </c>
      <c r="D908" s="3">
        <v>1717</v>
      </c>
      <c r="E908" s="3">
        <v>197</v>
      </c>
      <c r="F908" s="2">
        <v>56.917361111111113</v>
      </c>
      <c r="G908" t="s">
        <v>2812</v>
      </c>
      <c r="H908" t="s">
        <v>2817</v>
      </c>
      <c r="I908" s="2">
        <v>0.25486111111111109</v>
      </c>
      <c r="J908" s="4" t="str">
        <f>IF(Table1[[#This Row],[processing_time_hours]]&gt;1.5,"Slow", "Fast")</f>
        <v>Fast</v>
      </c>
      <c r="K908" t="s">
        <v>2821</v>
      </c>
      <c r="L908" s="3">
        <v>1</v>
      </c>
      <c r="M908" t="str">
        <f>IF(Table1[[#This Row],[delayed]]=1,"Delayed","On Time")</f>
        <v>Delayed</v>
      </c>
      <c r="N908" t="str">
        <f>IF(AND(Table1[[#This Row],[delayed]]=1,Table1[[#This Row],[weather_condition]]="Storm"),"High Risk", IF(Table1[[#This Row],[delayed]]=1,"Medium Risk","Low Risk"))</f>
        <v>High Risk</v>
      </c>
    </row>
    <row r="909" spans="1:14" x14ac:dyDescent="0.35">
      <c r="A909">
        <v>908</v>
      </c>
      <c r="B909" s="1">
        <v>44964.791666666664</v>
      </c>
      <c r="C909" s="2">
        <v>5.6944444444444443E-2</v>
      </c>
      <c r="D909" s="3">
        <v>4483</v>
      </c>
      <c r="E909" s="3">
        <v>178</v>
      </c>
      <c r="F909" s="2">
        <v>40.752083333333331</v>
      </c>
      <c r="G909" t="s">
        <v>2812</v>
      </c>
      <c r="H909" t="s">
        <v>2820</v>
      </c>
      <c r="I909" s="2">
        <v>2.0430555555555556</v>
      </c>
      <c r="J909" s="4" t="str">
        <f>IF(Table1[[#This Row],[processing_time_hours]]&gt;1.5,"Slow", "Fast")</f>
        <v>Slow</v>
      </c>
      <c r="K909" t="s">
        <v>2818</v>
      </c>
      <c r="L909" s="3">
        <v>0</v>
      </c>
      <c r="M909" t="str">
        <f>IF(Table1[[#This Row],[delayed]]=1,"Delayed","On Time")</f>
        <v>On Time</v>
      </c>
      <c r="N909" t="str">
        <f>IF(AND(Table1[[#This Row],[delayed]]=1,Table1[[#This Row],[weather_condition]]="Storm"),"High Risk", IF(Table1[[#This Row],[delayed]]=1,"Medium Risk","Low Risk"))</f>
        <v>Low Risk</v>
      </c>
    </row>
    <row r="910" spans="1:14" x14ac:dyDescent="0.35">
      <c r="A910">
        <v>909</v>
      </c>
      <c r="B910" s="1">
        <v>44964.833333333336</v>
      </c>
      <c r="C910" s="2">
        <v>4.6527777777777779E-2</v>
      </c>
      <c r="D910" s="3">
        <v>1098</v>
      </c>
      <c r="E910" s="3">
        <v>262</v>
      </c>
      <c r="F910" s="2">
        <v>9.5451388888888893</v>
      </c>
      <c r="G910" t="s">
        <v>2819</v>
      </c>
      <c r="H910" t="s">
        <v>2817</v>
      </c>
      <c r="I910" s="2">
        <v>1.1312499999999999</v>
      </c>
      <c r="J910" s="4" t="str">
        <f>IF(Table1[[#This Row],[processing_time_hours]]&gt;1.5,"Slow", "Fast")</f>
        <v>Fast</v>
      </c>
      <c r="K910" t="s">
        <v>2818</v>
      </c>
      <c r="L910" s="3">
        <v>0</v>
      </c>
      <c r="M910" t="str">
        <f>IF(Table1[[#This Row],[delayed]]=1,"Delayed","On Time")</f>
        <v>On Time</v>
      </c>
      <c r="N910" t="str">
        <f>IF(AND(Table1[[#This Row],[delayed]]=1,Table1[[#This Row],[weather_condition]]="Storm"),"High Risk", IF(Table1[[#This Row],[delayed]]=1,"Medium Risk","Low Risk"))</f>
        <v>Low Risk</v>
      </c>
    </row>
    <row r="911" spans="1:14" x14ac:dyDescent="0.35">
      <c r="A911">
        <v>910</v>
      </c>
      <c r="B911" s="1">
        <v>44964.875</v>
      </c>
      <c r="C911" s="2">
        <v>4.9305555555555554E-2</v>
      </c>
      <c r="D911" s="3">
        <v>3391</v>
      </c>
      <c r="E911" s="3">
        <v>280</v>
      </c>
      <c r="F911" s="2">
        <v>13.002777777777778</v>
      </c>
      <c r="G911" t="s">
        <v>2816</v>
      </c>
      <c r="H911" t="s">
        <v>2822</v>
      </c>
      <c r="I911" s="2">
        <v>0.41805555555555557</v>
      </c>
      <c r="J911" s="4" t="str">
        <f>IF(Table1[[#This Row],[processing_time_hours]]&gt;1.5,"Slow", "Fast")</f>
        <v>Fast</v>
      </c>
      <c r="K911" t="s">
        <v>2818</v>
      </c>
      <c r="L911" s="3">
        <v>0</v>
      </c>
      <c r="M911" t="str">
        <f>IF(Table1[[#This Row],[delayed]]=1,"Delayed","On Time")</f>
        <v>On Time</v>
      </c>
      <c r="N911" t="str">
        <f>IF(AND(Table1[[#This Row],[delayed]]=1,Table1[[#This Row],[weather_condition]]="Storm"),"High Risk", IF(Table1[[#This Row],[delayed]]=1,"Medium Risk","Low Risk"))</f>
        <v>Low Risk</v>
      </c>
    </row>
    <row r="912" spans="1:14" x14ac:dyDescent="0.35">
      <c r="A912">
        <v>911</v>
      </c>
      <c r="B912" s="1">
        <v>44964.916666666664</v>
      </c>
      <c r="C912" s="2">
        <v>5.8333333333333327E-2</v>
      </c>
      <c r="D912" s="3">
        <v>2868</v>
      </c>
      <c r="E912" s="3">
        <v>486</v>
      </c>
      <c r="F912" s="2">
        <v>14.297916666666666</v>
      </c>
      <c r="G912" t="s">
        <v>2812</v>
      </c>
      <c r="H912" t="s">
        <v>2822</v>
      </c>
      <c r="I912" s="2">
        <v>0.95972222222222225</v>
      </c>
      <c r="J912" s="4" t="str">
        <f>IF(Table1[[#This Row],[processing_time_hours]]&gt;1.5,"Slow", "Fast")</f>
        <v>Fast</v>
      </c>
      <c r="K912" t="s">
        <v>2818</v>
      </c>
      <c r="L912" s="3">
        <v>0</v>
      </c>
      <c r="M912" t="str">
        <f>IF(Table1[[#This Row],[delayed]]=1,"Delayed","On Time")</f>
        <v>On Time</v>
      </c>
      <c r="N912" t="str">
        <f>IF(AND(Table1[[#This Row],[delayed]]=1,Table1[[#This Row],[weather_condition]]="Storm"),"High Risk", IF(Table1[[#This Row],[delayed]]=1,"Medium Risk","Low Risk"))</f>
        <v>Low Risk</v>
      </c>
    </row>
    <row r="913" spans="1:14" x14ac:dyDescent="0.35">
      <c r="A913">
        <v>912</v>
      </c>
      <c r="B913" s="1">
        <v>44964.958333333336</v>
      </c>
      <c r="C913" s="2">
        <v>5.6944444444444443E-2</v>
      </c>
      <c r="D913" s="3">
        <v>1650</v>
      </c>
      <c r="E913" s="3">
        <v>416</v>
      </c>
      <c r="F913" s="2">
        <v>9.2090277777777789</v>
      </c>
      <c r="G913" t="s">
        <v>2812</v>
      </c>
      <c r="H913" t="s">
        <v>2822</v>
      </c>
      <c r="I913" s="2">
        <v>1.2520833333333334</v>
      </c>
      <c r="J913" s="4" t="str">
        <f>IF(Table1[[#This Row],[processing_time_hours]]&gt;1.5,"Slow", "Fast")</f>
        <v>Fast</v>
      </c>
      <c r="K913" t="s">
        <v>2814</v>
      </c>
      <c r="L913" s="3">
        <v>0</v>
      </c>
      <c r="M913" t="str">
        <f>IF(Table1[[#This Row],[delayed]]=1,"Delayed","On Time")</f>
        <v>On Time</v>
      </c>
      <c r="N913" t="str">
        <f>IF(AND(Table1[[#This Row],[delayed]]=1,Table1[[#This Row],[weather_condition]]="Storm"),"High Risk", IF(Table1[[#This Row],[delayed]]=1,"Medium Risk","Low Risk"))</f>
        <v>Low Risk</v>
      </c>
    </row>
    <row r="914" spans="1:14" x14ac:dyDescent="0.35">
      <c r="A914">
        <v>913</v>
      </c>
      <c r="B914" s="1">
        <v>44965</v>
      </c>
      <c r="C914" s="2">
        <v>6.3888888888888898E-2</v>
      </c>
      <c r="D914" s="3">
        <v>3764</v>
      </c>
      <c r="E914" s="3">
        <v>448</v>
      </c>
      <c r="F914" s="2">
        <v>21.709027777777777</v>
      </c>
      <c r="G914" t="s">
        <v>2816</v>
      </c>
      <c r="H914" t="s">
        <v>2813</v>
      </c>
      <c r="I914" s="2">
        <v>2.2951388888888888</v>
      </c>
      <c r="J914" s="4" t="str">
        <f>IF(Table1[[#This Row],[processing_time_hours]]&gt;1.5,"Slow", "Fast")</f>
        <v>Slow</v>
      </c>
      <c r="K914" t="s">
        <v>2814</v>
      </c>
      <c r="L914" s="3">
        <v>0</v>
      </c>
      <c r="M914" t="str">
        <f>IF(Table1[[#This Row],[delayed]]=1,"Delayed","On Time")</f>
        <v>On Time</v>
      </c>
      <c r="N914" t="str">
        <f>IF(AND(Table1[[#This Row],[delayed]]=1,Table1[[#This Row],[weather_condition]]="Storm"),"High Risk", IF(Table1[[#This Row],[delayed]]=1,"Medium Risk","Low Risk"))</f>
        <v>Low Risk</v>
      </c>
    </row>
    <row r="915" spans="1:14" x14ac:dyDescent="0.35">
      <c r="A915">
        <v>914</v>
      </c>
      <c r="B915" s="1">
        <v>44965.041666666664</v>
      </c>
      <c r="C915" s="2">
        <v>6.1805555555555558E-2</v>
      </c>
      <c r="D915" s="3">
        <v>2076</v>
      </c>
      <c r="E915" s="3">
        <v>471</v>
      </c>
      <c r="F915" s="2">
        <v>20.379861111111111</v>
      </c>
      <c r="G915" t="s">
        <v>2819</v>
      </c>
      <c r="H915" t="s">
        <v>2822</v>
      </c>
      <c r="I915" s="2">
        <v>2.5451388888888888</v>
      </c>
      <c r="J915" s="4" t="str">
        <f>IF(Table1[[#This Row],[processing_time_hours]]&gt;1.5,"Slow", "Fast")</f>
        <v>Slow</v>
      </c>
      <c r="K915" t="s">
        <v>2821</v>
      </c>
      <c r="L915" s="3">
        <v>0</v>
      </c>
      <c r="M915" t="str">
        <f>IF(Table1[[#This Row],[delayed]]=1,"Delayed","On Time")</f>
        <v>On Time</v>
      </c>
      <c r="N915" t="str">
        <f>IF(AND(Table1[[#This Row],[delayed]]=1,Table1[[#This Row],[weather_condition]]="Storm"),"High Risk", IF(Table1[[#This Row],[delayed]]=1,"Medium Risk","Low Risk"))</f>
        <v>Low Risk</v>
      </c>
    </row>
    <row r="916" spans="1:14" x14ac:dyDescent="0.35">
      <c r="A916">
        <v>915</v>
      </c>
      <c r="B916" s="1">
        <v>44965.083333333336</v>
      </c>
      <c r="C916" s="2">
        <v>4.7916666666666663E-2</v>
      </c>
      <c r="D916" s="3">
        <v>4018</v>
      </c>
      <c r="E916" s="3">
        <v>131</v>
      </c>
      <c r="F916" s="2">
        <v>82.00277777777778</v>
      </c>
      <c r="G916" t="s">
        <v>2816</v>
      </c>
      <c r="H916" t="s">
        <v>2822</v>
      </c>
      <c r="I916" s="2">
        <v>0.58472222222222225</v>
      </c>
      <c r="J916" s="4" t="str">
        <f>IF(Table1[[#This Row],[processing_time_hours]]&gt;1.5,"Slow", "Fast")</f>
        <v>Fast</v>
      </c>
      <c r="K916" t="s">
        <v>2814</v>
      </c>
      <c r="L916" s="3">
        <v>0</v>
      </c>
      <c r="M916" t="str">
        <f>IF(Table1[[#This Row],[delayed]]=1,"Delayed","On Time")</f>
        <v>On Time</v>
      </c>
      <c r="N916" t="str">
        <f>IF(AND(Table1[[#This Row],[delayed]]=1,Table1[[#This Row],[weather_condition]]="Storm"),"High Risk", IF(Table1[[#This Row],[delayed]]=1,"Medium Risk","Low Risk"))</f>
        <v>Low Risk</v>
      </c>
    </row>
    <row r="917" spans="1:14" x14ac:dyDescent="0.35">
      <c r="A917">
        <v>916</v>
      </c>
      <c r="B917" s="1">
        <v>44965.125</v>
      </c>
      <c r="C917" s="2">
        <v>5.2777777777777778E-2</v>
      </c>
      <c r="D917" s="3">
        <v>3037</v>
      </c>
      <c r="E917" s="3">
        <v>404</v>
      </c>
      <c r="F917" s="2">
        <v>37.130555555555553</v>
      </c>
      <c r="G917" t="s">
        <v>2816</v>
      </c>
      <c r="H917" t="s">
        <v>2822</v>
      </c>
      <c r="I917" s="2">
        <v>2.125</v>
      </c>
      <c r="J917" s="4" t="str">
        <f>IF(Table1[[#This Row],[processing_time_hours]]&gt;1.5,"Slow", "Fast")</f>
        <v>Slow</v>
      </c>
      <c r="K917" t="s">
        <v>2814</v>
      </c>
      <c r="L917" s="3">
        <v>1</v>
      </c>
      <c r="M917" t="str">
        <f>IF(Table1[[#This Row],[delayed]]=1,"Delayed","On Time")</f>
        <v>Delayed</v>
      </c>
      <c r="N917" t="str">
        <f>IF(AND(Table1[[#This Row],[delayed]]=1,Table1[[#This Row],[weather_condition]]="Storm"),"High Risk", IF(Table1[[#This Row],[delayed]]=1,"Medium Risk","Low Risk"))</f>
        <v>Medium Risk</v>
      </c>
    </row>
    <row r="918" spans="1:14" x14ac:dyDescent="0.35">
      <c r="A918">
        <v>917</v>
      </c>
      <c r="B918" s="1">
        <v>44965.166666666664</v>
      </c>
      <c r="C918" s="2">
        <v>6.3194444444444442E-2</v>
      </c>
      <c r="D918" s="3">
        <v>4028</v>
      </c>
      <c r="E918" s="3">
        <v>186</v>
      </c>
      <c r="F918" s="2">
        <v>25.087500000000002</v>
      </c>
      <c r="G918" t="s">
        <v>2819</v>
      </c>
      <c r="H918" t="s">
        <v>2822</v>
      </c>
      <c r="I918" s="2">
        <v>2.6312500000000001</v>
      </c>
      <c r="J918" s="4" t="str">
        <f>IF(Table1[[#This Row],[processing_time_hours]]&gt;1.5,"Slow", "Fast")</f>
        <v>Slow</v>
      </c>
      <c r="K918" t="s">
        <v>2818</v>
      </c>
      <c r="L918" s="3">
        <v>0</v>
      </c>
      <c r="M918" t="str">
        <f>IF(Table1[[#This Row],[delayed]]=1,"Delayed","On Time")</f>
        <v>On Time</v>
      </c>
      <c r="N918" t="str">
        <f>IF(AND(Table1[[#This Row],[delayed]]=1,Table1[[#This Row],[weather_condition]]="Storm"),"High Risk", IF(Table1[[#This Row],[delayed]]=1,"Medium Risk","Low Risk"))</f>
        <v>Low Risk</v>
      </c>
    </row>
    <row r="919" spans="1:14" x14ac:dyDescent="0.35">
      <c r="A919">
        <v>918</v>
      </c>
      <c r="B919" s="1">
        <v>44965.208333333336</v>
      </c>
      <c r="C919" s="2">
        <v>5.4166666666666669E-2</v>
      </c>
      <c r="D919" s="3">
        <v>3430</v>
      </c>
      <c r="E919" s="3">
        <v>447</v>
      </c>
      <c r="F919" s="2">
        <v>39.463194444444447</v>
      </c>
      <c r="G919" t="s">
        <v>2812</v>
      </c>
      <c r="H919" t="s">
        <v>2817</v>
      </c>
      <c r="I919" s="2">
        <v>2.6701388888888888</v>
      </c>
      <c r="J919" s="4" t="str">
        <f>IF(Table1[[#This Row],[processing_time_hours]]&gt;1.5,"Slow", "Fast")</f>
        <v>Slow</v>
      </c>
      <c r="K919" t="s">
        <v>2818</v>
      </c>
      <c r="L919" s="3">
        <v>1</v>
      </c>
      <c r="M919" t="str">
        <f>IF(Table1[[#This Row],[delayed]]=1,"Delayed","On Time")</f>
        <v>Delayed</v>
      </c>
      <c r="N919" t="str">
        <f>IF(AND(Table1[[#This Row],[delayed]]=1,Table1[[#This Row],[weather_condition]]="Storm"),"High Risk", IF(Table1[[#This Row],[delayed]]=1,"Medium Risk","Low Risk"))</f>
        <v>High Risk</v>
      </c>
    </row>
    <row r="920" spans="1:14" x14ac:dyDescent="0.35">
      <c r="A920">
        <v>919</v>
      </c>
      <c r="B920" s="1">
        <v>44965.25</v>
      </c>
      <c r="C920" s="2">
        <v>4.7916666666666663E-2</v>
      </c>
      <c r="D920" s="3">
        <v>2911</v>
      </c>
      <c r="E920" s="3">
        <v>393</v>
      </c>
      <c r="F920" s="2">
        <v>43.709027777777777</v>
      </c>
      <c r="G920" t="s">
        <v>2816</v>
      </c>
      <c r="H920" t="s">
        <v>2822</v>
      </c>
      <c r="I920" s="2">
        <v>0.29236111111111113</v>
      </c>
      <c r="J920" s="4" t="str">
        <f>IF(Table1[[#This Row],[processing_time_hours]]&gt;1.5,"Slow", "Fast")</f>
        <v>Fast</v>
      </c>
      <c r="K920" t="s">
        <v>2821</v>
      </c>
      <c r="L920" s="3">
        <v>0</v>
      </c>
      <c r="M920" t="str">
        <f>IF(Table1[[#This Row],[delayed]]=1,"Delayed","On Time")</f>
        <v>On Time</v>
      </c>
      <c r="N920" t="str">
        <f>IF(AND(Table1[[#This Row],[delayed]]=1,Table1[[#This Row],[weather_condition]]="Storm"),"High Risk", IF(Table1[[#This Row],[delayed]]=1,"Medium Risk","Low Risk"))</f>
        <v>Low Risk</v>
      </c>
    </row>
    <row r="921" spans="1:14" x14ac:dyDescent="0.35">
      <c r="A921">
        <v>920</v>
      </c>
      <c r="B921" s="1">
        <v>44965.291666666664</v>
      </c>
      <c r="C921" s="2">
        <v>6.7361111111111108E-2</v>
      </c>
      <c r="D921" s="3">
        <v>4188</v>
      </c>
      <c r="E921" s="3">
        <v>272</v>
      </c>
      <c r="F921" s="2">
        <v>68.375694444444449</v>
      </c>
      <c r="G921" t="s">
        <v>2812</v>
      </c>
      <c r="H921" t="s">
        <v>2822</v>
      </c>
      <c r="I921" s="2">
        <v>1.0868055555555556</v>
      </c>
      <c r="J921" s="4" t="str">
        <f>IF(Table1[[#This Row],[processing_time_hours]]&gt;1.5,"Slow", "Fast")</f>
        <v>Fast</v>
      </c>
      <c r="K921" t="s">
        <v>2814</v>
      </c>
      <c r="L921" s="3">
        <v>0</v>
      </c>
      <c r="M921" t="str">
        <f>IF(Table1[[#This Row],[delayed]]=1,"Delayed","On Time")</f>
        <v>On Time</v>
      </c>
      <c r="N921" t="str">
        <f>IF(AND(Table1[[#This Row],[delayed]]=1,Table1[[#This Row],[weather_condition]]="Storm"),"High Risk", IF(Table1[[#This Row],[delayed]]=1,"Medium Risk","Low Risk"))</f>
        <v>Low Risk</v>
      </c>
    </row>
    <row r="922" spans="1:14" x14ac:dyDescent="0.35">
      <c r="A922">
        <v>921</v>
      </c>
      <c r="B922" s="1">
        <v>44965.333333333336</v>
      </c>
      <c r="C922" s="2">
        <v>5.4166666666666669E-2</v>
      </c>
      <c r="D922" s="3">
        <v>1505</v>
      </c>
      <c r="E922" s="3">
        <v>115</v>
      </c>
      <c r="F922" s="2">
        <v>26.127083333333331</v>
      </c>
      <c r="G922" t="s">
        <v>2819</v>
      </c>
      <c r="H922" t="s">
        <v>2820</v>
      </c>
      <c r="I922" s="2">
        <v>0.62916666666666665</v>
      </c>
      <c r="J922" s="4" t="str">
        <f>IF(Table1[[#This Row],[processing_time_hours]]&gt;1.5,"Slow", "Fast")</f>
        <v>Fast</v>
      </c>
      <c r="K922" t="s">
        <v>2821</v>
      </c>
      <c r="L922" s="3">
        <v>1</v>
      </c>
      <c r="M922" t="str">
        <f>IF(Table1[[#This Row],[delayed]]=1,"Delayed","On Time")</f>
        <v>Delayed</v>
      </c>
      <c r="N922" t="str">
        <f>IF(AND(Table1[[#This Row],[delayed]]=1,Table1[[#This Row],[weather_condition]]="Storm"),"High Risk", IF(Table1[[#This Row],[delayed]]=1,"Medium Risk","Low Risk"))</f>
        <v>Medium Risk</v>
      </c>
    </row>
    <row r="923" spans="1:14" x14ac:dyDescent="0.35">
      <c r="A923">
        <v>922</v>
      </c>
      <c r="B923" s="1">
        <v>44965.375</v>
      </c>
      <c r="C923" s="2">
        <v>4.9999999999999996E-2</v>
      </c>
      <c r="D923" s="3">
        <v>2529</v>
      </c>
      <c r="E923" s="3">
        <v>9</v>
      </c>
      <c r="F923" s="2">
        <v>47.712499999999999</v>
      </c>
      <c r="G923" t="s">
        <v>2815</v>
      </c>
      <c r="H923" t="s">
        <v>2817</v>
      </c>
      <c r="I923" s="2">
        <v>0.7090277777777777</v>
      </c>
      <c r="J923" s="4" t="str">
        <f>IF(Table1[[#This Row],[processing_time_hours]]&gt;1.5,"Slow", "Fast")</f>
        <v>Fast</v>
      </c>
      <c r="K923" t="s">
        <v>2814</v>
      </c>
      <c r="L923" s="3">
        <v>0</v>
      </c>
      <c r="M923" t="str">
        <f>IF(Table1[[#This Row],[delayed]]=1,"Delayed","On Time")</f>
        <v>On Time</v>
      </c>
      <c r="N923" t="str">
        <f>IF(AND(Table1[[#This Row],[delayed]]=1,Table1[[#This Row],[weather_condition]]="Storm"),"High Risk", IF(Table1[[#This Row],[delayed]]=1,"Medium Risk","Low Risk"))</f>
        <v>Low Risk</v>
      </c>
    </row>
    <row r="924" spans="1:14" x14ac:dyDescent="0.35">
      <c r="A924">
        <v>923</v>
      </c>
      <c r="B924" s="1">
        <v>44965.416666666664</v>
      </c>
      <c r="C924" s="2">
        <v>5.5555555555555558E-3</v>
      </c>
      <c r="D924" s="3">
        <v>4872</v>
      </c>
      <c r="E924" s="3">
        <v>447</v>
      </c>
      <c r="F924" s="2">
        <v>4.6312500000000005</v>
      </c>
      <c r="G924" t="s">
        <v>2812</v>
      </c>
      <c r="H924" t="s">
        <v>2820</v>
      </c>
      <c r="I924" s="2">
        <v>0.75</v>
      </c>
      <c r="J924" s="4" t="str">
        <f>IF(Table1[[#This Row],[processing_time_hours]]&gt;1.5,"Slow", "Fast")</f>
        <v>Fast</v>
      </c>
      <c r="K924" t="s">
        <v>2814</v>
      </c>
      <c r="L924" s="3">
        <v>0</v>
      </c>
      <c r="M924" t="str">
        <f>IF(Table1[[#This Row],[delayed]]=1,"Delayed","On Time")</f>
        <v>On Time</v>
      </c>
      <c r="N924" t="str">
        <f>IF(AND(Table1[[#This Row],[delayed]]=1,Table1[[#This Row],[weather_condition]]="Storm"),"High Risk", IF(Table1[[#This Row],[delayed]]=1,"Medium Risk","Low Risk"))</f>
        <v>Low Risk</v>
      </c>
    </row>
    <row r="925" spans="1:14" x14ac:dyDescent="0.35">
      <c r="A925">
        <v>924</v>
      </c>
      <c r="B925" s="1">
        <v>44965.458333333336</v>
      </c>
      <c r="C925" s="2">
        <v>4.9999999999999996E-2</v>
      </c>
      <c r="D925" s="3">
        <v>741</v>
      </c>
      <c r="E925" s="3">
        <v>71</v>
      </c>
      <c r="F925" s="2">
        <v>67.50555555555556</v>
      </c>
      <c r="G925" t="s">
        <v>2815</v>
      </c>
      <c r="H925" t="s">
        <v>2820</v>
      </c>
      <c r="I925" s="2">
        <v>0.67083333333333339</v>
      </c>
      <c r="J925" s="4" t="str">
        <f>IF(Table1[[#This Row],[processing_time_hours]]&gt;1.5,"Slow", "Fast")</f>
        <v>Fast</v>
      </c>
      <c r="K925" t="s">
        <v>2818</v>
      </c>
      <c r="L925" s="3">
        <v>0</v>
      </c>
      <c r="M925" t="str">
        <f>IF(Table1[[#This Row],[delayed]]=1,"Delayed","On Time")</f>
        <v>On Time</v>
      </c>
      <c r="N925" t="str">
        <f>IF(AND(Table1[[#This Row],[delayed]]=1,Table1[[#This Row],[weather_condition]]="Storm"),"High Risk", IF(Table1[[#This Row],[delayed]]=1,"Medium Risk","Low Risk"))</f>
        <v>Low Risk</v>
      </c>
    </row>
    <row r="926" spans="1:14" x14ac:dyDescent="0.35">
      <c r="A926">
        <v>925</v>
      </c>
      <c r="B926" s="1">
        <v>44965.5</v>
      </c>
      <c r="C926" s="2">
        <v>4.9305555555555554E-2</v>
      </c>
      <c r="D926" s="3">
        <v>1658</v>
      </c>
      <c r="E926" s="3">
        <v>233</v>
      </c>
      <c r="F926" s="2">
        <v>35.088888888888889</v>
      </c>
      <c r="G926" t="s">
        <v>2819</v>
      </c>
      <c r="H926" t="s">
        <v>2820</v>
      </c>
      <c r="I926" s="2">
        <v>2.9194444444444443</v>
      </c>
      <c r="J926" s="4" t="str">
        <f>IF(Table1[[#This Row],[processing_time_hours]]&gt;1.5,"Slow", "Fast")</f>
        <v>Slow</v>
      </c>
      <c r="K926" t="s">
        <v>2814</v>
      </c>
      <c r="L926" s="3">
        <v>1</v>
      </c>
      <c r="M926" t="str">
        <f>IF(Table1[[#This Row],[delayed]]=1,"Delayed","On Time")</f>
        <v>Delayed</v>
      </c>
      <c r="N926" t="str">
        <f>IF(AND(Table1[[#This Row],[delayed]]=1,Table1[[#This Row],[weather_condition]]="Storm"),"High Risk", IF(Table1[[#This Row],[delayed]]=1,"Medium Risk","Low Risk"))</f>
        <v>Medium Risk</v>
      </c>
    </row>
    <row r="927" spans="1:14" x14ac:dyDescent="0.35">
      <c r="A927">
        <v>926</v>
      </c>
      <c r="B927" s="1">
        <v>44965.541666666664</v>
      </c>
      <c r="C927" s="2">
        <v>5.9722222222222225E-2</v>
      </c>
      <c r="D927" s="3">
        <v>1878</v>
      </c>
      <c r="E927" s="3">
        <v>397</v>
      </c>
      <c r="F927" s="2">
        <v>65.796527777777769</v>
      </c>
      <c r="G927" t="s">
        <v>2812</v>
      </c>
      <c r="H927" t="s">
        <v>2813</v>
      </c>
      <c r="I927" s="2">
        <v>1.0888888888888888</v>
      </c>
      <c r="J927" s="4" t="str">
        <f>IF(Table1[[#This Row],[processing_time_hours]]&gt;1.5,"Slow", "Fast")</f>
        <v>Fast</v>
      </c>
      <c r="K927" t="s">
        <v>2821</v>
      </c>
      <c r="L927" s="3">
        <v>0</v>
      </c>
      <c r="M927" t="str">
        <f>IF(Table1[[#This Row],[delayed]]=1,"Delayed","On Time")</f>
        <v>On Time</v>
      </c>
      <c r="N927" t="str">
        <f>IF(AND(Table1[[#This Row],[delayed]]=1,Table1[[#This Row],[weather_condition]]="Storm"),"High Risk", IF(Table1[[#This Row],[delayed]]=1,"Medium Risk","Low Risk"))</f>
        <v>Low Risk</v>
      </c>
    </row>
    <row r="928" spans="1:14" x14ac:dyDescent="0.35">
      <c r="A928">
        <v>927</v>
      </c>
      <c r="B928" s="1">
        <v>44965.583333333336</v>
      </c>
      <c r="C928" s="2">
        <v>6.3888888888888898E-2</v>
      </c>
      <c r="D928" s="3">
        <v>3992</v>
      </c>
      <c r="E928" s="3">
        <v>2</v>
      </c>
      <c r="F928" s="2">
        <v>12.797222222222222</v>
      </c>
      <c r="G928" t="s">
        <v>2819</v>
      </c>
      <c r="H928" t="s">
        <v>2820</v>
      </c>
      <c r="I928" s="2">
        <v>1.8395833333333333</v>
      </c>
      <c r="J928" s="4" t="str">
        <f>IF(Table1[[#This Row],[processing_time_hours]]&gt;1.5,"Slow", "Fast")</f>
        <v>Slow</v>
      </c>
      <c r="K928" t="s">
        <v>2818</v>
      </c>
      <c r="L928" s="3">
        <v>0</v>
      </c>
      <c r="M928" t="str">
        <f>IF(Table1[[#This Row],[delayed]]=1,"Delayed","On Time")</f>
        <v>On Time</v>
      </c>
      <c r="N928" t="str">
        <f>IF(AND(Table1[[#This Row],[delayed]]=1,Table1[[#This Row],[weather_condition]]="Storm"),"High Risk", IF(Table1[[#This Row],[delayed]]=1,"Medium Risk","Low Risk"))</f>
        <v>Low Risk</v>
      </c>
    </row>
    <row r="929" spans="1:14" x14ac:dyDescent="0.35">
      <c r="A929">
        <v>928</v>
      </c>
      <c r="B929" s="1">
        <v>44965.625</v>
      </c>
      <c r="C929" s="2">
        <v>5.2777777777777778E-2</v>
      </c>
      <c r="D929" s="3">
        <v>716</v>
      </c>
      <c r="E929" s="3">
        <v>483</v>
      </c>
      <c r="F929" s="2">
        <v>15.213888888888889</v>
      </c>
      <c r="G929" t="s">
        <v>2815</v>
      </c>
      <c r="H929" t="s">
        <v>2813</v>
      </c>
      <c r="I929" s="2">
        <v>2.9180555555555556</v>
      </c>
      <c r="J929" s="4" t="str">
        <f>IF(Table1[[#This Row],[processing_time_hours]]&gt;1.5,"Slow", "Fast")</f>
        <v>Slow</v>
      </c>
      <c r="K929" t="s">
        <v>2818</v>
      </c>
      <c r="L929" s="3">
        <v>1</v>
      </c>
      <c r="M929" t="str">
        <f>IF(Table1[[#This Row],[delayed]]=1,"Delayed","On Time")</f>
        <v>Delayed</v>
      </c>
      <c r="N929" t="str">
        <f>IF(AND(Table1[[#This Row],[delayed]]=1,Table1[[#This Row],[weather_condition]]="Storm"),"High Risk", IF(Table1[[#This Row],[delayed]]=1,"Medium Risk","Low Risk"))</f>
        <v>Medium Risk</v>
      </c>
    </row>
    <row r="930" spans="1:14" x14ac:dyDescent="0.35">
      <c r="A930">
        <v>929</v>
      </c>
      <c r="B930" s="1">
        <v>44965.666666666664</v>
      </c>
      <c r="C930" s="2">
        <v>4.5833333333333337E-2</v>
      </c>
      <c r="D930" s="3">
        <v>1554</v>
      </c>
      <c r="E930" s="3">
        <v>485</v>
      </c>
      <c r="F930" s="2">
        <v>34.170138888888893</v>
      </c>
      <c r="G930" t="s">
        <v>2816</v>
      </c>
      <c r="H930" t="s">
        <v>2822</v>
      </c>
      <c r="I930" s="2">
        <v>0.54375000000000007</v>
      </c>
      <c r="J930" s="4" t="str">
        <f>IF(Table1[[#This Row],[processing_time_hours]]&gt;1.5,"Slow", "Fast")</f>
        <v>Fast</v>
      </c>
      <c r="K930" t="s">
        <v>2818</v>
      </c>
      <c r="L930" s="3">
        <v>0</v>
      </c>
      <c r="M930" t="str">
        <f>IF(Table1[[#This Row],[delayed]]=1,"Delayed","On Time")</f>
        <v>On Time</v>
      </c>
      <c r="N930" t="str">
        <f>IF(AND(Table1[[#This Row],[delayed]]=1,Table1[[#This Row],[weather_condition]]="Storm"),"High Risk", IF(Table1[[#This Row],[delayed]]=1,"Medium Risk","Low Risk"))</f>
        <v>Low Risk</v>
      </c>
    </row>
    <row r="931" spans="1:14" x14ac:dyDescent="0.35">
      <c r="A931">
        <v>930</v>
      </c>
      <c r="B931" s="1">
        <v>44965.708333333336</v>
      </c>
      <c r="C931" s="2">
        <v>5.486111111111111E-2</v>
      </c>
      <c r="D931" s="3">
        <v>4658</v>
      </c>
      <c r="E931" s="3">
        <v>262</v>
      </c>
      <c r="F931" s="2">
        <v>28.875</v>
      </c>
      <c r="G931" t="s">
        <v>2816</v>
      </c>
      <c r="H931" t="s">
        <v>2813</v>
      </c>
      <c r="I931" s="2">
        <v>0.50138888888888888</v>
      </c>
      <c r="J931" s="4" t="str">
        <f>IF(Table1[[#This Row],[processing_time_hours]]&gt;1.5,"Slow", "Fast")</f>
        <v>Fast</v>
      </c>
      <c r="K931" t="s">
        <v>2814</v>
      </c>
      <c r="L931" s="3">
        <v>0</v>
      </c>
      <c r="M931" t="str">
        <f>IF(Table1[[#This Row],[delayed]]=1,"Delayed","On Time")</f>
        <v>On Time</v>
      </c>
      <c r="N931" t="str">
        <f>IF(AND(Table1[[#This Row],[delayed]]=1,Table1[[#This Row],[weather_condition]]="Storm"),"High Risk", IF(Table1[[#This Row],[delayed]]=1,"Medium Risk","Low Risk"))</f>
        <v>Low Risk</v>
      </c>
    </row>
    <row r="932" spans="1:14" x14ac:dyDescent="0.35">
      <c r="A932">
        <v>931</v>
      </c>
      <c r="B932" s="1">
        <v>44965.75</v>
      </c>
      <c r="C932" s="2">
        <v>5.2777777777777778E-2</v>
      </c>
      <c r="D932" s="3">
        <v>2742</v>
      </c>
      <c r="E932" s="3">
        <v>494</v>
      </c>
      <c r="F932" s="2">
        <v>27.295833333333334</v>
      </c>
      <c r="G932" t="s">
        <v>2816</v>
      </c>
      <c r="H932" t="s">
        <v>2822</v>
      </c>
      <c r="I932" s="2">
        <v>0.58750000000000002</v>
      </c>
      <c r="J932" s="4" t="str">
        <f>IF(Table1[[#This Row],[processing_time_hours]]&gt;1.5,"Slow", "Fast")</f>
        <v>Fast</v>
      </c>
      <c r="K932" t="s">
        <v>2821</v>
      </c>
      <c r="L932" s="3">
        <v>1</v>
      </c>
      <c r="M932" t="str">
        <f>IF(Table1[[#This Row],[delayed]]=1,"Delayed","On Time")</f>
        <v>Delayed</v>
      </c>
      <c r="N932" t="str">
        <f>IF(AND(Table1[[#This Row],[delayed]]=1,Table1[[#This Row],[weather_condition]]="Storm"),"High Risk", IF(Table1[[#This Row],[delayed]]=1,"Medium Risk","Low Risk"))</f>
        <v>Medium Risk</v>
      </c>
    </row>
    <row r="933" spans="1:14" x14ac:dyDescent="0.35">
      <c r="A933">
        <v>932</v>
      </c>
      <c r="B933" s="1">
        <v>44965.791666666664</v>
      </c>
      <c r="C933" s="2">
        <v>5.3472222222222227E-2</v>
      </c>
      <c r="D933" s="3">
        <v>4110</v>
      </c>
      <c r="E933" s="3">
        <v>381</v>
      </c>
      <c r="F933" s="2">
        <v>30.422916666666666</v>
      </c>
      <c r="G933" t="s">
        <v>2819</v>
      </c>
      <c r="H933" t="s">
        <v>2822</v>
      </c>
      <c r="I933" s="2">
        <v>2.9590277777777776</v>
      </c>
      <c r="J933" s="4" t="str">
        <f>IF(Table1[[#This Row],[processing_time_hours]]&gt;1.5,"Slow", "Fast")</f>
        <v>Slow</v>
      </c>
      <c r="K933" t="s">
        <v>2821</v>
      </c>
      <c r="L933" s="3">
        <v>0</v>
      </c>
      <c r="M933" t="str">
        <f>IF(Table1[[#This Row],[delayed]]=1,"Delayed","On Time")</f>
        <v>On Time</v>
      </c>
      <c r="N933" t="str">
        <f>IF(AND(Table1[[#This Row],[delayed]]=1,Table1[[#This Row],[weather_condition]]="Storm"),"High Risk", IF(Table1[[#This Row],[delayed]]=1,"Medium Risk","Low Risk"))</f>
        <v>Low Risk</v>
      </c>
    </row>
    <row r="934" spans="1:14" x14ac:dyDescent="0.35">
      <c r="A934">
        <v>933</v>
      </c>
      <c r="B934" s="1">
        <v>44965.833333333336</v>
      </c>
      <c r="C934" s="2">
        <v>4.8611111111111112E-3</v>
      </c>
      <c r="D934" s="3">
        <v>3430</v>
      </c>
      <c r="E934" s="3">
        <v>298</v>
      </c>
      <c r="F934" s="2">
        <v>70.754861111111111</v>
      </c>
      <c r="G934" t="s">
        <v>2815</v>
      </c>
      <c r="H934" t="s">
        <v>2822</v>
      </c>
      <c r="I934" s="2">
        <v>2.1256944444444446</v>
      </c>
      <c r="J934" s="4" t="str">
        <f>IF(Table1[[#This Row],[processing_time_hours]]&gt;1.5,"Slow", "Fast")</f>
        <v>Slow</v>
      </c>
      <c r="K934" t="s">
        <v>2814</v>
      </c>
      <c r="L934" s="3">
        <v>1</v>
      </c>
      <c r="M934" t="str">
        <f>IF(Table1[[#This Row],[delayed]]=1,"Delayed","On Time")</f>
        <v>Delayed</v>
      </c>
      <c r="N934" t="str">
        <f>IF(AND(Table1[[#This Row],[delayed]]=1,Table1[[#This Row],[weather_condition]]="Storm"),"High Risk", IF(Table1[[#This Row],[delayed]]=1,"Medium Risk","Low Risk"))</f>
        <v>Medium Risk</v>
      </c>
    </row>
    <row r="935" spans="1:14" x14ac:dyDescent="0.35">
      <c r="A935">
        <v>934</v>
      </c>
      <c r="B935" s="1">
        <v>44965.875</v>
      </c>
      <c r="C935" s="2">
        <v>6.3194444444444442E-2</v>
      </c>
      <c r="D935" s="3">
        <v>2873</v>
      </c>
      <c r="E935" s="3">
        <v>253</v>
      </c>
      <c r="F935" s="2">
        <v>31.62777777777778</v>
      </c>
      <c r="G935" t="s">
        <v>2812</v>
      </c>
      <c r="H935" t="s">
        <v>2813</v>
      </c>
      <c r="I935" s="2">
        <v>1.0465277777777777</v>
      </c>
      <c r="J935" s="4" t="str">
        <f>IF(Table1[[#This Row],[processing_time_hours]]&gt;1.5,"Slow", "Fast")</f>
        <v>Fast</v>
      </c>
      <c r="K935" t="s">
        <v>2814</v>
      </c>
      <c r="L935" s="3">
        <v>0</v>
      </c>
      <c r="M935" t="str">
        <f>IF(Table1[[#This Row],[delayed]]=1,"Delayed","On Time")</f>
        <v>On Time</v>
      </c>
      <c r="N935" t="str">
        <f>IF(AND(Table1[[#This Row],[delayed]]=1,Table1[[#This Row],[weather_condition]]="Storm"),"High Risk", IF(Table1[[#This Row],[delayed]]=1,"Medium Risk","Low Risk"))</f>
        <v>Low Risk</v>
      </c>
    </row>
    <row r="936" spans="1:14" x14ac:dyDescent="0.35">
      <c r="A936">
        <v>935</v>
      </c>
      <c r="B936" s="1">
        <v>44965.916666666664</v>
      </c>
      <c r="C936" s="2">
        <v>4.7222222222222221E-2</v>
      </c>
      <c r="D936" s="3">
        <v>3907</v>
      </c>
      <c r="E936" s="3">
        <v>31</v>
      </c>
      <c r="F936" s="2">
        <v>47.627083333333331</v>
      </c>
      <c r="G936" t="s">
        <v>2815</v>
      </c>
      <c r="H936" t="s">
        <v>2813</v>
      </c>
      <c r="I936" s="2">
        <v>1.8388888888888888</v>
      </c>
      <c r="J936" s="4" t="str">
        <f>IF(Table1[[#This Row],[processing_time_hours]]&gt;1.5,"Slow", "Fast")</f>
        <v>Slow</v>
      </c>
      <c r="K936" t="s">
        <v>2821</v>
      </c>
      <c r="L936" s="3">
        <v>0</v>
      </c>
      <c r="M936" t="str">
        <f>IF(Table1[[#This Row],[delayed]]=1,"Delayed","On Time")</f>
        <v>On Time</v>
      </c>
      <c r="N936" t="str">
        <f>IF(AND(Table1[[#This Row],[delayed]]=1,Table1[[#This Row],[weather_condition]]="Storm"),"High Risk", IF(Table1[[#This Row],[delayed]]=1,"Medium Risk","Low Risk"))</f>
        <v>Low Risk</v>
      </c>
    </row>
    <row r="937" spans="1:14" x14ac:dyDescent="0.35">
      <c r="A937">
        <v>936</v>
      </c>
      <c r="B937" s="1">
        <v>44965.958333333336</v>
      </c>
      <c r="C937" s="2">
        <v>4.3055555555555562E-2</v>
      </c>
      <c r="D937" s="3">
        <v>1085</v>
      </c>
      <c r="E937" s="3">
        <v>470</v>
      </c>
      <c r="F937" s="2">
        <v>61.585416666666667</v>
      </c>
      <c r="G937" t="s">
        <v>2815</v>
      </c>
      <c r="H937" t="s">
        <v>2813</v>
      </c>
      <c r="I937" s="2">
        <v>2.1305555555555555</v>
      </c>
      <c r="J937" s="4" t="str">
        <f>IF(Table1[[#This Row],[processing_time_hours]]&gt;1.5,"Slow", "Fast")</f>
        <v>Slow</v>
      </c>
      <c r="K937" t="s">
        <v>2821</v>
      </c>
      <c r="L937" s="3">
        <v>0</v>
      </c>
      <c r="M937" t="str">
        <f>IF(Table1[[#This Row],[delayed]]=1,"Delayed","On Time")</f>
        <v>On Time</v>
      </c>
      <c r="N937" t="str">
        <f>IF(AND(Table1[[#This Row],[delayed]]=1,Table1[[#This Row],[weather_condition]]="Storm"),"High Risk", IF(Table1[[#This Row],[delayed]]=1,"Medium Risk","Low Risk"))</f>
        <v>Low Risk</v>
      </c>
    </row>
    <row r="938" spans="1:14" x14ac:dyDescent="0.35">
      <c r="A938">
        <v>937</v>
      </c>
      <c r="B938" s="1">
        <v>44966</v>
      </c>
      <c r="C938" s="2">
        <v>6.1111111111111109E-2</v>
      </c>
      <c r="D938" s="3">
        <v>2012</v>
      </c>
      <c r="E938" s="3">
        <v>282</v>
      </c>
      <c r="F938" s="2">
        <v>52.87638888888889</v>
      </c>
      <c r="G938" t="s">
        <v>2816</v>
      </c>
      <c r="H938" t="s">
        <v>2813</v>
      </c>
      <c r="I938" s="2">
        <v>0.79791666666666661</v>
      </c>
      <c r="J938" s="4" t="str">
        <f>IF(Table1[[#This Row],[processing_time_hours]]&gt;1.5,"Slow", "Fast")</f>
        <v>Fast</v>
      </c>
      <c r="K938" t="s">
        <v>2814</v>
      </c>
      <c r="L938" s="3">
        <v>1</v>
      </c>
      <c r="M938" t="str">
        <f>IF(Table1[[#This Row],[delayed]]=1,"Delayed","On Time")</f>
        <v>Delayed</v>
      </c>
      <c r="N938" t="str">
        <f>IF(AND(Table1[[#This Row],[delayed]]=1,Table1[[#This Row],[weather_condition]]="Storm"),"High Risk", IF(Table1[[#This Row],[delayed]]=1,"Medium Risk","Low Risk"))</f>
        <v>Medium Risk</v>
      </c>
    </row>
    <row r="939" spans="1:14" x14ac:dyDescent="0.35">
      <c r="A939">
        <v>938</v>
      </c>
      <c r="B939" s="1">
        <v>44966.041666666664</v>
      </c>
      <c r="C939" s="2">
        <v>6.2499999999999995E-3</v>
      </c>
      <c r="D939" s="3">
        <v>4687</v>
      </c>
      <c r="E939" s="3">
        <v>382</v>
      </c>
      <c r="F939" s="2">
        <v>66.168750000000003</v>
      </c>
      <c r="G939" t="s">
        <v>2812</v>
      </c>
      <c r="H939" t="s">
        <v>2817</v>
      </c>
      <c r="I939" s="2">
        <v>1.1673611111111111</v>
      </c>
      <c r="J939" s="4" t="str">
        <f>IF(Table1[[#This Row],[processing_time_hours]]&gt;1.5,"Slow", "Fast")</f>
        <v>Fast</v>
      </c>
      <c r="K939" t="s">
        <v>2814</v>
      </c>
      <c r="L939" s="3">
        <v>0</v>
      </c>
      <c r="M939" t="str">
        <f>IF(Table1[[#This Row],[delayed]]=1,"Delayed","On Time")</f>
        <v>On Time</v>
      </c>
      <c r="N939" t="str">
        <f>IF(AND(Table1[[#This Row],[delayed]]=1,Table1[[#This Row],[weather_condition]]="Storm"),"High Risk", IF(Table1[[#This Row],[delayed]]=1,"Medium Risk","Low Risk"))</f>
        <v>Low Risk</v>
      </c>
    </row>
    <row r="940" spans="1:14" x14ac:dyDescent="0.35">
      <c r="A940">
        <v>939</v>
      </c>
      <c r="B940" s="1">
        <v>44966.083333333336</v>
      </c>
      <c r="C940" s="2">
        <v>4.8611111111111112E-3</v>
      </c>
      <c r="D940" s="3">
        <v>3665</v>
      </c>
      <c r="E940" s="3">
        <v>445</v>
      </c>
      <c r="F940" s="2">
        <v>19.960416666666667</v>
      </c>
      <c r="G940" t="s">
        <v>2812</v>
      </c>
      <c r="H940" t="s">
        <v>2813</v>
      </c>
      <c r="I940" s="2">
        <v>0.33680555555555558</v>
      </c>
      <c r="J940" s="4" t="str">
        <f>IF(Table1[[#This Row],[processing_time_hours]]&gt;1.5,"Slow", "Fast")</f>
        <v>Fast</v>
      </c>
      <c r="K940" t="s">
        <v>2821</v>
      </c>
      <c r="L940" s="3">
        <v>0</v>
      </c>
      <c r="M940" t="str">
        <f>IF(Table1[[#This Row],[delayed]]=1,"Delayed","On Time")</f>
        <v>On Time</v>
      </c>
      <c r="N940" t="str">
        <f>IF(AND(Table1[[#This Row],[delayed]]=1,Table1[[#This Row],[weather_condition]]="Storm"),"High Risk", IF(Table1[[#This Row],[delayed]]=1,"Medium Risk","Low Risk"))</f>
        <v>Low Risk</v>
      </c>
    </row>
    <row r="941" spans="1:14" x14ac:dyDescent="0.35">
      <c r="A941">
        <v>940</v>
      </c>
      <c r="B941" s="1">
        <v>44966.125</v>
      </c>
      <c r="C941" s="2">
        <v>4.6527777777777779E-2</v>
      </c>
      <c r="D941" s="3">
        <v>4860</v>
      </c>
      <c r="E941" s="3">
        <v>407</v>
      </c>
      <c r="F941" s="2">
        <v>37.586805555555557</v>
      </c>
      <c r="G941" t="s">
        <v>2815</v>
      </c>
      <c r="H941" t="s">
        <v>2822</v>
      </c>
      <c r="I941" s="2">
        <v>0.37916666666666665</v>
      </c>
      <c r="J941" s="4" t="str">
        <f>IF(Table1[[#This Row],[processing_time_hours]]&gt;1.5,"Slow", "Fast")</f>
        <v>Fast</v>
      </c>
      <c r="K941" t="s">
        <v>2818</v>
      </c>
      <c r="L941" s="3">
        <v>0</v>
      </c>
      <c r="M941" t="str">
        <f>IF(Table1[[#This Row],[delayed]]=1,"Delayed","On Time")</f>
        <v>On Time</v>
      </c>
      <c r="N941" t="str">
        <f>IF(AND(Table1[[#This Row],[delayed]]=1,Table1[[#This Row],[weather_condition]]="Storm"),"High Risk", IF(Table1[[#This Row],[delayed]]=1,"Medium Risk","Low Risk"))</f>
        <v>Low Risk</v>
      </c>
    </row>
    <row r="942" spans="1:14" x14ac:dyDescent="0.35">
      <c r="A942">
        <v>941</v>
      </c>
      <c r="B942" s="1">
        <v>44966.166666666664</v>
      </c>
      <c r="C942" s="2">
        <v>5.7638888888888885E-2</v>
      </c>
      <c r="D942" s="3">
        <v>4585</v>
      </c>
      <c r="E942" s="3">
        <v>21</v>
      </c>
      <c r="F942" s="2">
        <v>68.96041666666666</v>
      </c>
      <c r="G942" t="s">
        <v>2819</v>
      </c>
      <c r="H942" t="s">
        <v>2822</v>
      </c>
      <c r="I942" s="2">
        <v>0.5</v>
      </c>
      <c r="J942" s="4" t="str">
        <f>IF(Table1[[#This Row],[processing_time_hours]]&gt;1.5,"Slow", "Fast")</f>
        <v>Fast</v>
      </c>
      <c r="K942" t="s">
        <v>2818</v>
      </c>
      <c r="L942" s="3">
        <v>0</v>
      </c>
      <c r="M942" t="str">
        <f>IF(Table1[[#This Row],[delayed]]=1,"Delayed","On Time")</f>
        <v>On Time</v>
      </c>
      <c r="N942" t="str">
        <f>IF(AND(Table1[[#This Row],[delayed]]=1,Table1[[#This Row],[weather_condition]]="Storm"),"High Risk", IF(Table1[[#This Row],[delayed]]=1,"Medium Risk","Low Risk"))</f>
        <v>Low Risk</v>
      </c>
    </row>
    <row r="943" spans="1:14" x14ac:dyDescent="0.35">
      <c r="A943">
        <v>942</v>
      </c>
      <c r="B943" s="1">
        <v>44966.208333333336</v>
      </c>
      <c r="C943" s="2">
        <v>6.7361111111111108E-2</v>
      </c>
      <c r="D943" s="3">
        <v>2671</v>
      </c>
      <c r="E943" s="3">
        <v>145</v>
      </c>
      <c r="F943" s="2">
        <v>68.584722222222226</v>
      </c>
      <c r="G943" t="s">
        <v>2816</v>
      </c>
      <c r="H943" t="s">
        <v>2822</v>
      </c>
      <c r="I943" s="2">
        <v>2.8361111111111108</v>
      </c>
      <c r="J943" s="4" t="str">
        <f>IF(Table1[[#This Row],[processing_time_hours]]&gt;1.5,"Slow", "Fast")</f>
        <v>Slow</v>
      </c>
      <c r="K943" t="s">
        <v>2821</v>
      </c>
      <c r="L943" s="3">
        <v>0</v>
      </c>
      <c r="M943" t="str">
        <f>IF(Table1[[#This Row],[delayed]]=1,"Delayed","On Time")</f>
        <v>On Time</v>
      </c>
      <c r="N943" t="str">
        <f>IF(AND(Table1[[#This Row],[delayed]]=1,Table1[[#This Row],[weather_condition]]="Storm"),"High Risk", IF(Table1[[#This Row],[delayed]]=1,"Medium Risk","Low Risk"))</f>
        <v>Low Risk</v>
      </c>
    </row>
    <row r="944" spans="1:14" x14ac:dyDescent="0.35">
      <c r="A944">
        <v>943</v>
      </c>
      <c r="B944" s="1">
        <v>44966.25</v>
      </c>
      <c r="C944" s="2">
        <v>4.8611111111111112E-3</v>
      </c>
      <c r="D944" s="3">
        <v>2841</v>
      </c>
      <c r="E944" s="3">
        <v>201</v>
      </c>
      <c r="F944" s="2">
        <v>29.380555555555556</v>
      </c>
      <c r="G944" t="s">
        <v>2812</v>
      </c>
      <c r="H944" t="s">
        <v>2817</v>
      </c>
      <c r="I944" s="2">
        <v>2.5013888888888887</v>
      </c>
      <c r="J944" s="4" t="str">
        <f>IF(Table1[[#This Row],[processing_time_hours]]&gt;1.5,"Slow", "Fast")</f>
        <v>Slow</v>
      </c>
      <c r="K944" t="s">
        <v>2818</v>
      </c>
      <c r="L944" s="3">
        <v>0</v>
      </c>
      <c r="M944" t="str">
        <f>IF(Table1[[#This Row],[delayed]]=1,"Delayed","On Time")</f>
        <v>On Time</v>
      </c>
      <c r="N944" t="str">
        <f>IF(AND(Table1[[#This Row],[delayed]]=1,Table1[[#This Row],[weather_condition]]="Storm"),"High Risk", IF(Table1[[#This Row],[delayed]]=1,"Medium Risk","Low Risk"))</f>
        <v>Low Risk</v>
      </c>
    </row>
    <row r="945" spans="1:14" x14ac:dyDescent="0.35">
      <c r="A945">
        <v>944</v>
      </c>
      <c r="B945" s="1">
        <v>44966.291666666664</v>
      </c>
      <c r="C945" s="2">
        <v>5.6944444444444443E-2</v>
      </c>
      <c r="D945" s="3">
        <v>1829</v>
      </c>
      <c r="E945" s="3">
        <v>432</v>
      </c>
      <c r="F945" s="2">
        <v>32.795833333333334</v>
      </c>
      <c r="G945" t="s">
        <v>2815</v>
      </c>
      <c r="H945" t="s">
        <v>2822</v>
      </c>
      <c r="I945" s="2">
        <v>2.8395833333333336</v>
      </c>
      <c r="J945" s="4" t="str">
        <f>IF(Table1[[#This Row],[processing_time_hours]]&gt;1.5,"Slow", "Fast")</f>
        <v>Slow</v>
      </c>
      <c r="K945" t="s">
        <v>2821</v>
      </c>
      <c r="L945" s="3">
        <v>0</v>
      </c>
      <c r="M945" t="str">
        <f>IF(Table1[[#This Row],[delayed]]=1,"Delayed","On Time")</f>
        <v>On Time</v>
      </c>
      <c r="N945" t="str">
        <f>IF(AND(Table1[[#This Row],[delayed]]=1,Table1[[#This Row],[weather_condition]]="Storm"),"High Risk", IF(Table1[[#This Row],[delayed]]=1,"Medium Risk","Low Risk"))</f>
        <v>Low Risk</v>
      </c>
    </row>
    <row r="946" spans="1:14" x14ac:dyDescent="0.35">
      <c r="A946">
        <v>945</v>
      </c>
      <c r="B946" s="1">
        <v>44966.333333333336</v>
      </c>
      <c r="C946" s="2">
        <v>4.9305555555555554E-2</v>
      </c>
      <c r="D946" s="3">
        <v>3480</v>
      </c>
      <c r="E946" s="3">
        <v>462</v>
      </c>
      <c r="F946" s="2">
        <v>22.584027777777777</v>
      </c>
      <c r="G946" t="s">
        <v>2816</v>
      </c>
      <c r="H946" t="s">
        <v>2817</v>
      </c>
      <c r="I946" s="2">
        <v>1.6284722222222223</v>
      </c>
      <c r="J946" s="4" t="str">
        <f>IF(Table1[[#This Row],[processing_time_hours]]&gt;1.5,"Slow", "Fast")</f>
        <v>Slow</v>
      </c>
      <c r="K946" t="s">
        <v>2818</v>
      </c>
      <c r="L946" s="3">
        <v>0</v>
      </c>
      <c r="M946" t="str">
        <f>IF(Table1[[#This Row],[delayed]]=1,"Delayed","On Time")</f>
        <v>On Time</v>
      </c>
      <c r="N946" t="str">
        <f>IF(AND(Table1[[#This Row],[delayed]]=1,Table1[[#This Row],[weather_condition]]="Storm"),"High Risk", IF(Table1[[#This Row],[delayed]]=1,"Medium Risk","Low Risk"))</f>
        <v>Low Risk</v>
      </c>
    </row>
    <row r="947" spans="1:14" x14ac:dyDescent="0.35">
      <c r="A947">
        <v>946</v>
      </c>
      <c r="B947" s="1">
        <v>44966.375</v>
      </c>
      <c r="C947" s="2">
        <v>6.2499999999999995E-3</v>
      </c>
      <c r="D947" s="3">
        <v>3070</v>
      </c>
      <c r="E947" s="3">
        <v>39</v>
      </c>
      <c r="F947" s="2">
        <v>3.1291666666666664</v>
      </c>
      <c r="G947" t="s">
        <v>2819</v>
      </c>
      <c r="H947" t="s">
        <v>2820</v>
      </c>
      <c r="I947" s="2">
        <v>0.66805555555555562</v>
      </c>
      <c r="J947" s="4" t="str">
        <f>IF(Table1[[#This Row],[processing_time_hours]]&gt;1.5,"Slow", "Fast")</f>
        <v>Fast</v>
      </c>
      <c r="K947" t="s">
        <v>2814</v>
      </c>
      <c r="L947" s="3">
        <v>0</v>
      </c>
      <c r="M947" t="str">
        <f>IF(Table1[[#This Row],[delayed]]=1,"Delayed","On Time")</f>
        <v>On Time</v>
      </c>
      <c r="N947" t="str">
        <f>IF(AND(Table1[[#This Row],[delayed]]=1,Table1[[#This Row],[weather_condition]]="Storm"),"High Risk", IF(Table1[[#This Row],[delayed]]=1,"Medium Risk","Low Risk"))</f>
        <v>Low Risk</v>
      </c>
    </row>
    <row r="948" spans="1:14" x14ac:dyDescent="0.35">
      <c r="A948">
        <v>947</v>
      </c>
      <c r="B948" s="1">
        <v>44966.416666666664</v>
      </c>
      <c r="C948" s="2">
        <v>5.486111111111111E-2</v>
      </c>
      <c r="D948" s="3">
        <v>4898</v>
      </c>
      <c r="E948" s="3">
        <v>450</v>
      </c>
      <c r="F948" s="2">
        <v>33.12777777777778</v>
      </c>
      <c r="G948" t="s">
        <v>2812</v>
      </c>
      <c r="H948" t="s">
        <v>2822</v>
      </c>
      <c r="I948" s="2">
        <v>0.12569444444444444</v>
      </c>
      <c r="J948" s="4" t="str">
        <f>IF(Table1[[#This Row],[processing_time_hours]]&gt;1.5,"Slow", "Fast")</f>
        <v>Fast</v>
      </c>
      <c r="K948" t="s">
        <v>2814</v>
      </c>
      <c r="L948" s="3">
        <v>0</v>
      </c>
      <c r="M948" t="str">
        <f>IF(Table1[[#This Row],[delayed]]=1,"Delayed","On Time")</f>
        <v>On Time</v>
      </c>
      <c r="N948" t="str">
        <f>IF(AND(Table1[[#This Row],[delayed]]=1,Table1[[#This Row],[weather_condition]]="Storm"),"High Risk", IF(Table1[[#This Row],[delayed]]=1,"Medium Risk","Low Risk"))</f>
        <v>Low Risk</v>
      </c>
    </row>
    <row r="949" spans="1:14" x14ac:dyDescent="0.35">
      <c r="A949">
        <v>948</v>
      </c>
      <c r="B949" s="1">
        <v>44966.458333333336</v>
      </c>
      <c r="C949" s="2">
        <v>5.2083333333333336E-2</v>
      </c>
      <c r="D949" s="3">
        <v>4944</v>
      </c>
      <c r="E949" s="3">
        <v>56</v>
      </c>
      <c r="F949" s="2">
        <v>45.837499999999999</v>
      </c>
      <c r="G949" t="s">
        <v>2812</v>
      </c>
      <c r="H949" t="s">
        <v>2820</v>
      </c>
      <c r="I949" s="2">
        <v>1.0020833333333334</v>
      </c>
      <c r="J949" s="4" t="str">
        <f>IF(Table1[[#This Row],[processing_time_hours]]&gt;1.5,"Slow", "Fast")</f>
        <v>Fast</v>
      </c>
      <c r="K949" t="s">
        <v>2821</v>
      </c>
      <c r="L949" s="3">
        <v>1</v>
      </c>
      <c r="M949" t="str">
        <f>IF(Table1[[#This Row],[delayed]]=1,"Delayed","On Time")</f>
        <v>Delayed</v>
      </c>
      <c r="N949" t="str">
        <f>IF(AND(Table1[[#This Row],[delayed]]=1,Table1[[#This Row],[weather_condition]]="Storm"),"High Risk", IF(Table1[[#This Row],[delayed]]=1,"Medium Risk","Low Risk"))</f>
        <v>Medium Risk</v>
      </c>
    </row>
    <row r="950" spans="1:14" x14ac:dyDescent="0.35">
      <c r="A950">
        <v>949</v>
      </c>
      <c r="B950" s="1">
        <v>44966.5</v>
      </c>
      <c r="C950" s="2">
        <v>5.9722222222222225E-2</v>
      </c>
      <c r="D950" s="3">
        <v>3557</v>
      </c>
      <c r="E950" s="3">
        <v>12</v>
      </c>
      <c r="F950" s="2">
        <v>34.584027777777777</v>
      </c>
      <c r="G950" t="s">
        <v>2819</v>
      </c>
      <c r="H950" t="s">
        <v>2820</v>
      </c>
      <c r="I950" s="2">
        <v>2.2145833333333331</v>
      </c>
      <c r="J950" s="4" t="str">
        <f>IF(Table1[[#This Row],[processing_time_hours]]&gt;1.5,"Slow", "Fast")</f>
        <v>Slow</v>
      </c>
      <c r="K950" t="s">
        <v>2814</v>
      </c>
      <c r="L950" s="3">
        <v>0</v>
      </c>
      <c r="M950" t="str">
        <f>IF(Table1[[#This Row],[delayed]]=1,"Delayed","On Time")</f>
        <v>On Time</v>
      </c>
      <c r="N950" t="str">
        <f>IF(AND(Table1[[#This Row],[delayed]]=1,Table1[[#This Row],[weather_condition]]="Storm"),"High Risk", IF(Table1[[#This Row],[delayed]]=1,"Medium Risk","Low Risk"))</f>
        <v>Low Risk</v>
      </c>
    </row>
    <row r="951" spans="1:14" x14ac:dyDescent="0.35">
      <c r="A951">
        <v>950</v>
      </c>
      <c r="B951" s="1">
        <v>44966.541666666664</v>
      </c>
      <c r="C951" s="2">
        <v>5.6250000000000001E-2</v>
      </c>
      <c r="D951" s="3">
        <v>3406</v>
      </c>
      <c r="E951" s="3">
        <v>447</v>
      </c>
      <c r="F951" s="2">
        <v>7.7930555555555552</v>
      </c>
      <c r="G951" t="s">
        <v>2812</v>
      </c>
      <c r="H951" t="s">
        <v>2813</v>
      </c>
      <c r="I951" s="2">
        <v>1.5458333333333334</v>
      </c>
      <c r="J951" s="4" t="str">
        <f>IF(Table1[[#This Row],[processing_time_hours]]&gt;1.5,"Slow", "Fast")</f>
        <v>Slow</v>
      </c>
      <c r="K951" t="s">
        <v>2821</v>
      </c>
      <c r="L951" s="3">
        <v>0</v>
      </c>
      <c r="M951" t="str">
        <f>IF(Table1[[#This Row],[delayed]]=1,"Delayed","On Time")</f>
        <v>On Time</v>
      </c>
      <c r="N951" t="str">
        <f>IF(AND(Table1[[#This Row],[delayed]]=1,Table1[[#This Row],[weather_condition]]="Storm"),"High Risk", IF(Table1[[#This Row],[delayed]]=1,"Medium Risk","Low Risk"))</f>
        <v>Low Risk</v>
      </c>
    </row>
    <row r="952" spans="1:14" x14ac:dyDescent="0.35">
      <c r="A952">
        <v>951</v>
      </c>
      <c r="B952" s="1">
        <v>44966.583333333336</v>
      </c>
      <c r="C952" s="2">
        <v>4.7222222222222221E-2</v>
      </c>
      <c r="D952" s="3">
        <v>3115</v>
      </c>
      <c r="E952" s="3">
        <v>186</v>
      </c>
      <c r="F952" s="2">
        <v>6.5062500000000005</v>
      </c>
      <c r="G952" t="s">
        <v>2819</v>
      </c>
      <c r="H952" t="s">
        <v>2822</v>
      </c>
      <c r="I952" s="2">
        <v>0.62916666666666665</v>
      </c>
      <c r="J952" s="4" t="str">
        <f>IF(Table1[[#This Row],[processing_time_hours]]&gt;1.5,"Slow", "Fast")</f>
        <v>Fast</v>
      </c>
      <c r="K952" t="s">
        <v>2818</v>
      </c>
      <c r="L952" s="3">
        <v>0</v>
      </c>
      <c r="M952" t="str">
        <f>IF(Table1[[#This Row],[delayed]]=1,"Delayed","On Time")</f>
        <v>On Time</v>
      </c>
      <c r="N952" t="str">
        <f>IF(AND(Table1[[#This Row],[delayed]]=1,Table1[[#This Row],[weather_condition]]="Storm"),"High Risk", IF(Table1[[#This Row],[delayed]]=1,"Medium Risk","Low Risk"))</f>
        <v>Low Risk</v>
      </c>
    </row>
    <row r="953" spans="1:14" x14ac:dyDescent="0.35">
      <c r="A953">
        <v>952</v>
      </c>
      <c r="B953" s="1">
        <v>44966.625</v>
      </c>
      <c r="C953" s="2">
        <v>5.3472222222222227E-2</v>
      </c>
      <c r="D953" s="3">
        <v>2464</v>
      </c>
      <c r="E953" s="3">
        <v>315</v>
      </c>
      <c r="F953" s="2">
        <v>78.375694444444449</v>
      </c>
      <c r="G953" t="s">
        <v>2819</v>
      </c>
      <c r="H953" t="s">
        <v>2817</v>
      </c>
      <c r="I953" s="2">
        <v>2.6708333333333329</v>
      </c>
      <c r="J953" s="4" t="str">
        <f>IF(Table1[[#This Row],[processing_time_hours]]&gt;1.5,"Slow", "Fast")</f>
        <v>Slow</v>
      </c>
      <c r="K953" t="s">
        <v>2821</v>
      </c>
      <c r="L953" s="3">
        <v>0</v>
      </c>
      <c r="M953" t="str">
        <f>IF(Table1[[#This Row],[delayed]]=1,"Delayed","On Time")</f>
        <v>On Time</v>
      </c>
      <c r="N953" t="str">
        <f>IF(AND(Table1[[#This Row],[delayed]]=1,Table1[[#This Row],[weather_condition]]="Storm"),"High Risk", IF(Table1[[#This Row],[delayed]]=1,"Medium Risk","Low Risk"))</f>
        <v>Low Risk</v>
      </c>
    </row>
    <row r="954" spans="1:14" x14ac:dyDescent="0.35">
      <c r="A954">
        <v>953</v>
      </c>
      <c r="B954" s="1">
        <v>44966.666666666664</v>
      </c>
      <c r="C954" s="2">
        <v>6.805555555555555E-2</v>
      </c>
      <c r="D954" s="3">
        <v>2250</v>
      </c>
      <c r="E954" s="3">
        <v>490</v>
      </c>
      <c r="F954" s="2">
        <v>69.172916666666666</v>
      </c>
      <c r="G954" t="s">
        <v>2812</v>
      </c>
      <c r="H954" t="s">
        <v>2820</v>
      </c>
      <c r="I954" s="2">
        <v>1.6729166666666666</v>
      </c>
      <c r="J954" s="4" t="str">
        <f>IF(Table1[[#This Row],[processing_time_hours]]&gt;1.5,"Slow", "Fast")</f>
        <v>Slow</v>
      </c>
      <c r="K954" t="s">
        <v>2818</v>
      </c>
      <c r="L954" s="3">
        <v>1</v>
      </c>
      <c r="M954" t="str">
        <f>IF(Table1[[#This Row],[delayed]]=1,"Delayed","On Time")</f>
        <v>Delayed</v>
      </c>
      <c r="N954" t="str">
        <f>IF(AND(Table1[[#This Row],[delayed]]=1,Table1[[#This Row],[weather_condition]]="Storm"),"High Risk", IF(Table1[[#This Row],[delayed]]=1,"Medium Risk","Low Risk"))</f>
        <v>Medium Risk</v>
      </c>
    </row>
    <row r="955" spans="1:14" x14ac:dyDescent="0.35">
      <c r="A955">
        <v>954</v>
      </c>
      <c r="B955" s="1">
        <v>44966.708333333336</v>
      </c>
      <c r="C955" s="2">
        <v>6.3888888888888898E-2</v>
      </c>
      <c r="D955" s="3">
        <v>2000</v>
      </c>
      <c r="E955" s="3">
        <v>172</v>
      </c>
      <c r="F955" s="2">
        <v>55.002083333333331</v>
      </c>
      <c r="G955" t="s">
        <v>2819</v>
      </c>
      <c r="H955" t="s">
        <v>2817</v>
      </c>
      <c r="I955" s="2">
        <v>2.713194444444444</v>
      </c>
      <c r="J955" s="4" t="str">
        <f>IF(Table1[[#This Row],[processing_time_hours]]&gt;1.5,"Slow", "Fast")</f>
        <v>Slow</v>
      </c>
      <c r="K955" t="s">
        <v>2821</v>
      </c>
      <c r="L955" s="3">
        <v>0</v>
      </c>
      <c r="M955" t="str">
        <f>IF(Table1[[#This Row],[delayed]]=1,"Delayed","On Time")</f>
        <v>On Time</v>
      </c>
      <c r="N955" t="str">
        <f>IF(AND(Table1[[#This Row],[delayed]]=1,Table1[[#This Row],[weather_condition]]="Storm"),"High Risk", IF(Table1[[#This Row],[delayed]]=1,"Medium Risk","Low Risk"))</f>
        <v>Low Risk</v>
      </c>
    </row>
    <row r="956" spans="1:14" x14ac:dyDescent="0.35">
      <c r="A956">
        <v>955</v>
      </c>
      <c r="B956" s="1">
        <v>44966.75</v>
      </c>
      <c r="C956" s="2">
        <v>5.5555555555555558E-3</v>
      </c>
      <c r="D956" s="3">
        <v>3978</v>
      </c>
      <c r="E956" s="3">
        <v>364</v>
      </c>
      <c r="F956" s="2">
        <v>17.502083333333335</v>
      </c>
      <c r="G956" t="s">
        <v>2819</v>
      </c>
      <c r="H956" t="s">
        <v>2820</v>
      </c>
      <c r="I956" s="2">
        <v>0.66666666666666663</v>
      </c>
      <c r="J956" s="4" t="str">
        <f>IF(Table1[[#This Row],[processing_time_hours]]&gt;1.5,"Slow", "Fast")</f>
        <v>Fast</v>
      </c>
      <c r="K956" t="s">
        <v>2818</v>
      </c>
      <c r="L956" s="3">
        <v>0</v>
      </c>
      <c r="M956" t="str">
        <f>IF(Table1[[#This Row],[delayed]]=1,"Delayed","On Time")</f>
        <v>On Time</v>
      </c>
      <c r="N956" t="str">
        <f>IF(AND(Table1[[#This Row],[delayed]]=1,Table1[[#This Row],[weather_condition]]="Storm"),"High Risk", IF(Table1[[#This Row],[delayed]]=1,"Medium Risk","Low Risk"))</f>
        <v>Low Risk</v>
      </c>
    </row>
    <row r="957" spans="1:14" x14ac:dyDescent="0.35">
      <c r="A957">
        <v>956</v>
      </c>
      <c r="B957" s="1">
        <v>44966.791666666664</v>
      </c>
      <c r="C957" s="2">
        <v>5.9722222222222225E-2</v>
      </c>
      <c r="D957" s="3">
        <v>2124</v>
      </c>
      <c r="E957" s="3">
        <v>265</v>
      </c>
      <c r="F957" s="2">
        <v>66.297222222222231</v>
      </c>
      <c r="G957" t="s">
        <v>2819</v>
      </c>
      <c r="H957" t="s">
        <v>2817</v>
      </c>
      <c r="I957" s="2">
        <v>0.13055555555555556</v>
      </c>
      <c r="J957" s="4" t="str">
        <f>IF(Table1[[#This Row],[processing_time_hours]]&gt;1.5,"Slow", "Fast")</f>
        <v>Fast</v>
      </c>
      <c r="K957" t="s">
        <v>2821</v>
      </c>
      <c r="L957" s="3">
        <v>0</v>
      </c>
      <c r="M957" t="str">
        <f>IF(Table1[[#This Row],[delayed]]=1,"Delayed","On Time")</f>
        <v>On Time</v>
      </c>
      <c r="N957" t="str">
        <f>IF(AND(Table1[[#This Row],[delayed]]=1,Table1[[#This Row],[weather_condition]]="Storm"),"High Risk", IF(Table1[[#This Row],[delayed]]=1,"Medium Risk","Low Risk"))</f>
        <v>Low Risk</v>
      </c>
    </row>
    <row r="958" spans="1:14" x14ac:dyDescent="0.35">
      <c r="A958">
        <v>957</v>
      </c>
      <c r="B958" s="1">
        <v>44966.833333333336</v>
      </c>
      <c r="C958" s="2">
        <v>4.5833333333333337E-2</v>
      </c>
      <c r="D958" s="3">
        <v>672</v>
      </c>
      <c r="E958" s="3">
        <v>246</v>
      </c>
      <c r="F958" s="2">
        <v>26.084027777777777</v>
      </c>
      <c r="G958" t="s">
        <v>2816</v>
      </c>
      <c r="H958" t="s">
        <v>2813</v>
      </c>
      <c r="I958" s="2">
        <v>2.0451388888888888</v>
      </c>
      <c r="J958" s="4" t="str">
        <f>IF(Table1[[#This Row],[processing_time_hours]]&gt;1.5,"Slow", "Fast")</f>
        <v>Slow</v>
      </c>
      <c r="K958" t="s">
        <v>2814</v>
      </c>
      <c r="L958" s="3">
        <v>1</v>
      </c>
      <c r="M958" t="str">
        <f>IF(Table1[[#This Row],[delayed]]=1,"Delayed","On Time")</f>
        <v>Delayed</v>
      </c>
      <c r="N958" t="str">
        <f>IF(AND(Table1[[#This Row],[delayed]]=1,Table1[[#This Row],[weather_condition]]="Storm"),"High Risk", IF(Table1[[#This Row],[delayed]]=1,"Medium Risk","Low Risk"))</f>
        <v>Medium Risk</v>
      </c>
    </row>
    <row r="959" spans="1:14" x14ac:dyDescent="0.35">
      <c r="A959">
        <v>958</v>
      </c>
      <c r="B959" s="1">
        <v>44966.875</v>
      </c>
      <c r="C959" s="2">
        <v>5.3472222222222227E-2</v>
      </c>
      <c r="D959" s="3">
        <v>871</v>
      </c>
      <c r="E959" s="3">
        <v>322</v>
      </c>
      <c r="F959" s="2">
        <v>28.00277777777778</v>
      </c>
      <c r="G959" t="s">
        <v>2812</v>
      </c>
      <c r="H959" t="s">
        <v>2820</v>
      </c>
      <c r="I959" s="2">
        <v>2.963888888888889</v>
      </c>
      <c r="J959" s="4" t="str">
        <f>IF(Table1[[#This Row],[processing_time_hours]]&gt;1.5,"Slow", "Fast")</f>
        <v>Slow</v>
      </c>
      <c r="K959" t="s">
        <v>2818</v>
      </c>
      <c r="L959" s="3">
        <v>1</v>
      </c>
      <c r="M959" t="str">
        <f>IF(Table1[[#This Row],[delayed]]=1,"Delayed","On Time")</f>
        <v>Delayed</v>
      </c>
      <c r="N959" t="str">
        <f>IF(AND(Table1[[#This Row],[delayed]]=1,Table1[[#This Row],[weather_condition]]="Storm"),"High Risk", IF(Table1[[#This Row],[delayed]]=1,"Medium Risk","Low Risk"))</f>
        <v>Medium Risk</v>
      </c>
    </row>
    <row r="960" spans="1:14" x14ac:dyDescent="0.35">
      <c r="A960">
        <v>959</v>
      </c>
      <c r="B960" s="1">
        <v>44966.916666666664</v>
      </c>
      <c r="C960" s="2">
        <v>6.6666666666666666E-2</v>
      </c>
      <c r="D960" s="3">
        <v>1058</v>
      </c>
      <c r="E960" s="3">
        <v>309</v>
      </c>
      <c r="F960" s="2">
        <v>51.584722222222219</v>
      </c>
      <c r="G960" t="s">
        <v>2812</v>
      </c>
      <c r="H960" t="s">
        <v>2817</v>
      </c>
      <c r="I960" s="2">
        <v>1.0868055555555556</v>
      </c>
      <c r="J960" s="4" t="str">
        <f>IF(Table1[[#This Row],[processing_time_hours]]&gt;1.5,"Slow", "Fast")</f>
        <v>Fast</v>
      </c>
      <c r="K960" t="s">
        <v>2814</v>
      </c>
      <c r="L960" s="3">
        <v>0</v>
      </c>
      <c r="M960" t="str">
        <f>IF(Table1[[#This Row],[delayed]]=1,"Delayed","On Time")</f>
        <v>On Time</v>
      </c>
      <c r="N960" t="str">
        <f>IF(AND(Table1[[#This Row],[delayed]]=1,Table1[[#This Row],[weather_condition]]="Storm"),"High Risk", IF(Table1[[#This Row],[delayed]]=1,"Medium Risk","Low Risk"))</f>
        <v>Low Risk</v>
      </c>
    </row>
    <row r="961" spans="1:14" x14ac:dyDescent="0.35">
      <c r="A961">
        <v>960</v>
      </c>
      <c r="B961" s="1">
        <v>44966.958333333336</v>
      </c>
      <c r="C961" s="2">
        <v>4.7222222222222221E-2</v>
      </c>
      <c r="D961" s="3">
        <v>387</v>
      </c>
      <c r="E961" s="3">
        <v>492</v>
      </c>
      <c r="F961" s="2">
        <v>18.839583333333334</v>
      </c>
      <c r="G961" t="s">
        <v>2815</v>
      </c>
      <c r="H961" t="s">
        <v>2817</v>
      </c>
      <c r="I961" s="2">
        <v>0.125</v>
      </c>
      <c r="J961" s="4" t="str">
        <f>IF(Table1[[#This Row],[processing_time_hours]]&gt;1.5,"Slow", "Fast")</f>
        <v>Fast</v>
      </c>
      <c r="K961" t="s">
        <v>2814</v>
      </c>
      <c r="L961" s="3">
        <v>1</v>
      </c>
      <c r="M961" t="str">
        <f>IF(Table1[[#This Row],[delayed]]=1,"Delayed","On Time")</f>
        <v>Delayed</v>
      </c>
      <c r="N961" t="str">
        <f>IF(AND(Table1[[#This Row],[delayed]]=1,Table1[[#This Row],[weather_condition]]="Storm"),"High Risk", IF(Table1[[#This Row],[delayed]]=1,"Medium Risk","Low Risk"))</f>
        <v>High Risk</v>
      </c>
    </row>
    <row r="962" spans="1:14" x14ac:dyDescent="0.35">
      <c r="A962">
        <v>961</v>
      </c>
      <c r="B962" s="1">
        <v>44967</v>
      </c>
      <c r="C962" s="2">
        <v>6.8749999999999992E-2</v>
      </c>
      <c r="D962" s="3">
        <v>1796</v>
      </c>
      <c r="E962" s="3">
        <v>370</v>
      </c>
      <c r="F962" s="2">
        <v>9.8763888888888882</v>
      </c>
      <c r="G962" t="s">
        <v>2819</v>
      </c>
      <c r="H962" t="s">
        <v>2822</v>
      </c>
      <c r="I962" s="2">
        <v>2.755555555555556</v>
      </c>
      <c r="J962" s="4" t="str">
        <f>IF(Table1[[#This Row],[processing_time_hours]]&gt;1.5,"Slow", "Fast")</f>
        <v>Slow</v>
      </c>
      <c r="K962" t="s">
        <v>2814</v>
      </c>
      <c r="L962" s="3">
        <v>0</v>
      </c>
      <c r="M962" t="str">
        <f>IF(Table1[[#This Row],[delayed]]=1,"Delayed","On Time")</f>
        <v>On Time</v>
      </c>
      <c r="N962" t="str">
        <f>IF(AND(Table1[[#This Row],[delayed]]=1,Table1[[#This Row],[weather_condition]]="Storm"),"High Risk", IF(Table1[[#This Row],[delayed]]=1,"Medium Risk","Low Risk"))</f>
        <v>Low Risk</v>
      </c>
    </row>
    <row r="963" spans="1:14" x14ac:dyDescent="0.35">
      <c r="A963">
        <v>962</v>
      </c>
      <c r="B963" s="1">
        <v>44967.041666666664</v>
      </c>
      <c r="C963" s="2">
        <v>6.5277777777777782E-2</v>
      </c>
      <c r="D963" s="3">
        <v>816</v>
      </c>
      <c r="E963" s="3">
        <v>82</v>
      </c>
      <c r="F963" s="2">
        <v>27.336111111111112</v>
      </c>
      <c r="G963" t="s">
        <v>2812</v>
      </c>
      <c r="H963" t="s">
        <v>2822</v>
      </c>
      <c r="I963" s="2">
        <v>0.29305555555555557</v>
      </c>
      <c r="J963" s="4" t="str">
        <f>IF(Table1[[#This Row],[processing_time_hours]]&gt;1.5,"Slow", "Fast")</f>
        <v>Fast</v>
      </c>
      <c r="K963" t="s">
        <v>2814</v>
      </c>
      <c r="L963" s="3">
        <v>0</v>
      </c>
      <c r="M963" t="str">
        <f>IF(Table1[[#This Row],[delayed]]=1,"Delayed","On Time")</f>
        <v>On Time</v>
      </c>
      <c r="N963" t="str">
        <f>IF(AND(Table1[[#This Row],[delayed]]=1,Table1[[#This Row],[weather_condition]]="Storm"),"High Risk", IF(Table1[[#This Row],[delayed]]=1,"Medium Risk","Low Risk"))</f>
        <v>Low Risk</v>
      </c>
    </row>
    <row r="964" spans="1:14" x14ac:dyDescent="0.35">
      <c r="A964">
        <v>963</v>
      </c>
      <c r="B964" s="1">
        <v>44967.083333333336</v>
      </c>
      <c r="C964" s="2">
        <v>6.0416666666666667E-2</v>
      </c>
      <c r="D964" s="3">
        <v>2102</v>
      </c>
      <c r="E964" s="3">
        <v>451</v>
      </c>
      <c r="F964" s="2">
        <v>25.295833333333334</v>
      </c>
      <c r="G964" t="s">
        <v>2819</v>
      </c>
      <c r="H964" t="s">
        <v>2817</v>
      </c>
      <c r="I964" s="2">
        <v>0.79652777777777783</v>
      </c>
      <c r="J964" s="4" t="str">
        <f>IF(Table1[[#This Row],[processing_time_hours]]&gt;1.5,"Slow", "Fast")</f>
        <v>Fast</v>
      </c>
      <c r="K964" t="s">
        <v>2821</v>
      </c>
      <c r="L964" s="3">
        <v>0</v>
      </c>
      <c r="M964" t="str">
        <f>IF(Table1[[#This Row],[delayed]]=1,"Delayed","On Time")</f>
        <v>On Time</v>
      </c>
      <c r="N964" t="str">
        <f>IF(AND(Table1[[#This Row],[delayed]]=1,Table1[[#This Row],[weather_condition]]="Storm"),"High Risk", IF(Table1[[#This Row],[delayed]]=1,"Medium Risk","Low Risk"))</f>
        <v>Low Risk</v>
      </c>
    </row>
    <row r="965" spans="1:14" x14ac:dyDescent="0.35">
      <c r="A965">
        <v>964</v>
      </c>
      <c r="B965" s="1">
        <v>44967.125</v>
      </c>
      <c r="C965" s="2">
        <v>5.2083333333333336E-2</v>
      </c>
      <c r="D965" s="3">
        <v>2665</v>
      </c>
      <c r="E965" s="3">
        <v>289</v>
      </c>
      <c r="F965" s="2">
        <v>11.960416666666667</v>
      </c>
      <c r="G965" t="s">
        <v>2815</v>
      </c>
      <c r="H965" t="s">
        <v>2813</v>
      </c>
      <c r="I965" s="2">
        <v>0.88124999999999998</v>
      </c>
      <c r="J965" s="4" t="str">
        <f>IF(Table1[[#This Row],[processing_time_hours]]&gt;1.5,"Slow", "Fast")</f>
        <v>Fast</v>
      </c>
      <c r="K965" t="s">
        <v>2818</v>
      </c>
      <c r="L965" s="3">
        <v>0</v>
      </c>
      <c r="M965" t="str">
        <f>IF(Table1[[#This Row],[delayed]]=1,"Delayed","On Time")</f>
        <v>On Time</v>
      </c>
      <c r="N965" t="str">
        <f>IF(AND(Table1[[#This Row],[delayed]]=1,Table1[[#This Row],[weather_condition]]="Storm"),"High Risk", IF(Table1[[#This Row],[delayed]]=1,"Medium Risk","Low Risk"))</f>
        <v>Low Risk</v>
      </c>
    </row>
    <row r="966" spans="1:14" x14ac:dyDescent="0.35">
      <c r="A966">
        <v>965</v>
      </c>
      <c r="B966" s="1">
        <v>44967.166666666664</v>
      </c>
      <c r="C966" s="2">
        <v>4.4444444444444446E-2</v>
      </c>
      <c r="D966" s="3">
        <v>1135</v>
      </c>
      <c r="E966" s="3">
        <v>390</v>
      </c>
      <c r="F966" s="2">
        <v>62.421527777777776</v>
      </c>
      <c r="G966" t="s">
        <v>2812</v>
      </c>
      <c r="H966" t="s">
        <v>2817</v>
      </c>
      <c r="I966" s="2">
        <v>0.17083333333333331</v>
      </c>
      <c r="J966" s="4" t="str">
        <f>IF(Table1[[#This Row],[processing_time_hours]]&gt;1.5,"Slow", "Fast")</f>
        <v>Fast</v>
      </c>
      <c r="K966" t="s">
        <v>2821</v>
      </c>
      <c r="L966" s="3">
        <v>0</v>
      </c>
      <c r="M966" t="str">
        <f>IF(Table1[[#This Row],[delayed]]=1,"Delayed","On Time")</f>
        <v>On Time</v>
      </c>
      <c r="N966" t="str">
        <f>IF(AND(Table1[[#This Row],[delayed]]=1,Table1[[#This Row],[weather_condition]]="Storm"),"High Risk", IF(Table1[[#This Row],[delayed]]=1,"Medium Risk","Low Risk"))</f>
        <v>Low Risk</v>
      </c>
    </row>
    <row r="967" spans="1:14" x14ac:dyDescent="0.35">
      <c r="A967">
        <v>966</v>
      </c>
      <c r="B967" s="1">
        <v>44967.208333333336</v>
      </c>
      <c r="C967" s="2">
        <v>4.9999999999999996E-2</v>
      </c>
      <c r="D967" s="3">
        <v>2158</v>
      </c>
      <c r="E967" s="3">
        <v>165</v>
      </c>
      <c r="F967" s="2">
        <v>24.416666666666668</v>
      </c>
      <c r="G967" t="s">
        <v>2815</v>
      </c>
      <c r="H967" t="s">
        <v>2822</v>
      </c>
      <c r="I967" s="2">
        <v>4.5833333333333337E-2</v>
      </c>
      <c r="J967" s="4" t="str">
        <f>IF(Table1[[#This Row],[processing_time_hours]]&gt;1.5,"Slow", "Fast")</f>
        <v>Fast</v>
      </c>
      <c r="K967" t="s">
        <v>2821</v>
      </c>
      <c r="L967" s="3">
        <v>0</v>
      </c>
      <c r="M967" t="str">
        <f>IF(Table1[[#This Row],[delayed]]=1,"Delayed","On Time")</f>
        <v>On Time</v>
      </c>
      <c r="N967" t="str">
        <f>IF(AND(Table1[[#This Row],[delayed]]=1,Table1[[#This Row],[weather_condition]]="Storm"),"High Risk", IF(Table1[[#This Row],[delayed]]=1,"Medium Risk","Low Risk"))</f>
        <v>Low Risk</v>
      </c>
    </row>
    <row r="968" spans="1:14" x14ac:dyDescent="0.35">
      <c r="A968">
        <v>967</v>
      </c>
      <c r="B968" s="1">
        <v>44967.25</v>
      </c>
      <c r="C968" s="2">
        <v>6.2499999999999995E-3</v>
      </c>
      <c r="D968" s="3">
        <v>81</v>
      </c>
      <c r="E968" s="3">
        <v>164</v>
      </c>
      <c r="F968" s="2">
        <v>77.672222222222231</v>
      </c>
      <c r="G968" t="s">
        <v>2812</v>
      </c>
      <c r="H968" t="s">
        <v>2813</v>
      </c>
      <c r="I968" s="2">
        <v>0.12986111111111112</v>
      </c>
      <c r="J968" s="4" t="str">
        <f>IF(Table1[[#This Row],[processing_time_hours]]&gt;1.5,"Slow", "Fast")</f>
        <v>Fast</v>
      </c>
      <c r="K968" t="s">
        <v>2818</v>
      </c>
      <c r="L968" s="3">
        <v>1</v>
      </c>
      <c r="M968" t="str">
        <f>IF(Table1[[#This Row],[delayed]]=1,"Delayed","On Time")</f>
        <v>Delayed</v>
      </c>
      <c r="N968" t="str">
        <f>IF(AND(Table1[[#This Row],[delayed]]=1,Table1[[#This Row],[weather_condition]]="Storm"),"High Risk", IF(Table1[[#This Row],[delayed]]=1,"Medium Risk","Low Risk"))</f>
        <v>Medium Risk</v>
      </c>
    </row>
    <row r="969" spans="1:14" x14ac:dyDescent="0.35">
      <c r="A969">
        <v>968</v>
      </c>
      <c r="B969" s="1">
        <v>44967.291666666664</v>
      </c>
      <c r="C969" s="2">
        <v>5.3472222222222227E-2</v>
      </c>
      <c r="D969" s="3">
        <v>3099</v>
      </c>
      <c r="E969" s="3">
        <v>314</v>
      </c>
      <c r="F969" s="2">
        <v>51.879166666666663</v>
      </c>
      <c r="G969" t="s">
        <v>2816</v>
      </c>
      <c r="H969" t="s">
        <v>2813</v>
      </c>
      <c r="I969" s="2">
        <v>0.58472222222222225</v>
      </c>
      <c r="J969" s="4" t="str">
        <f>IF(Table1[[#This Row],[processing_time_hours]]&gt;1.5,"Slow", "Fast")</f>
        <v>Fast</v>
      </c>
      <c r="K969" t="s">
        <v>2814</v>
      </c>
      <c r="L969" s="3">
        <v>0</v>
      </c>
      <c r="M969" t="str">
        <f>IF(Table1[[#This Row],[delayed]]=1,"Delayed","On Time")</f>
        <v>On Time</v>
      </c>
      <c r="N969" t="str">
        <f>IF(AND(Table1[[#This Row],[delayed]]=1,Table1[[#This Row],[weather_condition]]="Storm"),"High Risk", IF(Table1[[#This Row],[delayed]]=1,"Medium Risk","Low Risk"))</f>
        <v>Low Risk</v>
      </c>
    </row>
    <row r="970" spans="1:14" x14ac:dyDescent="0.35">
      <c r="A970">
        <v>969</v>
      </c>
      <c r="B970" s="1">
        <v>44967.333333333336</v>
      </c>
      <c r="C970" s="2">
        <v>6.3888888888888898E-2</v>
      </c>
      <c r="D970" s="3">
        <v>3576</v>
      </c>
      <c r="E970" s="3">
        <v>101</v>
      </c>
      <c r="F970" s="2">
        <v>20.793055555555558</v>
      </c>
      <c r="G970" t="s">
        <v>2815</v>
      </c>
      <c r="H970" t="s">
        <v>2820</v>
      </c>
      <c r="I970" s="2">
        <v>0.54375000000000007</v>
      </c>
      <c r="J970" s="4" t="str">
        <f>IF(Table1[[#This Row],[processing_time_hours]]&gt;1.5,"Slow", "Fast")</f>
        <v>Fast</v>
      </c>
      <c r="K970" t="s">
        <v>2821</v>
      </c>
      <c r="L970" s="3">
        <v>0</v>
      </c>
      <c r="M970" t="str">
        <f>IF(Table1[[#This Row],[delayed]]=1,"Delayed","On Time")</f>
        <v>On Time</v>
      </c>
      <c r="N970" t="str">
        <f>IF(AND(Table1[[#This Row],[delayed]]=1,Table1[[#This Row],[weather_condition]]="Storm"),"High Risk", IF(Table1[[#This Row],[delayed]]=1,"Medium Risk","Low Risk"))</f>
        <v>Low Risk</v>
      </c>
    </row>
    <row r="971" spans="1:14" x14ac:dyDescent="0.35">
      <c r="A971">
        <v>970</v>
      </c>
      <c r="B971" s="1">
        <v>44967.375</v>
      </c>
      <c r="C971" s="2">
        <v>4.7916666666666663E-2</v>
      </c>
      <c r="D971" s="3">
        <v>248</v>
      </c>
      <c r="E971" s="3">
        <v>164</v>
      </c>
      <c r="F971" s="2">
        <v>22.504861111111111</v>
      </c>
      <c r="G971" t="s">
        <v>2819</v>
      </c>
      <c r="H971" t="s">
        <v>2820</v>
      </c>
      <c r="I971" s="2">
        <v>1.7104166666666665</v>
      </c>
      <c r="J971" s="4" t="str">
        <f>IF(Table1[[#This Row],[processing_time_hours]]&gt;1.5,"Slow", "Fast")</f>
        <v>Slow</v>
      </c>
      <c r="K971" t="s">
        <v>2814</v>
      </c>
      <c r="L971" s="3">
        <v>0</v>
      </c>
      <c r="M971" t="str">
        <f>IF(Table1[[#This Row],[delayed]]=1,"Delayed","On Time")</f>
        <v>On Time</v>
      </c>
      <c r="N971" t="str">
        <f>IF(AND(Table1[[#This Row],[delayed]]=1,Table1[[#This Row],[weather_condition]]="Storm"),"High Risk", IF(Table1[[#This Row],[delayed]]=1,"Medium Risk","Low Risk"))</f>
        <v>Low Risk</v>
      </c>
    </row>
    <row r="972" spans="1:14" x14ac:dyDescent="0.35">
      <c r="A972">
        <v>971</v>
      </c>
      <c r="B972" s="1">
        <v>44967.416666666664</v>
      </c>
      <c r="C972" s="2">
        <v>6.458333333333334E-2</v>
      </c>
      <c r="D972" s="3">
        <v>4583</v>
      </c>
      <c r="E972" s="3">
        <v>130</v>
      </c>
      <c r="F972" s="2">
        <v>27.208333333333332</v>
      </c>
      <c r="G972" t="s">
        <v>2815</v>
      </c>
      <c r="H972" t="s">
        <v>2822</v>
      </c>
      <c r="I972" s="2">
        <v>1.0868055555555556</v>
      </c>
      <c r="J972" s="4" t="str">
        <f>IF(Table1[[#This Row],[processing_time_hours]]&gt;1.5,"Slow", "Fast")</f>
        <v>Fast</v>
      </c>
      <c r="K972" t="s">
        <v>2818</v>
      </c>
      <c r="L972" s="3">
        <v>1</v>
      </c>
      <c r="M972" t="str">
        <f>IF(Table1[[#This Row],[delayed]]=1,"Delayed","On Time")</f>
        <v>Delayed</v>
      </c>
      <c r="N972" t="str">
        <f>IF(AND(Table1[[#This Row],[delayed]]=1,Table1[[#This Row],[weather_condition]]="Storm"),"High Risk", IF(Table1[[#This Row],[delayed]]=1,"Medium Risk","Low Risk"))</f>
        <v>Medium Risk</v>
      </c>
    </row>
    <row r="973" spans="1:14" x14ac:dyDescent="0.35">
      <c r="A973">
        <v>972</v>
      </c>
      <c r="B973" s="1">
        <v>44967.458333333336</v>
      </c>
      <c r="C973" s="2">
        <v>6.5277777777777782E-2</v>
      </c>
      <c r="D973" s="3">
        <v>1890</v>
      </c>
      <c r="E973" s="3">
        <v>489</v>
      </c>
      <c r="F973" s="2">
        <v>32.543749999999996</v>
      </c>
      <c r="G973" t="s">
        <v>2819</v>
      </c>
      <c r="H973" t="s">
        <v>2822</v>
      </c>
      <c r="I973" s="2">
        <v>1.1305555555555555</v>
      </c>
      <c r="J973" s="4" t="str">
        <f>IF(Table1[[#This Row],[processing_time_hours]]&gt;1.5,"Slow", "Fast")</f>
        <v>Fast</v>
      </c>
      <c r="K973" t="s">
        <v>2814</v>
      </c>
      <c r="L973" s="3">
        <v>1</v>
      </c>
      <c r="M973" t="str">
        <f>IF(Table1[[#This Row],[delayed]]=1,"Delayed","On Time")</f>
        <v>Delayed</v>
      </c>
      <c r="N973" t="str">
        <f>IF(AND(Table1[[#This Row],[delayed]]=1,Table1[[#This Row],[weather_condition]]="Storm"),"High Risk", IF(Table1[[#This Row],[delayed]]=1,"Medium Risk","Low Risk"))</f>
        <v>Medium Risk</v>
      </c>
    </row>
    <row r="974" spans="1:14" x14ac:dyDescent="0.35">
      <c r="A974">
        <v>973</v>
      </c>
      <c r="B974" s="1">
        <v>44967.5</v>
      </c>
      <c r="C974" s="2">
        <v>6.1805555555555558E-2</v>
      </c>
      <c r="D974" s="3">
        <v>2999</v>
      </c>
      <c r="E974" s="3">
        <v>258</v>
      </c>
      <c r="F974" s="2">
        <v>12.589583333333332</v>
      </c>
      <c r="G974" t="s">
        <v>2819</v>
      </c>
      <c r="H974" t="s">
        <v>2817</v>
      </c>
      <c r="I974" s="2">
        <v>2.2965277777777779</v>
      </c>
      <c r="J974" s="4" t="str">
        <f>IF(Table1[[#This Row],[processing_time_hours]]&gt;1.5,"Slow", "Fast")</f>
        <v>Slow</v>
      </c>
      <c r="K974" t="s">
        <v>2821</v>
      </c>
      <c r="L974" s="3">
        <v>1</v>
      </c>
      <c r="M974" t="str">
        <f>IF(Table1[[#This Row],[delayed]]=1,"Delayed","On Time")</f>
        <v>Delayed</v>
      </c>
      <c r="N974" t="str">
        <f>IF(AND(Table1[[#This Row],[delayed]]=1,Table1[[#This Row],[weather_condition]]="Storm"),"High Risk", IF(Table1[[#This Row],[delayed]]=1,"Medium Risk","Low Risk"))</f>
        <v>High Risk</v>
      </c>
    </row>
    <row r="975" spans="1:14" x14ac:dyDescent="0.35">
      <c r="A975">
        <v>974</v>
      </c>
      <c r="B975" s="1">
        <v>44967.541666666664</v>
      </c>
      <c r="C975" s="2">
        <v>4.7222222222222221E-2</v>
      </c>
      <c r="D975" s="3">
        <v>1102</v>
      </c>
      <c r="E975" s="3">
        <v>300</v>
      </c>
      <c r="F975" s="2">
        <v>59.918055555555554</v>
      </c>
      <c r="G975" t="s">
        <v>2816</v>
      </c>
      <c r="H975" t="s">
        <v>2820</v>
      </c>
      <c r="I975" s="2">
        <v>2.2965277777777779</v>
      </c>
      <c r="J975" s="4" t="str">
        <f>IF(Table1[[#This Row],[processing_time_hours]]&gt;1.5,"Slow", "Fast")</f>
        <v>Slow</v>
      </c>
      <c r="K975" t="s">
        <v>2814</v>
      </c>
      <c r="L975" s="3">
        <v>1</v>
      </c>
      <c r="M975" t="str">
        <f>IF(Table1[[#This Row],[delayed]]=1,"Delayed","On Time")</f>
        <v>Delayed</v>
      </c>
      <c r="N975" t="str">
        <f>IF(AND(Table1[[#This Row],[delayed]]=1,Table1[[#This Row],[weather_condition]]="Storm"),"High Risk", IF(Table1[[#This Row],[delayed]]=1,"Medium Risk","Low Risk"))</f>
        <v>Medium Risk</v>
      </c>
    </row>
    <row r="976" spans="1:14" x14ac:dyDescent="0.35">
      <c r="A976">
        <v>975</v>
      </c>
      <c r="B976" s="1">
        <v>44967.583333333336</v>
      </c>
      <c r="C976" s="2">
        <v>4.7916666666666663E-2</v>
      </c>
      <c r="D976" s="3">
        <v>4904</v>
      </c>
      <c r="E976" s="3">
        <v>295</v>
      </c>
      <c r="F976" s="2">
        <v>73.838888888888889</v>
      </c>
      <c r="G976" t="s">
        <v>2815</v>
      </c>
      <c r="H976" t="s">
        <v>2820</v>
      </c>
      <c r="I976" s="2">
        <v>1.7972222222222223</v>
      </c>
      <c r="J976" s="4" t="str">
        <f>IF(Table1[[#This Row],[processing_time_hours]]&gt;1.5,"Slow", "Fast")</f>
        <v>Slow</v>
      </c>
      <c r="K976" t="s">
        <v>2818</v>
      </c>
      <c r="L976" s="3">
        <v>0</v>
      </c>
      <c r="M976" t="str">
        <f>IF(Table1[[#This Row],[delayed]]=1,"Delayed","On Time")</f>
        <v>On Time</v>
      </c>
      <c r="N976" t="str">
        <f>IF(AND(Table1[[#This Row],[delayed]]=1,Table1[[#This Row],[weather_condition]]="Storm"),"High Risk", IF(Table1[[#This Row],[delayed]]=1,"Medium Risk","Low Risk"))</f>
        <v>Low Risk</v>
      </c>
    </row>
    <row r="977" spans="1:14" x14ac:dyDescent="0.35">
      <c r="A977">
        <v>976</v>
      </c>
      <c r="B977" s="1">
        <v>44967.625</v>
      </c>
      <c r="C977" s="2">
        <v>4.3750000000000004E-2</v>
      </c>
      <c r="D977" s="3">
        <v>2592</v>
      </c>
      <c r="E977" s="3">
        <v>433</v>
      </c>
      <c r="F977" s="2">
        <v>81.377083333333331</v>
      </c>
      <c r="G977" t="s">
        <v>2819</v>
      </c>
      <c r="H977" t="s">
        <v>2813</v>
      </c>
      <c r="I977" s="2">
        <v>2.5062500000000001</v>
      </c>
      <c r="J977" s="4" t="str">
        <f>IF(Table1[[#This Row],[processing_time_hours]]&gt;1.5,"Slow", "Fast")</f>
        <v>Slow</v>
      </c>
      <c r="K977" t="s">
        <v>2821</v>
      </c>
      <c r="L977" s="3">
        <v>0</v>
      </c>
      <c r="M977" t="str">
        <f>IF(Table1[[#This Row],[delayed]]=1,"Delayed","On Time")</f>
        <v>On Time</v>
      </c>
      <c r="N977" t="str">
        <f>IF(AND(Table1[[#This Row],[delayed]]=1,Table1[[#This Row],[weather_condition]]="Storm"),"High Risk", IF(Table1[[#This Row],[delayed]]=1,"Medium Risk","Low Risk"))</f>
        <v>Low Risk</v>
      </c>
    </row>
    <row r="978" spans="1:14" x14ac:dyDescent="0.35">
      <c r="A978">
        <v>977</v>
      </c>
      <c r="B978" s="1">
        <v>44967.666666666664</v>
      </c>
      <c r="C978" s="2">
        <v>4.3055555555555562E-2</v>
      </c>
      <c r="D978" s="3">
        <v>4037</v>
      </c>
      <c r="E978" s="3">
        <v>303</v>
      </c>
      <c r="F978" s="2">
        <v>32.833333333333336</v>
      </c>
      <c r="G978" t="s">
        <v>2816</v>
      </c>
      <c r="H978" t="s">
        <v>2813</v>
      </c>
      <c r="I978" s="2">
        <v>2.0881944444444445</v>
      </c>
      <c r="J978" s="4" t="str">
        <f>IF(Table1[[#This Row],[processing_time_hours]]&gt;1.5,"Slow", "Fast")</f>
        <v>Slow</v>
      </c>
      <c r="K978" t="s">
        <v>2814</v>
      </c>
      <c r="L978" s="3">
        <v>1</v>
      </c>
      <c r="M978" t="str">
        <f>IF(Table1[[#This Row],[delayed]]=1,"Delayed","On Time")</f>
        <v>Delayed</v>
      </c>
      <c r="N978" t="str">
        <f>IF(AND(Table1[[#This Row],[delayed]]=1,Table1[[#This Row],[weather_condition]]="Storm"),"High Risk", IF(Table1[[#This Row],[delayed]]=1,"Medium Risk","Low Risk"))</f>
        <v>Medium Risk</v>
      </c>
    </row>
    <row r="979" spans="1:14" x14ac:dyDescent="0.35">
      <c r="A979">
        <v>978</v>
      </c>
      <c r="B979" s="1">
        <v>44967.708333333336</v>
      </c>
      <c r="C979" s="2">
        <v>6.2499999999999995E-3</v>
      </c>
      <c r="D979" s="3">
        <v>1689</v>
      </c>
      <c r="E979" s="3">
        <v>109</v>
      </c>
      <c r="F979" s="2">
        <v>11.543750000000001</v>
      </c>
      <c r="G979" t="s">
        <v>2819</v>
      </c>
      <c r="H979" t="s">
        <v>2820</v>
      </c>
      <c r="I979" s="2">
        <v>2.5861111111111112</v>
      </c>
      <c r="J979" s="4" t="str">
        <f>IF(Table1[[#This Row],[processing_time_hours]]&gt;1.5,"Slow", "Fast")</f>
        <v>Slow</v>
      </c>
      <c r="K979" t="s">
        <v>2821</v>
      </c>
      <c r="L979" s="3">
        <v>0</v>
      </c>
      <c r="M979" t="str">
        <f>IF(Table1[[#This Row],[delayed]]=1,"Delayed","On Time")</f>
        <v>On Time</v>
      </c>
      <c r="N979" t="str">
        <f>IF(AND(Table1[[#This Row],[delayed]]=1,Table1[[#This Row],[weather_condition]]="Storm"),"High Risk", IF(Table1[[#This Row],[delayed]]=1,"Medium Risk","Low Risk"))</f>
        <v>Low Risk</v>
      </c>
    </row>
    <row r="980" spans="1:14" x14ac:dyDescent="0.35">
      <c r="A980">
        <v>979</v>
      </c>
      <c r="B980" s="1">
        <v>44967.75</v>
      </c>
      <c r="C980" s="2">
        <v>5.5555555555555558E-3</v>
      </c>
      <c r="D980" s="3">
        <v>4869</v>
      </c>
      <c r="E980" s="3">
        <v>154</v>
      </c>
      <c r="F980" s="2">
        <v>81.211111111111109</v>
      </c>
      <c r="G980" t="s">
        <v>2815</v>
      </c>
      <c r="H980" t="s">
        <v>2817</v>
      </c>
      <c r="I980" s="2">
        <v>2.088888888888889</v>
      </c>
      <c r="J980" s="4" t="str">
        <f>IF(Table1[[#This Row],[processing_time_hours]]&gt;1.5,"Slow", "Fast")</f>
        <v>Slow</v>
      </c>
      <c r="K980" t="s">
        <v>2821</v>
      </c>
      <c r="L980" s="3">
        <v>0</v>
      </c>
      <c r="M980" t="str">
        <f>IF(Table1[[#This Row],[delayed]]=1,"Delayed","On Time")</f>
        <v>On Time</v>
      </c>
      <c r="N980" t="str">
        <f>IF(AND(Table1[[#This Row],[delayed]]=1,Table1[[#This Row],[weather_condition]]="Storm"),"High Risk", IF(Table1[[#This Row],[delayed]]=1,"Medium Risk","Low Risk"))</f>
        <v>Low Risk</v>
      </c>
    </row>
    <row r="981" spans="1:14" x14ac:dyDescent="0.35">
      <c r="A981">
        <v>980</v>
      </c>
      <c r="B981" s="1">
        <v>44967.791666666664</v>
      </c>
      <c r="C981" s="2">
        <v>6.2499999999999995E-3</v>
      </c>
      <c r="D981" s="3">
        <v>1635</v>
      </c>
      <c r="E981" s="3">
        <v>431</v>
      </c>
      <c r="F981" s="2">
        <v>38.62777777777778</v>
      </c>
      <c r="G981" t="s">
        <v>2819</v>
      </c>
      <c r="H981" t="s">
        <v>2813</v>
      </c>
      <c r="I981" s="2">
        <v>2.5451388888888888</v>
      </c>
      <c r="J981" s="4" t="str">
        <f>IF(Table1[[#This Row],[processing_time_hours]]&gt;1.5,"Slow", "Fast")</f>
        <v>Slow</v>
      </c>
      <c r="K981" t="s">
        <v>2814</v>
      </c>
      <c r="L981" s="3">
        <v>0</v>
      </c>
      <c r="M981" t="str">
        <f>IF(Table1[[#This Row],[delayed]]=1,"Delayed","On Time")</f>
        <v>On Time</v>
      </c>
      <c r="N981" t="str">
        <f>IF(AND(Table1[[#This Row],[delayed]]=1,Table1[[#This Row],[weather_condition]]="Storm"),"High Risk", IF(Table1[[#This Row],[delayed]]=1,"Medium Risk","Low Risk"))</f>
        <v>Low Risk</v>
      </c>
    </row>
    <row r="982" spans="1:14" x14ac:dyDescent="0.35">
      <c r="A982">
        <v>981</v>
      </c>
      <c r="B982" s="1">
        <v>44967.833333333336</v>
      </c>
      <c r="C982" s="2">
        <v>4.9305555555555554E-2</v>
      </c>
      <c r="D982" s="3">
        <v>2439</v>
      </c>
      <c r="E982" s="3">
        <v>152</v>
      </c>
      <c r="F982" s="2">
        <v>1.7534722222222223</v>
      </c>
      <c r="G982" t="s">
        <v>2815</v>
      </c>
      <c r="H982" t="s">
        <v>2813</v>
      </c>
      <c r="I982" s="2">
        <v>1.4180555555555554</v>
      </c>
      <c r="J982" s="4" t="str">
        <f>IF(Table1[[#This Row],[processing_time_hours]]&gt;1.5,"Slow", "Fast")</f>
        <v>Fast</v>
      </c>
      <c r="K982" t="s">
        <v>2818</v>
      </c>
      <c r="L982" s="3">
        <v>0</v>
      </c>
      <c r="M982" t="str">
        <f>IF(Table1[[#This Row],[delayed]]=1,"Delayed","On Time")</f>
        <v>On Time</v>
      </c>
      <c r="N982" t="str">
        <f>IF(AND(Table1[[#This Row],[delayed]]=1,Table1[[#This Row],[weather_condition]]="Storm"),"High Risk", IF(Table1[[#This Row],[delayed]]=1,"Medium Risk","Low Risk"))</f>
        <v>Low Risk</v>
      </c>
    </row>
    <row r="983" spans="1:14" x14ac:dyDescent="0.35">
      <c r="A983">
        <v>982</v>
      </c>
      <c r="B983" s="1">
        <v>44967.875</v>
      </c>
      <c r="C983" s="2">
        <v>5.1388888888888894E-2</v>
      </c>
      <c r="D983" s="3">
        <v>3023</v>
      </c>
      <c r="E983" s="3">
        <v>134</v>
      </c>
      <c r="F983" s="2">
        <v>21.296527777777779</v>
      </c>
      <c r="G983" t="s">
        <v>2816</v>
      </c>
      <c r="H983" t="s">
        <v>2813</v>
      </c>
      <c r="I983" s="2">
        <v>2.963888888888889</v>
      </c>
      <c r="J983" s="4" t="str">
        <f>IF(Table1[[#This Row],[processing_time_hours]]&gt;1.5,"Slow", "Fast")</f>
        <v>Slow</v>
      </c>
      <c r="K983" t="s">
        <v>2818</v>
      </c>
      <c r="L983" s="3">
        <v>0</v>
      </c>
      <c r="M983" t="str">
        <f>IF(Table1[[#This Row],[delayed]]=1,"Delayed","On Time")</f>
        <v>On Time</v>
      </c>
      <c r="N983" t="str">
        <f>IF(AND(Table1[[#This Row],[delayed]]=1,Table1[[#This Row],[weather_condition]]="Storm"),"High Risk", IF(Table1[[#This Row],[delayed]]=1,"Medium Risk","Low Risk"))</f>
        <v>Low Risk</v>
      </c>
    </row>
    <row r="984" spans="1:14" x14ac:dyDescent="0.35">
      <c r="A984">
        <v>983</v>
      </c>
      <c r="B984" s="1">
        <v>44967.916666666664</v>
      </c>
      <c r="C984" s="2">
        <v>6.6666666666666666E-2</v>
      </c>
      <c r="D984" s="3">
        <v>4084</v>
      </c>
      <c r="E984" s="3">
        <v>37</v>
      </c>
      <c r="F984" s="2">
        <v>10.795138888888888</v>
      </c>
      <c r="G984" t="s">
        <v>2816</v>
      </c>
      <c r="H984" t="s">
        <v>2817</v>
      </c>
      <c r="I984" s="2">
        <v>2.1256944444444446</v>
      </c>
      <c r="J984" s="4" t="str">
        <f>IF(Table1[[#This Row],[processing_time_hours]]&gt;1.5,"Slow", "Fast")</f>
        <v>Slow</v>
      </c>
      <c r="K984" t="s">
        <v>2814</v>
      </c>
      <c r="L984" s="3">
        <v>1</v>
      </c>
      <c r="M984" t="str">
        <f>IF(Table1[[#This Row],[delayed]]=1,"Delayed","On Time")</f>
        <v>Delayed</v>
      </c>
      <c r="N984" t="str">
        <f>IF(AND(Table1[[#This Row],[delayed]]=1,Table1[[#This Row],[weather_condition]]="Storm"),"High Risk", IF(Table1[[#This Row],[delayed]]=1,"Medium Risk","Low Risk"))</f>
        <v>High Risk</v>
      </c>
    </row>
    <row r="985" spans="1:14" x14ac:dyDescent="0.35">
      <c r="A985">
        <v>984</v>
      </c>
      <c r="B985" s="1">
        <v>44967.958333333336</v>
      </c>
      <c r="C985" s="2">
        <v>4.1666666666666664E-2</v>
      </c>
      <c r="D985" s="3">
        <v>1390</v>
      </c>
      <c r="E985" s="3">
        <v>42</v>
      </c>
      <c r="F985" s="2">
        <v>33.506250000000001</v>
      </c>
      <c r="G985" t="s">
        <v>2816</v>
      </c>
      <c r="H985" t="s">
        <v>2813</v>
      </c>
      <c r="I985" s="2">
        <v>2.6666666666666665</v>
      </c>
      <c r="J985" s="4" t="str">
        <f>IF(Table1[[#This Row],[processing_time_hours]]&gt;1.5,"Slow", "Fast")</f>
        <v>Slow</v>
      </c>
      <c r="K985" t="s">
        <v>2818</v>
      </c>
      <c r="L985" s="3">
        <v>0</v>
      </c>
      <c r="M985" t="str">
        <f>IF(Table1[[#This Row],[delayed]]=1,"Delayed","On Time")</f>
        <v>On Time</v>
      </c>
      <c r="N985" t="str">
        <f>IF(AND(Table1[[#This Row],[delayed]]=1,Table1[[#This Row],[weather_condition]]="Storm"),"High Risk", IF(Table1[[#This Row],[delayed]]=1,"Medium Risk","Low Risk"))</f>
        <v>Low Risk</v>
      </c>
    </row>
    <row r="986" spans="1:14" x14ac:dyDescent="0.35">
      <c r="A986">
        <v>985</v>
      </c>
      <c r="B986" s="1">
        <v>44968</v>
      </c>
      <c r="C986" s="2">
        <v>4.4444444444444446E-2</v>
      </c>
      <c r="D986" s="3">
        <v>4583</v>
      </c>
      <c r="E986" s="3">
        <v>213</v>
      </c>
      <c r="F986" s="2">
        <v>37.086805555555557</v>
      </c>
      <c r="G986" t="s">
        <v>2816</v>
      </c>
      <c r="H986" t="s">
        <v>2813</v>
      </c>
      <c r="I986" s="2">
        <v>1.4618055555555556</v>
      </c>
      <c r="J986" s="4" t="str">
        <f>IF(Table1[[#This Row],[processing_time_hours]]&gt;1.5,"Slow", "Fast")</f>
        <v>Fast</v>
      </c>
      <c r="K986" t="s">
        <v>2818</v>
      </c>
      <c r="L986" s="3">
        <v>0</v>
      </c>
      <c r="M986" t="str">
        <f>IF(Table1[[#This Row],[delayed]]=1,"Delayed","On Time")</f>
        <v>On Time</v>
      </c>
      <c r="N986" t="str">
        <f>IF(AND(Table1[[#This Row],[delayed]]=1,Table1[[#This Row],[weather_condition]]="Storm"),"High Risk", IF(Table1[[#This Row],[delayed]]=1,"Medium Risk","Low Risk"))</f>
        <v>Low Risk</v>
      </c>
    </row>
    <row r="987" spans="1:14" x14ac:dyDescent="0.35">
      <c r="A987">
        <v>986</v>
      </c>
      <c r="B987" s="1">
        <v>44968.041666666664</v>
      </c>
      <c r="C987" s="2">
        <v>6.3194444444444442E-2</v>
      </c>
      <c r="D987" s="3">
        <v>3190</v>
      </c>
      <c r="E987" s="3">
        <v>175</v>
      </c>
      <c r="F987" s="2">
        <v>72.712499999999991</v>
      </c>
      <c r="G987" t="s">
        <v>2812</v>
      </c>
      <c r="H987" t="s">
        <v>2820</v>
      </c>
      <c r="I987" s="2">
        <v>0.16805555555555554</v>
      </c>
      <c r="J987" s="4" t="str">
        <f>IF(Table1[[#This Row],[processing_time_hours]]&gt;1.5,"Slow", "Fast")</f>
        <v>Fast</v>
      </c>
      <c r="K987" t="s">
        <v>2818</v>
      </c>
      <c r="L987" s="3">
        <v>0</v>
      </c>
      <c r="M987" t="str">
        <f>IF(Table1[[#This Row],[delayed]]=1,"Delayed","On Time")</f>
        <v>On Time</v>
      </c>
      <c r="N987" t="str">
        <f>IF(AND(Table1[[#This Row],[delayed]]=1,Table1[[#This Row],[weather_condition]]="Storm"),"High Risk", IF(Table1[[#This Row],[delayed]]=1,"Medium Risk","Low Risk"))</f>
        <v>Low Risk</v>
      </c>
    </row>
    <row r="988" spans="1:14" x14ac:dyDescent="0.35">
      <c r="A988">
        <v>987</v>
      </c>
      <c r="B988" s="1">
        <v>44968.083333333336</v>
      </c>
      <c r="C988" s="2">
        <v>5.6944444444444443E-2</v>
      </c>
      <c r="D988" s="3">
        <v>2069</v>
      </c>
      <c r="E988" s="3">
        <v>316</v>
      </c>
      <c r="F988" s="2">
        <v>3.9208333333333329</v>
      </c>
      <c r="G988" t="s">
        <v>2812</v>
      </c>
      <c r="H988" t="s">
        <v>2817</v>
      </c>
      <c r="I988" s="2">
        <v>0.46249999999999997</v>
      </c>
      <c r="J988" s="4" t="str">
        <f>IF(Table1[[#This Row],[processing_time_hours]]&gt;1.5,"Slow", "Fast")</f>
        <v>Fast</v>
      </c>
      <c r="K988" t="s">
        <v>2814</v>
      </c>
      <c r="L988" s="3">
        <v>0</v>
      </c>
      <c r="M988" t="str">
        <f>IF(Table1[[#This Row],[delayed]]=1,"Delayed","On Time")</f>
        <v>On Time</v>
      </c>
      <c r="N988" t="str">
        <f>IF(AND(Table1[[#This Row],[delayed]]=1,Table1[[#This Row],[weather_condition]]="Storm"),"High Risk", IF(Table1[[#This Row],[delayed]]=1,"Medium Risk","Low Risk"))</f>
        <v>Low Risk</v>
      </c>
    </row>
    <row r="989" spans="1:14" x14ac:dyDescent="0.35">
      <c r="A989">
        <v>988</v>
      </c>
      <c r="B989" s="1">
        <v>44968.125</v>
      </c>
      <c r="C989" s="2">
        <v>4.1666666666666666E-3</v>
      </c>
      <c r="D989" s="3">
        <v>4672</v>
      </c>
      <c r="E989" s="3">
        <v>83</v>
      </c>
      <c r="F989" s="2">
        <v>70.418750000000003</v>
      </c>
      <c r="G989" t="s">
        <v>2816</v>
      </c>
      <c r="H989" t="s">
        <v>2817</v>
      </c>
      <c r="I989" s="2">
        <v>1.0041666666666667</v>
      </c>
      <c r="J989" s="4" t="str">
        <f>IF(Table1[[#This Row],[processing_time_hours]]&gt;1.5,"Slow", "Fast")</f>
        <v>Fast</v>
      </c>
      <c r="K989" t="s">
        <v>2818</v>
      </c>
      <c r="L989" s="3">
        <v>0</v>
      </c>
      <c r="M989" t="str">
        <f>IF(Table1[[#This Row],[delayed]]=1,"Delayed","On Time")</f>
        <v>On Time</v>
      </c>
      <c r="N989" t="str">
        <f>IF(AND(Table1[[#This Row],[delayed]]=1,Table1[[#This Row],[weather_condition]]="Storm"),"High Risk", IF(Table1[[#This Row],[delayed]]=1,"Medium Risk","Low Risk"))</f>
        <v>Low Risk</v>
      </c>
    </row>
    <row r="990" spans="1:14" x14ac:dyDescent="0.35">
      <c r="A990">
        <v>989</v>
      </c>
      <c r="B990" s="1">
        <v>44968.166666666664</v>
      </c>
      <c r="C990" s="2">
        <v>5.9027777777777783E-2</v>
      </c>
      <c r="D990" s="3">
        <v>1083</v>
      </c>
      <c r="E990" s="3">
        <v>35</v>
      </c>
      <c r="F990" s="2">
        <v>62.835416666666667</v>
      </c>
      <c r="G990" t="s">
        <v>2819</v>
      </c>
      <c r="H990" t="s">
        <v>2813</v>
      </c>
      <c r="I990" s="2">
        <v>1.0013888888888889</v>
      </c>
      <c r="J990" s="4" t="str">
        <f>IF(Table1[[#This Row],[processing_time_hours]]&gt;1.5,"Slow", "Fast")</f>
        <v>Fast</v>
      </c>
      <c r="K990" t="s">
        <v>2814</v>
      </c>
      <c r="L990" s="3">
        <v>1</v>
      </c>
      <c r="M990" t="str">
        <f>IF(Table1[[#This Row],[delayed]]=1,"Delayed","On Time")</f>
        <v>Delayed</v>
      </c>
      <c r="N990" t="str">
        <f>IF(AND(Table1[[#This Row],[delayed]]=1,Table1[[#This Row],[weather_condition]]="Storm"),"High Risk", IF(Table1[[#This Row],[delayed]]=1,"Medium Risk","Low Risk"))</f>
        <v>Medium Risk</v>
      </c>
    </row>
    <row r="991" spans="1:14" x14ac:dyDescent="0.35">
      <c r="A991">
        <v>990</v>
      </c>
      <c r="B991" s="1">
        <v>44968.208333333336</v>
      </c>
      <c r="C991" s="2">
        <v>4.9305555555555554E-2</v>
      </c>
      <c r="D991" s="3">
        <v>1820</v>
      </c>
      <c r="E991" s="3">
        <v>420</v>
      </c>
      <c r="F991" s="2">
        <v>70.586111111111109</v>
      </c>
      <c r="G991" t="s">
        <v>2812</v>
      </c>
      <c r="H991" t="s">
        <v>2817</v>
      </c>
      <c r="I991" s="2">
        <v>2.2111111111111112</v>
      </c>
      <c r="J991" s="4" t="str">
        <f>IF(Table1[[#This Row],[processing_time_hours]]&gt;1.5,"Slow", "Fast")</f>
        <v>Slow</v>
      </c>
      <c r="K991" t="s">
        <v>2821</v>
      </c>
      <c r="L991" s="3">
        <v>1</v>
      </c>
      <c r="M991" t="str">
        <f>IF(Table1[[#This Row],[delayed]]=1,"Delayed","On Time")</f>
        <v>Delayed</v>
      </c>
      <c r="N991" t="str">
        <f>IF(AND(Table1[[#This Row],[delayed]]=1,Table1[[#This Row],[weather_condition]]="Storm"),"High Risk", IF(Table1[[#This Row],[delayed]]=1,"Medium Risk","Low Risk"))</f>
        <v>High Risk</v>
      </c>
    </row>
    <row r="992" spans="1:14" x14ac:dyDescent="0.35">
      <c r="A992">
        <v>991</v>
      </c>
      <c r="B992" s="1">
        <v>44968.25</v>
      </c>
      <c r="C992" s="2">
        <v>5.1388888888888894E-2</v>
      </c>
      <c r="D992" s="3">
        <v>1406</v>
      </c>
      <c r="E992" s="3">
        <v>272</v>
      </c>
      <c r="F992" s="2">
        <v>36.838194444444447</v>
      </c>
      <c r="G992" t="s">
        <v>2815</v>
      </c>
      <c r="H992" t="s">
        <v>2813</v>
      </c>
      <c r="I992" s="2">
        <v>0.54236111111111118</v>
      </c>
      <c r="J992" s="4" t="str">
        <f>IF(Table1[[#This Row],[processing_time_hours]]&gt;1.5,"Slow", "Fast")</f>
        <v>Fast</v>
      </c>
      <c r="K992" t="s">
        <v>2818</v>
      </c>
      <c r="L992" s="3">
        <v>1</v>
      </c>
      <c r="M992" t="str">
        <f>IF(Table1[[#This Row],[delayed]]=1,"Delayed","On Time")</f>
        <v>Delayed</v>
      </c>
      <c r="N992" t="str">
        <f>IF(AND(Table1[[#This Row],[delayed]]=1,Table1[[#This Row],[weather_condition]]="Storm"),"High Risk", IF(Table1[[#This Row],[delayed]]=1,"Medium Risk","Low Risk"))</f>
        <v>Medium Risk</v>
      </c>
    </row>
    <row r="993" spans="1:14" x14ac:dyDescent="0.35">
      <c r="A993">
        <v>992</v>
      </c>
      <c r="B993" s="1">
        <v>44968.291666666664</v>
      </c>
      <c r="C993" s="2">
        <v>6.8749999999999992E-2</v>
      </c>
      <c r="D993" s="3">
        <v>874</v>
      </c>
      <c r="E993" s="3">
        <v>219</v>
      </c>
      <c r="F993" s="2">
        <v>77.334027777777777</v>
      </c>
      <c r="G993" t="s">
        <v>2819</v>
      </c>
      <c r="H993" t="s">
        <v>2820</v>
      </c>
      <c r="I993" s="2">
        <v>1.1715277777777777</v>
      </c>
      <c r="J993" s="4" t="str">
        <f>IF(Table1[[#This Row],[processing_time_hours]]&gt;1.5,"Slow", "Fast")</f>
        <v>Fast</v>
      </c>
      <c r="K993" t="s">
        <v>2814</v>
      </c>
      <c r="L993" s="3">
        <v>1</v>
      </c>
      <c r="M993" t="str">
        <f>IF(Table1[[#This Row],[delayed]]=1,"Delayed","On Time")</f>
        <v>Delayed</v>
      </c>
      <c r="N993" t="str">
        <f>IF(AND(Table1[[#This Row],[delayed]]=1,Table1[[#This Row],[weather_condition]]="Storm"),"High Risk", IF(Table1[[#This Row],[delayed]]=1,"Medium Risk","Low Risk"))</f>
        <v>Medium Risk</v>
      </c>
    </row>
    <row r="994" spans="1:14" x14ac:dyDescent="0.35">
      <c r="A994">
        <v>993</v>
      </c>
      <c r="B994" s="1">
        <v>44968.333333333336</v>
      </c>
      <c r="C994" s="2">
        <v>6.2499999999999995E-3</v>
      </c>
      <c r="D994" s="3">
        <v>2898</v>
      </c>
      <c r="E994" s="3">
        <v>253</v>
      </c>
      <c r="F994" s="2">
        <v>51.797222222222224</v>
      </c>
      <c r="G994" t="s">
        <v>2816</v>
      </c>
      <c r="H994" t="s">
        <v>2813</v>
      </c>
      <c r="I994" s="2">
        <v>1.5451388888888891</v>
      </c>
      <c r="J994" s="4" t="str">
        <f>IF(Table1[[#This Row],[processing_time_hours]]&gt;1.5,"Slow", "Fast")</f>
        <v>Slow</v>
      </c>
      <c r="K994" t="s">
        <v>2818</v>
      </c>
      <c r="L994" s="3">
        <v>0</v>
      </c>
      <c r="M994" t="str">
        <f>IF(Table1[[#This Row],[delayed]]=1,"Delayed","On Time")</f>
        <v>On Time</v>
      </c>
      <c r="N994" t="str">
        <f>IF(AND(Table1[[#This Row],[delayed]]=1,Table1[[#This Row],[weather_condition]]="Storm"),"High Risk", IF(Table1[[#This Row],[delayed]]=1,"Medium Risk","Low Risk"))</f>
        <v>Low Risk</v>
      </c>
    </row>
    <row r="995" spans="1:14" x14ac:dyDescent="0.35">
      <c r="A995">
        <v>994</v>
      </c>
      <c r="B995" s="1">
        <v>44968.375</v>
      </c>
      <c r="C995" s="2">
        <v>4.3055555555555562E-2</v>
      </c>
      <c r="D995" s="3">
        <v>3526</v>
      </c>
      <c r="E995" s="3">
        <v>415</v>
      </c>
      <c r="F995" s="2">
        <v>48.672222222222224</v>
      </c>
      <c r="G995" t="s">
        <v>2812</v>
      </c>
      <c r="H995" t="s">
        <v>2817</v>
      </c>
      <c r="I995" s="2">
        <v>0.21180555555555555</v>
      </c>
      <c r="J995" s="4" t="str">
        <f>IF(Table1[[#This Row],[processing_time_hours]]&gt;1.5,"Slow", "Fast")</f>
        <v>Fast</v>
      </c>
      <c r="K995" t="s">
        <v>2814</v>
      </c>
      <c r="L995" s="3">
        <v>0</v>
      </c>
      <c r="M995" t="str">
        <f>IF(Table1[[#This Row],[delayed]]=1,"Delayed","On Time")</f>
        <v>On Time</v>
      </c>
      <c r="N995" t="str">
        <f>IF(AND(Table1[[#This Row],[delayed]]=1,Table1[[#This Row],[weather_condition]]="Storm"),"High Risk", IF(Table1[[#This Row],[delayed]]=1,"Medium Risk","Low Risk"))</f>
        <v>Low Risk</v>
      </c>
    </row>
    <row r="996" spans="1:14" x14ac:dyDescent="0.35">
      <c r="A996">
        <v>995</v>
      </c>
      <c r="B996" s="1">
        <v>44968.416666666664</v>
      </c>
      <c r="C996" s="2">
        <v>6.0416666666666667E-2</v>
      </c>
      <c r="D996" s="3">
        <v>1316</v>
      </c>
      <c r="E996" s="3">
        <v>214</v>
      </c>
      <c r="F996" s="2">
        <v>73.670138888888886</v>
      </c>
      <c r="G996" t="s">
        <v>2815</v>
      </c>
      <c r="H996" t="s">
        <v>2817</v>
      </c>
      <c r="I996" s="2">
        <v>1.625</v>
      </c>
      <c r="J996" s="4" t="str">
        <f>IF(Table1[[#This Row],[processing_time_hours]]&gt;1.5,"Slow", "Fast")</f>
        <v>Slow</v>
      </c>
      <c r="K996" t="s">
        <v>2818</v>
      </c>
      <c r="L996" s="3">
        <v>1</v>
      </c>
      <c r="M996" t="str">
        <f>IF(Table1[[#This Row],[delayed]]=1,"Delayed","On Time")</f>
        <v>Delayed</v>
      </c>
      <c r="N996" t="str">
        <f>IF(AND(Table1[[#This Row],[delayed]]=1,Table1[[#This Row],[weather_condition]]="Storm"),"High Risk", IF(Table1[[#This Row],[delayed]]=1,"Medium Risk","Low Risk"))</f>
        <v>High Risk</v>
      </c>
    </row>
    <row r="997" spans="1:14" x14ac:dyDescent="0.35">
      <c r="A997">
        <v>996</v>
      </c>
      <c r="B997" s="1">
        <v>44968.458333333336</v>
      </c>
      <c r="C997" s="2">
        <v>4.2361111111111106E-2</v>
      </c>
      <c r="D997" s="3">
        <v>4117</v>
      </c>
      <c r="E997" s="3">
        <v>143</v>
      </c>
      <c r="F997" s="2">
        <v>59.084722222222219</v>
      </c>
      <c r="G997" t="s">
        <v>2812</v>
      </c>
      <c r="H997" t="s">
        <v>2820</v>
      </c>
      <c r="I997" s="2">
        <v>0.9194444444444444</v>
      </c>
      <c r="J997" s="4" t="str">
        <f>IF(Table1[[#This Row],[processing_time_hours]]&gt;1.5,"Slow", "Fast")</f>
        <v>Fast</v>
      </c>
      <c r="K997" t="s">
        <v>2821</v>
      </c>
      <c r="L997" s="3">
        <v>1</v>
      </c>
      <c r="M997" t="str">
        <f>IF(Table1[[#This Row],[delayed]]=1,"Delayed","On Time")</f>
        <v>Delayed</v>
      </c>
      <c r="N997" t="str">
        <f>IF(AND(Table1[[#This Row],[delayed]]=1,Table1[[#This Row],[weather_condition]]="Storm"),"High Risk", IF(Table1[[#This Row],[delayed]]=1,"Medium Risk","Low Risk"))</f>
        <v>Medium Risk</v>
      </c>
    </row>
    <row r="998" spans="1:14" x14ac:dyDescent="0.35">
      <c r="A998">
        <v>997</v>
      </c>
      <c r="B998" s="1">
        <v>44968.5</v>
      </c>
      <c r="C998" s="2">
        <v>6.5972222222222224E-2</v>
      </c>
      <c r="D998" s="3">
        <v>4741</v>
      </c>
      <c r="E998" s="3">
        <v>483</v>
      </c>
      <c r="F998" s="2">
        <v>75.75555555555556</v>
      </c>
      <c r="G998" t="s">
        <v>2815</v>
      </c>
      <c r="H998" t="s">
        <v>2820</v>
      </c>
      <c r="I998" s="2">
        <v>2.9229166666666671</v>
      </c>
      <c r="J998" s="4" t="str">
        <f>IF(Table1[[#This Row],[processing_time_hours]]&gt;1.5,"Slow", "Fast")</f>
        <v>Slow</v>
      </c>
      <c r="K998" t="s">
        <v>2814</v>
      </c>
      <c r="L998" s="3">
        <v>1</v>
      </c>
      <c r="M998" t="str">
        <f>IF(Table1[[#This Row],[delayed]]=1,"Delayed","On Time")</f>
        <v>Delayed</v>
      </c>
      <c r="N998" t="str">
        <f>IF(AND(Table1[[#This Row],[delayed]]=1,Table1[[#This Row],[weather_condition]]="Storm"),"High Risk", IF(Table1[[#This Row],[delayed]]=1,"Medium Risk","Low Risk"))</f>
        <v>Medium Risk</v>
      </c>
    </row>
    <row r="999" spans="1:14" x14ac:dyDescent="0.35">
      <c r="A999">
        <v>998</v>
      </c>
      <c r="B999" s="1">
        <v>44968.541666666664</v>
      </c>
      <c r="C999" s="2">
        <v>5.8333333333333327E-2</v>
      </c>
      <c r="D999" s="3">
        <v>647</v>
      </c>
      <c r="E999" s="3">
        <v>2</v>
      </c>
      <c r="F999" s="2">
        <v>15.170833333333334</v>
      </c>
      <c r="G999" t="s">
        <v>2815</v>
      </c>
      <c r="H999" t="s">
        <v>2820</v>
      </c>
      <c r="I999" s="2">
        <v>0.16805555555555554</v>
      </c>
      <c r="J999" s="4" t="str">
        <f>IF(Table1[[#This Row],[processing_time_hours]]&gt;1.5,"Slow", "Fast")</f>
        <v>Fast</v>
      </c>
      <c r="K999" t="s">
        <v>2814</v>
      </c>
      <c r="L999" s="3">
        <v>1</v>
      </c>
      <c r="M999" t="str">
        <f>IF(Table1[[#This Row],[delayed]]=1,"Delayed","On Time")</f>
        <v>Delayed</v>
      </c>
      <c r="N999" t="str">
        <f>IF(AND(Table1[[#This Row],[delayed]]=1,Table1[[#This Row],[weather_condition]]="Storm"),"High Risk", IF(Table1[[#This Row],[delayed]]=1,"Medium Risk","Low Risk"))</f>
        <v>Medium Risk</v>
      </c>
    </row>
    <row r="1000" spans="1:14" x14ac:dyDescent="0.35">
      <c r="A1000">
        <v>999</v>
      </c>
      <c r="B1000" s="1">
        <v>44968.583333333336</v>
      </c>
      <c r="C1000" s="2">
        <v>5.9027777777777783E-2</v>
      </c>
      <c r="D1000" s="3">
        <v>4957</v>
      </c>
      <c r="E1000" s="3">
        <v>68</v>
      </c>
      <c r="F1000" s="2">
        <v>34.544444444444444</v>
      </c>
      <c r="G1000" t="s">
        <v>2819</v>
      </c>
      <c r="H1000" t="s">
        <v>2820</v>
      </c>
      <c r="I1000" s="2">
        <v>1.6305555555555555</v>
      </c>
      <c r="J1000" s="4" t="str">
        <f>IF(Table1[[#This Row],[processing_time_hours]]&gt;1.5,"Slow", "Fast")</f>
        <v>Slow</v>
      </c>
      <c r="K1000" t="s">
        <v>2814</v>
      </c>
      <c r="L1000" s="3">
        <v>1</v>
      </c>
      <c r="M1000" t="str">
        <f>IF(Table1[[#This Row],[delayed]]=1,"Delayed","On Time")</f>
        <v>Delayed</v>
      </c>
      <c r="N1000" t="str">
        <f>IF(AND(Table1[[#This Row],[delayed]]=1,Table1[[#This Row],[weather_condition]]="Storm"),"High Risk", IF(Table1[[#This Row],[delayed]]=1,"Medium Risk","Low Risk"))</f>
        <v>Medium Risk</v>
      </c>
    </row>
    <row r="1001" spans="1:14" x14ac:dyDescent="0.35">
      <c r="A1001">
        <v>1000</v>
      </c>
      <c r="B1001" s="1">
        <v>44968.625</v>
      </c>
      <c r="C1001" s="2">
        <v>4.2361111111111106E-2</v>
      </c>
      <c r="D1001" s="3">
        <v>3714</v>
      </c>
      <c r="E1001" s="3">
        <v>183</v>
      </c>
      <c r="F1001" s="2">
        <v>13.297916666666666</v>
      </c>
      <c r="G1001" t="s">
        <v>2816</v>
      </c>
      <c r="H1001" t="s">
        <v>2817</v>
      </c>
      <c r="I1001" s="2">
        <v>2.9590277777777776</v>
      </c>
      <c r="J1001" s="4" t="str">
        <f>IF(Table1[[#This Row],[processing_time_hours]]&gt;1.5,"Slow", "Fast")</f>
        <v>Slow</v>
      </c>
      <c r="K1001" t="s">
        <v>2821</v>
      </c>
      <c r="L1001" s="3">
        <v>0</v>
      </c>
      <c r="M1001" t="str">
        <f>IF(Table1[[#This Row],[delayed]]=1,"Delayed","On Time")</f>
        <v>On Time</v>
      </c>
      <c r="N1001" t="str">
        <f>IF(AND(Table1[[#This Row],[delayed]]=1,Table1[[#This Row],[weather_condition]]="Storm"),"High Risk", IF(Table1[[#This Row],[delayed]]=1,"Medium Risk","Low Risk"))</f>
        <v>Low Risk</v>
      </c>
    </row>
    <row r="1002" spans="1:14" x14ac:dyDescent="0.35">
      <c r="A1002">
        <v>1001</v>
      </c>
      <c r="B1002" s="1">
        <v>44968.666666666664</v>
      </c>
      <c r="C1002" s="2">
        <v>4.3750000000000004E-2</v>
      </c>
      <c r="D1002" s="3">
        <v>1369</v>
      </c>
      <c r="E1002" s="3">
        <v>21</v>
      </c>
      <c r="F1002" s="2">
        <v>18.628472222222221</v>
      </c>
      <c r="G1002" t="s">
        <v>2819</v>
      </c>
      <c r="H1002" t="s">
        <v>2817</v>
      </c>
      <c r="I1002" s="2">
        <v>2.7923611111111111</v>
      </c>
      <c r="J1002" s="4" t="str">
        <f>IF(Table1[[#This Row],[processing_time_hours]]&gt;1.5,"Slow", "Fast")</f>
        <v>Slow</v>
      </c>
      <c r="K1002" t="s">
        <v>2818</v>
      </c>
      <c r="L1002" s="3">
        <v>1</v>
      </c>
      <c r="M1002" t="str">
        <f>IF(Table1[[#This Row],[delayed]]=1,"Delayed","On Time")</f>
        <v>Delayed</v>
      </c>
      <c r="N1002" t="str">
        <f>IF(AND(Table1[[#This Row],[delayed]]=1,Table1[[#This Row],[weather_condition]]="Storm"),"High Risk", IF(Table1[[#This Row],[delayed]]=1,"Medium Risk","Low Risk"))</f>
        <v>High Risk</v>
      </c>
    </row>
    <row r="1003" spans="1:14" x14ac:dyDescent="0.35">
      <c r="A1003">
        <v>1002</v>
      </c>
      <c r="B1003" s="1">
        <v>44968.708333333336</v>
      </c>
      <c r="C1003" s="2">
        <v>5.6250000000000001E-2</v>
      </c>
      <c r="D1003" s="3">
        <v>2183</v>
      </c>
      <c r="E1003" s="3">
        <v>425</v>
      </c>
      <c r="F1003" s="2">
        <v>40.83958333333333</v>
      </c>
      <c r="G1003" t="s">
        <v>2816</v>
      </c>
      <c r="H1003" t="s">
        <v>2820</v>
      </c>
      <c r="I1003" s="2">
        <v>8.819444444444445E-2</v>
      </c>
      <c r="J1003" s="4" t="str">
        <f>IF(Table1[[#This Row],[processing_time_hours]]&gt;1.5,"Slow", "Fast")</f>
        <v>Fast</v>
      </c>
      <c r="K1003" t="s">
        <v>2814</v>
      </c>
      <c r="L1003" s="3">
        <v>0</v>
      </c>
      <c r="M1003" t="str">
        <f>IF(Table1[[#This Row],[delayed]]=1,"Delayed","On Time")</f>
        <v>On Time</v>
      </c>
      <c r="N1003" t="str">
        <f>IF(AND(Table1[[#This Row],[delayed]]=1,Table1[[#This Row],[weather_condition]]="Storm"),"High Risk", IF(Table1[[#This Row],[delayed]]=1,"Medium Risk","Low Risk"))</f>
        <v>Low Risk</v>
      </c>
    </row>
    <row r="1004" spans="1:14" x14ac:dyDescent="0.35">
      <c r="A1004">
        <v>1003</v>
      </c>
      <c r="B1004" s="1">
        <v>44968.75</v>
      </c>
      <c r="C1004" s="2">
        <v>5.2083333333333336E-2</v>
      </c>
      <c r="D1004" s="3">
        <v>834</v>
      </c>
      <c r="E1004" s="3">
        <v>449</v>
      </c>
      <c r="F1004" s="2">
        <v>29.960416666666664</v>
      </c>
      <c r="G1004" t="s">
        <v>2812</v>
      </c>
      <c r="H1004" t="s">
        <v>2813</v>
      </c>
      <c r="I1004" s="2">
        <v>1.0847222222222224</v>
      </c>
      <c r="J1004" s="4" t="str">
        <f>IF(Table1[[#This Row],[processing_time_hours]]&gt;1.5,"Slow", "Fast")</f>
        <v>Fast</v>
      </c>
      <c r="K1004" t="s">
        <v>2814</v>
      </c>
      <c r="L1004" s="3">
        <v>0</v>
      </c>
      <c r="M1004" t="str">
        <f>IF(Table1[[#This Row],[delayed]]=1,"Delayed","On Time")</f>
        <v>On Time</v>
      </c>
      <c r="N1004" t="str">
        <f>IF(AND(Table1[[#This Row],[delayed]]=1,Table1[[#This Row],[weather_condition]]="Storm"),"High Risk", IF(Table1[[#This Row],[delayed]]=1,"Medium Risk","Low Risk"))</f>
        <v>Low Risk</v>
      </c>
    </row>
    <row r="1005" spans="1:14" x14ac:dyDescent="0.35">
      <c r="A1005">
        <v>1004</v>
      </c>
      <c r="B1005" s="1">
        <v>44968.791666666664</v>
      </c>
      <c r="C1005" s="2">
        <v>6.458333333333334E-2</v>
      </c>
      <c r="D1005" s="3">
        <v>1389</v>
      </c>
      <c r="E1005" s="3">
        <v>381</v>
      </c>
      <c r="F1005" s="2">
        <v>55.125</v>
      </c>
      <c r="G1005" t="s">
        <v>2815</v>
      </c>
      <c r="H1005" t="s">
        <v>2813</v>
      </c>
      <c r="I1005" s="2">
        <v>1.2104166666666667</v>
      </c>
      <c r="J1005" s="4" t="str">
        <f>IF(Table1[[#This Row],[processing_time_hours]]&gt;1.5,"Slow", "Fast")</f>
        <v>Fast</v>
      </c>
      <c r="K1005" t="s">
        <v>2818</v>
      </c>
      <c r="L1005" s="3">
        <v>0</v>
      </c>
      <c r="M1005" t="str">
        <f>IF(Table1[[#This Row],[delayed]]=1,"Delayed","On Time")</f>
        <v>On Time</v>
      </c>
      <c r="N1005" t="str">
        <f>IF(AND(Table1[[#This Row],[delayed]]=1,Table1[[#This Row],[weather_condition]]="Storm"),"High Risk", IF(Table1[[#This Row],[delayed]]=1,"Medium Risk","Low Risk"))</f>
        <v>Low Risk</v>
      </c>
    </row>
    <row r="1006" spans="1:14" x14ac:dyDescent="0.35">
      <c r="A1006">
        <v>1005</v>
      </c>
      <c r="B1006" s="1">
        <v>44968.833333333336</v>
      </c>
      <c r="C1006" s="2">
        <v>4.9305555555555554E-2</v>
      </c>
      <c r="D1006" s="3">
        <v>3030</v>
      </c>
      <c r="E1006" s="3">
        <v>242</v>
      </c>
      <c r="F1006" s="2">
        <v>12.125</v>
      </c>
      <c r="G1006" t="s">
        <v>2812</v>
      </c>
      <c r="H1006" t="s">
        <v>2820</v>
      </c>
      <c r="I1006" s="2">
        <v>0.66736111111111107</v>
      </c>
      <c r="J1006" s="4" t="str">
        <f>IF(Table1[[#This Row],[processing_time_hours]]&gt;1.5,"Slow", "Fast")</f>
        <v>Fast</v>
      </c>
      <c r="K1006" t="s">
        <v>2821</v>
      </c>
      <c r="L1006" s="3">
        <v>1</v>
      </c>
      <c r="M1006" t="str">
        <f>IF(Table1[[#This Row],[delayed]]=1,"Delayed","On Time")</f>
        <v>Delayed</v>
      </c>
      <c r="N1006" t="str">
        <f>IF(AND(Table1[[#This Row],[delayed]]=1,Table1[[#This Row],[weather_condition]]="Storm"),"High Risk", IF(Table1[[#This Row],[delayed]]=1,"Medium Risk","Low Risk"))</f>
        <v>Medium Risk</v>
      </c>
    </row>
    <row r="1007" spans="1:14" x14ac:dyDescent="0.35">
      <c r="A1007">
        <v>1006</v>
      </c>
      <c r="B1007" s="1">
        <v>44968.875</v>
      </c>
      <c r="C1007" s="2">
        <v>5.2777777777777778E-2</v>
      </c>
      <c r="D1007" s="3">
        <v>2584</v>
      </c>
      <c r="E1007" s="3">
        <v>205</v>
      </c>
      <c r="F1007" s="2">
        <v>1.1694444444444445</v>
      </c>
      <c r="G1007" t="s">
        <v>2815</v>
      </c>
      <c r="H1007" t="s">
        <v>2820</v>
      </c>
      <c r="I1007" s="2">
        <v>1.2541666666666667</v>
      </c>
      <c r="J1007" s="4" t="str">
        <f>IF(Table1[[#This Row],[processing_time_hours]]&gt;1.5,"Slow", "Fast")</f>
        <v>Fast</v>
      </c>
      <c r="K1007" t="s">
        <v>2818</v>
      </c>
      <c r="L1007" s="3">
        <v>0</v>
      </c>
      <c r="M1007" t="str">
        <f>IF(Table1[[#This Row],[delayed]]=1,"Delayed","On Time")</f>
        <v>On Time</v>
      </c>
      <c r="N1007" t="str">
        <f>IF(AND(Table1[[#This Row],[delayed]]=1,Table1[[#This Row],[weather_condition]]="Storm"),"High Risk", IF(Table1[[#This Row],[delayed]]=1,"Medium Risk","Low Risk"))</f>
        <v>Low Risk</v>
      </c>
    </row>
    <row r="1008" spans="1:14" x14ac:dyDescent="0.35">
      <c r="A1008">
        <v>1007</v>
      </c>
      <c r="B1008" s="1">
        <v>44968.916666666664</v>
      </c>
      <c r="C1008" s="2">
        <v>4.5138888888888888E-2</v>
      </c>
      <c r="D1008" s="3">
        <v>769</v>
      </c>
      <c r="E1008" s="3">
        <v>111</v>
      </c>
      <c r="F1008" s="2">
        <v>14.627083333333333</v>
      </c>
      <c r="G1008" t="s">
        <v>2819</v>
      </c>
      <c r="H1008" t="s">
        <v>2817</v>
      </c>
      <c r="I1008" s="2">
        <v>0.88055555555555554</v>
      </c>
      <c r="J1008" s="4" t="str">
        <f>IF(Table1[[#This Row],[processing_time_hours]]&gt;1.5,"Slow", "Fast")</f>
        <v>Fast</v>
      </c>
      <c r="K1008" t="s">
        <v>2821</v>
      </c>
      <c r="L1008" s="3">
        <v>0</v>
      </c>
      <c r="M1008" t="str">
        <f>IF(Table1[[#This Row],[delayed]]=1,"Delayed","On Time")</f>
        <v>On Time</v>
      </c>
      <c r="N1008" t="str">
        <f>IF(AND(Table1[[#This Row],[delayed]]=1,Table1[[#This Row],[weather_condition]]="Storm"),"High Risk", IF(Table1[[#This Row],[delayed]]=1,"Medium Risk","Low Risk"))</f>
        <v>Low Risk</v>
      </c>
    </row>
    <row r="1009" spans="1:14" x14ac:dyDescent="0.35">
      <c r="A1009">
        <v>1008</v>
      </c>
      <c r="B1009" s="1">
        <v>44968.958333333336</v>
      </c>
      <c r="C1009" s="2">
        <v>5.5555555555555558E-3</v>
      </c>
      <c r="D1009" s="3">
        <v>4800</v>
      </c>
      <c r="E1009" s="3">
        <v>405</v>
      </c>
      <c r="F1009" s="2">
        <v>79.711111111111109</v>
      </c>
      <c r="G1009" t="s">
        <v>2816</v>
      </c>
      <c r="H1009" t="s">
        <v>2820</v>
      </c>
      <c r="I1009" s="2">
        <v>0.41736111111111113</v>
      </c>
      <c r="J1009" s="4" t="str">
        <f>IF(Table1[[#This Row],[processing_time_hours]]&gt;1.5,"Slow", "Fast")</f>
        <v>Fast</v>
      </c>
      <c r="K1009" t="s">
        <v>2821</v>
      </c>
      <c r="L1009" s="3">
        <v>1</v>
      </c>
      <c r="M1009" t="str">
        <f>IF(Table1[[#This Row],[delayed]]=1,"Delayed","On Time")</f>
        <v>Delayed</v>
      </c>
      <c r="N1009" t="str">
        <f>IF(AND(Table1[[#This Row],[delayed]]=1,Table1[[#This Row],[weather_condition]]="Storm"),"High Risk", IF(Table1[[#This Row],[delayed]]=1,"Medium Risk","Low Risk"))</f>
        <v>Medium Risk</v>
      </c>
    </row>
    <row r="1010" spans="1:14" x14ac:dyDescent="0.35">
      <c r="A1010">
        <v>1009</v>
      </c>
      <c r="B1010" s="1">
        <v>44969</v>
      </c>
      <c r="C1010" s="2">
        <v>6.805555555555555E-2</v>
      </c>
      <c r="D1010" s="3">
        <v>3362</v>
      </c>
      <c r="E1010" s="3">
        <v>269</v>
      </c>
      <c r="F1010" s="2">
        <v>79.917361111111106</v>
      </c>
      <c r="G1010" t="s">
        <v>2816</v>
      </c>
      <c r="H1010" t="s">
        <v>2817</v>
      </c>
      <c r="I1010" s="2">
        <v>2.6708333333333329</v>
      </c>
      <c r="J1010" s="4" t="str">
        <f>IF(Table1[[#This Row],[processing_time_hours]]&gt;1.5,"Slow", "Fast")</f>
        <v>Slow</v>
      </c>
      <c r="K1010" t="s">
        <v>2814</v>
      </c>
      <c r="L1010" s="3">
        <v>1</v>
      </c>
      <c r="M1010" t="str">
        <f>IF(Table1[[#This Row],[delayed]]=1,"Delayed","On Time")</f>
        <v>Delayed</v>
      </c>
      <c r="N1010" t="str">
        <f>IF(AND(Table1[[#This Row],[delayed]]=1,Table1[[#This Row],[weather_condition]]="Storm"),"High Risk", IF(Table1[[#This Row],[delayed]]=1,"Medium Risk","Low Risk"))</f>
        <v>High Risk</v>
      </c>
    </row>
    <row r="1011" spans="1:14" x14ac:dyDescent="0.35">
      <c r="A1011">
        <v>1010</v>
      </c>
      <c r="B1011" s="1">
        <v>44969.041666666664</v>
      </c>
      <c r="C1011" s="2">
        <v>4.9305555555555554E-2</v>
      </c>
      <c r="D1011" s="3">
        <v>1031</v>
      </c>
      <c r="E1011" s="3">
        <v>296</v>
      </c>
      <c r="F1011" s="2">
        <v>3.713888888888889</v>
      </c>
      <c r="G1011" t="s">
        <v>2812</v>
      </c>
      <c r="H1011" t="s">
        <v>2820</v>
      </c>
      <c r="I1011" s="2">
        <v>1.6256944444444443</v>
      </c>
      <c r="J1011" s="4" t="str">
        <f>IF(Table1[[#This Row],[processing_time_hours]]&gt;1.5,"Slow", "Fast")</f>
        <v>Slow</v>
      </c>
      <c r="K1011" t="s">
        <v>2818</v>
      </c>
      <c r="L1011" s="3">
        <v>1</v>
      </c>
      <c r="M1011" t="str">
        <f>IF(Table1[[#This Row],[delayed]]=1,"Delayed","On Time")</f>
        <v>Delayed</v>
      </c>
      <c r="N1011" t="str">
        <f>IF(AND(Table1[[#This Row],[delayed]]=1,Table1[[#This Row],[weather_condition]]="Storm"),"High Risk", IF(Table1[[#This Row],[delayed]]=1,"Medium Risk","Low Risk"))</f>
        <v>Medium Risk</v>
      </c>
    </row>
    <row r="1012" spans="1:14" x14ac:dyDescent="0.35">
      <c r="A1012">
        <v>1011</v>
      </c>
      <c r="B1012" s="1">
        <v>44969.083333333336</v>
      </c>
      <c r="C1012" s="2">
        <v>6.3888888888888898E-2</v>
      </c>
      <c r="D1012" s="3">
        <v>3430</v>
      </c>
      <c r="E1012" s="3">
        <v>338</v>
      </c>
      <c r="F1012" s="2">
        <v>11.3375</v>
      </c>
      <c r="G1012" t="s">
        <v>2816</v>
      </c>
      <c r="H1012" t="s">
        <v>2820</v>
      </c>
      <c r="I1012" s="2">
        <v>1.2520833333333334</v>
      </c>
      <c r="J1012" s="4" t="str">
        <f>IF(Table1[[#This Row],[processing_time_hours]]&gt;1.5,"Slow", "Fast")</f>
        <v>Fast</v>
      </c>
      <c r="K1012" t="s">
        <v>2821</v>
      </c>
      <c r="L1012" s="3">
        <v>0</v>
      </c>
      <c r="M1012" t="str">
        <f>IF(Table1[[#This Row],[delayed]]=1,"Delayed","On Time")</f>
        <v>On Time</v>
      </c>
      <c r="N1012" t="str">
        <f>IF(AND(Table1[[#This Row],[delayed]]=1,Table1[[#This Row],[weather_condition]]="Storm"),"High Risk", IF(Table1[[#This Row],[delayed]]=1,"Medium Risk","Low Risk"))</f>
        <v>Low Risk</v>
      </c>
    </row>
    <row r="1013" spans="1:14" x14ac:dyDescent="0.35">
      <c r="A1013">
        <v>1012</v>
      </c>
      <c r="B1013" s="1">
        <v>44969.125</v>
      </c>
      <c r="C1013" s="2">
        <v>4.6527777777777779E-2</v>
      </c>
      <c r="D1013" s="3">
        <v>4302</v>
      </c>
      <c r="E1013" s="3">
        <v>182</v>
      </c>
      <c r="F1013" s="2">
        <v>39.212499999999999</v>
      </c>
      <c r="G1013" t="s">
        <v>2812</v>
      </c>
      <c r="H1013" t="s">
        <v>2820</v>
      </c>
      <c r="I1013" s="2">
        <v>2.588888888888889</v>
      </c>
      <c r="J1013" s="4" t="str">
        <f>IF(Table1[[#This Row],[processing_time_hours]]&gt;1.5,"Slow", "Fast")</f>
        <v>Slow</v>
      </c>
      <c r="K1013" t="s">
        <v>2814</v>
      </c>
      <c r="L1013" s="3">
        <v>1</v>
      </c>
      <c r="M1013" t="str">
        <f>IF(Table1[[#This Row],[delayed]]=1,"Delayed","On Time")</f>
        <v>Delayed</v>
      </c>
      <c r="N1013" t="str">
        <f>IF(AND(Table1[[#This Row],[delayed]]=1,Table1[[#This Row],[weather_condition]]="Storm"),"High Risk", IF(Table1[[#This Row],[delayed]]=1,"Medium Risk","Low Risk"))</f>
        <v>Medium Risk</v>
      </c>
    </row>
    <row r="1014" spans="1:14" x14ac:dyDescent="0.35">
      <c r="A1014">
        <v>1013</v>
      </c>
      <c r="B1014" s="1">
        <v>44969.166666666664</v>
      </c>
      <c r="C1014" s="2">
        <v>6.5972222222222224E-2</v>
      </c>
      <c r="D1014" s="3">
        <v>257</v>
      </c>
      <c r="E1014" s="3">
        <v>47</v>
      </c>
      <c r="F1014" s="2">
        <v>3.755555555555556</v>
      </c>
      <c r="G1014" t="s">
        <v>2819</v>
      </c>
      <c r="H1014" t="s">
        <v>2822</v>
      </c>
      <c r="I1014" s="2">
        <v>1.0833333333333333</v>
      </c>
      <c r="J1014" s="4" t="str">
        <f>IF(Table1[[#This Row],[processing_time_hours]]&gt;1.5,"Slow", "Fast")</f>
        <v>Fast</v>
      </c>
      <c r="K1014" t="s">
        <v>2814</v>
      </c>
      <c r="L1014" s="3">
        <v>1</v>
      </c>
      <c r="M1014" t="str">
        <f>IF(Table1[[#This Row],[delayed]]=1,"Delayed","On Time")</f>
        <v>Delayed</v>
      </c>
      <c r="N1014" t="str">
        <f>IF(AND(Table1[[#This Row],[delayed]]=1,Table1[[#This Row],[weather_condition]]="Storm"),"High Risk", IF(Table1[[#This Row],[delayed]]=1,"Medium Risk","Low Risk"))</f>
        <v>Medium Risk</v>
      </c>
    </row>
    <row r="1015" spans="1:14" x14ac:dyDescent="0.35">
      <c r="A1015">
        <v>1014</v>
      </c>
      <c r="B1015" s="1">
        <v>44969.208333333336</v>
      </c>
      <c r="C1015" s="2">
        <v>5.6250000000000001E-2</v>
      </c>
      <c r="D1015" s="3">
        <v>498</v>
      </c>
      <c r="E1015" s="3">
        <v>425</v>
      </c>
      <c r="F1015" s="2">
        <v>33.958333333333336</v>
      </c>
      <c r="G1015" t="s">
        <v>2816</v>
      </c>
      <c r="H1015" t="s">
        <v>2822</v>
      </c>
      <c r="I1015" s="2">
        <v>2.4222222222222221</v>
      </c>
      <c r="J1015" s="4" t="str">
        <f>IF(Table1[[#This Row],[processing_time_hours]]&gt;1.5,"Slow", "Fast")</f>
        <v>Slow</v>
      </c>
      <c r="K1015" t="s">
        <v>2818</v>
      </c>
      <c r="L1015" s="3">
        <v>0</v>
      </c>
      <c r="M1015" t="str">
        <f>IF(Table1[[#This Row],[delayed]]=1,"Delayed","On Time")</f>
        <v>On Time</v>
      </c>
      <c r="N1015" t="str">
        <f>IF(AND(Table1[[#This Row],[delayed]]=1,Table1[[#This Row],[weather_condition]]="Storm"),"High Risk", IF(Table1[[#This Row],[delayed]]=1,"Medium Risk","Low Risk"))</f>
        <v>Low Risk</v>
      </c>
    </row>
    <row r="1016" spans="1:14" x14ac:dyDescent="0.35">
      <c r="A1016">
        <v>1015</v>
      </c>
      <c r="B1016" s="1">
        <v>44969.25</v>
      </c>
      <c r="C1016" s="2">
        <v>4.5138888888888888E-2</v>
      </c>
      <c r="D1016" s="3">
        <v>2592</v>
      </c>
      <c r="E1016" s="3">
        <v>282</v>
      </c>
      <c r="F1016" s="2">
        <v>64.504861111111111</v>
      </c>
      <c r="G1016" t="s">
        <v>2816</v>
      </c>
      <c r="H1016" t="s">
        <v>2817</v>
      </c>
      <c r="I1016" s="2">
        <v>1.5451388888888891</v>
      </c>
      <c r="J1016" s="4" t="str">
        <f>IF(Table1[[#This Row],[processing_time_hours]]&gt;1.5,"Slow", "Fast")</f>
        <v>Slow</v>
      </c>
      <c r="K1016" t="s">
        <v>2818</v>
      </c>
      <c r="L1016" s="3">
        <v>0</v>
      </c>
      <c r="M1016" t="str">
        <f>IF(Table1[[#This Row],[delayed]]=1,"Delayed","On Time")</f>
        <v>On Time</v>
      </c>
      <c r="N1016" t="str">
        <f>IF(AND(Table1[[#This Row],[delayed]]=1,Table1[[#This Row],[weather_condition]]="Storm"),"High Risk", IF(Table1[[#This Row],[delayed]]=1,"Medium Risk","Low Risk"))</f>
        <v>Low Risk</v>
      </c>
    </row>
    <row r="1017" spans="1:14" x14ac:dyDescent="0.35">
      <c r="A1017">
        <v>1016</v>
      </c>
      <c r="B1017" s="1">
        <v>44969.291666666664</v>
      </c>
      <c r="C1017" s="2">
        <v>6.3194444444444442E-2</v>
      </c>
      <c r="D1017" s="3">
        <v>468</v>
      </c>
      <c r="E1017" s="3">
        <v>234</v>
      </c>
      <c r="F1017" s="2">
        <v>25.337500000000002</v>
      </c>
      <c r="G1017" t="s">
        <v>2815</v>
      </c>
      <c r="H1017" t="s">
        <v>2820</v>
      </c>
      <c r="I1017" s="2">
        <v>0.46388888888888885</v>
      </c>
      <c r="J1017" s="4" t="str">
        <f>IF(Table1[[#This Row],[processing_time_hours]]&gt;1.5,"Slow", "Fast")</f>
        <v>Fast</v>
      </c>
      <c r="K1017" t="s">
        <v>2818</v>
      </c>
      <c r="L1017" s="3">
        <v>0</v>
      </c>
      <c r="M1017" t="str">
        <f>IF(Table1[[#This Row],[delayed]]=1,"Delayed","On Time")</f>
        <v>On Time</v>
      </c>
      <c r="N1017" t="str">
        <f>IF(AND(Table1[[#This Row],[delayed]]=1,Table1[[#This Row],[weather_condition]]="Storm"),"High Risk", IF(Table1[[#This Row],[delayed]]=1,"Medium Risk","Low Risk"))</f>
        <v>Low Risk</v>
      </c>
    </row>
    <row r="1018" spans="1:14" x14ac:dyDescent="0.35">
      <c r="A1018">
        <v>1017</v>
      </c>
      <c r="B1018" s="1">
        <v>44969.333333333336</v>
      </c>
      <c r="C1018" s="2">
        <v>6.6666666666666666E-2</v>
      </c>
      <c r="D1018" s="3">
        <v>3865</v>
      </c>
      <c r="E1018" s="3">
        <v>374</v>
      </c>
      <c r="F1018" s="2">
        <v>9.0465277777777775</v>
      </c>
      <c r="G1018" t="s">
        <v>2816</v>
      </c>
      <c r="H1018" t="s">
        <v>2813</v>
      </c>
      <c r="I1018" s="2">
        <v>2.0444444444444447</v>
      </c>
      <c r="J1018" s="4" t="str">
        <f>IF(Table1[[#This Row],[processing_time_hours]]&gt;1.5,"Slow", "Fast")</f>
        <v>Slow</v>
      </c>
      <c r="K1018" t="s">
        <v>2818</v>
      </c>
      <c r="L1018" s="3">
        <v>1</v>
      </c>
      <c r="M1018" t="str">
        <f>IF(Table1[[#This Row],[delayed]]=1,"Delayed","On Time")</f>
        <v>Delayed</v>
      </c>
      <c r="N1018" t="str">
        <f>IF(AND(Table1[[#This Row],[delayed]]=1,Table1[[#This Row],[weather_condition]]="Storm"),"High Risk", IF(Table1[[#This Row],[delayed]]=1,"Medium Risk","Low Risk"))</f>
        <v>Medium Risk</v>
      </c>
    </row>
    <row r="1019" spans="1:14" x14ac:dyDescent="0.35">
      <c r="A1019">
        <v>1018</v>
      </c>
      <c r="B1019" s="1">
        <v>44969.375</v>
      </c>
      <c r="C1019" s="2">
        <v>4.5833333333333337E-2</v>
      </c>
      <c r="D1019" s="3">
        <v>3451</v>
      </c>
      <c r="E1019" s="3">
        <v>136</v>
      </c>
      <c r="F1019" s="2">
        <v>79.627083333333331</v>
      </c>
      <c r="G1019" t="s">
        <v>2816</v>
      </c>
      <c r="H1019" t="s">
        <v>2813</v>
      </c>
      <c r="I1019" s="2">
        <v>1.2145833333333333</v>
      </c>
      <c r="J1019" s="4" t="str">
        <f>IF(Table1[[#This Row],[processing_time_hours]]&gt;1.5,"Slow", "Fast")</f>
        <v>Fast</v>
      </c>
      <c r="K1019" t="s">
        <v>2818</v>
      </c>
      <c r="L1019" s="3">
        <v>1</v>
      </c>
      <c r="M1019" t="str">
        <f>IF(Table1[[#This Row],[delayed]]=1,"Delayed","On Time")</f>
        <v>Delayed</v>
      </c>
      <c r="N1019" t="str">
        <f>IF(AND(Table1[[#This Row],[delayed]]=1,Table1[[#This Row],[weather_condition]]="Storm"),"High Risk", IF(Table1[[#This Row],[delayed]]=1,"Medium Risk","Low Risk"))</f>
        <v>Medium Risk</v>
      </c>
    </row>
    <row r="1020" spans="1:14" x14ac:dyDescent="0.35">
      <c r="A1020">
        <v>1019</v>
      </c>
      <c r="B1020" s="1">
        <v>44969.416666666664</v>
      </c>
      <c r="C1020" s="2">
        <v>4.5138888888888888E-2</v>
      </c>
      <c r="D1020" s="3">
        <v>1581</v>
      </c>
      <c r="E1020" s="3">
        <v>440</v>
      </c>
      <c r="F1020" s="2">
        <v>64.250694444444449</v>
      </c>
      <c r="G1020" t="s">
        <v>2812</v>
      </c>
      <c r="H1020" t="s">
        <v>2822</v>
      </c>
      <c r="I1020" s="2">
        <v>0.91875000000000007</v>
      </c>
      <c r="J1020" s="4" t="str">
        <f>IF(Table1[[#This Row],[processing_time_hours]]&gt;1.5,"Slow", "Fast")</f>
        <v>Fast</v>
      </c>
      <c r="K1020" t="s">
        <v>2814</v>
      </c>
      <c r="L1020" s="3">
        <v>1</v>
      </c>
      <c r="M1020" t="str">
        <f>IF(Table1[[#This Row],[delayed]]=1,"Delayed","On Time")</f>
        <v>Delayed</v>
      </c>
      <c r="N1020" t="str">
        <f>IF(AND(Table1[[#This Row],[delayed]]=1,Table1[[#This Row],[weather_condition]]="Storm"),"High Risk", IF(Table1[[#This Row],[delayed]]=1,"Medium Risk","Low Risk"))</f>
        <v>Medium Risk</v>
      </c>
    </row>
    <row r="1021" spans="1:14" x14ac:dyDescent="0.35">
      <c r="A1021">
        <v>1020</v>
      </c>
      <c r="B1021" s="1">
        <v>44969.458333333336</v>
      </c>
      <c r="C1021" s="2">
        <v>4.8611111111111112E-3</v>
      </c>
      <c r="D1021" s="3">
        <v>2069</v>
      </c>
      <c r="E1021" s="3">
        <v>327</v>
      </c>
      <c r="F1021" s="2">
        <v>81.167361111111106</v>
      </c>
      <c r="G1021" t="s">
        <v>2819</v>
      </c>
      <c r="H1021" t="s">
        <v>2813</v>
      </c>
      <c r="I1021" s="2">
        <v>1.9604166666666665</v>
      </c>
      <c r="J1021" s="4" t="str">
        <f>IF(Table1[[#This Row],[processing_time_hours]]&gt;1.5,"Slow", "Fast")</f>
        <v>Slow</v>
      </c>
      <c r="K1021" t="s">
        <v>2818</v>
      </c>
      <c r="L1021" s="3">
        <v>1</v>
      </c>
      <c r="M1021" t="str">
        <f>IF(Table1[[#This Row],[delayed]]=1,"Delayed","On Time")</f>
        <v>Delayed</v>
      </c>
      <c r="N1021" t="str">
        <f>IF(AND(Table1[[#This Row],[delayed]]=1,Table1[[#This Row],[weather_condition]]="Storm"),"High Risk", IF(Table1[[#This Row],[delayed]]=1,"Medium Risk","Low Risk"))</f>
        <v>Medium Risk</v>
      </c>
    </row>
    <row r="1022" spans="1:14" x14ac:dyDescent="0.35">
      <c r="A1022">
        <v>1021</v>
      </c>
      <c r="B1022" s="1">
        <v>44969.5</v>
      </c>
      <c r="C1022" s="2">
        <v>5.6250000000000001E-2</v>
      </c>
      <c r="D1022" s="3">
        <v>629</v>
      </c>
      <c r="E1022" s="3">
        <v>83</v>
      </c>
      <c r="F1022" s="2">
        <v>62.670138888888886</v>
      </c>
      <c r="G1022" t="s">
        <v>2819</v>
      </c>
      <c r="H1022" t="s">
        <v>2820</v>
      </c>
      <c r="I1022" s="2">
        <v>2.1694444444444447</v>
      </c>
      <c r="J1022" s="4" t="str">
        <f>IF(Table1[[#This Row],[processing_time_hours]]&gt;1.5,"Slow", "Fast")</f>
        <v>Slow</v>
      </c>
      <c r="K1022" t="s">
        <v>2821</v>
      </c>
      <c r="L1022" s="3">
        <v>1</v>
      </c>
      <c r="M1022" t="str">
        <f>IF(Table1[[#This Row],[delayed]]=1,"Delayed","On Time")</f>
        <v>Delayed</v>
      </c>
      <c r="N1022" t="str">
        <f>IF(AND(Table1[[#This Row],[delayed]]=1,Table1[[#This Row],[weather_condition]]="Storm"),"High Risk", IF(Table1[[#This Row],[delayed]]=1,"Medium Risk","Low Risk"))</f>
        <v>Medium Risk</v>
      </c>
    </row>
    <row r="1023" spans="1:14" x14ac:dyDescent="0.35">
      <c r="A1023">
        <v>1022</v>
      </c>
      <c r="B1023" s="1">
        <v>44969.541666666664</v>
      </c>
      <c r="C1023" s="2">
        <v>6.805555555555555E-2</v>
      </c>
      <c r="D1023" s="3">
        <v>2532</v>
      </c>
      <c r="E1023" s="3">
        <v>397</v>
      </c>
      <c r="F1023" s="2">
        <v>37.629861111111111</v>
      </c>
      <c r="G1023" t="s">
        <v>2819</v>
      </c>
      <c r="H1023" t="s">
        <v>2822</v>
      </c>
      <c r="I1023" s="2">
        <v>8.6111111111111124E-2</v>
      </c>
      <c r="J1023" s="4" t="str">
        <f>IF(Table1[[#This Row],[processing_time_hours]]&gt;1.5,"Slow", "Fast")</f>
        <v>Fast</v>
      </c>
      <c r="K1023" t="s">
        <v>2821</v>
      </c>
      <c r="L1023" s="3">
        <v>0</v>
      </c>
      <c r="M1023" t="str">
        <f>IF(Table1[[#This Row],[delayed]]=1,"Delayed","On Time")</f>
        <v>On Time</v>
      </c>
      <c r="N1023" t="str">
        <f>IF(AND(Table1[[#This Row],[delayed]]=1,Table1[[#This Row],[weather_condition]]="Storm"),"High Risk", IF(Table1[[#This Row],[delayed]]=1,"Medium Risk","Low Risk"))</f>
        <v>Low Risk</v>
      </c>
    </row>
    <row r="1024" spans="1:14" x14ac:dyDescent="0.35">
      <c r="A1024">
        <v>1023</v>
      </c>
      <c r="B1024" s="1">
        <v>44969.583333333336</v>
      </c>
      <c r="C1024" s="2">
        <v>6.5277777777777782E-2</v>
      </c>
      <c r="D1024" s="3">
        <v>3949</v>
      </c>
      <c r="E1024" s="3">
        <v>166</v>
      </c>
      <c r="F1024" s="2">
        <v>31.087500000000002</v>
      </c>
      <c r="G1024" t="s">
        <v>2815</v>
      </c>
      <c r="H1024" t="s">
        <v>2817</v>
      </c>
      <c r="I1024" s="2">
        <v>1.3784722222222223</v>
      </c>
      <c r="J1024" s="4" t="str">
        <f>IF(Table1[[#This Row],[processing_time_hours]]&gt;1.5,"Slow", "Fast")</f>
        <v>Fast</v>
      </c>
      <c r="K1024" t="s">
        <v>2821</v>
      </c>
      <c r="L1024" s="3">
        <v>0</v>
      </c>
      <c r="M1024" t="str">
        <f>IF(Table1[[#This Row],[delayed]]=1,"Delayed","On Time")</f>
        <v>On Time</v>
      </c>
      <c r="N1024" t="str">
        <f>IF(AND(Table1[[#This Row],[delayed]]=1,Table1[[#This Row],[weather_condition]]="Storm"),"High Risk", IF(Table1[[#This Row],[delayed]]=1,"Medium Risk","Low Risk"))</f>
        <v>Low Risk</v>
      </c>
    </row>
    <row r="1025" spans="1:14" x14ac:dyDescent="0.35">
      <c r="A1025">
        <v>1024</v>
      </c>
      <c r="B1025" s="1">
        <v>44969.625</v>
      </c>
      <c r="C1025" s="2">
        <v>5.0694444444444438E-2</v>
      </c>
      <c r="D1025" s="3">
        <v>677</v>
      </c>
      <c r="E1025" s="3">
        <v>128</v>
      </c>
      <c r="F1025" s="2">
        <v>12.669444444444444</v>
      </c>
      <c r="G1025" t="s">
        <v>2815</v>
      </c>
      <c r="H1025" t="s">
        <v>2820</v>
      </c>
      <c r="I1025" s="2">
        <v>2.6708333333333329</v>
      </c>
      <c r="J1025" s="4" t="str">
        <f>IF(Table1[[#This Row],[processing_time_hours]]&gt;1.5,"Slow", "Fast")</f>
        <v>Slow</v>
      </c>
      <c r="K1025" t="s">
        <v>2821</v>
      </c>
      <c r="L1025" s="3">
        <v>0</v>
      </c>
      <c r="M1025" t="str">
        <f>IF(Table1[[#This Row],[delayed]]=1,"Delayed","On Time")</f>
        <v>On Time</v>
      </c>
      <c r="N1025" t="str">
        <f>IF(AND(Table1[[#This Row],[delayed]]=1,Table1[[#This Row],[weather_condition]]="Storm"),"High Risk", IF(Table1[[#This Row],[delayed]]=1,"Medium Risk","Low Risk"))</f>
        <v>Low Risk</v>
      </c>
    </row>
    <row r="1026" spans="1:14" x14ac:dyDescent="0.35">
      <c r="A1026">
        <v>1025</v>
      </c>
      <c r="B1026" s="1">
        <v>44969.666666666664</v>
      </c>
      <c r="C1026" s="2">
        <v>4.2361111111111106E-2</v>
      </c>
      <c r="D1026" s="3">
        <v>3125</v>
      </c>
      <c r="E1026" s="3">
        <v>44</v>
      </c>
      <c r="F1026" s="2">
        <v>23.543055555555554</v>
      </c>
      <c r="G1026" t="s">
        <v>2819</v>
      </c>
      <c r="H1026" t="s">
        <v>2820</v>
      </c>
      <c r="I1026" s="2">
        <v>2.963888888888889</v>
      </c>
      <c r="J1026" s="4" t="str">
        <f>IF(Table1[[#This Row],[processing_time_hours]]&gt;1.5,"Slow", "Fast")</f>
        <v>Slow</v>
      </c>
      <c r="K1026" t="s">
        <v>2821</v>
      </c>
      <c r="L1026" s="3">
        <v>0</v>
      </c>
      <c r="M1026" t="str">
        <f>IF(Table1[[#This Row],[delayed]]=1,"Delayed","On Time")</f>
        <v>On Time</v>
      </c>
      <c r="N1026" t="str">
        <f>IF(AND(Table1[[#This Row],[delayed]]=1,Table1[[#This Row],[weather_condition]]="Storm"),"High Risk", IF(Table1[[#This Row],[delayed]]=1,"Medium Risk","Low Risk"))</f>
        <v>Low Risk</v>
      </c>
    </row>
    <row r="1027" spans="1:14" x14ac:dyDescent="0.35">
      <c r="A1027">
        <v>1026</v>
      </c>
      <c r="B1027" s="1">
        <v>44969.708333333336</v>
      </c>
      <c r="C1027" s="2">
        <v>5.8333333333333327E-2</v>
      </c>
      <c r="D1027" s="3">
        <v>2148</v>
      </c>
      <c r="E1027" s="3">
        <v>32</v>
      </c>
      <c r="F1027" s="2">
        <v>63.919444444444444</v>
      </c>
      <c r="G1027" t="s">
        <v>2815</v>
      </c>
      <c r="H1027" t="s">
        <v>2813</v>
      </c>
      <c r="I1027" s="2">
        <v>1.6722222222222223</v>
      </c>
      <c r="J1027" s="4" t="str">
        <f>IF(Table1[[#This Row],[processing_time_hours]]&gt;1.5,"Slow", "Fast")</f>
        <v>Slow</v>
      </c>
      <c r="K1027" t="s">
        <v>2821</v>
      </c>
      <c r="L1027" s="3">
        <v>0</v>
      </c>
      <c r="M1027" t="str">
        <f>IF(Table1[[#This Row],[delayed]]=1,"Delayed","On Time")</f>
        <v>On Time</v>
      </c>
      <c r="N1027" t="str">
        <f>IF(AND(Table1[[#This Row],[delayed]]=1,Table1[[#This Row],[weather_condition]]="Storm"),"High Risk", IF(Table1[[#This Row],[delayed]]=1,"Medium Risk","Low Risk"))</f>
        <v>Low Risk</v>
      </c>
    </row>
    <row r="1028" spans="1:14" x14ac:dyDescent="0.35">
      <c r="A1028">
        <v>1027</v>
      </c>
      <c r="B1028" s="1">
        <v>44969.75</v>
      </c>
      <c r="C1028" s="2">
        <v>5.7638888888888885E-2</v>
      </c>
      <c r="D1028" s="3">
        <v>3861</v>
      </c>
      <c r="E1028" s="3">
        <v>472</v>
      </c>
      <c r="F1028" s="2">
        <v>33.836805555555557</v>
      </c>
      <c r="G1028" t="s">
        <v>2819</v>
      </c>
      <c r="H1028" t="s">
        <v>2822</v>
      </c>
      <c r="I1028" s="2">
        <v>1.7534722222222223</v>
      </c>
      <c r="J1028" s="4" t="str">
        <f>IF(Table1[[#This Row],[processing_time_hours]]&gt;1.5,"Slow", "Fast")</f>
        <v>Slow</v>
      </c>
      <c r="K1028" t="s">
        <v>2821</v>
      </c>
      <c r="L1028" s="3">
        <v>0</v>
      </c>
      <c r="M1028" t="str">
        <f>IF(Table1[[#This Row],[delayed]]=1,"Delayed","On Time")</f>
        <v>On Time</v>
      </c>
      <c r="N1028" t="str">
        <f>IF(AND(Table1[[#This Row],[delayed]]=1,Table1[[#This Row],[weather_condition]]="Storm"),"High Risk", IF(Table1[[#This Row],[delayed]]=1,"Medium Risk","Low Risk"))</f>
        <v>Low Risk</v>
      </c>
    </row>
    <row r="1029" spans="1:14" x14ac:dyDescent="0.35">
      <c r="A1029">
        <v>1028</v>
      </c>
      <c r="B1029" s="1">
        <v>44969.791666666664</v>
      </c>
      <c r="C1029" s="2">
        <v>4.8611111111111112E-3</v>
      </c>
      <c r="D1029" s="3">
        <v>1777</v>
      </c>
      <c r="E1029" s="3">
        <v>352</v>
      </c>
      <c r="F1029" s="2">
        <v>46.084027777777777</v>
      </c>
      <c r="G1029" t="s">
        <v>2816</v>
      </c>
      <c r="H1029" t="s">
        <v>2817</v>
      </c>
      <c r="I1029" s="2">
        <v>0.58819444444444446</v>
      </c>
      <c r="J1029" s="4" t="str">
        <f>IF(Table1[[#This Row],[processing_time_hours]]&gt;1.5,"Slow", "Fast")</f>
        <v>Fast</v>
      </c>
      <c r="K1029" t="s">
        <v>2818</v>
      </c>
      <c r="L1029" s="3">
        <v>1</v>
      </c>
      <c r="M1029" t="str">
        <f>IF(Table1[[#This Row],[delayed]]=1,"Delayed","On Time")</f>
        <v>Delayed</v>
      </c>
      <c r="N1029" t="str">
        <f>IF(AND(Table1[[#This Row],[delayed]]=1,Table1[[#This Row],[weather_condition]]="Storm"),"High Risk", IF(Table1[[#This Row],[delayed]]=1,"Medium Risk","Low Risk"))</f>
        <v>High Risk</v>
      </c>
    </row>
    <row r="1030" spans="1:14" x14ac:dyDescent="0.35">
      <c r="A1030">
        <v>1029</v>
      </c>
      <c r="B1030" s="1">
        <v>44969.833333333336</v>
      </c>
      <c r="C1030" s="2">
        <v>5.8333333333333327E-2</v>
      </c>
      <c r="D1030" s="3">
        <v>729</v>
      </c>
      <c r="E1030" s="3">
        <v>374</v>
      </c>
      <c r="F1030" s="2">
        <v>20.504166666666666</v>
      </c>
      <c r="G1030" t="s">
        <v>2812</v>
      </c>
      <c r="H1030" t="s">
        <v>2822</v>
      </c>
      <c r="I1030" s="2">
        <v>1.3812499999999999</v>
      </c>
      <c r="J1030" s="4" t="str">
        <f>IF(Table1[[#This Row],[processing_time_hours]]&gt;1.5,"Slow", "Fast")</f>
        <v>Fast</v>
      </c>
      <c r="K1030" t="s">
        <v>2818</v>
      </c>
      <c r="L1030" s="3">
        <v>0</v>
      </c>
      <c r="M1030" t="str">
        <f>IF(Table1[[#This Row],[delayed]]=1,"Delayed","On Time")</f>
        <v>On Time</v>
      </c>
      <c r="N1030" t="str">
        <f>IF(AND(Table1[[#This Row],[delayed]]=1,Table1[[#This Row],[weather_condition]]="Storm"),"High Risk", IF(Table1[[#This Row],[delayed]]=1,"Medium Risk","Low Risk"))</f>
        <v>Low Risk</v>
      </c>
    </row>
    <row r="1031" spans="1:14" x14ac:dyDescent="0.35">
      <c r="A1031">
        <v>1030</v>
      </c>
      <c r="B1031" s="1">
        <v>44969.875</v>
      </c>
      <c r="C1031" s="2">
        <v>6.8749999999999992E-2</v>
      </c>
      <c r="D1031" s="3">
        <v>1592</v>
      </c>
      <c r="E1031" s="3">
        <v>155</v>
      </c>
      <c r="F1031" s="2">
        <v>21.668749999999999</v>
      </c>
      <c r="G1031" t="s">
        <v>2816</v>
      </c>
      <c r="H1031" t="s">
        <v>2813</v>
      </c>
      <c r="I1031" s="2">
        <v>2.463888888888889</v>
      </c>
      <c r="J1031" s="4" t="str">
        <f>IF(Table1[[#This Row],[processing_time_hours]]&gt;1.5,"Slow", "Fast")</f>
        <v>Slow</v>
      </c>
      <c r="K1031" t="s">
        <v>2818</v>
      </c>
      <c r="L1031" s="3">
        <v>0</v>
      </c>
      <c r="M1031" t="str">
        <f>IF(Table1[[#This Row],[delayed]]=1,"Delayed","On Time")</f>
        <v>On Time</v>
      </c>
      <c r="N1031" t="str">
        <f>IF(AND(Table1[[#This Row],[delayed]]=1,Table1[[#This Row],[weather_condition]]="Storm"),"High Risk", IF(Table1[[#This Row],[delayed]]=1,"Medium Risk","Low Risk"))</f>
        <v>Low Risk</v>
      </c>
    </row>
    <row r="1032" spans="1:14" x14ac:dyDescent="0.35">
      <c r="A1032">
        <v>1031</v>
      </c>
      <c r="B1032" s="1">
        <v>44969.916666666664</v>
      </c>
      <c r="C1032" s="2">
        <v>4.5833333333333337E-2</v>
      </c>
      <c r="D1032" s="3">
        <v>1945</v>
      </c>
      <c r="E1032" s="3">
        <v>484</v>
      </c>
      <c r="F1032" s="2">
        <v>73.544444444444437</v>
      </c>
      <c r="G1032" t="s">
        <v>2819</v>
      </c>
      <c r="H1032" t="s">
        <v>2817</v>
      </c>
      <c r="I1032" s="2">
        <v>0.29375000000000001</v>
      </c>
      <c r="J1032" s="4" t="str">
        <f>IF(Table1[[#This Row],[processing_time_hours]]&gt;1.5,"Slow", "Fast")</f>
        <v>Fast</v>
      </c>
      <c r="K1032" t="s">
        <v>2821</v>
      </c>
      <c r="L1032" s="3">
        <v>1</v>
      </c>
      <c r="M1032" t="str">
        <f>IF(Table1[[#This Row],[delayed]]=1,"Delayed","On Time")</f>
        <v>Delayed</v>
      </c>
      <c r="N1032" t="str">
        <f>IF(AND(Table1[[#This Row],[delayed]]=1,Table1[[#This Row],[weather_condition]]="Storm"),"High Risk", IF(Table1[[#This Row],[delayed]]=1,"Medium Risk","Low Risk"))</f>
        <v>High Risk</v>
      </c>
    </row>
    <row r="1033" spans="1:14" x14ac:dyDescent="0.35">
      <c r="A1033">
        <v>1032</v>
      </c>
      <c r="B1033" s="1">
        <v>44969.958333333336</v>
      </c>
      <c r="C1033" s="2">
        <v>5.0694444444444438E-2</v>
      </c>
      <c r="D1033" s="3">
        <v>3042</v>
      </c>
      <c r="E1033" s="3">
        <v>283</v>
      </c>
      <c r="F1033" s="2">
        <v>57.042361111111113</v>
      </c>
      <c r="G1033" t="s">
        <v>2815</v>
      </c>
      <c r="H1033" t="s">
        <v>2817</v>
      </c>
      <c r="I1033" s="2">
        <v>1.1701388888888888</v>
      </c>
      <c r="J1033" s="4" t="str">
        <f>IF(Table1[[#This Row],[processing_time_hours]]&gt;1.5,"Slow", "Fast")</f>
        <v>Fast</v>
      </c>
      <c r="K1033" t="s">
        <v>2818</v>
      </c>
      <c r="L1033" s="3">
        <v>0</v>
      </c>
      <c r="M1033" t="str">
        <f>IF(Table1[[#This Row],[delayed]]=1,"Delayed","On Time")</f>
        <v>On Time</v>
      </c>
      <c r="N1033" t="str">
        <f>IF(AND(Table1[[#This Row],[delayed]]=1,Table1[[#This Row],[weather_condition]]="Storm"),"High Risk", IF(Table1[[#This Row],[delayed]]=1,"Medium Risk","Low Risk"))</f>
        <v>Low Risk</v>
      </c>
    </row>
    <row r="1034" spans="1:14" x14ac:dyDescent="0.35">
      <c r="A1034">
        <v>1033</v>
      </c>
      <c r="B1034" s="1">
        <v>44970</v>
      </c>
      <c r="C1034" s="2">
        <v>6.5277777777777782E-2</v>
      </c>
      <c r="D1034" s="3">
        <v>1316</v>
      </c>
      <c r="E1034" s="3">
        <v>109</v>
      </c>
      <c r="F1034" s="2">
        <v>51.213888888888896</v>
      </c>
      <c r="G1034" t="s">
        <v>2819</v>
      </c>
      <c r="H1034" t="s">
        <v>2822</v>
      </c>
      <c r="I1034" s="2">
        <v>2.7090277777777776</v>
      </c>
      <c r="J1034" s="4" t="str">
        <f>IF(Table1[[#This Row],[processing_time_hours]]&gt;1.5,"Slow", "Fast")</f>
        <v>Slow</v>
      </c>
      <c r="K1034" t="s">
        <v>2814</v>
      </c>
      <c r="L1034" s="3">
        <v>0</v>
      </c>
      <c r="M1034" t="str">
        <f>IF(Table1[[#This Row],[delayed]]=1,"Delayed","On Time")</f>
        <v>On Time</v>
      </c>
      <c r="N1034" t="str">
        <f>IF(AND(Table1[[#This Row],[delayed]]=1,Table1[[#This Row],[weather_condition]]="Storm"),"High Risk", IF(Table1[[#This Row],[delayed]]=1,"Medium Risk","Low Risk"))</f>
        <v>Low Risk</v>
      </c>
    </row>
    <row r="1035" spans="1:14" x14ac:dyDescent="0.35">
      <c r="A1035">
        <v>1034</v>
      </c>
      <c r="B1035" s="1">
        <v>44970.041666666664</v>
      </c>
      <c r="C1035" s="2">
        <v>4.5833333333333337E-2</v>
      </c>
      <c r="D1035" s="3">
        <v>1668</v>
      </c>
      <c r="E1035" s="3">
        <v>165</v>
      </c>
      <c r="F1035" s="2">
        <v>35.291666666666664</v>
      </c>
      <c r="G1035" t="s">
        <v>2819</v>
      </c>
      <c r="H1035" t="s">
        <v>2817</v>
      </c>
      <c r="I1035" s="2">
        <v>2.4618055555555558</v>
      </c>
      <c r="J1035" s="4" t="str">
        <f>IF(Table1[[#This Row],[processing_time_hours]]&gt;1.5,"Slow", "Fast")</f>
        <v>Slow</v>
      </c>
      <c r="K1035" t="s">
        <v>2818</v>
      </c>
      <c r="L1035" s="3">
        <v>1</v>
      </c>
      <c r="M1035" t="str">
        <f>IF(Table1[[#This Row],[delayed]]=1,"Delayed","On Time")</f>
        <v>Delayed</v>
      </c>
      <c r="N1035" t="str">
        <f>IF(AND(Table1[[#This Row],[delayed]]=1,Table1[[#This Row],[weather_condition]]="Storm"),"High Risk", IF(Table1[[#This Row],[delayed]]=1,"Medium Risk","Low Risk"))</f>
        <v>High Risk</v>
      </c>
    </row>
    <row r="1036" spans="1:14" x14ac:dyDescent="0.35">
      <c r="A1036">
        <v>1035</v>
      </c>
      <c r="B1036" s="1">
        <v>44970.083333333336</v>
      </c>
      <c r="C1036" s="2">
        <v>4.5138888888888888E-2</v>
      </c>
      <c r="D1036" s="3">
        <v>3583</v>
      </c>
      <c r="E1036" s="3">
        <v>146</v>
      </c>
      <c r="F1036" s="2">
        <v>21.710416666666664</v>
      </c>
      <c r="G1036" t="s">
        <v>2815</v>
      </c>
      <c r="H1036" t="s">
        <v>2817</v>
      </c>
      <c r="I1036" s="2">
        <v>0.71250000000000002</v>
      </c>
      <c r="J1036" s="4" t="str">
        <f>IF(Table1[[#This Row],[processing_time_hours]]&gt;1.5,"Slow", "Fast")</f>
        <v>Fast</v>
      </c>
      <c r="K1036" t="s">
        <v>2814</v>
      </c>
      <c r="L1036" s="3">
        <v>0</v>
      </c>
      <c r="M1036" t="str">
        <f>IF(Table1[[#This Row],[delayed]]=1,"Delayed","On Time")</f>
        <v>On Time</v>
      </c>
      <c r="N1036" t="str">
        <f>IF(AND(Table1[[#This Row],[delayed]]=1,Table1[[#This Row],[weather_condition]]="Storm"),"High Risk", IF(Table1[[#This Row],[delayed]]=1,"Medium Risk","Low Risk"))</f>
        <v>Low Risk</v>
      </c>
    </row>
    <row r="1037" spans="1:14" x14ac:dyDescent="0.35">
      <c r="A1037">
        <v>1036</v>
      </c>
      <c r="B1037" s="1">
        <v>44970.125</v>
      </c>
      <c r="C1037" s="2">
        <v>4.6527777777777779E-2</v>
      </c>
      <c r="D1037" s="3">
        <v>4351</v>
      </c>
      <c r="E1037" s="3">
        <v>34</v>
      </c>
      <c r="F1037" s="2">
        <v>21.838888888888889</v>
      </c>
      <c r="G1037" t="s">
        <v>2812</v>
      </c>
      <c r="H1037" t="s">
        <v>2817</v>
      </c>
      <c r="I1037" s="2">
        <v>2.6680555555555556</v>
      </c>
      <c r="J1037" s="4" t="str">
        <f>IF(Table1[[#This Row],[processing_time_hours]]&gt;1.5,"Slow", "Fast")</f>
        <v>Slow</v>
      </c>
      <c r="K1037" t="s">
        <v>2818</v>
      </c>
      <c r="L1037" s="3">
        <v>1</v>
      </c>
      <c r="M1037" t="str">
        <f>IF(Table1[[#This Row],[delayed]]=1,"Delayed","On Time")</f>
        <v>Delayed</v>
      </c>
      <c r="N1037" t="str">
        <f>IF(AND(Table1[[#This Row],[delayed]]=1,Table1[[#This Row],[weather_condition]]="Storm"),"High Risk", IF(Table1[[#This Row],[delayed]]=1,"Medium Risk","Low Risk"))</f>
        <v>High Risk</v>
      </c>
    </row>
    <row r="1038" spans="1:14" x14ac:dyDescent="0.35">
      <c r="A1038">
        <v>1037</v>
      </c>
      <c r="B1038" s="1">
        <v>44970.166666666664</v>
      </c>
      <c r="C1038" s="2">
        <v>6.3194444444444442E-2</v>
      </c>
      <c r="D1038" s="3">
        <v>1444</v>
      </c>
      <c r="E1038" s="3">
        <v>484</v>
      </c>
      <c r="F1038" s="2">
        <v>27.879166666666666</v>
      </c>
      <c r="G1038" t="s">
        <v>2816</v>
      </c>
      <c r="H1038" t="s">
        <v>2822</v>
      </c>
      <c r="I1038" s="2">
        <v>2.4229166666666666</v>
      </c>
      <c r="J1038" s="4" t="str">
        <f>IF(Table1[[#This Row],[processing_time_hours]]&gt;1.5,"Slow", "Fast")</f>
        <v>Slow</v>
      </c>
      <c r="K1038" t="s">
        <v>2821</v>
      </c>
      <c r="L1038" s="3">
        <v>1</v>
      </c>
      <c r="M1038" t="str">
        <f>IF(Table1[[#This Row],[delayed]]=1,"Delayed","On Time")</f>
        <v>Delayed</v>
      </c>
      <c r="N1038" t="str">
        <f>IF(AND(Table1[[#This Row],[delayed]]=1,Table1[[#This Row],[weather_condition]]="Storm"),"High Risk", IF(Table1[[#This Row],[delayed]]=1,"Medium Risk","Low Risk"))</f>
        <v>Medium Risk</v>
      </c>
    </row>
    <row r="1039" spans="1:14" x14ac:dyDescent="0.35">
      <c r="A1039">
        <v>1038</v>
      </c>
      <c r="B1039" s="1">
        <v>44970.208333333336</v>
      </c>
      <c r="C1039" s="2">
        <v>4.5138888888888888E-2</v>
      </c>
      <c r="D1039" s="3">
        <v>1682</v>
      </c>
      <c r="E1039" s="3">
        <v>188</v>
      </c>
      <c r="F1039" s="2">
        <v>63.002777777777773</v>
      </c>
      <c r="G1039" t="s">
        <v>2815</v>
      </c>
      <c r="H1039" t="s">
        <v>2820</v>
      </c>
      <c r="I1039" s="2">
        <v>2.0006944444444446</v>
      </c>
      <c r="J1039" s="4" t="str">
        <f>IF(Table1[[#This Row],[processing_time_hours]]&gt;1.5,"Slow", "Fast")</f>
        <v>Slow</v>
      </c>
      <c r="K1039" t="s">
        <v>2814</v>
      </c>
      <c r="L1039" s="3">
        <v>0</v>
      </c>
      <c r="M1039" t="str">
        <f>IF(Table1[[#This Row],[delayed]]=1,"Delayed","On Time")</f>
        <v>On Time</v>
      </c>
      <c r="N1039" t="str">
        <f>IF(AND(Table1[[#This Row],[delayed]]=1,Table1[[#This Row],[weather_condition]]="Storm"),"High Risk", IF(Table1[[#This Row],[delayed]]=1,"Medium Risk","Low Risk"))</f>
        <v>Low Risk</v>
      </c>
    </row>
    <row r="1040" spans="1:14" x14ac:dyDescent="0.35">
      <c r="A1040">
        <v>1039</v>
      </c>
      <c r="B1040" s="1">
        <v>44970.25</v>
      </c>
      <c r="C1040" s="2">
        <v>4.4444444444444446E-2</v>
      </c>
      <c r="D1040" s="3">
        <v>2559</v>
      </c>
      <c r="E1040" s="3">
        <v>14</v>
      </c>
      <c r="F1040" s="2">
        <v>78.375</v>
      </c>
      <c r="G1040" t="s">
        <v>2812</v>
      </c>
      <c r="H1040" t="s">
        <v>2822</v>
      </c>
      <c r="I1040" s="2">
        <v>0.87986111111111109</v>
      </c>
      <c r="J1040" s="4" t="str">
        <f>IF(Table1[[#This Row],[processing_time_hours]]&gt;1.5,"Slow", "Fast")</f>
        <v>Fast</v>
      </c>
      <c r="K1040" t="s">
        <v>2814</v>
      </c>
      <c r="L1040" s="3">
        <v>0</v>
      </c>
      <c r="M1040" t="str">
        <f>IF(Table1[[#This Row],[delayed]]=1,"Delayed","On Time")</f>
        <v>On Time</v>
      </c>
      <c r="N1040" t="str">
        <f>IF(AND(Table1[[#This Row],[delayed]]=1,Table1[[#This Row],[weather_condition]]="Storm"),"High Risk", IF(Table1[[#This Row],[delayed]]=1,"Medium Risk","Low Risk"))</f>
        <v>Low Risk</v>
      </c>
    </row>
    <row r="1041" spans="1:14" x14ac:dyDescent="0.35">
      <c r="A1041">
        <v>1040</v>
      </c>
      <c r="B1041" s="1">
        <v>44970.291666666664</v>
      </c>
      <c r="C1041" s="2">
        <v>5.9027777777777783E-2</v>
      </c>
      <c r="D1041" s="3">
        <v>898</v>
      </c>
      <c r="E1041" s="3">
        <v>99</v>
      </c>
      <c r="F1041" s="2">
        <v>19.172916666666666</v>
      </c>
      <c r="G1041" t="s">
        <v>2812</v>
      </c>
      <c r="H1041" t="s">
        <v>2817</v>
      </c>
      <c r="I1041" s="2">
        <v>2.838194444444444</v>
      </c>
      <c r="J1041" s="4" t="str">
        <f>IF(Table1[[#This Row],[processing_time_hours]]&gt;1.5,"Slow", "Fast")</f>
        <v>Slow</v>
      </c>
      <c r="K1041" t="s">
        <v>2814</v>
      </c>
      <c r="L1041" s="3">
        <v>0</v>
      </c>
      <c r="M1041" t="str">
        <f>IF(Table1[[#This Row],[delayed]]=1,"Delayed","On Time")</f>
        <v>On Time</v>
      </c>
      <c r="N1041" t="str">
        <f>IF(AND(Table1[[#This Row],[delayed]]=1,Table1[[#This Row],[weather_condition]]="Storm"),"High Risk", IF(Table1[[#This Row],[delayed]]=1,"Medium Risk","Low Risk"))</f>
        <v>Low Risk</v>
      </c>
    </row>
    <row r="1042" spans="1:14" x14ac:dyDescent="0.35">
      <c r="A1042">
        <v>1041</v>
      </c>
      <c r="B1042" s="1">
        <v>44970.333333333336</v>
      </c>
      <c r="C1042" s="2">
        <v>6.3194444444444442E-2</v>
      </c>
      <c r="D1042" s="3">
        <v>2179</v>
      </c>
      <c r="E1042" s="3">
        <v>455</v>
      </c>
      <c r="F1042" s="2">
        <v>68.964583333333337</v>
      </c>
      <c r="G1042" t="s">
        <v>2816</v>
      </c>
      <c r="H1042" t="s">
        <v>2817</v>
      </c>
      <c r="I1042" s="2">
        <v>2.0062500000000001</v>
      </c>
      <c r="J1042" s="4" t="str">
        <f>IF(Table1[[#This Row],[processing_time_hours]]&gt;1.5,"Slow", "Fast")</f>
        <v>Slow</v>
      </c>
      <c r="K1042" t="s">
        <v>2814</v>
      </c>
      <c r="L1042" s="3">
        <v>0</v>
      </c>
      <c r="M1042" t="str">
        <f>IF(Table1[[#This Row],[delayed]]=1,"Delayed","On Time")</f>
        <v>On Time</v>
      </c>
      <c r="N1042" t="str">
        <f>IF(AND(Table1[[#This Row],[delayed]]=1,Table1[[#This Row],[weather_condition]]="Storm"),"High Risk", IF(Table1[[#This Row],[delayed]]=1,"Medium Risk","Low Risk"))</f>
        <v>Low Risk</v>
      </c>
    </row>
    <row r="1043" spans="1:14" x14ac:dyDescent="0.35">
      <c r="A1043">
        <v>1042</v>
      </c>
      <c r="B1043" s="1">
        <v>44970.375</v>
      </c>
      <c r="C1043" s="2">
        <v>6.2499999999999995E-3</v>
      </c>
      <c r="D1043" s="3">
        <v>327</v>
      </c>
      <c r="E1043" s="3">
        <v>98</v>
      </c>
      <c r="F1043" s="2">
        <v>50.963888888888896</v>
      </c>
      <c r="G1043" t="s">
        <v>2816</v>
      </c>
      <c r="H1043" t="s">
        <v>2813</v>
      </c>
      <c r="I1043" s="2">
        <v>2.4187499999999997</v>
      </c>
      <c r="J1043" s="4" t="str">
        <f>IF(Table1[[#This Row],[processing_time_hours]]&gt;1.5,"Slow", "Fast")</f>
        <v>Slow</v>
      </c>
      <c r="K1043" t="s">
        <v>2814</v>
      </c>
      <c r="L1043" s="3">
        <v>1</v>
      </c>
      <c r="M1043" t="str">
        <f>IF(Table1[[#This Row],[delayed]]=1,"Delayed","On Time")</f>
        <v>Delayed</v>
      </c>
      <c r="N1043" t="str">
        <f>IF(AND(Table1[[#This Row],[delayed]]=1,Table1[[#This Row],[weather_condition]]="Storm"),"High Risk", IF(Table1[[#This Row],[delayed]]=1,"Medium Risk","Low Risk"))</f>
        <v>Medium Risk</v>
      </c>
    </row>
    <row r="1044" spans="1:14" x14ac:dyDescent="0.35">
      <c r="A1044">
        <v>1043</v>
      </c>
      <c r="B1044" s="1">
        <v>44970.416666666664</v>
      </c>
      <c r="C1044" s="2">
        <v>5.3472222222222227E-2</v>
      </c>
      <c r="D1044" s="3">
        <v>4149</v>
      </c>
      <c r="E1044" s="3">
        <v>275</v>
      </c>
      <c r="F1044" s="2">
        <v>2.5895833333333331</v>
      </c>
      <c r="G1044" t="s">
        <v>2819</v>
      </c>
      <c r="H1044" t="s">
        <v>2822</v>
      </c>
      <c r="I1044" s="2">
        <v>1.1263888888888889</v>
      </c>
      <c r="J1044" s="4" t="str">
        <f>IF(Table1[[#This Row],[processing_time_hours]]&gt;1.5,"Slow", "Fast")</f>
        <v>Fast</v>
      </c>
      <c r="K1044" t="s">
        <v>2818</v>
      </c>
      <c r="L1044" s="3">
        <v>0</v>
      </c>
      <c r="M1044" t="str">
        <f>IF(Table1[[#This Row],[delayed]]=1,"Delayed","On Time")</f>
        <v>On Time</v>
      </c>
      <c r="N1044" t="str">
        <f>IF(AND(Table1[[#This Row],[delayed]]=1,Table1[[#This Row],[weather_condition]]="Storm"),"High Risk", IF(Table1[[#This Row],[delayed]]=1,"Medium Risk","Low Risk"))</f>
        <v>Low Risk</v>
      </c>
    </row>
    <row r="1045" spans="1:14" x14ac:dyDescent="0.35">
      <c r="A1045">
        <v>1044</v>
      </c>
      <c r="B1045" s="1">
        <v>44970.458333333336</v>
      </c>
      <c r="C1045" s="2">
        <v>6.7361111111111108E-2</v>
      </c>
      <c r="D1045" s="3">
        <v>1771</v>
      </c>
      <c r="E1045" s="3">
        <v>379</v>
      </c>
      <c r="F1045" s="2">
        <v>75.834722222222226</v>
      </c>
      <c r="G1045" t="s">
        <v>2819</v>
      </c>
      <c r="H1045" t="s">
        <v>2820</v>
      </c>
      <c r="I1045" s="2">
        <v>2.5062500000000001</v>
      </c>
      <c r="J1045" s="4" t="str">
        <f>IF(Table1[[#This Row],[processing_time_hours]]&gt;1.5,"Slow", "Fast")</f>
        <v>Slow</v>
      </c>
      <c r="K1045" t="s">
        <v>2821</v>
      </c>
      <c r="L1045" s="3">
        <v>0</v>
      </c>
      <c r="M1045" t="str">
        <f>IF(Table1[[#This Row],[delayed]]=1,"Delayed","On Time")</f>
        <v>On Time</v>
      </c>
      <c r="N1045" t="str">
        <f>IF(AND(Table1[[#This Row],[delayed]]=1,Table1[[#This Row],[weather_condition]]="Storm"),"High Risk", IF(Table1[[#This Row],[delayed]]=1,"Medium Risk","Low Risk"))</f>
        <v>Low Risk</v>
      </c>
    </row>
    <row r="1046" spans="1:14" x14ac:dyDescent="0.35">
      <c r="A1046">
        <v>1045</v>
      </c>
      <c r="B1046" s="1">
        <v>44970.5</v>
      </c>
      <c r="C1046" s="2">
        <v>4.5833333333333337E-2</v>
      </c>
      <c r="D1046" s="3">
        <v>4777</v>
      </c>
      <c r="E1046" s="3">
        <v>85</v>
      </c>
      <c r="F1046" s="2">
        <v>70.46041666666666</v>
      </c>
      <c r="G1046" t="s">
        <v>2816</v>
      </c>
      <c r="H1046" t="s">
        <v>2822</v>
      </c>
      <c r="I1046" s="2">
        <v>1.3354166666666665</v>
      </c>
      <c r="J1046" s="4" t="str">
        <f>IF(Table1[[#This Row],[processing_time_hours]]&gt;1.5,"Slow", "Fast")</f>
        <v>Fast</v>
      </c>
      <c r="K1046" t="s">
        <v>2818</v>
      </c>
      <c r="L1046" s="3">
        <v>1</v>
      </c>
      <c r="M1046" t="str">
        <f>IF(Table1[[#This Row],[delayed]]=1,"Delayed","On Time")</f>
        <v>Delayed</v>
      </c>
      <c r="N1046" t="str">
        <f>IF(AND(Table1[[#This Row],[delayed]]=1,Table1[[#This Row],[weather_condition]]="Storm"),"High Risk", IF(Table1[[#This Row],[delayed]]=1,"Medium Risk","Low Risk"))</f>
        <v>Medium Risk</v>
      </c>
    </row>
    <row r="1047" spans="1:14" x14ac:dyDescent="0.35">
      <c r="A1047">
        <v>1046</v>
      </c>
      <c r="B1047" s="1">
        <v>44970.541666666664</v>
      </c>
      <c r="C1047" s="2">
        <v>5.4166666666666669E-2</v>
      </c>
      <c r="D1047" s="3">
        <v>3494</v>
      </c>
      <c r="E1047" s="3">
        <v>357</v>
      </c>
      <c r="F1047" s="2">
        <v>26.879166666666666</v>
      </c>
      <c r="G1047" t="s">
        <v>2816</v>
      </c>
      <c r="H1047" t="s">
        <v>2820</v>
      </c>
      <c r="I1047" s="2">
        <v>0.21458333333333335</v>
      </c>
      <c r="J1047" s="4" t="str">
        <f>IF(Table1[[#This Row],[processing_time_hours]]&gt;1.5,"Slow", "Fast")</f>
        <v>Fast</v>
      </c>
      <c r="K1047" t="s">
        <v>2818</v>
      </c>
      <c r="L1047" s="3">
        <v>0</v>
      </c>
      <c r="M1047" t="str">
        <f>IF(Table1[[#This Row],[delayed]]=1,"Delayed","On Time")</f>
        <v>On Time</v>
      </c>
      <c r="N1047" t="str">
        <f>IF(AND(Table1[[#This Row],[delayed]]=1,Table1[[#This Row],[weather_condition]]="Storm"),"High Risk", IF(Table1[[#This Row],[delayed]]=1,"Medium Risk","Low Risk"))</f>
        <v>Low Risk</v>
      </c>
    </row>
    <row r="1048" spans="1:14" x14ac:dyDescent="0.35">
      <c r="A1048">
        <v>1047</v>
      </c>
      <c r="B1048" s="1">
        <v>44970.583333333336</v>
      </c>
      <c r="C1048" s="2">
        <v>5.2083333333333336E-2</v>
      </c>
      <c r="D1048" s="3">
        <v>3886</v>
      </c>
      <c r="E1048" s="3">
        <v>302</v>
      </c>
      <c r="F1048" s="2">
        <v>50.379861111111104</v>
      </c>
      <c r="G1048" t="s">
        <v>2816</v>
      </c>
      <c r="H1048" t="s">
        <v>2822</v>
      </c>
      <c r="I1048" s="2">
        <v>4.4444444444444446E-2</v>
      </c>
      <c r="J1048" s="4" t="str">
        <f>IF(Table1[[#This Row],[processing_time_hours]]&gt;1.5,"Slow", "Fast")</f>
        <v>Fast</v>
      </c>
      <c r="K1048" t="s">
        <v>2814</v>
      </c>
      <c r="L1048" s="3">
        <v>0</v>
      </c>
      <c r="M1048" t="str">
        <f>IF(Table1[[#This Row],[delayed]]=1,"Delayed","On Time")</f>
        <v>On Time</v>
      </c>
      <c r="N1048" t="str">
        <f>IF(AND(Table1[[#This Row],[delayed]]=1,Table1[[#This Row],[weather_condition]]="Storm"),"High Risk", IF(Table1[[#This Row],[delayed]]=1,"Medium Risk","Low Risk"))</f>
        <v>Low Risk</v>
      </c>
    </row>
    <row r="1049" spans="1:14" x14ac:dyDescent="0.35">
      <c r="A1049">
        <v>1048</v>
      </c>
      <c r="B1049" s="1">
        <v>44970.625</v>
      </c>
      <c r="C1049" s="2">
        <v>5.6944444444444443E-2</v>
      </c>
      <c r="D1049" s="3">
        <v>85</v>
      </c>
      <c r="E1049" s="3">
        <v>485</v>
      </c>
      <c r="F1049" s="2">
        <v>7.084027777777778</v>
      </c>
      <c r="G1049" t="s">
        <v>2816</v>
      </c>
      <c r="H1049" t="s">
        <v>2817</v>
      </c>
      <c r="I1049" s="2">
        <v>2.1729166666666666</v>
      </c>
      <c r="J1049" s="4" t="str">
        <f>IF(Table1[[#This Row],[processing_time_hours]]&gt;1.5,"Slow", "Fast")</f>
        <v>Slow</v>
      </c>
      <c r="K1049" t="s">
        <v>2818</v>
      </c>
      <c r="L1049" s="3">
        <v>1</v>
      </c>
      <c r="M1049" t="str">
        <f>IF(Table1[[#This Row],[delayed]]=1,"Delayed","On Time")</f>
        <v>Delayed</v>
      </c>
      <c r="N1049" t="str">
        <f>IF(AND(Table1[[#This Row],[delayed]]=1,Table1[[#This Row],[weather_condition]]="Storm"),"High Risk", IF(Table1[[#This Row],[delayed]]=1,"Medium Risk","Low Risk"))</f>
        <v>High Risk</v>
      </c>
    </row>
    <row r="1050" spans="1:14" x14ac:dyDescent="0.35">
      <c r="A1050">
        <v>1049</v>
      </c>
      <c r="B1050" s="1">
        <v>44970.666666666664</v>
      </c>
      <c r="C1050" s="2">
        <v>4.7222222222222221E-2</v>
      </c>
      <c r="D1050" s="3">
        <v>1336</v>
      </c>
      <c r="E1050" s="3">
        <v>285</v>
      </c>
      <c r="F1050" s="2">
        <v>65.421527777777769</v>
      </c>
      <c r="G1050" t="s">
        <v>2816</v>
      </c>
      <c r="H1050" t="s">
        <v>2817</v>
      </c>
      <c r="I1050" s="2">
        <v>2.6291666666666669</v>
      </c>
      <c r="J1050" s="4" t="str">
        <f>IF(Table1[[#This Row],[processing_time_hours]]&gt;1.5,"Slow", "Fast")</f>
        <v>Slow</v>
      </c>
      <c r="K1050" t="s">
        <v>2814</v>
      </c>
      <c r="L1050" s="3">
        <v>1</v>
      </c>
      <c r="M1050" t="str">
        <f>IF(Table1[[#This Row],[delayed]]=1,"Delayed","On Time")</f>
        <v>Delayed</v>
      </c>
      <c r="N1050" t="str">
        <f>IF(AND(Table1[[#This Row],[delayed]]=1,Table1[[#This Row],[weather_condition]]="Storm"),"High Risk", IF(Table1[[#This Row],[delayed]]=1,"Medium Risk","Low Risk"))</f>
        <v>High Risk</v>
      </c>
    </row>
    <row r="1051" spans="1:14" x14ac:dyDescent="0.35">
      <c r="A1051">
        <v>1050</v>
      </c>
      <c r="B1051" s="1">
        <v>44970.708333333336</v>
      </c>
      <c r="C1051" s="2">
        <v>4.5833333333333337E-2</v>
      </c>
      <c r="D1051" s="3">
        <v>3892</v>
      </c>
      <c r="E1051" s="3">
        <v>468</v>
      </c>
      <c r="F1051" s="2">
        <v>41.420138888888893</v>
      </c>
      <c r="G1051" t="s">
        <v>2815</v>
      </c>
      <c r="H1051" t="s">
        <v>2820</v>
      </c>
      <c r="I1051" s="2">
        <v>1.4180555555555554</v>
      </c>
      <c r="J1051" s="4" t="str">
        <f>IF(Table1[[#This Row],[processing_time_hours]]&gt;1.5,"Slow", "Fast")</f>
        <v>Fast</v>
      </c>
      <c r="K1051" t="s">
        <v>2814</v>
      </c>
      <c r="L1051" s="3">
        <v>0</v>
      </c>
      <c r="M1051" t="str">
        <f>IF(Table1[[#This Row],[delayed]]=1,"Delayed","On Time")</f>
        <v>On Time</v>
      </c>
      <c r="N1051" t="str">
        <f>IF(AND(Table1[[#This Row],[delayed]]=1,Table1[[#This Row],[weather_condition]]="Storm"),"High Risk", IF(Table1[[#This Row],[delayed]]=1,"Medium Risk","Low Risk"))</f>
        <v>Low Risk</v>
      </c>
    </row>
    <row r="1052" spans="1:14" x14ac:dyDescent="0.35">
      <c r="A1052">
        <v>1051</v>
      </c>
      <c r="B1052" s="1">
        <v>44970.75</v>
      </c>
      <c r="C1052" s="2">
        <v>6.8749999999999992E-2</v>
      </c>
      <c r="D1052" s="3">
        <v>4492</v>
      </c>
      <c r="E1052" s="3">
        <v>449</v>
      </c>
      <c r="F1052" s="2">
        <v>14.252777777777778</v>
      </c>
      <c r="G1052" t="s">
        <v>2819</v>
      </c>
      <c r="H1052" t="s">
        <v>2817</v>
      </c>
      <c r="I1052" s="2">
        <v>2.2513888888888887</v>
      </c>
      <c r="J1052" s="4" t="str">
        <f>IF(Table1[[#This Row],[processing_time_hours]]&gt;1.5,"Slow", "Fast")</f>
        <v>Slow</v>
      </c>
      <c r="K1052" t="s">
        <v>2818</v>
      </c>
      <c r="L1052" s="3">
        <v>0</v>
      </c>
      <c r="M1052" t="str">
        <f>IF(Table1[[#This Row],[delayed]]=1,"Delayed","On Time")</f>
        <v>On Time</v>
      </c>
      <c r="N1052" t="str">
        <f>IF(AND(Table1[[#This Row],[delayed]]=1,Table1[[#This Row],[weather_condition]]="Storm"),"High Risk", IF(Table1[[#This Row],[delayed]]=1,"Medium Risk","Low Risk"))</f>
        <v>Low Risk</v>
      </c>
    </row>
    <row r="1053" spans="1:14" x14ac:dyDescent="0.35">
      <c r="A1053">
        <v>1052</v>
      </c>
      <c r="B1053" s="1">
        <v>44970.791666666664</v>
      </c>
      <c r="C1053" s="2">
        <v>4.9999999999999996E-2</v>
      </c>
      <c r="D1053" s="3">
        <v>1776</v>
      </c>
      <c r="E1053" s="3">
        <v>396</v>
      </c>
      <c r="F1053" s="2">
        <v>4.7541666666666664</v>
      </c>
      <c r="G1053" t="s">
        <v>2815</v>
      </c>
      <c r="H1053" t="s">
        <v>2822</v>
      </c>
      <c r="I1053" s="2">
        <v>1.3805555555555555</v>
      </c>
      <c r="J1053" s="4" t="str">
        <f>IF(Table1[[#This Row],[processing_time_hours]]&gt;1.5,"Slow", "Fast")</f>
        <v>Fast</v>
      </c>
      <c r="K1053" t="s">
        <v>2821</v>
      </c>
      <c r="L1053" s="3">
        <v>0</v>
      </c>
      <c r="M1053" t="str">
        <f>IF(Table1[[#This Row],[delayed]]=1,"Delayed","On Time")</f>
        <v>On Time</v>
      </c>
      <c r="N1053" t="str">
        <f>IF(AND(Table1[[#This Row],[delayed]]=1,Table1[[#This Row],[weather_condition]]="Storm"),"High Risk", IF(Table1[[#This Row],[delayed]]=1,"Medium Risk","Low Risk"))</f>
        <v>Low Risk</v>
      </c>
    </row>
    <row r="1054" spans="1:14" x14ac:dyDescent="0.35">
      <c r="A1054">
        <v>1053</v>
      </c>
      <c r="B1054" s="1">
        <v>44970.833333333336</v>
      </c>
      <c r="C1054" s="2">
        <v>5.5555555555555558E-3</v>
      </c>
      <c r="D1054" s="3">
        <v>4339</v>
      </c>
      <c r="E1054" s="3">
        <v>380</v>
      </c>
      <c r="F1054" s="2">
        <v>17.837500000000002</v>
      </c>
      <c r="G1054" t="s">
        <v>2816</v>
      </c>
      <c r="H1054" t="s">
        <v>2822</v>
      </c>
      <c r="I1054" s="2">
        <v>0.38055555555555554</v>
      </c>
      <c r="J1054" s="4" t="str">
        <f>IF(Table1[[#This Row],[processing_time_hours]]&gt;1.5,"Slow", "Fast")</f>
        <v>Fast</v>
      </c>
      <c r="K1054" t="s">
        <v>2818</v>
      </c>
      <c r="L1054" s="3">
        <v>0</v>
      </c>
      <c r="M1054" t="str">
        <f>IF(Table1[[#This Row],[delayed]]=1,"Delayed","On Time")</f>
        <v>On Time</v>
      </c>
      <c r="N1054" t="str">
        <f>IF(AND(Table1[[#This Row],[delayed]]=1,Table1[[#This Row],[weather_condition]]="Storm"),"High Risk", IF(Table1[[#This Row],[delayed]]=1,"Medium Risk","Low Risk"))</f>
        <v>Low Risk</v>
      </c>
    </row>
    <row r="1055" spans="1:14" x14ac:dyDescent="0.35">
      <c r="A1055">
        <v>1054</v>
      </c>
      <c r="B1055" s="1">
        <v>44970.875</v>
      </c>
      <c r="C1055" s="2">
        <v>6.7361111111111108E-2</v>
      </c>
      <c r="D1055" s="3">
        <v>3478</v>
      </c>
      <c r="E1055" s="3">
        <v>120</v>
      </c>
      <c r="F1055" s="2">
        <v>65.166666666666671</v>
      </c>
      <c r="G1055" t="s">
        <v>2816</v>
      </c>
      <c r="H1055" t="s">
        <v>2820</v>
      </c>
      <c r="I1055" s="2">
        <v>0.16666666666666666</v>
      </c>
      <c r="J1055" s="4" t="str">
        <f>IF(Table1[[#This Row],[processing_time_hours]]&gt;1.5,"Slow", "Fast")</f>
        <v>Fast</v>
      </c>
      <c r="K1055" t="s">
        <v>2814</v>
      </c>
      <c r="L1055" s="3">
        <v>0</v>
      </c>
      <c r="M1055" t="str">
        <f>IF(Table1[[#This Row],[delayed]]=1,"Delayed","On Time")</f>
        <v>On Time</v>
      </c>
      <c r="N1055" t="str">
        <f>IF(AND(Table1[[#This Row],[delayed]]=1,Table1[[#This Row],[weather_condition]]="Storm"),"High Risk", IF(Table1[[#This Row],[delayed]]=1,"Medium Risk","Low Risk"))</f>
        <v>Low Risk</v>
      </c>
    </row>
    <row r="1056" spans="1:14" x14ac:dyDescent="0.35">
      <c r="A1056">
        <v>1055</v>
      </c>
      <c r="B1056" s="1">
        <v>44970.916666666664</v>
      </c>
      <c r="C1056" s="2">
        <v>4.9999999999999996E-2</v>
      </c>
      <c r="D1056" s="3">
        <v>2821</v>
      </c>
      <c r="E1056" s="3">
        <v>360</v>
      </c>
      <c r="F1056" s="2">
        <v>65.294444444444437</v>
      </c>
      <c r="G1056" t="s">
        <v>2815</v>
      </c>
      <c r="H1056" t="s">
        <v>2822</v>
      </c>
      <c r="I1056" s="2">
        <v>2.9229166666666671</v>
      </c>
      <c r="J1056" s="4" t="str">
        <f>IF(Table1[[#This Row],[processing_time_hours]]&gt;1.5,"Slow", "Fast")</f>
        <v>Slow</v>
      </c>
      <c r="K1056" t="s">
        <v>2814</v>
      </c>
      <c r="L1056" s="3">
        <v>0</v>
      </c>
      <c r="M1056" t="str">
        <f>IF(Table1[[#This Row],[delayed]]=1,"Delayed","On Time")</f>
        <v>On Time</v>
      </c>
      <c r="N1056" t="str">
        <f>IF(AND(Table1[[#This Row],[delayed]]=1,Table1[[#This Row],[weather_condition]]="Storm"),"High Risk", IF(Table1[[#This Row],[delayed]]=1,"Medium Risk","Low Risk"))</f>
        <v>Low Risk</v>
      </c>
    </row>
    <row r="1057" spans="1:14" x14ac:dyDescent="0.35">
      <c r="A1057">
        <v>1056</v>
      </c>
      <c r="B1057" s="1">
        <v>44970.958333333336</v>
      </c>
      <c r="C1057" s="2">
        <v>5.2083333333333336E-2</v>
      </c>
      <c r="D1057" s="3">
        <v>1056</v>
      </c>
      <c r="E1057" s="3">
        <v>408</v>
      </c>
      <c r="F1057" s="2">
        <v>19.588194444444444</v>
      </c>
      <c r="G1057" t="s">
        <v>2815</v>
      </c>
      <c r="H1057" t="s">
        <v>2822</v>
      </c>
      <c r="I1057" s="2">
        <v>8.6111111111111124E-2</v>
      </c>
      <c r="J1057" s="4" t="str">
        <f>IF(Table1[[#This Row],[processing_time_hours]]&gt;1.5,"Slow", "Fast")</f>
        <v>Fast</v>
      </c>
      <c r="K1057" t="s">
        <v>2818</v>
      </c>
      <c r="L1057" s="3">
        <v>0</v>
      </c>
      <c r="M1057" t="str">
        <f>IF(Table1[[#This Row],[delayed]]=1,"Delayed","On Time")</f>
        <v>On Time</v>
      </c>
      <c r="N1057" t="str">
        <f>IF(AND(Table1[[#This Row],[delayed]]=1,Table1[[#This Row],[weather_condition]]="Storm"),"High Risk", IF(Table1[[#This Row],[delayed]]=1,"Medium Risk","Low Risk"))</f>
        <v>Low Risk</v>
      </c>
    </row>
    <row r="1058" spans="1:14" x14ac:dyDescent="0.35">
      <c r="A1058">
        <v>1057</v>
      </c>
      <c r="B1058" s="1">
        <v>44971</v>
      </c>
      <c r="C1058" s="2">
        <v>5.7638888888888885E-2</v>
      </c>
      <c r="D1058" s="3">
        <v>4386</v>
      </c>
      <c r="E1058" s="3">
        <v>39</v>
      </c>
      <c r="F1058" s="2">
        <v>63.212499999999999</v>
      </c>
      <c r="G1058" t="s">
        <v>2812</v>
      </c>
      <c r="H1058" t="s">
        <v>2813</v>
      </c>
      <c r="I1058" s="2">
        <v>2.0458333333333334</v>
      </c>
      <c r="J1058" s="4" t="str">
        <f>IF(Table1[[#This Row],[processing_time_hours]]&gt;1.5,"Slow", "Fast")</f>
        <v>Slow</v>
      </c>
      <c r="K1058" t="s">
        <v>2818</v>
      </c>
      <c r="L1058" s="3">
        <v>0</v>
      </c>
      <c r="M1058" t="str">
        <f>IF(Table1[[#This Row],[delayed]]=1,"Delayed","On Time")</f>
        <v>On Time</v>
      </c>
      <c r="N1058" t="str">
        <f>IF(AND(Table1[[#This Row],[delayed]]=1,Table1[[#This Row],[weather_condition]]="Storm"),"High Risk", IF(Table1[[#This Row],[delayed]]=1,"Medium Risk","Low Risk"))</f>
        <v>Low Risk</v>
      </c>
    </row>
    <row r="1059" spans="1:14" x14ac:dyDescent="0.35">
      <c r="A1059">
        <v>1058</v>
      </c>
      <c r="B1059" s="1">
        <v>44971.041666666664</v>
      </c>
      <c r="C1059" s="2">
        <v>4.3750000000000004E-2</v>
      </c>
      <c r="D1059" s="3">
        <v>1345</v>
      </c>
      <c r="E1059" s="3">
        <v>335</v>
      </c>
      <c r="F1059" s="2">
        <v>78.047916666666666</v>
      </c>
      <c r="G1059" t="s">
        <v>2812</v>
      </c>
      <c r="H1059" t="s">
        <v>2822</v>
      </c>
      <c r="I1059" s="2">
        <v>2.6256944444444446</v>
      </c>
      <c r="J1059" s="4" t="str">
        <f>IF(Table1[[#This Row],[processing_time_hours]]&gt;1.5,"Slow", "Fast")</f>
        <v>Slow</v>
      </c>
      <c r="K1059" t="s">
        <v>2818</v>
      </c>
      <c r="L1059" s="3">
        <v>0</v>
      </c>
      <c r="M1059" t="str">
        <f>IF(Table1[[#This Row],[delayed]]=1,"Delayed","On Time")</f>
        <v>On Time</v>
      </c>
      <c r="N1059" t="str">
        <f>IF(AND(Table1[[#This Row],[delayed]]=1,Table1[[#This Row],[weather_condition]]="Storm"),"High Risk", IF(Table1[[#This Row],[delayed]]=1,"Medium Risk","Low Risk"))</f>
        <v>Low Risk</v>
      </c>
    </row>
    <row r="1060" spans="1:14" x14ac:dyDescent="0.35">
      <c r="A1060">
        <v>1059</v>
      </c>
      <c r="B1060" s="1">
        <v>44971.083333333336</v>
      </c>
      <c r="C1060" s="2">
        <v>4.2361111111111106E-2</v>
      </c>
      <c r="D1060" s="3">
        <v>1198</v>
      </c>
      <c r="E1060" s="3">
        <v>43</v>
      </c>
      <c r="F1060" s="2">
        <v>69.876388888888883</v>
      </c>
      <c r="G1060" t="s">
        <v>2812</v>
      </c>
      <c r="H1060" t="s">
        <v>2820</v>
      </c>
      <c r="I1060" s="2">
        <v>2.4201388888888888</v>
      </c>
      <c r="J1060" s="4" t="str">
        <f>IF(Table1[[#This Row],[processing_time_hours]]&gt;1.5,"Slow", "Fast")</f>
        <v>Slow</v>
      </c>
      <c r="K1060" t="s">
        <v>2818</v>
      </c>
      <c r="L1060" s="3">
        <v>0</v>
      </c>
      <c r="M1060" t="str">
        <f>IF(Table1[[#This Row],[delayed]]=1,"Delayed","On Time")</f>
        <v>On Time</v>
      </c>
      <c r="N1060" t="str">
        <f>IF(AND(Table1[[#This Row],[delayed]]=1,Table1[[#This Row],[weather_condition]]="Storm"),"High Risk", IF(Table1[[#This Row],[delayed]]=1,"Medium Risk","Low Risk"))</f>
        <v>Low Risk</v>
      </c>
    </row>
    <row r="1061" spans="1:14" x14ac:dyDescent="0.35">
      <c r="A1061">
        <v>1060</v>
      </c>
      <c r="B1061" s="1">
        <v>44971.125</v>
      </c>
      <c r="C1061" s="2">
        <v>5.9027777777777783E-2</v>
      </c>
      <c r="D1061" s="3">
        <v>3669</v>
      </c>
      <c r="E1061" s="3">
        <v>274</v>
      </c>
      <c r="F1061" s="2">
        <v>34.418749999999996</v>
      </c>
      <c r="G1061" t="s">
        <v>2815</v>
      </c>
      <c r="H1061" t="s">
        <v>2822</v>
      </c>
      <c r="I1061" s="2">
        <v>2.0416666666666665</v>
      </c>
      <c r="J1061" s="4" t="str">
        <f>IF(Table1[[#This Row],[processing_time_hours]]&gt;1.5,"Slow", "Fast")</f>
        <v>Slow</v>
      </c>
      <c r="K1061" t="s">
        <v>2814</v>
      </c>
      <c r="L1061" s="3">
        <v>1</v>
      </c>
      <c r="M1061" t="str">
        <f>IF(Table1[[#This Row],[delayed]]=1,"Delayed","On Time")</f>
        <v>Delayed</v>
      </c>
      <c r="N1061" t="str">
        <f>IF(AND(Table1[[#This Row],[delayed]]=1,Table1[[#This Row],[weather_condition]]="Storm"),"High Risk", IF(Table1[[#This Row],[delayed]]=1,"Medium Risk","Low Risk"))</f>
        <v>Medium Risk</v>
      </c>
    </row>
    <row r="1062" spans="1:14" x14ac:dyDescent="0.35">
      <c r="A1062">
        <v>1061</v>
      </c>
      <c r="B1062" s="1">
        <v>44971.166666666664</v>
      </c>
      <c r="C1062" s="2">
        <v>5.2083333333333336E-2</v>
      </c>
      <c r="D1062" s="3">
        <v>1897</v>
      </c>
      <c r="E1062" s="3">
        <v>231</v>
      </c>
      <c r="F1062" s="2">
        <v>28.587500000000002</v>
      </c>
      <c r="G1062" t="s">
        <v>2816</v>
      </c>
      <c r="H1062" t="s">
        <v>2820</v>
      </c>
      <c r="I1062" s="2">
        <v>1.4604166666666665</v>
      </c>
      <c r="J1062" s="4" t="str">
        <f>IF(Table1[[#This Row],[processing_time_hours]]&gt;1.5,"Slow", "Fast")</f>
        <v>Fast</v>
      </c>
      <c r="K1062" t="s">
        <v>2814</v>
      </c>
      <c r="L1062" s="3">
        <v>1</v>
      </c>
      <c r="M1062" t="str">
        <f>IF(Table1[[#This Row],[delayed]]=1,"Delayed","On Time")</f>
        <v>Delayed</v>
      </c>
      <c r="N1062" t="str">
        <f>IF(AND(Table1[[#This Row],[delayed]]=1,Table1[[#This Row],[weather_condition]]="Storm"),"High Risk", IF(Table1[[#This Row],[delayed]]=1,"Medium Risk","Low Risk"))</f>
        <v>Medium Risk</v>
      </c>
    </row>
    <row r="1063" spans="1:14" x14ac:dyDescent="0.35">
      <c r="A1063">
        <v>1062</v>
      </c>
      <c r="B1063" s="1">
        <v>44971.208333333336</v>
      </c>
      <c r="C1063" s="2">
        <v>4.3750000000000004E-2</v>
      </c>
      <c r="D1063" s="3">
        <v>1303</v>
      </c>
      <c r="E1063" s="3">
        <v>366</v>
      </c>
      <c r="F1063" s="2">
        <v>32.875</v>
      </c>
      <c r="G1063" t="s">
        <v>2815</v>
      </c>
      <c r="H1063" t="s">
        <v>2822</v>
      </c>
      <c r="I1063" s="2">
        <v>2.629861111111111</v>
      </c>
      <c r="J1063" s="4" t="str">
        <f>IF(Table1[[#This Row],[processing_time_hours]]&gt;1.5,"Slow", "Fast")</f>
        <v>Slow</v>
      </c>
      <c r="K1063" t="s">
        <v>2821</v>
      </c>
      <c r="L1063" s="3">
        <v>0</v>
      </c>
      <c r="M1063" t="str">
        <f>IF(Table1[[#This Row],[delayed]]=1,"Delayed","On Time")</f>
        <v>On Time</v>
      </c>
      <c r="N1063" t="str">
        <f>IF(AND(Table1[[#This Row],[delayed]]=1,Table1[[#This Row],[weather_condition]]="Storm"),"High Risk", IF(Table1[[#This Row],[delayed]]=1,"Medium Risk","Low Risk"))</f>
        <v>Low Risk</v>
      </c>
    </row>
    <row r="1064" spans="1:14" x14ac:dyDescent="0.35">
      <c r="A1064">
        <v>1063</v>
      </c>
      <c r="B1064" s="1">
        <v>44971.25</v>
      </c>
      <c r="C1064" s="2">
        <v>4.9305555555555554E-2</v>
      </c>
      <c r="D1064" s="3">
        <v>2169</v>
      </c>
      <c r="E1064" s="3">
        <v>52</v>
      </c>
      <c r="F1064" s="2">
        <v>77.33541666666666</v>
      </c>
      <c r="G1064" t="s">
        <v>2815</v>
      </c>
      <c r="H1064" t="s">
        <v>2820</v>
      </c>
      <c r="I1064" s="2">
        <v>2.1673611111111111</v>
      </c>
      <c r="J1064" s="4" t="str">
        <f>IF(Table1[[#This Row],[processing_time_hours]]&gt;1.5,"Slow", "Fast")</f>
        <v>Slow</v>
      </c>
      <c r="K1064" t="s">
        <v>2821</v>
      </c>
      <c r="L1064" s="3">
        <v>1</v>
      </c>
      <c r="M1064" t="str">
        <f>IF(Table1[[#This Row],[delayed]]=1,"Delayed","On Time")</f>
        <v>Delayed</v>
      </c>
      <c r="N1064" t="str">
        <f>IF(AND(Table1[[#This Row],[delayed]]=1,Table1[[#This Row],[weather_condition]]="Storm"),"High Risk", IF(Table1[[#This Row],[delayed]]=1,"Medium Risk","Low Risk"))</f>
        <v>Medium Risk</v>
      </c>
    </row>
    <row r="1065" spans="1:14" x14ac:dyDescent="0.35">
      <c r="A1065">
        <v>1064</v>
      </c>
      <c r="B1065" s="1">
        <v>44971.291666666664</v>
      </c>
      <c r="C1065" s="2">
        <v>6.1111111111111109E-2</v>
      </c>
      <c r="D1065" s="3">
        <v>4391</v>
      </c>
      <c r="E1065" s="3">
        <v>183</v>
      </c>
      <c r="F1065" s="2">
        <v>69.045138888888886</v>
      </c>
      <c r="G1065" t="s">
        <v>2815</v>
      </c>
      <c r="H1065" t="s">
        <v>2820</v>
      </c>
      <c r="I1065" s="2">
        <v>2.4187499999999997</v>
      </c>
      <c r="J1065" s="4" t="str">
        <f>IF(Table1[[#This Row],[processing_time_hours]]&gt;1.5,"Slow", "Fast")</f>
        <v>Slow</v>
      </c>
      <c r="K1065" t="s">
        <v>2821</v>
      </c>
      <c r="L1065" s="3">
        <v>1</v>
      </c>
      <c r="M1065" t="str">
        <f>IF(Table1[[#This Row],[delayed]]=1,"Delayed","On Time")</f>
        <v>Delayed</v>
      </c>
      <c r="N1065" t="str">
        <f>IF(AND(Table1[[#This Row],[delayed]]=1,Table1[[#This Row],[weather_condition]]="Storm"),"High Risk", IF(Table1[[#This Row],[delayed]]=1,"Medium Risk","Low Risk"))</f>
        <v>Medium Risk</v>
      </c>
    </row>
    <row r="1066" spans="1:14" x14ac:dyDescent="0.35">
      <c r="A1066">
        <v>1065</v>
      </c>
      <c r="B1066" s="1">
        <v>44971.333333333336</v>
      </c>
      <c r="C1066" s="2">
        <v>6.2499999999999995E-3</v>
      </c>
      <c r="D1066" s="3">
        <v>2631</v>
      </c>
      <c r="E1066" s="3">
        <v>310</v>
      </c>
      <c r="F1066" s="2">
        <v>30.170833333333334</v>
      </c>
      <c r="G1066" t="s">
        <v>2816</v>
      </c>
      <c r="H1066" t="s">
        <v>2817</v>
      </c>
      <c r="I1066" s="2">
        <v>1.1284722222222221</v>
      </c>
      <c r="J1066" s="4" t="str">
        <f>IF(Table1[[#This Row],[processing_time_hours]]&gt;1.5,"Slow", "Fast")</f>
        <v>Fast</v>
      </c>
      <c r="K1066" t="s">
        <v>2821</v>
      </c>
      <c r="L1066" s="3">
        <v>0</v>
      </c>
      <c r="M1066" t="str">
        <f>IF(Table1[[#This Row],[delayed]]=1,"Delayed","On Time")</f>
        <v>On Time</v>
      </c>
      <c r="N1066" t="str">
        <f>IF(AND(Table1[[#This Row],[delayed]]=1,Table1[[#This Row],[weather_condition]]="Storm"),"High Risk", IF(Table1[[#This Row],[delayed]]=1,"Medium Risk","Low Risk"))</f>
        <v>Low Risk</v>
      </c>
    </row>
    <row r="1067" spans="1:14" x14ac:dyDescent="0.35">
      <c r="A1067">
        <v>1066</v>
      </c>
      <c r="B1067" s="1">
        <v>44971.375</v>
      </c>
      <c r="C1067" s="2">
        <v>5.5555555555555558E-3</v>
      </c>
      <c r="D1067" s="3">
        <v>1294</v>
      </c>
      <c r="E1067" s="3">
        <v>357</v>
      </c>
      <c r="F1067" s="2">
        <v>43.587499999999999</v>
      </c>
      <c r="G1067" t="s">
        <v>2815</v>
      </c>
      <c r="H1067" t="s">
        <v>2822</v>
      </c>
      <c r="I1067" s="2">
        <v>1.6298611111111112</v>
      </c>
      <c r="J1067" s="4" t="str">
        <f>IF(Table1[[#This Row],[processing_time_hours]]&gt;1.5,"Slow", "Fast")</f>
        <v>Slow</v>
      </c>
      <c r="K1067" t="s">
        <v>2814</v>
      </c>
      <c r="L1067" s="3">
        <v>1</v>
      </c>
      <c r="M1067" t="str">
        <f>IF(Table1[[#This Row],[delayed]]=1,"Delayed","On Time")</f>
        <v>Delayed</v>
      </c>
      <c r="N1067" t="str">
        <f>IF(AND(Table1[[#This Row],[delayed]]=1,Table1[[#This Row],[weather_condition]]="Storm"),"High Risk", IF(Table1[[#This Row],[delayed]]=1,"Medium Risk","Low Risk"))</f>
        <v>Medium Risk</v>
      </c>
    </row>
    <row r="1068" spans="1:14" x14ac:dyDescent="0.35">
      <c r="A1068">
        <v>1067</v>
      </c>
      <c r="B1068" s="1">
        <v>44971.416666666664</v>
      </c>
      <c r="C1068" s="2">
        <v>4.7916666666666663E-2</v>
      </c>
      <c r="D1068" s="3">
        <v>3276</v>
      </c>
      <c r="E1068" s="3">
        <v>317</v>
      </c>
      <c r="F1068" s="2">
        <v>82.506250000000009</v>
      </c>
      <c r="G1068" t="s">
        <v>2819</v>
      </c>
      <c r="H1068" t="s">
        <v>2820</v>
      </c>
      <c r="I1068" s="2">
        <v>0.37847222222222227</v>
      </c>
      <c r="J1068" s="4" t="str">
        <f>IF(Table1[[#This Row],[processing_time_hours]]&gt;1.5,"Slow", "Fast")</f>
        <v>Fast</v>
      </c>
      <c r="K1068" t="s">
        <v>2814</v>
      </c>
      <c r="L1068" s="3">
        <v>0</v>
      </c>
      <c r="M1068" t="str">
        <f>IF(Table1[[#This Row],[delayed]]=1,"Delayed","On Time")</f>
        <v>On Time</v>
      </c>
      <c r="N1068" t="str">
        <f>IF(AND(Table1[[#This Row],[delayed]]=1,Table1[[#This Row],[weather_condition]]="Storm"),"High Risk", IF(Table1[[#This Row],[delayed]]=1,"Medium Risk","Low Risk"))</f>
        <v>Low Risk</v>
      </c>
    </row>
    <row r="1069" spans="1:14" x14ac:dyDescent="0.35">
      <c r="A1069">
        <v>1068</v>
      </c>
      <c r="B1069" s="1">
        <v>44971.458333333336</v>
      </c>
      <c r="C1069" s="2">
        <v>6.5277777777777782E-2</v>
      </c>
      <c r="D1069" s="3">
        <v>3199</v>
      </c>
      <c r="E1069" s="3">
        <v>174</v>
      </c>
      <c r="F1069" s="2">
        <v>53.042361111111113</v>
      </c>
      <c r="G1069" t="s">
        <v>2816</v>
      </c>
      <c r="H1069" t="s">
        <v>2820</v>
      </c>
      <c r="I1069" s="2">
        <v>1.4590277777777778</v>
      </c>
      <c r="J1069" s="4" t="str">
        <f>IF(Table1[[#This Row],[processing_time_hours]]&gt;1.5,"Slow", "Fast")</f>
        <v>Fast</v>
      </c>
      <c r="K1069" t="s">
        <v>2814</v>
      </c>
      <c r="L1069" s="3">
        <v>1</v>
      </c>
      <c r="M1069" t="str">
        <f>IF(Table1[[#This Row],[delayed]]=1,"Delayed","On Time")</f>
        <v>Delayed</v>
      </c>
      <c r="N1069" t="str">
        <f>IF(AND(Table1[[#This Row],[delayed]]=1,Table1[[#This Row],[weather_condition]]="Storm"),"High Risk", IF(Table1[[#This Row],[delayed]]=1,"Medium Risk","Low Risk"))</f>
        <v>Medium Risk</v>
      </c>
    </row>
    <row r="1070" spans="1:14" x14ac:dyDescent="0.35">
      <c r="A1070">
        <v>1069</v>
      </c>
      <c r="B1070" s="1">
        <v>44971.5</v>
      </c>
      <c r="C1070" s="2">
        <v>4.7222222222222221E-2</v>
      </c>
      <c r="D1070" s="3">
        <v>3705</v>
      </c>
      <c r="E1070" s="3">
        <v>165</v>
      </c>
      <c r="F1070" s="2">
        <v>58.211111111111109</v>
      </c>
      <c r="G1070" t="s">
        <v>2815</v>
      </c>
      <c r="H1070" t="s">
        <v>2817</v>
      </c>
      <c r="I1070" s="2">
        <v>2.5423611111111111</v>
      </c>
      <c r="J1070" s="4" t="str">
        <f>IF(Table1[[#This Row],[processing_time_hours]]&gt;1.5,"Slow", "Fast")</f>
        <v>Slow</v>
      </c>
      <c r="K1070" t="s">
        <v>2818</v>
      </c>
      <c r="L1070" s="3">
        <v>1</v>
      </c>
      <c r="M1070" t="str">
        <f>IF(Table1[[#This Row],[delayed]]=1,"Delayed","On Time")</f>
        <v>Delayed</v>
      </c>
      <c r="N1070" t="str">
        <f>IF(AND(Table1[[#This Row],[delayed]]=1,Table1[[#This Row],[weather_condition]]="Storm"),"High Risk", IF(Table1[[#This Row],[delayed]]=1,"Medium Risk","Low Risk"))</f>
        <v>High Risk</v>
      </c>
    </row>
    <row r="1071" spans="1:14" x14ac:dyDescent="0.35">
      <c r="A1071">
        <v>1070</v>
      </c>
      <c r="B1071" s="1">
        <v>44971.541666666664</v>
      </c>
      <c r="C1071" s="2">
        <v>6.2499999999999995E-3</v>
      </c>
      <c r="D1071" s="3">
        <v>1296</v>
      </c>
      <c r="E1071" s="3">
        <v>313</v>
      </c>
      <c r="F1071" s="2">
        <v>19.044444444444444</v>
      </c>
      <c r="G1071" t="s">
        <v>2819</v>
      </c>
      <c r="H1071" t="s">
        <v>2822</v>
      </c>
      <c r="I1071" s="2">
        <v>1.6722222222222223</v>
      </c>
      <c r="J1071" s="4" t="str">
        <f>IF(Table1[[#This Row],[processing_time_hours]]&gt;1.5,"Slow", "Fast")</f>
        <v>Slow</v>
      </c>
      <c r="K1071" t="s">
        <v>2814</v>
      </c>
      <c r="L1071" s="3">
        <v>1</v>
      </c>
      <c r="M1071" t="str">
        <f>IF(Table1[[#This Row],[delayed]]=1,"Delayed","On Time")</f>
        <v>Delayed</v>
      </c>
      <c r="N1071" t="str">
        <f>IF(AND(Table1[[#This Row],[delayed]]=1,Table1[[#This Row],[weather_condition]]="Storm"),"High Risk", IF(Table1[[#This Row],[delayed]]=1,"Medium Risk","Low Risk"))</f>
        <v>Medium Risk</v>
      </c>
    </row>
    <row r="1072" spans="1:14" x14ac:dyDescent="0.35">
      <c r="A1072">
        <v>1071</v>
      </c>
      <c r="B1072" s="1">
        <v>44971.583333333336</v>
      </c>
      <c r="C1072" s="2">
        <v>4.5833333333333337E-2</v>
      </c>
      <c r="D1072" s="3">
        <v>161</v>
      </c>
      <c r="E1072" s="3">
        <v>243</v>
      </c>
      <c r="F1072" s="2">
        <v>81.797916666666666</v>
      </c>
      <c r="G1072" t="s">
        <v>2815</v>
      </c>
      <c r="H1072" t="s">
        <v>2820</v>
      </c>
      <c r="I1072" s="2">
        <v>1.086111111111111</v>
      </c>
      <c r="J1072" s="4" t="str">
        <f>IF(Table1[[#This Row],[processing_time_hours]]&gt;1.5,"Slow", "Fast")</f>
        <v>Fast</v>
      </c>
      <c r="K1072" t="s">
        <v>2818</v>
      </c>
      <c r="L1072" s="3">
        <v>0</v>
      </c>
      <c r="M1072" t="str">
        <f>IF(Table1[[#This Row],[delayed]]=1,"Delayed","On Time")</f>
        <v>On Time</v>
      </c>
      <c r="N1072" t="str">
        <f>IF(AND(Table1[[#This Row],[delayed]]=1,Table1[[#This Row],[weather_condition]]="Storm"),"High Risk", IF(Table1[[#This Row],[delayed]]=1,"Medium Risk","Low Risk"))</f>
        <v>Low Risk</v>
      </c>
    </row>
    <row r="1073" spans="1:14" x14ac:dyDescent="0.35">
      <c r="A1073">
        <v>1072</v>
      </c>
      <c r="B1073" s="1">
        <v>44971.625</v>
      </c>
      <c r="C1073" s="2">
        <v>6.7361111111111108E-2</v>
      </c>
      <c r="D1073" s="3">
        <v>4563</v>
      </c>
      <c r="E1073" s="3">
        <v>18</v>
      </c>
      <c r="F1073" s="2">
        <v>24.584722222222222</v>
      </c>
      <c r="G1073" t="s">
        <v>2819</v>
      </c>
      <c r="H1073" t="s">
        <v>2822</v>
      </c>
      <c r="I1073" s="2">
        <v>0.88055555555555554</v>
      </c>
      <c r="J1073" s="4" t="str">
        <f>IF(Table1[[#This Row],[processing_time_hours]]&gt;1.5,"Slow", "Fast")</f>
        <v>Fast</v>
      </c>
      <c r="K1073" t="s">
        <v>2818</v>
      </c>
      <c r="L1073" s="3">
        <v>1</v>
      </c>
      <c r="M1073" t="str">
        <f>IF(Table1[[#This Row],[delayed]]=1,"Delayed","On Time")</f>
        <v>Delayed</v>
      </c>
      <c r="N1073" t="str">
        <f>IF(AND(Table1[[#This Row],[delayed]]=1,Table1[[#This Row],[weather_condition]]="Storm"),"High Risk", IF(Table1[[#This Row],[delayed]]=1,"Medium Risk","Low Risk"))</f>
        <v>Medium Risk</v>
      </c>
    </row>
    <row r="1074" spans="1:14" x14ac:dyDescent="0.35">
      <c r="A1074">
        <v>1073</v>
      </c>
      <c r="B1074" s="1">
        <v>44971.666666666664</v>
      </c>
      <c r="C1074" s="2">
        <v>6.3194444444444442E-2</v>
      </c>
      <c r="D1074" s="3">
        <v>3861</v>
      </c>
      <c r="E1074" s="3">
        <v>76</v>
      </c>
      <c r="F1074" s="2">
        <v>11.21111111111111</v>
      </c>
      <c r="G1074" t="s">
        <v>2812</v>
      </c>
      <c r="H1074" t="s">
        <v>2817</v>
      </c>
      <c r="I1074" s="2">
        <v>0.21458333333333335</v>
      </c>
      <c r="J1074" s="4" t="str">
        <f>IF(Table1[[#This Row],[processing_time_hours]]&gt;1.5,"Slow", "Fast")</f>
        <v>Fast</v>
      </c>
      <c r="K1074" t="s">
        <v>2821</v>
      </c>
      <c r="L1074" s="3">
        <v>0</v>
      </c>
      <c r="M1074" t="str">
        <f>IF(Table1[[#This Row],[delayed]]=1,"Delayed","On Time")</f>
        <v>On Time</v>
      </c>
      <c r="N1074" t="str">
        <f>IF(AND(Table1[[#This Row],[delayed]]=1,Table1[[#This Row],[weather_condition]]="Storm"),"High Risk", IF(Table1[[#This Row],[delayed]]=1,"Medium Risk","Low Risk"))</f>
        <v>Low Risk</v>
      </c>
    </row>
    <row r="1075" spans="1:14" x14ac:dyDescent="0.35">
      <c r="A1075">
        <v>1074</v>
      </c>
      <c r="B1075" s="1">
        <v>44971.708333333336</v>
      </c>
      <c r="C1075" s="2">
        <v>5.5555555555555558E-3</v>
      </c>
      <c r="D1075" s="3">
        <v>4183</v>
      </c>
      <c r="E1075" s="3">
        <v>440</v>
      </c>
      <c r="F1075" s="2">
        <v>28.254861111111111</v>
      </c>
      <c r="G1075" t="s">
        <v>2816</v>
      </c>
      <c r="H1075" t="s">
        <v>2813</v>
      </c>
      <c r="I1075" s="2">
        <v>1.2562499999999999</v>
      </c>
      <c r="J1075" s="4" t="str">
        <f>IF(Table1[[#This Row],[processing_time_hours]]&gt;1.5,"Slow", "Fast")</f>
        <v>Fast</v>
      </c>
      <c r="K1075" t="s">
        <v>2814</v>
      </c>
      <c r="L1075" s="3">
        <v>1</v>
      </c>
      <c r="M1075" t="str">
        <f>IF(Table1[[#This Row],[delayed]]=1,"Delayed","On Time")</f>
        <v>Delayed</v>
      </c>
      <c r="N1075" t="str">
        <f>IF(AND(Table1[[#This Row],[delayed]]=1,Table1[[#This Row],[weather_condition]]="Storm"),"High Risk", IF(Table1[[#This Row],[delayed]]=1,"Medium Risk","Low Risk"))</f>
        <v>Medium Risk</v>
      </c>
    </row>
    <row r="1076" spans="1:14" x14ac:dyDescent="0.35">
      <c r="A1076">
        <v>1075</v>
      </c>
      <c r="B1076" s="1">
        <v>44971.75</v>
      </c>
      <c r="C1076" s="2">
        <v>5.3472222222222227E-2</v>
      </c>
      <c r="D1076" s="3">
        <v>884</v>
      </c>
      <c r="E1076" s="3">
        <v>231</v>
      </c>
      <c r="F1076" s="2">
        <v>7.6708333333333334</v>
      </c>
      <c r="G1076" t="s">
        <v>2815</v>
      </c>
      <c r="H1076" t="s">
        <v>2813</v>
      </c>
      <c r="I1076" s="2">
        <v>2.2097222222222221</v>
      </c>
      <c r="J1076" s="4" t="str">
        <f>IF(Table1[[#This Row],[processing_time_hours]]&gt;1.5,"Slow", "Fast")</f>
        <v>Slow</v>
      </c>
      <c r="K1076" t="s">
        <v>2814</v>
      </c>
      <c r="L1076" s="3">
        <v>0</v>
      </c>
      <c r="M1076" t="str">
        <f>IF(Table1[[#This Row],[delayed]]=1,"Delayed","On Time")</f>
        <v>On Time</v>
      </c>
      <c r="N1076" t="str">
        <f>IF(AND(Table1[[#This Row],[delayed]]=1,Table1[[#This Row],[weather_condition]]="Storm"),"High Risk", IF(Table1[[#This Row],[delayed]]=1,"Medium Risk","Low Risk"))</f>
        <v>Low Risk</v>
      </c>
    </row>
    <row r="1077" spans="1:14" x14ac:dyDescent="0.35">
      <c r="A1077">
        <v>1076</v>
      </c>
      <c r="B1077" s="1">
        <v>44971.791666666664</v>
      </c>
      <c r="C1077" s="2">
        <v>5.7638888888888885E-2</v>
      </c>
      <c r="D1077" s="3">
        <v>3562</v>
      </c>
      <c r="E1077" s="3">
        <v>130</v>
      </c>
      <c r="F1077" s="2">
        <v>41.875</v>
      </c>
      <c r="G1077" t="s">
        <v>2815</v>
      </c>
      <c r="H1077" t="s">
        <v>2820</v>
      </c>
      <c r="I1077" s="2">
        <v>0.20833333333333334</v>
      </c>
      <c r="J1077" s="4" t="str">
        <f>IF(Table1[[#This Row],[processing_time_hours]]&gt;1.5,"Slow", "Fast")</f>
        <v>Fast</v>
      </c>
      <c r="K1077" t="s">
        <v>2821</v>
      </c>
      <c r="L1077" s="3">
        <v>1</v>
      </c>
      <c r="M1077" t="str">
        <f>IF(Table1[[#This Row],[delayed]]=1,"Delayed","On Time")</f>
        <v>Delayed</v>
      </c>
      <c r="N1077" t="str">
        <f>IF(AND(Table1[[#This Row],[delayed]]=1,Table1[[#This Row],[weather_condition]]="Storm"),"High Risk", IF(Table1[[#This Row],[delayed]]=1,"Medium Risk","Low Risk"))</f>
        <v>Medium Risk</v>
      </c>
    </row>
    <row r="1078" spans="1:14" x14ac:dyDescent="0.35">
      <c r="A1078">
        <v>1077</v>
      </c>
      <c r="B1078" s="1">
        <v>44971.833333333336</v>
      </c>
      <c r="C1078" s="2">
        <v>5.9722222222222225E-2</v>
      </c>
      <c r="D1078" s="3">
        <v>1636</v>
      </c>
      <c r="E1078" s="3">
        <v>341</v>
      </c>
      <c r="F1078" s="2">
        <v>35.5</v>
      </c>
      <c r="G1078" t="s">
        <v>2812</v>
      </c>
      <c r="H1078" t="s">
        <v>2820</v>
      </c>
      <c r="I1078" s="2">
        <v>1.4166666666666667</v>
      </c>
      <c r="J1078" s="4" t="str">
        <f>IF(Table1[[#This Row],[processing_time_hours]]&gt;1.5,"Slow", "Fast")</f>
        <v>Fast</v>
      </c>
      <c r="K1078" t="s">
        <v>2821</v>
      </c>
      <c r="L1078" s="3">
        <v>0</v>
      </c>
      <c r="M1078" t="str">
        <f>IF(Table1[[#This Row],[delayed]]=1,"Delayed","On Time")</f>
        <v>On Time</v>
      </c>
      <c r="N1078" t="str">
        <f>IF(AND(Table1[[#This Row],[delayed]]=1,Table1[[#This Row],[weather_condition]]="Storm"),"High Risk", IF(Table1[[#This Row],[delayed]]=1,"Medium Risk","Low Risk"))</f>
        <v>Low Risk</v>
      </c>
    </row>
    <row r="1079" spans="1:14" x14ac:dyDescent="0.35">
      <c r="A1079">
        <v>1078</v>
      </c>
      <c r="B1079" s="1">
        <v>44971.875</v>
      </c>
      <c r="C1079" s="2">
        <v>5.6944444444444443E-2</v>
      </c>
      <c r="D1079" s="3">
        <v>2485</v>
      </c>
      <c r="E1079" s="3">
        <v>323</v>
      </c>
      <c r="F1079" s="2">
        <v>77.338888888888889</v>
      </c>
      <c r="G1079" t="s">
        <v>2812</v>
      </c>
      <c r="H1079" t="s">
        <v>2822</v>
      </c>
      <c r="I1079" s="2">
        <v>0.33402777777777781</v>
      </c>
      <c r="J1079" s="4" t="str">
        <f>IF(Table1[[#This Row],[processing_time_hours]]&gt;1.5,"Slow", "Fast")</f>
        <v>Fast</v>
      </c>
      <c r="K1079" t="s">
        <v>2818</v>
      </c>
      <c r="L1079" s="3">
        <v>1</v>
      </c>
      <c r="M1079" t="str">
        <f>IF(Table1[[#This Row],[delayed]]=1,"Delayed","On Time")</f>
        <v>Delayed</v>
      </c>
      <c r="N1079" t="str">
        <f>IF(AND(Table1[[#This Row],[delayed]]=1,Table1[[#This Row],[weather_condition]]="Storm"),"High Risk", IF(Table1[[#This Row],[delayed]]=1,"Medium Risk","Low Risk"))</f>
        <v>Medium Risk</v>
      </c>
    </row>
    <row r="1080" spans="1:14" x14ac:dyDescent="0.35">
      <c r="A1080">
        <v>1079</v>
      </c>
      <c r="B1080" s="1">
        <v>44971.916666666664</v>
      </c>
      <c r="C1080" s="2">
        <v>6.1111111111111109E-2</v>
      </c>
      <c r="D1080" s="3">
        <v>4122</v>
      </c>
      <c r="E1080" s="3">
        <v>319</v>
      </c>
      <c r="F1080" s="2">
        <v>16.293055555555558</v>
      </c>
      <c r="G1080" t="s">
        <v>2819</v>
      </c>
      <c r="H1080" t="s">
        <v>2813</v>
      </c>
      <c r="I1080" s="2">
        <v>0.33611111111111108</v>
      </c>
      <c r="J1080" s="4" t="str">
        <f>IF(Table1[[#This Row],[processing_time_hours]]&gt;1.5,"Slow", "Fast")</f>
        <v>Fast</v>
      </c>
      <c r="K1080" t="s">
        <v>2821</v>
      </c>
      <c r="L1080" s="3">
        <v>0</v>
      </c>
      <c r="M1080" t="str">
        <f>IF(Table1[[#This Row],[delayed]]=1,"Delayed","On Time")</f>
        <v>On Time</v>
      </c>
      <c r="N1080" t="str">
        <f>IF(AND(Table1[[#This Row],[delayed]]=1,Table1[[#This Row],[weather_condition]]="Storm"),"High Risk", IF(Table1[[#This Row],[delayed]]=1,"Medium Risk","Low Risk"))</f>
        <v>Low Risk</v>
      </c>
    </row>
    <row r="1081" spans="1:14" x14ac:dyDescent="0.35">
      <c r="A1081">
        <v>1080</v>
      </c>
      <c r="B1081" s="1">
        <v>44971.958333333336</v>
      </c>
      <c r="C1081" s="2">
        <v>4.4444444444444446E-2</v>
      </c>
      <c r="D1081" s="3">
        <v>170</v>
      </c>
      <c r="E1081" s="3">
        <v>363</v>
      </c>
      <c r="F1081" s="2">
        <v>23.125694444444445</v>
      </c>
      <c r="G1081" t="s">
        <v>2812</v>
      </c>
      <c r="H1081" t="s">
        <v>2822</v>
      </c>
      <c r="I1081" s="2">
        <v>2.129861111111111</v>
      </c>
      <c r="J1081" s="4" t="str">
        <f>IF(Table1[[#This Row],[processing_time_hours]]&gt;1.5,"Slow", "Fast")</f>
        <v>Slow</v>
      </c>
      <c r="K1081" t="s">
        <v>2818</v>
      </c>
      <c r="L1081" s="3">
        <v>1</v>
      </c>
      <c r="M1081" t="str">
        <f>IF(Table1[[#This Row],[delayed]]=1,"Delayed","On Time")</f>
        <v>Delayed</v>
      </c>
      <c r="N1081" t="str">
        <f>IF(AND(Table1[[#This Row],[delayed]]=1,Table1[[#This Row],[weather_condition]]="Storm"),"High Risk", IF(Table1[[#This Row],[delayed]]=1,"Medium Risk","Low Risk"))</f>
        <v>Medium Risk</v>
      </c>
    </row>
    <row r="1082" spans="1:14" x14ac:dyDescent="0.35">
      <c r="A1082">
        <v>1081</v>
      </c>
      <c r="B1082" s="1">
        <v>44972</v>
      </c>
      <c r="C1082" s="2">
        <v>5.3472222222222227E-2</v>
      </c>
      <c r="D1082" s="3">
        <v>3545</v>
      </c>
      <c r="E1082" s="3">
        <v>304</v>
      </c>
      <c r="F1082" s="2">
        <v>78.672222222222231</v>
      </c>
      <c r="G1082" t="s">
        <v>2819</v>
      </c>
      <c r="H1082" t="s">
        <v>2820</v>
      </c>
      <c r="I1082" s="2">
        <v>2.9201388888888888</v>
      </c>
      <c r="J1082" s="4" t="str">
        <f>IF(Table1[[#This Row],[processing_time_hours]]&gt;1.5,"Slow", "Fast")</f>
        <v>Slow</v>
      </c>
      <c r="K1082" t="s">
        <v>2818</v>
      </c>
      <c r="L1082" s="3">
        <v>0</v>
      </c>
      <c r="M1082" t="str">
        <f>IF(Table1[[#This Row],[delayed]]=1,"Delayed","On Time")</f>
        <v>On Time</v>
      </c>
      <c r="N1082" t="str">
        <f>IF(AND(Table1[[#This Row],[delayed]]=1,Table1[[#This Row],[weather_condition]]="Storm"),"High Risk", IF(Table1[[#This Row],[delayed]]=1,"Medium Risk","Low Risk"))</f>
        <v>Low Risk</v>
      </c>
    </row>
    <row r="1083" spans="1:14" x14ac:dyDescent="0.35">
      <c r="A1083">
        <v>1082</v>
      </c>
      <c r="B1083" s="1">
        <v>44972.041666666664</v>
      </c>
      <c r="C1083" s="2">
        <v>6.2499999999999995E-3</v>
      </c>
      <c r="D1083" s="3">
        <v>2890</v>
      </c>
      <c r="E1083" s="3">
        <v>314</v>
      </c>
      <c r="F1083" s="2">
        <v>48.504861111111104</v>
      </c>
      <c r="G1083" t="s">
        <v>2815</v>
      </c>
      <c r="H1083" t="s">
        <v>2817</v>
      </c>
      <c r="I1083" s="2">
        <v>0.54166666666666663</v>
      </c>
      <c r="J1083" s="4" t="str">
        <f>IF(Table1[[#This Row],[processing_time_hours]]&gt;1.5,"Slow", "Fast")</f>
        <v>Fast</v>
      </c>
      <c r="K1083" t="s">
        <v>2818</v>
      </c>
      <c r="L1083" s="3">
        <v>0</v>
      </c>
      <c r="M1083" t="str">
        <f>IF(Table1[[#This Row],[delayed]]=1,"Delayed","On Time")</f>
        <v>On Time</v>
      </c>
      <c r="N1083" t="str">
        <f>IF(AND(Table1[[#This Row],[delayed]]=1,Table1[[#This Row],[weather_condition]]="Storm"),"High Risk", IF(Table1[[#This Row],[delayed]]=1,"Medium Risk","Low Risk"))</f>
        <v>Low Risk</v>
      </c>
    </row>
    <row r="1084" spans="1:14" x14ac:dyDescent="0.35">
      <c r="A1084">
        <v>1083</v>
      </c>
      <c r="B1084" s="1">
        <v>44972.083333333336</v>
      </c>
      <c r="C1084" s="2">
        <v>5.4166666666666669E-2</v>
      </c>
      <c r="D1084" s="3">
        <v>1297</v>
      </c>
      <c r="E1084" s="3">
        <v>23</v>
      </c>
      <c r="F1084" s="2">
        <v>9.9645833333333336</v>
      </c>
      <c r="G1084" t="s">
        <v>2815</v>
      </c>
      <c r="H1084" t="s">
        <v>2817</v>
      </c>
      <c r="I1084" s="2">
        <v>2.004861111111111</v>
      </c>
      <c r="J1084" s="4" t="str">
        <f>IF(Table1[[#This Row],[processing_time_hours]]&gt;1.5,"Slow", "Fast")</f>
        <v>Slow</v>
      </c>
      <c r="K1084" t="s">
        <v>2814</v>
      </c>
      <c r="L1084" s="3">
        <v>0</v>
      </c>
      <c r="M1084" t="str">
        <f>IF(Table1[[#This Row],[delayed]]=1,"Delayed","On Time")</f>
        <v>On Time</v>
      </c>
      <c r="N1084" t="str">
        <f>IF(AND(Table1[[#This Row],[delayed]]=1,Table1[[#This Row],[weather_condition]]="Storm"),"High Risk", IF(Table1[[#This Row],[delayed]]=1,"Medium Risk","Low Risk"))</f>
        <v>Low Risk</v>
      </c>
    </row>
    <row r="1085" spans="1:14" x14ac:dyDescent="0.35">
      <c r="A1085">
        <v>1084</v>
      </c>
      <c r="B1085" s="1">
        <v>44972.125</v>
      </c>
      <c r="C1085" s="2">
        <v>6.8749999999999992E-2</v>
      </c>
      <c r="D1085" s="3">
        <v>3749</v>
      </c>
      <c r="E1085" s="3">
        <v>459</v>
      </c>
      <c r="F1085" s="2">
        <v>58.58819444444444</v>
      </c>
      <c r="G1085" t="s">
        <v>2815</v>
      </c>
      <c r="H1085" t="s">
        <v>2813</v>
      </c>
      <c r="I1085" s="2">
        <v>2.0444444444444447</v>
      </c>
      <c r="J1085" s="4" t="str">
        <f>IF(Table1[[#This Row],[processing_time_hours]]&gt;1.5,"Slow", "Fast")</f>
        <v>Slow</v>
      </c>
      <c r="K1085" t="s">
        <v>2821</v>
      </c>
      <c r="L1085" s="3">
        <v>1</v>
      </c>
      <c r="M1085" t="str">
        <f>IF(Table1[[#This Row],[delayed]]=1,"Delayed","On Time")</f>
        <v>Delayed</v>
      </c>
      <c r="N1085" t="str">
        <f>IF(AND(Table1[[#This Row],[delayed]]=1,Table1[[#This Row],[weather_condition]]="Storm"),"High Risk", IF(Table1[[#This Row],[delayed]]=1,"Medium Risk","Low Risk"))</f>
        <v>Medium Risk</v>
      </c>
    </row>
    <row r="1086" spans="1:14" x14ac:dyDescent="0.35">
      <c r="A1086">
        <v>1085</v>
      </c>
      <c r="B1086" s="1">
        <v>44972.166666666664</v>
      </c>
      <c r="C1086" s="2">
        <v>5.6250000000000001E-2</v>
      </c>
      <c r="D1086" s="3">
        <v>963</v>
      </c>
      <c r="E1086" s="3">
        <v>395</v>
      </c>
      <c r="F1086" s="2">
        <v>72.961805555555557</v>
      </c>
      <c r="G1086" t="s">
        <v>2816</v>
      </c>
      <c r="H1086" t="s">
        <v>2822</v>
      </c>
      <c r="I1086" s="2">
        <v>0.54236111111111118</v>
      </c>
      <c r="J1086" s="4" t="str">
        <f>IF(Table1[[#This Row],[processing_time_hours]]&gt;1.5,"Slow", "Fast")</f>
        <v>Fast</v>
      </c>
      <c r="K1086" t="s">
        <v>2818</v>
      </c>
      <c r="L1086" s="3">
        <v>0</v>
      </c>
      <c r="M1086" t="str">
        <f>IF(Table1[[#This Row],[delayed]]=1,"Delayed","On Time")</f>
        <v>On Time</v>
      </c>
      <c r="N1086" t="str">
        <f>IF(AND(Table1[[#This Row],[delayed]]=1,Table1[[#This Row],[weather_condition]]="Storm"),"High Risk", IF(Table1[[#This Row],[delayed]]=1,"Medium Risk","Low Risk"))</f>
        <v>Low Risk</v>
      </c>
    </row>
    <row r="1087" spans="1:14" x14ac:dyDescent="0.35">
      <c r="A1087">
        <v>1086</v>
      </c>
      <c r="B1087" s="1">
        <v>44972.208333333336</v>
      </c>
      <c r="C1087" s="2">
        <v>4.9999999999999996E-2</v>
      </c>
      <c r="D1087" s="3">
        <v>4741</v>
      </c>
      <c r="E1087" s="3">
        <v>40</v>
      </c>
      <c r="F1087" s="2">
        <v>29.961805555555557</v>
      </c>
      <c r="G1087" t="s">
        <v>2819</v>
      </c>
      <c r="H1087" t="s">
        <v>2820</v>
      </c>
      <c r="I1087" s="2">
        <v>1.3798611111111112</v>
      </c>
      <c r="J1087" s="4" t="str">
        <f>IF(Table1[[#This Row],[processing_time_hours]]&gt;1.5,"Slow", "Fast")</f>
        <v>Fast</v>
      </c>
      <c r="K1087" t="s">
        <v>2821</v>
      </c>
      <c r="L1087" s="3">
        <v>0</v>
      </c>
      <c r="M1087" t="str">
        <f>IF(Table1[[#This Row],[delayed]]=1,"Delayed","On Time")</f>
        <v>On Time</v>
      </c>
      <c r="N1087" t="str">
        <f>IF(AND(Table1[[#This Row],[delayed]]=1,Table1[[#This Row],[weather_condition]]="Storm"),"High Risk", IF(Table1[[#This Row],[delayed]]=1,"Medium Risk","Low Risk"))</f>
        <v>Low Risk</v>
      </c>
    </row>
    <row r="1088" spans="1:14" x14ac:dyDescent="0.35">
      <c r="A1088">
        <v>1087</v>
      </c>
      <c r="B1088" s="1">
        <v>44972.25</v>
      </c>
      <c r="C1088" s="2">
        <v>6.6666666666666666E-2</v>
      </c>
      <c r="D1088" s="3">
        <v>719</v>
      </c>
      <c r="E1088" s="3">
        <v>209</v>
      </c>
      <c r="F1088" s="2">
        <v>49.086111111111109</v>
      </c>
      <c r="G1088" t="s">
        <v>2815</v>
      </c>
      <c r="H1088" t="s">
        <v>2817</v>
      </c>
      <c r="I1088" s="2">
        <v>0.25347222222222221</v>
      </c>
      <c r="J1088" s="4" t="str">
        <f>IF(Table1[[#This Row],[processing_time_hours]]&gt;1.5,"Slow", "Fast")</f>
        <v>Fast</v>
      </c>
      <c r="K1088" t="s">
        <v>2818</v>
      </c>
      <c r="L1088" s="3">
        <v>1</v>
      </c>
      <c r="M1088" t="str">
        <f>IF(Table1[[#This Row],[delayed]]=1,"Delayed","On Time")</f>
        <v>Delayed</v>
      </c>
      <c r="N1088" t="str">
        <f>IF(AND(Table1[[#This Row],[delayed]]=1,Table1[[#This Row],[weather_condition]]="Storm"),"High Risk", IF(Table1[[#This Row],[delayed]]=1,"Medium Risk","Low Risk"))</f>
        <v>High Risk</v>
      </c>
    </row>
    <row r="1089" spans="1:14" x14ac:dyDescent="0.35">
      <c r="A1089">
        <v>1088</v>
      </c>
      <c r="B1089" s="1">
        <v>44972.291666666664</v>
      </c>
      <c r="C1089" s="2">
        <v>5.3472222222222227E-2</v>
      </c>
      <c r="D1089" s="3">
        <v>2602</v>
      </c>
      <c r="E1089" s="3">
        <v>264</v>
      </c>
      <c r="F1089" s="2">
        <v>76.541666666666671</v>
      </c>
      <c r="G1089" t="s">
        <v>2816</v>
      </c>
      <c r="H1089" t="s">
        <v>2820</v>
      </c>
      <c r="I1089" s="2">
        <v>2.7124999999999999</v>
      </c>
      <c r="J1089" s="4" t="str">
        <f>IF(Table1[[#This Row],[processing_time_hours]]&gt;1.5,"Slow", "Fast")</f>
        <v>Slow</v>
      </c>
      <c r="K1089" t="s">
        <v>2821</v>
      </c>
      <c r="L1089" s="3">
        <v>0</v>
      </c>
      <c r="M1089" t="str">
        <f>IF(Table1[[#This Row],[delayed]]=1,"Delayed","On Time")</f>
        <v>On Time</v>
      </c>
      <c r="N1089" t="str">
        <f>IF(AND(Table1[[#This Row],[delayed]]=1,Table1[[#This Row],[weather_condition]]="Storm"),"High Risk", IF(Table1[[#This Row],[delayed]]=1,"Medium Risk","Low Risk"))</f>
        <v>Low Risk</v>
      </c>
    </row>
    <row r="1090" spans="1:14" x14ac:dyDescent="0.35">
      <c r="A1090">
        <v>1089</v>
      </c>
      <c r="B1090" s="1">
        <v>44972.333333333336</v>
      </c>
      <c r="C1090" s="2">
        <v>5.6944444444444443E-2</v>
      </c>
      <c r="D1090" s="3">
        <v>1344</v>
      </c>
      <c r="E1090" s="3">
        <v>302</v>
      </c>
      <c r="F1090" s="2">
        <v>42.879166666666663</v>
      </c>
      <c r="G1090" t="s">
        <v>2816</v>
      </c>
      <c r="H1090" t="s">
        <v>2813</v>
      </c>
      <c r="I1090" s="2">
        <v>2.2972222222222221</v>
      </c>
      <c r="J1090" s="4" t="str">
        <f>IF(Table1[[#This Row],[processing_time_hours]]&gt;1.5,"Slow", "Fast")</f>
        <v>Slow</v>
      </c>
      <c r="K1090" t="s">
        <v>2821</v>
      </c>
      <c r="L1090" s="3">
        <v>0</v>
      </c>
      <c r="M1090" t="str">
        <f>IF(Table1[[#This Row],[delayed]]=1,"Delayed","On Time")</f>
        <v>On Time</v>
      </c>
      <c r="N1090" t="str">
        <f>IF(AND(Table1[[#This Row],[delayed]]=1,Table1[[#This Row],[weather_condition]]="Storm"),"High Risk", IF(Table1[[#This Row],[delayed]]=1,"Medium Risk","Low Risk"))</f>
        <v>Low Risk</v>
      </c>
    </row>
    <row r="1091" spans="1:14" x14ac:dyDescent="0.35">
      <c r="A1091">
        <v>1090</v>
      </c>
      <c r="B1091" s="1">
        <v>44972.375</v>
      </c>
      <c r="C1091" s="2">
        <v>5.9722222222222225E-2</v>
      </c>
      <c r="D1091" s="3">
        <v>1193</v>
      </c>
      <c r="E1091" s="3">
        <v>183</v>
      </c>
      <c r="F1091" s="2">
        <v>62.667361111111113</v>
      </c>
      <c r="G1091" t="s">
        <v>2819</v>
      </c>
      <c r="H1091" t="s">
        <v>2817</v>
      </c>
      <c r="I1091" s="2">
        <v>2.5437499999999997</v>
      </c>
      <c r="J1091" s="4" t="str">
        <f>IF(Table1[[#This Row],[processing_time_hours]]&gt;1.5,"Slow", "Fast")</f>
        <v>Slow</v>
      </c>
      <c r="K1091" t="s">
        <v>2821</v>
      </c>
      <c r="L1091" s="3">
        <v>0</v>
      </c>
      <c r="M1091" t="str">
        <f>IF(Table1[[#This Row],[delayed]]=1,"Delayed","On Time")</f>
        <v>On Time</v>
      </c>
      <c r="N1091" t="str">
        <f>IF(AND(Table1[[#This Row],[delayed]]=1,Table1[[#This Row],[weather_condition]]="Storm"),"High Risk", IF(Table1[[#This Row],[delayed]]=1,"Medium Risk","Low Risk"))</f>
        <v>Low Risk</v>
      </c>
    </row>
    <row r="1092" spans="1:14" x14ac:dyDescent="0.35">
      <c r="A1092">
        <v>1091</v>
      </c>
      <c r="B1092" s="1">
        <v>44972.416666666664</v>
      </c>
      <c r="C1092" s="2">
        <v>6.5277777777777782E-2</v>
      </c>
      <c r="D1092" s="3">
        <v>4284</v>
      </c>
      <c r="E1092" s="3">
        <v>451</v>
      </c>
      <c r="F1092" s="2">
        <v>54.920138888888886</v>
      </c>
      <c r="G1092" t="s">
        <v>2815</v>
      </c>
      <c r="H1092" t="s">
        <v>2822</v>
      </c>
      <c r="I1092" s="2">
        <v>1.3354166666666665</v>
      </c>
      <c r="J1092" s="4" t="str">
        <f>IF(Table1[[#This Row],[processing_time_hours]]&gt;1.5,"Slow", "Fast")</f>
        <v>Fast</v>
      </c>
      <c r="K1092" t="s">
        <v>2821</v>
      </c>
      <c r="L1092" s="3">
        <v>0</v>
      </c>
      <c r="M1092" t="str">
        <f>IF(Table1[[#This Row],[delayed]]=1,"Delayed","On Time")</f>
        <v>On Time</v>
      </c>
      <c r="N1092" t="str">
        <f>IF(AND(Table1[[#This Row],[delayed]]=1,Table1[[#This Row],[weather_condition]]="Storm"),"High Risk", IF(Table1[[#This Row],[delayed]]=1,"Medium Risk","Low Risk"))</f>
        <v>Low Risk</v>
      </c>
    </row>
    <row r="1093" spans="1:14" x14ac:dyDescent="0.35">
      <c r="A1093">
        <v>1092</v>
      </c>
      <c r="B1093" s="1">
        <v>44972.458333333336</v>
      </c>
      <c r="C1093" s="2">
        <v>4.7222222222222221E-2</v>
      </c>
      <c r="D1093" s="3">
        <v>4493</v>
      </c>
      <c r="E1093" s="3">
        <v>434</v>
      </c>
      <c r="F1093" s="2">
        <v>66.461805555555557</v>
      </c>
      <c r="G1093" t="s">
        <v>2816</v>
      </c>
      <c r="H1093" t="s">
        <v>2813</v>
      </c>
      <c r="I1093" s="2">
        <v>0.91666666666666663</v>
      </c>
      <c r="J1093" s="4" t="str">
        <f>IF(Table1[[#This Row],[processing_time_hours]]&gt;1.5,"Slow", "Fast")</f>
        <v>Fast</v>
      </c>
      <c r="K1093" t="s">
        <v>2821</v>
      </c>
      <c r="L1093" s="3">
        <v>0</v>
      </c>
      <c r="M1093" t="str">
        <f>IF(Table1[[#This Row],[delayed]]=1,"Delayed","On Time")</f>
        <v>On Time</v>
      </c>
      <c r="N1093" t="str">
        <f>IF(AND(Table1[[#This Row],[delayed]]=1,Table1[[#This Row],[weather_condition]]="Storm"),"High Risk", IF(Table1[[#This Row],[delayed]]=1,"Medium Risk","Low Risk"))</f>
        <v>Low Risk</v>
      </c>
    </row>
    <row r="1094" spans="1:14" x14ac:dyDescent="0.35">
      <c r="A1094">
        <v>1093</v>
      </c>
      <c r="B1094" s="1">
        <v>44972.5</v>
      </c>
      <c r="C1094" s="2">
        <v>6.5972222222222224E-2</v>
      </c>
      <c r="D1094" s="3">
        <v>4801</v>
      </c>
      <c r="E1094" s="3">
        <v>177</v>
      </c>
      <c r="F1094" s="2">
        <v>22.584722222222222</v>
      </c>
      <c r="G1094" t="s">
        <v>2816</v>
      </c>
      <c r="H1094" t="s">
        <v>2820</v>
      </c>
      <c r="I1094" s="2">
        <v>1.0479166666666666</v>
      </c>
      <c r="J1094" s="4" t="str">
        <f>IF(Table1[[#This Row],[processing_time_hours]]&gt;1.5,"Slow", "Fast")</f>
        <v>Fast</v>
      </c>
      <c r="K1094" t="s">
        <v>2814</v>
      </c>
      <c r="L1094" s="3">
        <v>0</v>
      </c>
      <c r="M1094" t="str">
        <f>IF(Table1[[#This Row],[delayed]]=1,"Delayed","On Time")</f>
        <v>On Time</v>
      </c>
      <c r="N1094" t="str">
        <f>IF(AND(Table1[[#This Row],[delayed]]=1,Table1[[#This Row],[weather_condition]]="Storm"),"High Risk", IF(Table1[[#This Row],[delayed]]=1,"Medium Risk","Low Risk"))</f>
        <v>Low Risk</v>
      </c>
    </row>
    <row r="1095" spans="1:14" x14ac:dyDescent="0.35">
      <c r="A1095">
        <v>1094</v>
      </c>
      <c r="B1095" s="1">
        <v>44972.541666666664</v>
      </c>
      <c r="C1095" s="2">
        <v>5.7638888888888885E-2</v>
      </c>
      <c r="D1095" s="3">
        <v>1870</v>
      </c>
      <c r="E1095" s="3">
        <v>283</v>
      </c>
      <c r="F1095" s="2">
        <v>30.875</v>
      </c>
      <c r="G1095" t="s">
        <v>2819</v>
      </c>
      <c r="H1095" t="s">
        <v>2822</v>
      </c>
      <c r="I1095" s="2">
        <v>0.83888888888888891</v>
      </c>
      <c r="J1095" s="4" t="str">
        <f>IF(Table1[[#This Row],[processing_time_hours]]&gt;1.5,"Slow", "Fast")</f>
        <v>Fast</v>
      </c>
      <c r="K1095" t="s">
        <v>2821</v>
      </c>
      <c r="L1095" s="3">
        <v>0</v>
      </c>
      <c r="M1095" t="str">
        <f>IF(Table1[[#This Row],[delayed]]=1,"Delayed","On Time")</f>
        <v>On Time</v>
      </c>
      <c r="N1095" t="str">
        <f>IF(AND(Table1[[#This Row],[delayed]]=1,Table1[[#This Row],[weather_condition]]="Storm"),"High Risk", IF(Table1[[#This Row],[delayed]]=1,"Medium Risk","Low Risk"))</f>
        <v>Low Risk</v>
      </c>
    </row>
    <row r="1096" spans="1:14" x14ac:dyDescent="0.35">
      <c r="A1096">
        <v>1095</v>
      </c>
      <c r="B1096" s="1">
        <v>44972.583333333336</v>
      </c>
      <c r="C1096" s="2">
        <v>5.2083333333333336E-2</v>
      </c>
      <c r="D1096" s="3">
        <v>2847</v>
      </c>
      <c r="E1096" s="3">
        <v>9</v>
      </c>
      <c r="F1096" s="2">
        <v>73.047222222222231</v>
      </c>
      <c r="G1096" t="s">
        <v>2815</v>
      </c>
      <c r="H1096" t="s">
        <v>2822</v>
      </c>
      <c r="I1096" s="2">
        <v>0.46249999999999997</v>
      </c>
      <c r="J1096" s="4" t="str">
        <f>IF(Table1[[#This Row],[processing_time_hours]]&gt;1.5,"Slow", "Fast")</f>
        <v>Fast</v>
      </c>
      <c r="K1096" t="s">
        <v>2814</v>
      </c>
      <c r="L1096" s="3">
        <v>0</v>
      </c>
      <c r="M1096" t="str">
        <f>IF(Table1[[#This Row],[delayed]]=1,"Delayed","On Time")</f>
        <v>On Time</v>
      </c>
      <c r="N1096" t="str">
        <f>IF(AND(Table1[[#This Row],[delayed]]=1,Table1[[#This Row],[weather_condition]]="Storm"),"High Risk", IF(Table1[[#This Row],[delayed]]=1,"Medium Risk","Low Risk"))</f>
        <v>Low Risk</v>
      </c>
    </row>
    <row r="1097" spans="1:14" x14ac:dyDescent="0.35">
      <c r="A1097">
        <v>1096</v>
      </c>
      <c r="B1097" s="1">
        <v>44972.625</v>
      </c>
      <c r="C1097" s="2">
        <v>5.0694444444444438E-2</v>
      </c>
      <c r="D1097" s="3">
        <v>1984</v>
      </c>
      <c r="E1097" s="3">
        <v>368</v>
      </c>
      <c r="F1097" s="2">
        <v>32.879861111111111</v>
      </c>
      <c r="G1097" t="s">
        <v>2812</v>
      </c>
      <c r="H1097" t="s">
        <v>2822</v>
      </c>
      <c r="I1097" s="2">
        <v>0.17083333333333331</v>
      </c>
      <c r="J1097" s="4" t="str">
        <f>IF(Table1[[#This Row],[processing_time_hours]]&gt;1.5,"Slow", "Fast")</f>
        <v>Fast</v>
      </c>
      <c r="K1097" t="s">
        <v>2821</v>
      </c>
      <c r="L1097" s="3">
        <v>1</v>
      </c>
      <c r="M1097" t="str">
        <f>IF(Table1[[#This Row],[delayed]]=1,"Delayed","On Time")</f>
        <v>Delayed</v>
      </c>
      <c r="N1097" t="str">
        <f>IF(AND(Table1[[#This Row],[delayed]]=1,Table1[[#This Row],[weather_condition]]="Storm"),"High Risk", IF(Table1[[#This Row],[delayed]]=1,"Medium Risk","Low Risk"))</f>
        <v>Medium Risk</v>
      </c>
    </row>
    <row r="1098" spans="1:14" x14ac:dyDescent="0.35">
      <c r="A1098">
        <v>1097</v>
      </c>
      <c r="B1098" s="1">
        <v>44972.666666666664</v>
      </c>
      <c r="C1098" s="2">
        <v>6.8749999999999992E-2</v>
      </c>
      <c r="D1098" s="3">
        <v>3380</v>
      </c>
      <c r="E1098" s="3">
        <v>303</v>
      </c>
      <c r="F1098" s="2">
        <v>18.837500000000002</v>
      </c>
      <c r="G1098" t="s">
        <v>2812</v>
      </c>
      <c r="H1098" t="s">
        <v>2817</v>
      </c>
      <c r="I1098" s="2">
        <v>1.1715277777777777</v>
      </c>
      <c r="J1098" s="4" t="str">
        <f>IF(Table1[[#This Row],[processing_time_hours]]&gt;1.5,"Slow", "Fast")</f>
        <v>Fast</v>
      </c>
      <c r="K1098" t="s">
        <v>2814</v>
      </c>
      <c r="L1098" s="3">
        <v>0</v>
      </c>
      <c r="M1098" t="str">
        <f>IF(Table1[[#This Row],[delayed]]=1,"Delayed","On Time")</f>
        <v>On Time</v>
      </c>
      <c r="N1098" t="str">
        <f>IF(AND(Table1[[#This Row],[delayed]]=1,Table1[[#This Row],[weather_condition]]="Storm"),"High Risk", IF(Table1[[#This Row],[delayed]]=1,"Medium Risk","Low Risk"))</f>
        <v>Low Risk</v>
      </c>
    </row>
    <row r="1099" spans="1:14" x14ac:dyDescent="0.35">
      <c r="A1099">
        <v>1098</v>
      </c>
      <c r="B1099" s="1">
        <v>44972.708333333336</v>
      </c>
      <c r="C1099" s="2">
        <v>6.805555555555555E-2</v>
      </c>
      <c r="D1099" s="3">
        <v>4188</v>
      </c>
      <c r="E1099" s="3">
        <v>388</v>
      </c>
      <c r="F1099" s="2">
        <v>33.333333333333336</v>
      </c>
      <c r="G1099" t="s">
        <v>2816</v>
      </c>
      <c r="H1099" t="s">
        <v>2822</v>
      </c>
      <c r="I1099" s="2">
        <v>1.6694444444444445</v>
      </c>
      <c r="J1099" s="4" t="str">
        <f>IF(Table1[[#This Row],[processing_time_hours]]&gt;1.5,"Slow", "Fast")</f>
        <v>Slow</v>
      </c>
      <c r="K1099" t="s">
        <v>2821</v>
      </c>
      <c r="L1099" s="3">
        <v>0</v>
      </c>
      <c r="M1099" t="str">
        <f>IF(Table1[[#This Row],[delayed]]=1,"Delayed","On Time")</f>
        <v>On Time</v>
      </c>
      <c r="N1099" t="str">
        <f>IF(AND(Table1[[#This Row],[delayed]]=1,Table1[[#This Row],[weather_condition]]="Storm"),"High Risk", IF(Table1[[#This Row],[delayed]]=1,"Medium Risk","Low Risk"))</f>
        <v>Low Risk</v>
      </c>
    </row>
    <row r="1100" spans="1:14" x14ac:dyDescent="0.35">
      <c r="A1100">
        <v>1099</v>
      </c>
      <c r="B1100" s="1">
        <v>44972.75</v>
      </c>
      <c r="C1100" s="2">
        <v>5.6944444444444443E-2</v>
      </c>
      <c r="D1100" s="3">
        <v>329</v>
      </c>
      <c r="E1100" s="3">
        <v>251</v>
      </c>
      <c r="F1100" s="2">
        <v>71.294444444444437</v>
      </c>
      <c r="G1100" t="s">
        <v>2819</v>
      </c>
      <c r="H1100" t="s">
        <v>2813</v>
      </c>
      <c r="I1100" s="2">
        <v>1.3805555555555555</v>
      </c>
      <c r="J1100" s="4" t="str">
        <f>IF(Table1[[#This Row],[processing_time_hours]]&gt;1.5,"Slow", "Fast")</f>
        <v>Fast</v>
      </c>
      <c r="K1100" t="s">
        <v>2814</v>
      </c>
      <c r="L1100" s="3">
        <v>0</v>
      </c>
      <c r="M1100" t="str">
        <f>IF(Table1[[#This Row],[delayed]]=1,"Delayed","On Time")</f>
        <v>On Time</v>
      </c>
      <c r="N1100" t="str">
        <f>IF(AND(Table1[[#This Row],[delayed]]=1,Table1[[#This Row],[weather_condition]]="Storm"),"High Risk", IF(Table1[[#This Row],[delayed]]=1,"Medium Risk","Low Risk"))</f>
        <v>Low Risk</v>
      </c>
    </row>
    <row r="1101" spans="1:14" x14ac:dyDescent="0.35">
      <c r="A1101">
        <v>1100</v>
      </c>
      <c r="B1101" s="1">
        <v>44972.791666666664</v>
      </c>
      <c r="C1101" s="2">
        <v>5.1388888888888894E-2</v>
      </c>
      <c r="D1101" s="3">
        <v>4254</v>
      </c>
      <c r="E1101" s="3">
        <v>433</v>
      </c>
      <c r="F1101" s="2">
        <v>82.003472222222214</v>
      </c>
      <c r="G1101" t="s">
        <v>2819</v>
      </c>
      <c r="H1101" t="s">
        <v>2822</v>
      </c>
      <c r="I1101" s="2">
        <v>1.2118055555555556</v>
      </c>
      <c r="J1101" s="4" t="str">
        <f>IF(Table1[[#This Row],[processing_time_hours]]&gt;1.5,"Slow", "Fast")</f>
        <v>Fast</v>
      </c>
      <c r="K1101" t="s">
        <v>2818</v>
      </c>
      <c r="L1101" s="3">
        <v>0</v>
      </c>
      <c r="M1101" t="str">
        <f>IF(Table1[[#This Row],[delayed]]=1,"Delayed","On Time")</f>
        <v>On Time</v>
      </c>
      <c r="N1101" t="str">
        <f>IF(AND(Table1[[#This Row],[delayed]]=1,Table1[[#This Row],[weather_condition]]="Storm"),"High Risk", IF(Table1[[#This Row],[delayed]]=1,"Medium Risk","Low Risk"))</f>
        <v>Low Risk</v>
      </c>
    </row>
    <row r="1102" spans="1:14" x14ac:dyDescent="0.35">
      <c r="A1102">
        <v>1101</v>
      </c>
      <c r="B1102" s="1">
        <v>44972.833333333336</v>
      </c>
      <c r="C1102" s="2">
        <v>6.8749999999999992E-2</v>
      </c>
      <c r="D1102" s="3">
        <v>2434</v>
      </c>
      <c r="E1102" s="3">
        <v>99</v>
      </c>
      <c r="F1102" s="2">
        <v>61.500694444444441</v>
      </c>
      <c r="G1102" t="s">
        <v>2815</v>
      </c>
      <c r="H1102" t="s">
        <v>2813</v>
      </c>
      <c r="I1102" s="2">
        <v>0.1277777777777778</v>
      </c>
      <c r="J1102" s="4" t="str">
        <f>IF(Table1[[#This Row],[processing_time_hours]]&gt;1.5,"Slow", "Fast")</f>
        <v>Fast</v>
      </c>
      <c r="K1102" t="s">
        <v>2814</v>
      </c>
      <c r="L1102" s="3">
        <v>0</v>
      </c>
      <c r="M1102" t="str">
        <f>IF(Table1[[#This Row],[delayed]]=1,"Delayed","On Time")</f>
        <v>On Time</v>
      </c>
      <c r="N1102" t="str">
        <f>IF(AND(Table1[[#This Row],[delayed]]=1,Table1[[#This Row],[weather_condition]]="Storm"),"High Risk", IF(Table1[[#This Row],[delayed]]=1,"Medium Risk","Low Risk"))</f>
        <v>Low Risk</v>
      </c>
    </row>
    <row r="1103" spans="1:14" x14ac:dyDescent="0.35">
      <c r="A1103">
        <v>1102</v>
      </c>
      <c r="B1103" s="1">
        <v>44972.875</v>
      </c>
      <c r="C1103" s="2">
        <v>4.2361111111111106E-2</v>
      </c>
      <c r="D1103" s="3">
        <v>2518</v>
      </c>
      <c r="E1103" s="3">
        <v>40</v>
      </c>
      <c r="F1103" s="2">
        <v>30.670833333333334</v>
      </c>
      <c r="G1103" t="s">
        <v>2812</v>
      </c>
      <c r="H1103" t="s">
        <v>2822</v>
      </c>
      <c r="I1103" s="2">
        <v>1.1284722222222221</v>
      </c>
      <c r="J1103" s="4" t="str">
        <f>IF(Table1[[#This Row],[processing_time_hours]]&gt;1.5,"Slow", "Fast")</f>
        <v>Fast</v>
      </c>
      <c r="K1103" t="s">
        <v>2821</v>
      </c>
      <c r="L1103" s="3">
        <v>0</v>
      </c>
      <c r="M1103" t="str">
        <f>IF(Table1[[#This Row],[delayed]]=1,"Delayed","On Time")</f>
        <v>On Time</v>
      </c>
      <c r="N1103" t="str">
        <f>IF(AND(Table1[[#This Row],[delayed]]=1,Table1[[#This Row],[weather_condition]]="Storm"),"High Risk", IF(Table1[[#This Row],[delayed]]=1,"Medium Risk","Low Risk"))</f>
        <v>Low Risk</v>
      </c>
    </row>
    <row r="1104" spans="1:14" x14ac:dyDescent="0.35">
      <c r="A1104">
        <v>1103</v>
      </c>
      <c r="B1104" s="1">
        <v>44972.916666666664</v>
      </c>
      <c r="C1104" s="2">
        <v>4.3055555555555562E-2</v>
      </c>
      <c r="D1104" s="3">
        <v>686</v>
      </c>
      <c r="E1104" s="3">
        <v>346</v>
      </c>
      <c r="F1104" s="2">
        <v>58.668749999999996</v>
      </c>
      <c r="G1104" t="s">
        <v>2816</v>
      </c>
      <c r="H1104" t="s">
        <v>2822</v>
      </c>
      <c r="I1104" s="2">
        <v>0.3756944444444445</v>
      </c>
      <c r="J1104" s="4" t="str">
        <f>IF(Table1[[#This Row],[processing_time_hours]]&gt;1.5,"Slow", "Fast")</f>
        <v>Fast</v>
      </c>
      <c r="K1104" t="s">
        <v>2814</v>
      </c>
      <c r="L1104" s="3">
        <v>1</v>
      </c>
      <c r="M1104" t="str">
        <f>IF(Table1[[#This Row],[delayed]]=1,"Delayed","On Time")</f>
        <v>Delayed</v>
      </c>
      <c r="N1104" t="str">
        <f>IF(AND(Table1[[#This Row],[delayed]]=1,Table1[[#This Row],[weather_condition]]="Storm"),"High Risk", IF(Table1[[#This Row],[delayed]]=1,"Medium Risk","Low Risk"))</f>
        <v>Medium Risk</v>
      </c>
    </row>
    <row r="1105" spans="1:14" x14ac:dyDescent="0.35">
      <c r="A1105">
        <v>1104</v>
      </c>
      <c r="B1105" s="1">
        <v>44972.958333333336</v>
      </c>
      <c r="C1105" s="2">
        <v>5.486111111111111E-2</v>
      </c>
      <c r="D1105" s="3">
        <v>4274</v>
      </c>
      <c r="E1105" s="3">
        <v>434</v>
      </c>
      <c r="F1105" s="2">
        <v>65.297222222222231</v>
      </c>
      <c r="G1105" t="s">
        <v>2816</v>
      </c>
      <c r="H1105" t="s">
        <v>2813</v>
      </c>
      <c r="I1105" s="2">
        <v>2.0847222222222221</v>
      </c>
      <c r="J1105" s="4" t="str">
        <f>IF(Table1[[#This Row],[processing_time_hours]]&gt;1.5,"Slow", "Fast")</f>
        <v>Slow</v>
      </c>
      <c r="K1105" t="s">
        <v>2814</v>
      </c>
      <c r="L1105" s="3">
        <v>1</v>
      </c>
      <c r="M1105" t="str">
        <f>IF(Table1[[#This Row],[delayed]]=1,"Delayed","On Time")</f>
        <v>Delayed</v>
      </c>
      <c r="N1105" t="str">
        <f>IF(AND(Table1[[#This Row],[delayed]]=1,Table1[[#This Row],[weather_condition]]="Storm"),"High Risk", IF(Table1[[#This Row],[delayed]]=1,"Medium Risk","Low Risk"))</f>
        <v>Medium Risk</v>
      </c>
    </row>
    <row r="1106" spans="1:14" x14ac:dyDescent="0.35">
      <c r="A1106">
        <v>1105</v>
      </c>
      <c r="B1106" s="1">
        <v>44973</v>
      </c>
      <c r="C1106" s="2">
        <v>5.7638888888888885E-2</v>
      </c>
      <c r="D1106" s="3">
        <v>654</v>
      </c>
      <c r="E1106" s="3">
        <v>360</v>
      </c>
      <c r="F1106" s="2">
        <v>27.834027777777777</v>
      </c>
      <c r="G1106" t="s">
        <v>2815</v>
      </c>
      <c r="H1106" t="s">
        <v>2822</v>
      </c>
      <c r="I1106" s="2">
        <v>0.92291666666666661</v>
      </c>
      <c r="J1106" s="4" t="str">
        <f>IF(Table1[[#This Row],[processing_time_hours]]&gt;1.5,"Slow", "Fast")</f>
        <v>Fast</v>
      </c>
      <c r="K1106" t="s">
        <v>2814</v>
      </c>
      <c r="L1106" s="3">
        <v>0</v>
      </c>
      <c r="M1106" t="str">
        <f>IF(Table1[[#This Row],[delayed]]=1,"Delayed","On Time")</f>
        <v>On Time</v>
      </c>
      <c r="N1106" t="str">
        <f>IF(AND(Table1[[#This Row],[delayed]]=1,Table1[[#This Row],[weather_condition]]="Storm"),"High Risk", IF(Table1[[#This Row],[delayed]]=1,"Medium Risk","Low Risk"))</f>
        <v>Low Risk</v>
      </c>
    </row>
    <row r="1107" spans="1:14" x14ac:dyDescent="0.35">
      <c r="A1107">
        <v>1106</v>
      </c>
      <c r="B1107" s="1">
        <v>44973.041666666664</v>
      </c>
      <c r="C1107" s="2">
        <v>4.1666666666666666E-3</v>
      </c>
      <c r="D1107" s="3">
        <v>3868</v>
      </c>
      <c r="E1107" s="3">
        <v>493</v>
      </c>
      <c r="F1107" s="2">
        <v>45.922222222222224</v>
      </c>
      <c r="G1107" t="s">
        <v>2812</v>
      </c>
      <c r="H1107" t="s">
        <v>2813</v>
      </c>
      <c r="I1107" s="2">
        <v>1.5062499999999999</v>
      </c>
      <c r="J1107" s="4" t="str">
        <f>IF(Table1[[#This Row],[processing_time_hours]]&gt;1.5,"Slow", "Fast")</f>
        <v>Slow</v>
      </c>
      <c r="K1107" t="s">
        <v>2818</v>
      </c>
      <c r="L1107" s="3">
        <v>0</v>
      </c>
      <c r="M1107" t="str">
        <f>IF(Table1[[#This Row],[delayed]]=1,"Delayed","On Time")</f>
        <v>On Time</v>
      </c>
      <c r="N1107" t="str">
        <f>IF(AND(Table1[[#This Row],[delayed]]=1,Table1[[#This Row],[weather_condition]]="Storm"),"High Risk", IF(Table1[[#This Row],[delayed]]=1,"Medium Risk","Low Risk"))</f>
        <v>Low Risk</v>
      </c>
    </row>
    <row r="1108" spans="1:14" x14ac:dyDescent="0.35">
      <c r="A1108">
        <v>1107</v>
      </c>
      <c r="B1108" s="1">
        <v>44973.083333333336</v>
      </c>
      <c r="C1108" s="2">
        <v>4.6527777777777779E-2</v>
      </c>
      <c r="D1108" s="3">
        <v>3677</v>
      </c>
      <c r="E1108" s="3">
        <v>2</v>
      </c>
      <c r="F1108" s="2">
        <v>26.000694444444445</v>
      </c>
      <c r="G1108" t="s">
        <v>2819</v>
      </c>
      <c r="H1108" t="s">
        <v>2817</v>
      </c>
      <c r="I1108" s="2">
        <v>1.0833333333333333</v>
      </c>
      <c r="J1108" s="4" t="str">
        <f>IF(Table1[[#This Row],[processing_time_hours]]&gt;1.5,"Slow", "Fast")</f>
        <v>Fast</v>
      </c>
      <c r="K1108" t="s">
        <v>2814</v>
      </c>
      <c r="L1108" s="3">
        <v>0</v>
      </c>
      <c r="M1108" t="str">
        <f>IF(Table1[[#This Row],[delayed]]=1,"Delayed","On Time")</f>
        <v>On Time</v>
      </c>
      <c r="N1108" t="str">
        <f>IF(AND(Table1[[#This Row],[delayed]]=1,Table1[[#This Row],[weather_condition]]="Storm"),"High Risk", IF(Table1[[#This Row],[delayed]]=1,"Medium Risk","Low Risk"))</f>
        <v>Low Risk</v>
      </c>
    </row>
    <row r="1109" spans="1:14" x14ac:dyDescent="0.35">
      <c r="A1109">
        <v>1108</v>
      </c>
      <c r="B1109" s="1">
        <v>44973.125</v>
      </c>
      <c r="C1109" s="2">
        <v>4.3750000000000004E-2</v>
      </c>
      <c r="D1109" s="3">
        <v>4039</v>
      </c>
      <c r="E1109" s="3">
        <v>197</v>
      </c>
      <c r="F1109" s="2">
        <v>66.628472222222214</v>
      </c>
      <c r="G1109" t="s">
        <v>2816</v>
      </c>
      <c r="H1109" t="s">
        <v>2813</v>
      </c>
      <c r="I1109" s="2">
        <v>1.5833333333333333</v>
      </c>
      <c r="J1109" s="4" t="str">
        <f>IF(Table1[[#This Row],[processing_time_hours]]&gt;1.5,"Slow", "Fast")</f>
        <v>Slow</v>
      </c>
      <c r="K1109" t="s">
        <v>2814</v>
      </c>
      <c r="L1109" s="3">
        <v>0</v>
      </c>
      <c r="M1109" t="str">
        <f>IF(Table1[[#This Row],[delayed]]=1,"Delayed","On Time")</f>
        <v>On Time</v>
      </c>
      <c r="N1109" t="str">
        <f>IF(AND(Table1[[#This Row],[delayed]]=1,Table1[[#This Row],[weather_condition]]="Storm"),"High Risk", IF(Table1[[#This Row],[delayed]]=1,"Medium Risk","Low Risk"))</f>
        <v>Low Risk</v>
      </c>
    </row>
    <row r="1110" spans="1:14" x14ac:dyDescent="0.35">
      <c r="A1110">
        <v>1109</v>
      </c>
      <c r="B1110" s="1">
        <v>44973.166666666664</v>
      </c>
      <c r="C1110" s="2">
        <v>4.8611111111111112E-3</v>
      </c>
      <c r="D1110" s="3">
        <v>371</v>
      </c>
      <c r="E1110" s="3">
        <v>380</v>
      </c>
      <c r="F1110" s="2">
        <v>0.41944444444444445</v>
      </c>
      <c r="G1110" t="s">
        <v>2816</v>
      </c>
      <c r="H1110" t="s">
        <v>2822</v>
      </c>
      <c r="I1110" s="2">
        <v>0.58819444444444446</v>
      </c>
      <c r="J1110" s="4" t="str">
        <f>IF(Table1[[#This Row],[processing_time_hours]]&gt;1.5,"Slow", "Fast")</f>
        <v>Fast</v>
      </c>
      <c r="K1110" t="s">
        <v>2821</v>
      </c>
      <c r="L1110" s="3">
        <v>0</v>
      </c>
      <c r="M1110" t="str">
        <f>IF(Table1[[#This Row],[delayed]]=1,"Delayed","On Time")</f>
        <v>On Time</v>
      </c>
      <c r="N1110" t="str">
        <f>IF(AND(Table1[[#This Row],[delayed]]=1,Table1[[#This Row],[weather_condition]]="Storm"),"High Risk", IF(Table1[[#This Row],[delayed]]=1,"Medium Risk","Low Risk"))</f>
        <v>Low Risk</v>
      </c>
    </row>
    <row r="1111" spans="1:14" x14ac:dyDescent="0.35">
      <c r="A1111">
        <v>1110</v>
      </c>
      <c r="B1111" s="1">
        <v>44973.208333333336</v>
      </c>
      <c r="C1111" s="2">
        <v>4.6527777777777779E-2</v>
      </c>
      <c r="D1111" s="3">
        <v>869</v>
      </c>
      <c r="E1111" s="3">
        <v>452</v>
      </c>
      <c r="F1111" s="2">
        <v>3.0840277777777776</v>
      </c>
      <c r="G1111" t="s">
        <v>2815</v>
      </c>
      <c r="H1111" t="s">
        <v>2822</v>
      </c>
      <c r="I1111" s="2">
        <v>0.25555555555555559</v>
      </c>
      <c r="J1111" s="4" t="str">
        <f>IF(Table1[[#This Row],[processing_time_hours]]&gt;1.5,"Slow", "Fast")</f>
        <v>Fast</v>
      </c>
      <c r="K1111" t="s">
        <v>2821</v>
      </c>
      <c r="L1111" s="3">
        <v>0</v>
      </c>
      <c r="M1111" t="str">
        <f>IF(Table1[[#This Row],[delayed]]=1,"Delayed","On Time")</f>
        <v>On Time</v>
      </c>
      <c r="N1111" t="str">
        <f>IF(AND(Table1[[#This Row],[delayed]]=1,Table1[[#This Row],[weather_condition]]="Storm"),"High Risk", IF(Table1[[#This Row],[delayed]]=1,"Medium Risk","Low Risk"))</f>
        <v>Low Risk</v>
      </c>
    </row>
    <row r="1112" spans="1:14" x14ac:dyDescent="0.35">
      <c r="A1112">
        <v>1111</v>
      </c>
      <c r="B1112" s="1">
        <v>44973.25</v>
      </c>
      <c r="C1112" s="2">
        <v>4.5138888888888888E-2</v>
      </c>
      <c r="D1112" s="3">
        <v>1636</v>
      </c>
      <c r="E1112" s="3">
        <v>491</v>
      </c>
      <c r="F1112" s="2">
        <v>75.879166666666663</v>
      </c>
      <c r="G1112" t="s">
        <v>2816</v>
      </c>
      <c r="H1112" t="s">
        <v>2813</v>
      </c>
      <c r="I1112" s="2">
        <v>0.75208333333333333</v>
      </c>
      <c r="J1112" s="4" t="str">
        <f>IF(Table1[[#This Row],[processing_time_hours]]&gt;1.5,"Slow", "Fast")</f>
        <v>Fast</v>
      </c>
      <c r="K1112" t="s">
        <v>2821</v>
      </c>
      <c r="L1112" s="3">
        <v>0</v>
      </c>
      <c r="M1112" t="str">
        <f>IF(Table1[[#This Row],[delayed]]=1,"Delayed","On Time")</f>
        <v>On Time</v>
      </c>
      <c r="N1112" t="str">
        <f>IF(AND(Table1[[#This Row],[delayed]]=1,Table1[[#This Row],[weather_condition]]="Storm"),"High Risk", IF(Table1[[#This Row],[delayed]]=1,"Medium Risk","Low Risk"))</f>
        <v>Low Risk</v>
      </c>
    </row>
    <row r="1113" spans="1:14" x14ac:dyDescent="0.35">
      <c r="A1113">
        <v>1112</v>
      </c>
      <c r="B1113" s="1">
        <v>44973.291666666664</v>
      </c>
      <c r="C1113" s="2">
        <v>4.5138888888888888E-2</v>
      </c>
      <c r="D1113" s="3">
        <v>4881</v>
      </c>
      <c r="E1113" s="3">
        <v>47</v>
      </c>
      <c r="F1113" s="2">
        <v>28.546527777777779</v>
      </c>
      <c r="G1113" t="s">
        <v>2816</v>
      </c>
      <c r="H1113" t="s">
        <v>2817</v>
      </c>
      <c r="I1113" s="2">
        <v>0.75347222222222221</v>
      </c>
      <c r="J1113" s="4" t="str">
        <f>IF(Table1[[#This Row],[processing_time_hours]]&gt;1.5,"Slow", "Fast")</f>
        <v>Fast</v>
      </c>
      <c r="K1113" t="s">
        <v>2814</v>
      </c>
      <c r="L1113" s="3">
        <v>0</v>
      </c>
      <c r="M1113" t="str">
        <f>IF(Table1[[#This Row],[delayed]]=1,"Delayed","On Time")</f>
        <v>On Time</v>
      </c>
      <c r="N1113" t="str">
        <f>IF(AND(Table1[[#This Row],[delayed]]=1,Table1[[#This Row],[weather_condition]]="Storm"),"High Risk", IF(Table1[[#This Row],[delayed]]=1,"Medium Risk","Low Risk"))</f>
        <v>Low Risk</v>
      </c>
    </row>
    <row r="1114" spans="1:14" x14ac:dyDescent="0.35">
      <c r="A1114">
        <v>1113</v>
      </c>
      <c r="B1114" s="1">
        <v>44973.333333333336</v>
      </c>
      <c r="C1114" s="2">
        <v>5.2083333333333336E-2</v>
      </c>
      <c r="D1114" s="3">
        <v>1231</v>
      </c>
      <c r="E1114" s="3">
        <v>200</v>
      </c>
      <c r="F1114" s="2">
        <v>42.170833333333334</v>
      </c>
      <c r="G1114" t="s">
        <v>2815</v>
      </c>
      <c r="H1114" t="s">
        <v>2813</v>
      </c>
      <c r="I1114" s="2">
        <v>0.75</v>
      </c>
      <c r="J1114" s="4" t="str">
        <f>IF(Table1[[#This Row],[processing_time_hours]]&gt;1.5,"Slow", "Fast")</f>
        <v>Fast</v>
      </c>
      <c r="K1114" t="s">
        <v>2814</v>
      </c>
      <c r="L1114" s="3">
        <v>1</v>
      </c>
      <c r="M1114" t="str">
        <f>IF(Table1[[#This Row],[delayed]]=1,"Delayed","On Time")</f>
        <v>Delayed</v>
      </c>
      <c r="N1114" t="str">
        <f>IF(AND(Table1[[#This Row],[delayed]]=1,Table1[[#This Row],[weather_condition]]="Storm"),"High Risk", IF(Table1[[#This Row],[delayed]]=1,"Medium Risk","Low Risk"))</f>
        <v>Medium Risk</v>
      </c>
    </row>
    <row r="1115" spans="1:14" x14ac:dyDescent="0.35">
      <c r="A1115">
        <v>1114</v>
      </c>
      <c r="B1115" s="1">
        <v>44973.375</v>
      </c>
      <c r="C1115" s="2">
        <v>4.5138888888888888E-2</v>
      </c>
      <c r="D1115" s="3">
        <v>3155</v>
      </c>
      <c r="E1115" s="3">
        <v>449</v>
      </c>
      <c r="F1115" s="2">
        <v>15.047222222222222</v>
      </c>
      <c r="G1115" t="s">
        <v>2819</v>
      </c>
      <c r="H1115" t="s">
        <v>2822</v>
      </c>
      <c r="I1115" s="2">
        <v>1.04375</v>
      </c>
      <c r="J1115" s="4" t="str">
        <f>IF(Table1[[#This Row],[processing_time_hours]]&gt;1.5,"Slow", "Fast")</f>
        <v>Fast</v>
      </c>
      <c r="K1115" t="s">
        <v>2814</v>
      </c>
      <c r="L1115" s="3">
        <v>0</v>
      </c>
      <c r="M1115" t="str">
        <f>IF(Table1[[#This Row],[delayed]]=1,"Delayed","On Time")</f>
        <v>On Time</v>
      </c>
      <c r="N1115" t="str">
        <f>IF(AND(Table1[[#This Row],[delayed]]=1,Table1[[#This Row],[weather_condition]]="Storm"),"High Risk", IF(Table1[[#This Row],[delayed]]=1,"Medium Risk","Low Risk"))</f>
        <v>Low Risk</v>
      </c>
    </row>
    <row r="1116" spans="1:14" x14ac:dyDescent="0.35">
      <c r="A1116">
        <v>1115</v>
      </c>
      <c r="B1116" s="1">
        <v>44973.416666666664</v>
      </c>
      <c r="C1116" s="2">
        <v>6.3194444444444442E-2</v>
      </c>
      <c r="D1116" s="3">
        <v>4576</v>
      </c>
      <c r="E1116" s="3">
        <v>405</v>
      </c>
      <c r="F1116" s="2">
        <v>18.417361111111109</v>
      </c>
      <c r="G1116" t="s">
        <v>2816</v>
      </c>
      <c r="H1116" t="s">
        <v>2822</v>
      </c>
      <c r="I1116" s="2">
        <v>2.75</v>
      </c>
      <c r="J1116" s="4" t="str">
        <f>IF(Table1[[#This Row],[processing_time_hours]]&gt;1.5,"Slow", "Fast")</f>
        <v>Slow</v>
      </c>
      <c r="K1116" t="s">
        <v>2814</v>
      </c>
      <c r="L1116" s="3">
        <v>0</v>
      </c>
      <c r="M1116" t="str">
        <f>IF(Table1[[#This Row],[delayed]]=1,"Delayed","On Time")</f>
        <v>On Time</v>
      </c>
      <c r="N1116" t="str">
        <f>IF(AND(Table1[[#This Row],[delayed]]=1,Table1[[#This Row],[weather_condition]]="Storm"),"High Risk", IF(Table1[[#This Row],[delayed]]=1,"Medium Risk","Low Risk"))</f>
        <v>Low Risk</v>
      </c>
    </row>
    <row r="1117" spans="1:14" x14ac:dyDescent="0.35">
      <c r="A1117">
        <v>1116</v>
      </c>
      <c r="B1117" s="1">
        <v>44973.458333333336</v>
      </c>
      <c r="C1117" s="2">
        <v>5.2777777777777778E-2</v>
      </c>
      <c r="D1117" s="3">
        <v>3248</v>
      </c>
      <c r="E1117" s="3">
        <v>202</v>
      </c>
      <c r="F1117" s="2">
        <v>19.584722222222222</v>
      </c>
      <c r="G1117" t="s">
        <v>2816</v>
      </c>
      <c r="H1117" t="s">
        <v>2822</v>
      </c>
      <c r="I1117" s="2">
        <v>1.3354166666666665</v>
      </c>
      <c r="J1117" s="4" t="str">
        <f>IF(Table1[[#This Row],[processing_time_hours]]&gt;1.5,"Slow", "Fast")</f>
        <v>Fast</v>
      </c>
      <c r="K1117" t="s">
        <v>2821</v>
      </c>
      <c r="L1117" s="3">
        <v>1</v>
      </c>
      <c r="M1117" t="str">
        <f>IF(Table1[[#This Row],[delayed]]=1,"Delayed","On Time")</f>
        <v>Delayed</v>
      </c>
      <c r="N1117" t="str">
        <f>IF(AND(Table1[[#This Row],[delayed]]=1,Table1[[#This Row],[weather_condition]]="Storm"),"High Risk", IF(Table1[[#This Row],[delayed]]=1,"Medium Risk","Low Risk"))</f>
        <v>Medium Risk</v>
      </c>
    </row>
    <row r="1118" spans="1:14" x14ac:dyDescent="0.35">
      <c r="A1118">
        <v>1117</v>
      </c>
      <c r="B1118" s="1">
        <v>44973.5</v>
      </c>
      <c r="C1118" s="2">
        <v>4.5138888888888888E-2</v>
      </c>
      <c r="D1118" s="3">
        <v>3471</v>
      </c>
      <c r="E1118" s="3">
        <v>96</v>
      </c>
      <c r="F1118" s="2">
        <v>62.166666666666664</v>
      </c>
      <c r="G1118" t="s">
        <v>2812</v>
      </c>
      <c r="H1118" t="s">
        <v>2822</v>
      </c>
      <c r="I1118" s="2">
        <v>0.20972222222222223</v>
      </c>
      <c r="J1118" s="4" t="str">
        <f>IF(Table1[[#This Row],[processing_time_hours]]&gt;1.5,"Slow", "Fast")</f>
        <v>Fast</v>
      </c>
      <c r="K1118" t="s">
        <v>2818</v>
      </c>
      <c r="L1118" s="3">
        <v>0</v>
      </c>
      <c r="M1118" t="str">
        <f>IF(Table1[[#This Row],[delayed]]=1,"Delayed","On Time")</f>
        <v>On Time</v>
      </c>
      <c r="N1118" t="str">
        <f>IF(AND(Table1[[#This Row],[delayed]]=1,Table1[[#This Row],[weather_condition]]="Storm"),"High Risk", IF(Table1[[#This Row],[delayed]]=1,"Medium Risk","Low Risk"))</f>
        <v>Low Risk</v>
      </c>
    </row>
    <row r="1119" spans="1:14" x14ac:dyDescent="0.35">
      <c r="A1119">
        <v>1118</v>
      </c>
      <c r="B1119" s="1">
        <v>44973.541666666664</v>
      </c>
      <c r="C1119" s="2">
        <v>5.9722222222222225E-2</v>
      </c>
      <c r="D1119" s="3">
        <v>3638</v>
      </c>
      <c r="E1119" s="3">
        <v>138</v>
      </c>
      <c r="F1119" s="2">
        <v>77.670138888888886</v>
      </c>
      <c r="G1119" t="s">
        <v>2819</v>
      </c>
      <c r="H1119" t="s">
        <v>2820</v>
      </c>
      <c r="I1119" s="2">
        <v>2.254861111111111</v>
      </c>
      <c r="J1119" s="4" t="str">
        <f>IF(Table1[[#This Row],[processing_time_hours]]&gt;1.5,"Slow", "Fast")</f>
        <v>Slow</v>
      </c>
      <c r="K1119" t="s">
        <v>2818</v>
      </c>
      <c r="L1119" s="3">
        <v>0</v>
      </c>
      <c r="M1119" t="str">
        <f>IF(Table1[[#This Row],[delayed]]=1,"Delayed","On Time")</f>
        <v>On Time</v>
      </c>
      <c r="N1119" t="str">
        <f>IF(AND(Table1[[#This Row],[delayed]]=1,Table1[[#This Row],[weather_condition]]="Storm"),"High Risk", IF(Table1[[#This Row],[delayed]]=1,"Medium Risk","Low Risk"))</f>
        <v>Low Risk</v>
      </c>
    </row>
    <row r="1120" spans="1:14" x14ac:dyDescent="0.35">
      <c r="A1120">
        <v>1119</v>
      </c>
      <c r="B1120" s="1">
        <v>44973.583333333336</v>
      </c>
      <c r="C1120" s="2">
        <v>6.3888888888888898E-2</v>
      </c>
      <c r="D1120" s="3">
        <v>3635</v>
      </c>
      <c r="E1120" s="3">
        <v>39</v>
      </c>
      <c r="F1120" s="2">
        <v>78.086805555555557</v>
      </c>
      <c r="G1120" t="s">
        <v>2816</v>
      </c>
      <c r="H1120" t="s">
        <v>2813</v>
      </c>
      <c r="I1120" s="2">
        <v>2.9194444444444443</v>
      </c>
      <c r="J1120" s="4" t="str">
        <f>IF(Table1[[#This Row],[processing_time_hours]]&gt;1.5,"Slow", "Fast")</f>
        <v>Slow</v>
      </c>
      <c r="K1120" t="s">
        <v>2818</v>
      </c>
      <c r="L1120" s="3">
        <v>0</v>
      </c>
      <c r="M1120" t="str">
        <f>IF(Table1[[#This Row],[delayed]]=1,"Delayed","On Time")</f>
        <v>On Time</v>
      </c>
      <c r="N1120" t="str">
        <f>IF(AND(Table1[[#This Row],[delayed]]=1,Table1[[#This Row],[weather_condition]]="Storm"),"High Risk", IF(Table1[[#This Row],[delayed]]=1,"Medium Risk","Low Risk"))</f>
        <v>Low Risk</v>
      </c>
    </row>
    <row r="1121" spans="1:14" x14ac:dyDescent="0.35">
      <c r="A1121">
        <v>1120</v>
      </c>
      <c r="B1121" s="1">
        <v>44973.625</v>
      </c>
      <c r="C1121" s="2">
        <v>5.1388888888888894E-2</v>
      </c>
      <c r="D1121" s="3">
        <v>1203</v>
      </c>
      <c r="E1121" s="3">
        <v>136</v>
      </c>
      <c r="F1121" s="2">
        <v>77.836805555555557</v>
      </c>
      <c r="G1121" t="s">
        <v>2819</v>
      </c>
      <c r="H1121" t="s">
        <v>2817</v>
      </c>
      <c r="I1121" s="2">
        <v>0.75624999999999998</v>
      </c>
      <c r="J1121" s="4" t="str">
        <f>IF(Table1[[#This Row],[processing_time_hours]]&gt;1.5,"Slow", "Fast")</f>
        <v>Fast</v>
      </c>
      <c r="K1121" t="s">
        <v>2821</v>
      </c>
      <c r="L1121" s="3">
        <v>1</v>
      </c>
      <c r="M1121" t="str">
        <f>IF(Table1[[#This Row],[delayed]]=1,"Delayed","On Time")</f>
        <v>Delayed</v>
      </c>
      <c r="N1121" t="str">
        <f>IF(AND(Table1[[#This Row],[delayed]]=1,Table1[[#This Row],[weather_condition]]="Storm"),"High Risk", IF(Table1[[#This Row],[delayed]]=1,"Medium Risk","Low Risk"))</f>
        <v>High Risk</v>
      </c>
    </row>
    <row r="1122" spans="1:14" x14ac:dyDescent="0.35">
      <c r="A1122">
        <v>1121</v>
      </c>
      <c r="B1122" s="1">
        <v>44973.666666666664</v>
      </c>
      <c r="C1122" s="2">
        <v>4.1666666666666666E-3</v>
      </c>
      <c r="D1122" s="3">
        <v>2971</v>
      </c>
      <c r="E1122" s="3">
        <v>255</v>
      </c>
      <c r="F1122" s="2">
        <v>31.380555555555556</v>
      </c>
      <c r="G1122" t="s">
        <v>2819</v>
      </c>
      <c r="H1122" t="s">
        <v>2822</v>
      </c>
      <c r="I1122" s="2">
        <v>4.6527777777777779E-2</v>
      </c>
      <c r="J1122" s="4" t="str">
        <f>IF(Table1[[#This Row],[processing_time_hours]]&gt;1.5,"Slow", "Fast")</f>
        <v>Fast</v>
      </c>
      <c r="K1122" t="s">
        <v>2814</v>
      </c>
      <c r="L1122" s="3">
        <v>1</v>
      </c>
      <c r="M1122" t="str">
        <f>IF(Table1[[#This Row],[delayed]]=1,"Delayed","On Time")</f>
        <v>Delayed</v>
      </c>
      <c r="N1122" t="str">
        <f>IF(AND(Table1[[#This Row],[delayed]]=1,Table1[[#This Row],[weather_condition]]="Storm"),"High Risk", IF(Table1[[#This Row],[delayed]]=1,"Medium Risk","Low Risk"))</f>
        <v>Medium Risk</v>
      </c>
    </row>
    <row r="1123" spans="1:14" x14ac:dyDescent="0.35">
      <c r="A1123">
        <v>1122</v>
      </c>
      <c r="B1123" s="1">
        <v>44973.708333333336</v>
      </c>
      <c r="C1123" s="2">
        <v>5.9722222222222225E-2</v>
      </c>
      <c r="D1123" s="3">
        <v>3537</v>
      </c>
      <c r="E1123" s="3">
        <v>471</v>
      </c>
      <c r="F1123" s="2">
        <v>43.543055555555554</v>
      </c>
      <c r="G1123" t="s">
        <v>2819</v>
      </c>
      <c r="H1123" t="s">
        <v>2813</v>
      </c>
      <c r="I1123" s="2">
        <v>1.5416666666666667</v>
      </c>
      <c r="J1123" s="4" t="str">
        <f>IF(Table1[[#This Row],[processing_time_hours]]&gt;1.5,"Slow", "Fast")</f>
        <v>Slow</v>
      </c>
      <c r="K1123" t="s">
        <v>2821</v>
      </c>
      <c r="L1123" s="3">
        <v>1</v>
      </c>
      <c r="M1123" t="str">
        <f>IF(Table1[[#This Row],[delayed]]=1,"Delayed","On Time")</f>
        <v>Delayed</v>
      </c>
      <c r="N1123" t="str">
        <f>IF(AND(Table1[[#This Row],[delayed]]=1,Table1[[#This Row],[weather_condition]]="Storm"),"High Risk", IF(Table1[[#This Row],[delayed]]=1,"Medium Risk","Low Risk"))</f>
        <v>Medium Risk</v>
      </c>
    </row>
    <row r="1124" spans="1:14" x14ac:dyDescent="0.35">
      <c r="A1124">
        <v>1123</v>
      </c>
      <c r="B1124" s="1">
        <v>44973.75</v>
      </c>
      <c r="C1124" s="2">
        <v>6.2499999999999995E-3</v>
      </c>
      <c r="D1124" s="3">
        <v>2656</v>
      </c>
      <c r="E1124" s="3">
        <v>298</v>
      </c>
      <c r="F1124" s="2">
        <v>37.668055555555554</v>
      </c>
      <c r="G1124" t="s">
        <v>2812</v>
      </c>
      <c r="H1124" t="s">
        <v>2813</v>
      </c>
      <c r="I1124" s="2">
        <v>2.5034722222222223</v>
      </c>
      <c r="J1124" s="4" t="str">
        <f>IF(Table1[[#This Row],[processing_time_hours]]&gt;1.5,"Slow", "Fast")</f>
        <v>Slow</v>
      </c>
      <c r="K1124" t="s">
        <v>2818</v>
      </c>
      <c r="L1124" s="3">
        <v>0</v>
      </c>
      <c r="M1124" t="str">
        <f>IF(Table1[[#This Row],[delayed]]=1,"Delayed","On Time")</f>
        <v>On Time</v>
      </c>
      <c r="N1124" t="str">
        <f>IF(AND(Table1[[#This Row],[delayed]]=1,Table1[[#This Row],[weather_condition]]="Storm"),"High Risk", IF(Table1[[#This Row],[delayed]]=1,"Medium Risk","Low Risk"))</f>
        <v>Low Risk</v>
      </c>
    </row>
    <row r="1125" spans="1:14" x14ac:dyDescent="0.35">
      <c r="A1125">
        <v>1124</v>
      </c>
      <c r="B1125" s="1">
        <v>44973.791666666664</v>
      </c>
      <c r="C1125" s="2">
        <v>6.6666666666666666E-2</v>
      </c>
      <c r="D1125" s="3">
        <v>3936</v>
      </c>
      <c r="E1125" s="3">
        <v>367</v>
      </c>
      <c r="F1125" s="2">
        <v>46.38055555555556</v>
      </c>
      <c r="G1125" t="s">
        <v>2812</v>
      </c>
      <c r="H1125" t="s">
        <v>2813</v>
      </c>
      <c r="I1125" s="2">
        <v>2.8333333333333335</v>
      </c>
      <c r="J1125" s="4" t="str">
        <f>IF(Table1[[#This Row],[processing_time_hours]]&gt;1.5,"Slow", "Fast")</f>
        <v>Slow</v>
      </c>
      <c r="K1125" t="s">
        <v>2818</v>
      </c>
      <c r="L1125" s="3">
        <v>0</v>
      </c>
      <c r="M1125" t="str">
        <f>IF(Table1[[#This Row],[delayed]]=1,"Delayed","On Time")</f>
        <v>On Time</v>
      </c>
      <c r="N1125" t="str">
        <f>IF(AND(Table1[[#This Row],[delayed]]=1,Table1[[#This Row],[weather_condition]]="Storm"),"High Risk", IF(Table1[[#This Row],[delayed]]=1,"Medium Risk","Low Risk"))</f>
        <v>Low Risk</v>
      </c>
    </row>
    <row r="1126" spans="1:14" x14ac:dyDescent="0.35">
      <c r="A1126">
        <v>1125</v>
      </c>
      <c r="B1126" s="1">
        <v>44973.833333333336</v>
      </c>
      <c r="C1126" s="2">
        <v>6.1805555555555558E-2</v>
      </c>
      <c r="D1126" s="3">
        <v>3306</v>
      </c>
      <c r="E1126" s="3">
        <v>187</v>
      </c>
      <c r="F1126" s="2">
        <v>16.378472222222221</v>
      </c>
      <c r="G1126" t="s">
        <v>2812</v>
      </c>
      <c r="H1126" t="s">
        <v>2813</v>
      </c>
      <c r="I1126" s="2">
        <v>1.9583333333333333</v>
      </c>
      <c r="J1126" s="4" t="str">
        <f>IF(Table1[[#This Row],[processing_time_hours]]&gt;1.5,"Slow", "Fast")</f>
        <v>Slow</v>
      </c>
      <c r="K1126" t="s">
        <v>2818</v>
      </c>
      <c r="L1126" s="3">
        <v>0</v>
      </c>
      <c r="M1126" t="str">
        <f>IF(Table1[[#This Row],[delayed]]=1,"Delayed","On Time")</f>
        <v>On Time</v>
      </c>
      <c r="N1126" t="str">
        <f>IF(AND(Table1[[#This Row],[delayed]]=1,Table1[[#This Row],[weather_condition]]="Storm"),"High Risk", IF(Table1[[#This Row],[delayed]]=1,"Medium Risk","Low Risk"))</f>
        <v>Low Risk</v>
      </c>
    </row>
    <row r="1127" spans="1:14" x14ac:dyDescent="0.35">
      <c r="A1127">
        <v>1126</v>
      </c>
      <c r="B1127" s="1">
        <v>44973.875</v>
      </c>
      <c r="C1127" s="2">
        <v>5.8333333333333327E-2</v>
      </c>
      <c r="D1127" s="3">
        <v>3421</v>
      </c>
      <c r="E1127" s="3">
        <v>458</v>
      </c>
      <c r="F1127" s="2">
        <v>30.752083333333331</v>
      </c>
      <c r="G1127" t="s">
        <v>2815</v>
      </c>
      <c r="H1127" t="s">
        <v>2817</v>
      </c>
      <c r="I1127" s="2">
        <v>0.4604166666666667</v>
      </c>
      <c r="J1127" s="4" t="str">
        <f>IF(Table1[[#This Row],[processing_time_hours]]&gt;1.5,"Slow", "Fast")</f>
        <v>Fast</v>
      </c>
      <c r="K1127" t="s">
        <v>2814</v>
      </c>
      <c r="L1127" s="3">
        <v>0</v>
      </c>
      <c r="M1127" t="str">
        <f>IF(Table1[[#This Row],[delayed]]=1,"Delayed","On Time")</f>
        <v>On Time</v>
      </c>
      <c r="N1127" t="str">
        <f>IF(AND(Table1[[#This Row],[delayed]]=1,Table1[[#This Row],[weather_condition]]="Storm"),"High Risk", IF(Table1[[#This Row],[delayed]]=1,"Medium Risk","Low Risk"))</f>
        <v>Low Risk</v>
      </c>
    </row>
    <row r="1128" spans="1:14" x14ac:dyDescent="0.35">
      <c r="A1128">
        <v>1127</v>
      </c>
      <c r="B1128" s="1">
        <v>44973.916666666664</v>
      </c>
      <c r="C1128" s="2">
        <v>5.1388888888888894E-2</v>
      </c>
      <c r="D1128" s="3">
        <v>690</v>
      </c>
      <c r="E1128" s="3">
        <v>170</v>
      </c>
      <c r="F1128" s="2">
        <v>3.4597222222222221</v>
      </c>
      <c r="G1128" t="s">
        <v>2815</v>
      </c>
      <c r="H1128" t="s">
        <v>2822</v>
      </c>
      <c r="I1128" s="2">
        <v>1.6305555555555555</v>
      </c>
      <c r="J1128" s="4" t="str">
        <f>IF(Table1[[#This Row],[processing_time_hours]]&gt;1.5,"Slow", "Fast")</f>
        <v>Slow</v>
      </c>
      <c r="K1128" t="s">
        <v>2821</v>
      </c>
      <c r="L1128" s="3">
        <v>0</v>
      </c>
      <c r="M1128" t="str">
        <f>IF(Table1[[#This Row],[delayed]]=1,"Delayed","On Time")</f>
        <v>On Time</v>
      </c>
      <c r="N1128" t="str">
        <f>IF(AND(Table1[[#This Row],[delayed]]=1,Table1[[#This Row],[weather_condition]]="Storm"),"High Risk", IF(Table1[[#This Row],[delayed]]=1,"Medium Risk","Low Risk"))</f>
        <v>Low Risk</v>
      </c>
    </row>
    <row r="1129" spans="1:14" x14ac:dyDescent="0.35">
      <c r="A1129">
        <v>1128</v>
      </c>
      <c r="B1129" s="1">
        <v>44973.958333333336</v>
      </c>
      <c r="C1129" s="2">
        <v>4.8611111111111112E-3</v>
      </c>
      <c r="D1129" s="3">
        <v>494</v>
      </c>
      <c r="E1129" s="3">
        <v>362</v>
      </c>
      <c r="F1129" s="2">
        <v>22.879861111111111</v>
      </c>
      <c r="G1129" t="s">
        <v>2815</v>
      </c>
      <c r="H1129" t="s">
        <v>2817</v>
      </c>
      <c r="I1129" s="2">
        <v>0.125</v>
      </c>
      <c r="J1129" s="4" t="str">
        <f>IF(Table1[[#This Row],[processing_time_hours]]&gt;1.5,"Slow", "Fast")</f>
        <v>Fast</v>
      </c>
      <c r="K1129" t="s">
        <v>2818</v>
      </c>
      <c r="L1129" s="3">
        <v>1</v>
      </c>
      <c r="M1129" t="str">
        <f>IF(Table1[[#This Row],[delayed]]=1,"Delayed","On Time")</f>
        <v>Delayed</v>
      </c>
      <c r="N1129" t="str">
        <f>IF(AND(Table1[[#This Row],[delayed]]=1,Table1[[#This Row],[weather_condition]]="Storm"),"High Risk", IF(Table1[[#This Row],[delayed]]=1,"Medium Risk","Low Risk"))</f>
        <v>High Risk</v>
      </c>
    </row>
    <row r="1130" spans="1:14" x14ac:dyDescent="0.35">
      <c r="A1130">
        <v>1129</v>
      </c>
      <c r="B1130" s="1">
        <v>44974</v>
      </c>
      <c r="C1130" s="2">
        <v>4.3750000000000004E-2</v>
      </c>
      <c r="D1130" s="3">
        <v>4309</v>
      </c>
      <c r="E1130" s="3">
        <v>18</v>
      </c>
      <c r="F1130" s="2">
        <v>57.919444444444444</v>
      </c>
      <c r="G1130" t="s">
        <v>2819</v>
      </c>
      <c r="H1130" t="s">
        <v>2822</v>
      </c>
      <c r="I1130" s="2">
        <v>0.21111111111111111</v>
      </c>
      <c r="J1130" s="4" t="str">
        <f>IF(Table1[[#This Row],[processing_time_hours]]&gt;1.5,"Slow", "Fast")</f>
        <v>Fast</v>
      </c>
      <c r="K1130" t="s">
        <v>2814</v>
      </c>
      <c r="L1130" s="3">
        <v>0</v>
      </c>
      <c r="M1130" t="str">
        <f>IF(Table1[[#This Row],[delayed]]=1,"Delayed","On Time")</f>
        <v>On Time</v>
      </c>
      <c r="N1130" t="str">
        <f>IF(AND(Table1[[#This Row],[delayed]]=1,Table1[[#This Row],[weather_condition]]="Storm"),"High Risk", IF(Table1[[#This Row],[delayed]]=1,"Medium Risk","Low Risk"))</f>
        <v>Low Risk</v>
      </c>
    </row>
    <row r="1131" spans="1:14" x14ac:dyDescent="0.35">
      <c r="A1131">
        <v>1130</v>
      </c>
      <c r="B1131" s="1">
        <v>44974.041666666664</v>
      </c>
      <c r="C1131" s="2">
        <v>6.458333333333334E-2</v>
      </c>
      <c r="D1131" s="3">
        <v>4372</v>
      </c>
      <c r="E1131" s="3">
        <v>216</v>
      </c>
      <c r="F1131" s="2">
        <v>49.129166666666663</v>
      </c>
      <c r="G1131" t="s">
        <v>2815</v>
      </c>
      <c r="H1131" t="s">
        <v>2817</v>
      </c>
      <c r="I1131" s="2">
        <v>0.79722222222222217</v>
      </c>
      <c r="J1131" s="4" t="str">
        <f>IF(Table1[[#This Row],[processing_time_hours]]&gt;1.5,"Slow", "Fast")</f>
        <v>Fast</v>
      </c>
      <c r="K1131" t="s">
        <v>2818</v>
      </c>
      <c r="L1131" s="3">
        <v>0</v>
      </c>
      <c r="M1131" t="str">
        <f>IF(Table1[[#This Row],[delayed]]=1,"Delayed","On Time")</f>
        <v>On Time</v>
      </c>
      <c r="N1131" t="str">
        <f>IF(AND(Table1[[#This Row],[delayed]]=1,Table1[[#This Row],[weather_condition]]="Storm"),"High Risk", IF(Table1[[#This Row],[delayed]]=1,"Medium Risk","Low Risk"))</f>
        <v>Low Risk</v>
      </c>
    </row>
    <row r="1132" spans="1:14" x14ac:dyDescent="0.35">
      <c r="A1132">
        <v>1131</v>
      </c>
      <c r="B1132" s="1">
        <v>44974.083333333336</v>
      </c>
      <c r="C1132" s="2">
        <v>5.6944444444444443E-2</v>
      </c>
      <c r="D1132" s="3">
        <v>2275</v>
      </c>
      <c r="E1132" s="3">
        <v>371</v>
      </c>
      <c r="F1132" s="2">
        <v>5.3395833333333336</v>
      </c>
      <c r="G1132" t="s">
        <v>2819</v>
      </c>
      <c r="H1132" t="s">
        <v>2822</v>
      </c>
      <c r="I1132" s="2">
        <v>1.5895833333333333</v>
      </c>
      <c r="J1132" s="4" t="str">
        <f>IF(Table1[[#This Row],[processing_time_hours]]&gt;1.5,"Slow", "Fast")</f>
        <v>Slow</v>
      </c>
      <c r="K1132" t="s">
        <v>2814</v>
      </c>
      <c r="L1132" s="3">
        <v>0</v>
      </c>
      <c r="M1132" t="str">
        <f>IF(Table1[[#This Row],[delayed]]=1,"Delayed","On Time")</f>
        <v>On Time</v>
      </c>
      <c r="N1132" t="str">
        <f>IF(AND(Table1[[#This Row],[delayed]]=1,Table1[[#This Row],[weather_condition]]="Storm"),"High Risk", IF(Table1[[#This Row],[delayed]]=1,"Medium Risk","Low Risk"))</f>
        <v>Low Risk</v>
      </c>
    </row>
    <row r="1133" spans="1:14" x14ac:dyDescent="0.35">
      <c r="A1133">
        <v>1132</v>
      </c>
      <c r="B1133" s="1">
        <v>44974.125</v>
      </c>
      <c r="C1133" s="2">
        <v>4.9999999999999996E-2</v>
      </c>
      <c r="D1133" s="3">
        <v>864</v>
      </c>
      <c r="E1133" s="3">
        <v>437</v>
      </c>
      <c r="F1133" s="2">
        <v>69.709722222222226</v>
      </c>
      <c r="G1133" t="s">
        <v>2819</v>
      </c>
      <c r="H1133" t="s">
        <v>2820</v>
      </c>
      <c r="I1133" s="2">
        <v>0.21111111111111111</v>
      </c>
      <c r="J1133" s="4" t="str">
        <f>IF(Table1[[#This Row],[processing_time_hours]]&gt;1.5,"Slow", "Fast")</f>
        <v>Fast</v>
      </c>
      <c r="K1133" t="s">
        <v>2821</v>
      </c>
      <c r="L1133" s="3">
        <v>0</v>
      </c>
      <c r="M1133" t="str">
        <f>IF(Table1[[#This Row],[delayed]]=1,"Delayed","On Time")</f>
        <v>On Time</v>
      </c>
      <c r="N1133" t="str">
        <f>IF(AND(Table1[[#This Row],[delayed]]=1,Table1[[#This Row],[weather_condition]]="Storm"),"High Risk", IF(Table1[[#This Row],[delayed]]=1,"Medium Risk","Low Risk"))</f>
        <v>Low Risk</v>
      </c>
    </row>
    <row r="1134" spans="1:14" x14ac:dyDescent="0.35">
      <c r="A1134">
        <v>1133</v>
      </c>
      <c r="B1134" s="1">
        <v>44974.166666666664</v>
      </c>
      <c r="C1134" s="2">
        <v>4.5138888888888888E-2</v>
      </c>
      <c r="D1134" s="3">
        <v>3606</v>
      </c>
      <c r="E1134" s="3">
        <v>147</v>
      </c>
      <c r="F1134" s="2">
        <v>22.297916666666666</v>
      </c>
      <c r="G1134" t="s">
        <v>2812</v>
      </c>
      <c r="H1134" t="s">
        <v>2813</v>
      </c>
      <c r="I1134" s="2">
        <v>2.9618055555555554</v>
      </c>
      <c r="J1134" s="4" t="str">
        <f>IF(Table1[[#This Row],[processing_time_hours]]&gt;1.5,"Slow", "Fast")</f>
        <v>Slow</v>
      </c>
      <c r="K1134" t="s">
        <v>2821</v>
      </c>
      <c r="L1134" s="3">
        <v>1</v>
      </c>
      <c r="M1134" t="str">
        <f>IF(Table1[[#This Row],[delayed]]=1,"Delayed","On Time")</f>
        <v>Delayed</v>
      </c>
      <c r="N1134" t="str">
        <f>IF(AND(Table1[[#This Row],[delayed]]=1,Table1[[#This Row],[weather_condition]]="Storm"),"High Risk", IF(Table1[[#This Row],[delayed]]=1,"Medium Risk","Low Risk"))</f>
        <v>Medium Risk</v>
      </c>
    </row>
    <row r="1135" spans="1:14" x14ac:dyDescent="0.35">
      <c r="A1135">
        <v>1134</v>
      </c>
      <c r="B1135" s="1">
        <v>44974.208333333336</v>
      </c>
      <c r="C1135" s="2">
        <v>4.9999999999999996E-2</v>
      </c>
      <c r="D1135" s="3">
        <v>1118</v>
      </c>
      <c r="E1135" s="3">
        <v>367</v>
      </c>
      <c r="F1135" s="2">
        <v>9.3770833333333332</v>
      </c>
      <c r="G1135" t="s">
        <v>2819</v>
      </c>
      <c r="H1135" t="s">
        <v>2822</v>
      </c>
      <c r="I1135" s="2">
        <v>1.7555555555555555</v>
      </c>
      <c r="J1135" s="4" t="str">
        <f>IF(Table1[[#This Row],[processing_time_hours]]&gt;1.5,"Slow", "Fast")</f>
        <v>Slow</v>
      </c>
      <c r="K1135" t="s">
        <v>2814</v>
      </c>
      <c r="L1135" s="3">
        <v>0</v>
      </c>
      <c r="M1135" t="str">
        <f>IF(Table1[[#This Row],[delayed]]=1,"Delayed","On Time")</f>
        <v>On Time</v>
      </c>
      <c r="N1135" t="str">
        <f>IF(AND(Table1[[#This Row],[delayed]]=1,Table1[[#This Row],[weather_condition]]="Storm"),"High Risk", IF(Table1[[#This Row],[delayed]]=1,"Medium Risk","Low Risk"))</f>
        <v>Low Risk</v>
      </c>
    </row>
    <row r="1136" spans="1:14" x14ac:dyDescent="0.35">
      <c r="A1136">
        <v>1135</v>
      </c>
      <c r="B1136" s="1">
        <v>44974.25</v>
      </c>
      <c r="C1136" s="2">
        <v>6.2499999999999995E-3</v>
      </c>
      <c r="D1136" s="3">
        <v>2459</v>
      </c>
      <c r="E1136" s="3">
        <v>173</v>
      </c>
      <c r="F1136" s="2">
        <v>25.710416666666664</v>
      </c>
      <c r="G1136" t="s">
        <v>2816</v>
      </c>
      <c r="H1136" t="s">
        <v>2817</v>
      </c>
      <c r="I1136" s="2">
        <v>0.58402777777777781</v>
      </c>
      <c r="J1136" s="4" t="str">
        <f>IF(Table1[[#This Row],[processing_time_hours]]&gt;1.5,"Slow", "Fast")</f>
        <v>Fast</v>
      </c>
      <c r="K1136" t="s">
        <v>2814</v>
      </c>
      <c r="L1136" s="3">
        <v>0</v>
      </c>
      <c r="M1136" t="str">
        <f>IF(Table1[[#This Row],[delayed]]=1,"Delayed","On Time")</f>
        <v>On Time</v>
      </c>
      <c r="N1136" t="str">
        <f>IF(AND(Table1[[#This Row],[delayed]]=1,Table1[[#This Row],[weather_condition]]="Storm"),"High Risk", IF(Table1[[#This Row],[delayed]]=1,"Medium Risk","Low Risk"))</f>
        <v>Low Risk</v>
      </c>
    </row>
    <row r="1137" spans="1:14" x14ac:dyDescent="0.35">
      <c r="A1137">
        <v>1136</v>
      </c>
      <c r="B1137" s="1">
        <v>44974.291666666664</v>
      </c>
      <c r="C1137" s="2">
        <v>4.7916666666666663E-2</v>
      </c>
      <c r="D1137" s="3">
        <v>1657</v>
      </c>
      <c r="E1137" s="3">
        <v>231</v>
      </c>
      <c r="F1137" s="2">
        <v>60.918749999999996</v>
      </c>
      <c r="G1137" t="s">
        <v>2812</v>
      </c>
      <c r="H1137" t="s">
        <v>2822</v>
      </c>
      <c r="I1137" s="2">
        <v>0.21249999999999999</v>
      </c>
      <c r="J1137" s="4" t="str">
        <f>IF(Table1[[#This Row],[processing_time_hours]]&gt;1.5,"Slow", "Fast")</f>
        <v>Fast</v>
      </c>
      <c r="K1137" t="s">
        <v>2818</v>
      </c>
      <c r="L1137" s="3">
        <v>0</v>
      </c>
      <c r="M1137" t="str">
        <f>IF(Table1[[#This Row],[delayed]]=1,"Delayed","On Time")</f>
        <v>On Time</v>
      </c>
      <c r="N1137" t="str">
        <f>IF(AND(Table1[[#This Row],[delayed]]=1,Table1[[#This Row],[weather_condition]]="Storm"),"High Risk", IF(Table1[[#This Row],[delayed]]=1,"Medium Risk","Low Risk"))</f>
        <v>Low Risk</v>
      </c>
    </row>
    <row r="1138" spans="1:14" x14ac:dyDescent="0.35">
      <c r="A1138">
        <v>1137</v>
      </c>
      <c r="B1138" s="1">
        <v>44974.333333333336</v>
      </c>
      <c r="C1138" s="2">
        <v>4.3055555555555562E-2</v>
      </c>
      <c r="D1138" s="3">
        <v>3141</v>
      </c>
      <c r="E1138" s="3">
        <v>434</v>
      </c>
      <c r="F1138" s="2">
        <v>78.006250000000009</v>
      </c>
      <c r="G1138" t="s">
        <v>2819</v>
      </c>
      <c r="H1138" t="s">
        <v>2817</v>
      </c>
      <c r="I1138" s="2">
        <v>1.0458333333333334</v>
      </c>
      <c r="J1138" s="4" t="str">
        <f>IF(Table1[[#This Row],[processing_time_hours]]&gt;1.5,"Slow", "Fast")</f>
        <v>Fast</v>
      </c>
      <c r="K1138" t="s">
        <v>2821</v>
      </c>
      <c r="L1138" s="3">
        <v>0</v>
      </c>
      <c r="M1138" t="str">
        <f>IF(Table1[[#This Row],[delayed]]=1,"Delayed","On Time")</f>
        <v>On Time</v>
      </c>
      <c r="N1138" t="str">
        <f>IF(AND(Table1[[#This Row],[delayed]]=1,Table1[[#This Row],[weather_condition]]="Storm"),"High Risk", IF(Table1[[#This Row],[delayed]]=1,"Medium Risk","Low Risk"))</f>
        <v>Low Risk</v>
      </c>
    </row>
    <row r="1139" spans="1:14" x14ac:dyDescent="0.35">
      <c r="A1139">
        <v>1138</v>
      </c>
      <c r="B1139" s="1">
        <v>44974.375</v>
      </c>
      <c r="C1139" s="2">
        <v>5.2083333333333336E-2</v>
      </c>
      <c r="D1139" s="3">
        <v>3720</v>
      </c>
      <c r="E1139" s="3">
        <v>295</v>
      </c>
      <c r="F1139" s="2">
        <v>57.545138888888886</v>
      </c>
      <c r="G1139" t="s">
        <v>2816</v>
      </c>
      <c r="H1139" t="s">
        <v>2813</v>
      </c>
      <c r="I1139" s="2">
        <v>2.2944444444444447</v>
      </c>
      <c r="J1139" s="4" t="str">
        <f>IF(Table1[[#This Row],[processing_time_hours]]&gt;1.5,"Slow", "Fast")</f>
        <v>Slow</v>
      </c>
      <c r="K1139" t="s">
        <v>2818</v>
      </c>
      <c r="L1139" s="3">
        <v>0</v>
      </c>
      <c r="M1139" t="str">
        <f>IF(Table1[[#This Row],[delayed]]=1,"Delayed","On Time")</f>
        <v>On Time</v>
      </c>
      <c r="N1139" t="str">
        <f>IF(AND(Table1[[#This Row],[delayed]]=1,Table1[[#This Row],[weather_condition]]="Storm"),"High Risk", IF(Table1[[#This Row],[delayed]]=1,"Medium Risk","Low Risk"))</f>
        <v>Low Risk</v>
      </c>
    </row>
    <row r="1140" spans="1:14" x14ac:dyDescent="0.35">
      <c r="A1140">
        <v>1139</v>
      </c>
      <c r="B1140" s="1">
        <v>44974.416666666664</v>
      </c>
      <c r="C1140" s="2">
        <v>5.0694444444444438E-2</v>
      </c>
      <c r="D1140" s="3">
        <v>4595</v>
      </c>
      <c r="E1140" s="3">
        <v>35</v>
      </c>
      <c r="F1140" s="2">
        <v>18.464583333333334</v>
      </c>
      <c r="G1140" t="s">
        <v>2812</v>
      </c>
      <c r="H1140" t="s">
        <v>2813</v>
      </c>
      <c r="I1140" s="2">
        <v>2.0423611111111111</v>
      </c>
      <c r="J1140" s="4" t="str">
        <f>IF(Table1[[#This Row],[processing_time_hours]]&gt;1.5,"Slow", "Fast")</f>
        <v>Slow</v>
      </c>
      <c r="K1140" t="s">
        <v>2821</v>
      </c>
      <c r="L1140" s="3">
        <v>1</v>
      </c>
      <c r="M1140" t="str">
        <f>IF(Table1[[#This Row],[delayed]]=1,"Delayed","On Time")</f>
        <v>Delayed</v>
      </c>
      <c r="N1140" t="str">
        <f>IF(AND(Table1[[#This Row],[delayed]]=1,Table1[[#This Row],[weather_condition]]="Storm"),"High Risk", IF(Table1[[#This Row],[delayed]]=1,"Medium Risk","Low Risk"))</f>
        <v>Medium Risk</v>
      </c>
    </row>
    <row r="1141" spans="1:14" x14ac:dyDescent="0.35">
      <c r="A1141">
        <v>1140</v>
      </c>
      <c r="B1141" s="1">
        <v>44974.458333333336</v>
      </c>
      <c r="C1141" s="2">
        <v>6.1111111111111109E-2</v>
      </c>
      <c r="D1141" s="3">
        <v>3910</v>
      </c>
      <c r="E1141" s="3">
        <v>290</v>
      </c>
      <c r="F1141" s="2">
        <v>42.419444444444444</v>
      </c>
      <c r="G1141" t="s">
        <v>2816</v>
      </c>
      <c r="H1141" t="s">
        <v>2817</v>
      </c>
      <c r="I1141" s="2">
        <v>0.20972222222222223</v>
      </c>
      <c r="J1141" s="4" t="str">
        <f>IF(Table1[[#This Row],[processing_time_hours]]&gt;1.5,"Slow", "Fast")</f>
        <v>Fast</v>
      </c>
      <c r="K1141" t="s">
        <v>2814</v>
      </c>
      <c r="L1141" s="3">
        <v>0</v>
      </c>
      <c r="M1141" t="str">
        <f>IF(Table1[[#This Row],[delayed]]=1,"Delayed","On Time")</f>
        <v>On Time</v>
      </c>
      <c r="N1141" t="str">
        <f>IF(AND(Table1[[#This Row],[delayed]]=1,Table1[[#This Row],[weather_condition]]="Storm"),"High Risk", IF(Table1[[#This Row],[delayed]]=1,"Medium Risk","Low Risk"))</f>
        <v>Low Risk</v>
      </c>
    </row>
    <row r="1142" spans="1:14" x14ac:dyDescent="0.35">
      <c r="A1142">
        <v>1141</v>
      </c>
      <c r="B1142" s="1">
        <v>44974.5</v>
      </c>
      <c r="C1142" s="2">
        <v>5.6944444444444443E-2</v>
      </c>
      <c r="D1142" s="3">
        <v>3980</v>
      </c>
      <c r="E1142" s="3">
        <v>345</v>
      </c>
      <c r="F1142" s="2">
        <v>45.833333333333336</v>
      </c>
      <c r="G1142" t="s">
        <v>2819</v>
      </c>
      <c r="H1142" t="s">
        <v>2820</v>
      </c>
      <c r="I1142" s="2">
        <v>0.54583333333333328</v>
      </c>
      <c r="J1142" s="4" t="str">
        <f>IF(Table1[[#This Row],[processing_time_hours]]&gt;1.5,"Slow", "Fast")</f>
        <v>Fast</v>
      </c>
      <c r="K1142" t="s">
        <v>2821</v>
      </c>
      <c r="L1142" s="3">
        <v>1</v>
      </c>
      <c r="M1142" t="str">
        <f>IF(Table1[[#This Row],[delayed]]=1,"Delayed","On Time")</f>
        <v>Delayed</v>
      </c>
      <c r="N1142" t="str">
        <f>IF(AND(Table1[[#This Row],[delayed]]=1,Table1[[#This Row],[weather_condition]]="Storm"),"High Risk", IF(Table1[[#This Row],[delayed]]=1,"Medium Risk","Low Risk"))</f>
        <v>Medium Risk</v>
      </c>
    </row>
    <row r="1143" spans="1:14" x14ac:dyDescent="0.35">
      <c r="A1143">
        <v>1142</v>
      </c>
      <c r="B1143" s="1">
        <v>44974.541666666664</v>
      </c>
      <c r="C1143" s="2">
        <v>5.486111111111111E-2</v>
      </c>
      <c r="D1143" s="3">
        <v>4409</v>
      </c>
      <c r="E1143" s="3">
        <v>359</v>
      </c>
      <c r="F1143" s="2">
        <v>53.379166666666663</v>
      </c>
      <c r="G1143" t="s">
        <v>2812</v>
      </c>
      <c r="H1143" t="s">
        <v>2822</v>
      </c>
      <c r="I1143" s="2">
        <v>2.9215277777777775</v>
      </c>
      <c r="J1143" s="4" t="str">
        <f>IF(Table1[[#This Row],[processing_time_hours]]&gt;1.5,"Slow", "Fast")</f>
        <v>Slow</v>
      </c>
      <c r="K1143" t="s">
        <v>2821</v>
      </c>
      <c r="L1143" s="3">
        <v>0</v>
      </c>
      <c r="M1143" t="str">
        <f>IF(Table1[[#This Row],[delayed]]=1,"Delayed","On Time")</f>
        <v>On Time</v>
      </c>
      <c r="N1143" t="str">
        <f>IF(AND(Table1[[#This Row],[delayed]]=1,Table1[[#This Row],[weather_condition]]="Storm"),"High Risk", IF(Table1[[#This Row],[delayed]]=1,"Medium Risk","Low Risk"))</f>
        <v>Low Risk</v>
      </c>
    </row>
    <row r="1144" spans="1:14" x14ac:dyDescent="0.35">
      <c r="A1144">
        <v>1143</v>
      </c>
      <c r="B1144" s="1">
        <v>44974.583333333336</v>
      </c>
      <c r="C1144" s="2">
        <v>6.8749999999999992E-2</v>
      </c>
      <c r="D1144" s="3">
        <v>2021</v>
      </c>
      <c r="E1144" s="3">
        <v>481</v>
      </c>
      <c r="F1144" s="2">
        <v>6.1305555555555555</v>
      </c>
      <c r="G1144" t="s">
        <v>2816</v>
      </c>
      <c r="H1144" t="s">
        <v>2820</v>
      </c>
      <c r="I1144" s="2">
        <v>2.2944444444444447</v>
      </c>
      <c r="J1144" s="4" t="str">
        <f>IF(Table1[[#This Row],[processing_time_hours]]&gt;1.5,"Slow", "Fast")</f>
        <v>Slow</v>
      </c>
      <c r="K1144" t="s">
        <v>2814</v>
      </c>
      <c r="L1144" s="3">
        <v>0</v>
      </c>
      <c r="M1144" t="str">
        <f>IF(Table1[[#This Row],[delayed]]=1,"Delayed","On Time")</f>
        <v>On Time</v>
      </c>
      <c r="N1144" t="str">
        <f>IF(AND(Table1[[#This Row],[delayed]]=1,Table1[[#This Row],[weather_condition]]="Storm"),"High Risk", IF(Table1[[#This Row],[delayed]]=1,"Medium Risk","Low Risk"))</f>
        <v>Low Risk</v>
      </c>
    </row>
    <row r="1145" spans="1:14" x14ac:dyDescent="0.35">
      <c r="A1145">
        <v>1144</v>
      </c>
      <c r="B1145" s="1">
        <v>44974.625</v>
      </c>
      <c r="C1145" s="2">
        <v>6.5277777777777782E-2</v>
      </c>
      <c r="D1145" s="3">
        <v>1676</v>
      </c>
      <c r="E1145" s="3">
        <v>355</v>
      </c>
      <c r="F1145" s="2">
        <v>48.291666666666664</v>
      </c>
      <c r="G1145" t="s">
        <v>2812</v>
      </c>
      <c r="H1145" t="s">
        <v>2820</v>
      </c>
      <c r="I1145" s="2">
        <v>1.16875</v>
      </c>
      <c r="J1145" s="4" t="str">
        <f>IF(Table1[[#This Row],[processing_time_hours]]&gt;1.5,"Slow", "Fast")</f>
        <v>Fast</v>
      </c>
      <c r="K1145" t="s">
        <v>2818</v>
      </c>
      <c r="L1145" s="3">
        <v>1</v>
      </c>
      <c r="M1145" t="str">
        <f>IF(Table1[[#This Row],[delayed]]=1,"Delayed","On Time")</f>
        <v>Delayed</v>
      </c>
      <c r="N1145" t="str">
        <f>IF(AND(Table1[[#This Row],[delayed]]=1,Table1[[#This Row],[weather_condition]]="Storm"),"High Risk", IF(Table1[[#This Row],[delayed]]=1,"Medium Risk","Low Risk"))</f>
        <v>Medium Risk</v>
      </c>
    </row>
    <row r="1146" spans="1:14" x14ac:dyDescent="0.35">
      <c r="A1146">
        <v>1145</v>
      </c>
      <c r="B1146" s="1">
        <v>44974.666666666664</v>
      </c>
      <c r="C1146" s="2">
        <v>4.5138888888888888E-2</v>
      </c>
      <c r="D1146" s="3">
        <v>3682</v>
      </c>
      <c r="E1146" s="3">
        <v>470</v>
      </c>
      <c r="F1146" s="2">
        <v>9.5861111111111104</v>
      </c>
      <c r="G1146" t="s">
        <v>2812</v>
      </c>
      <c r="H1146" t="s">
        <v>2817</v>
      </c>
      <c r="I1146" s="2">
        <v>2.0062500000000001</v>
      </c>
      <c r="J1146" s="4" t="str">
        <f>IF(Table1[[#This Row],[processing_time_hours]]&gt;1.5,"Slow", "Fast")</f>
        <v>Slow</v>
      </c>
      <c r="K1146" t="s">
        <v>2814</v>
      </c>
      <c r="L1146" s="3">
        <v>0</v>
      </c>
      <c r="M1146" t="str">
        <f>IF(Table1[[#This Row],[delayed]]=1,"Delayed","On Time")</f>
        <v>On Time</v>
      </c>
      <c r="N1146" t="str">
        <f>IF(AND(Table1[[#This Row],[delayed]]=1,Table1[[#This Row],[weather_condition]]="Storm"),"High Risk", IF(Table1[[#This Row],[delayed]]=1,"Medium Risk","Low Risk"))</f>
        <v>Low Risk</v>
      </c>
    </row>
    <row r="1147" spans="1:14" x14ac:dyDescent="0.35">
      <c r="A1147">
        <v>1146</v>
      </c>
      <c r="B1147" s="1">
        <v>44974.708333333336</v>
      </c>
      <c r="C1147" s="2">
        <v>4.8611111111111112E-3</v>
      </c>
      <c r="D1147" s="3">
        <v>210</v>
      </c>
      <c r="E1147" s="3">
        <v>491</v>
      </c>
      <c r="F1147" s="2">
        <v>23.211111111111112</v>
      </c>
      <c r="G1147" t="s">
        <v>2819</v>
      </c>
      <c r="H1147" t="s">
        <v>2820</v>
      </c>
      <c r="I1147" s="2">
        <v>1.625</v>
      </c>
      <c r="J1147" s="4" t="str">
        <f>IF(Table1[[#This Row],[processing_time_hours]]&gt;1.5,"Slow", "Fast")</f>
        <v>Slow</v>
      </c>
      <c r="K1147" t="s">
        <v>2814</v>
      </c>
      <c r="L1147" s="3">
        <v>1</v>
      </c>
      <c r="M1147" t="str">
        <f>IF(Table1[[#This Row],[delayed]]=1,"Delayed","On Time")</f>
        <v>Delayed</v>
      </c>
      <c r="N1147" t="str">
        <f>IF(AND(Table1[[#This Row],[delayed]]=1,Table1[[#This Row],[weather_condition]]="Storm"),"High Risk", IF(Table1[[#This Row],[delayed]]=1,"Medium Risk","Low Risk"))</f>
        <v>Medium Risk</v>
      </c>
    </row>
    <row r="1148" spans="1:14" x14ac:dyDescent="0.35">
      <c r="A1148">
        <v>1147</v>
      </c>
      <c r="B1148" s="1">
        <v>44974.75</v>
      </c>
      <c r="C1148" s="2">
        <v>5.3472222222222227E-2</v>
      </c>
      <c r="D1148" s="3">
        <v>3098</v>
      </c>
      <c r="E1148" s="3">
        <v>385</v>
      </c>
      <c r="F1148" s="2">
        <v>7.875</v>
      </c>
      <c r="G1148" t="s">
        <v>2815</v>
      </c>
      <c r="H1148" t="s">
        <v>2822</v>
      </c>
      <c r="I1148" s="2">
        <v>0.25347222222222221</v>
      </c>
      <c r="J1148" s="4" t="str">
        <f>IF(Table1[[#This Row],[processing_time_hours]]&gt;1.5,"Slow", "Fast")</f>
        <v>Fast</v>
      </c>
      <c r="K1148" t="s">
        <v>2818</v>
      </c>
      <c r="L1148" s="3">
        <v>0</v>
      </c>
      <c r="M1148" t="str">
        <f>IF(Table1[[#This Row],[delayed]]=1,"Delayed","On Time")</f>
        <v>On Time</v>
      </c>
      <c r="N1148" t="str">
        <f>IF(AND(Table1[[#This Row],[delayed]]=1,Table1[[#This Row],[weather_condition]]="Storm"),"High Risk", IF(Table1[[#This Row],[delayed]]=1,"Medium Risk","Low Risk"))</f>
        <v>Low Risk</v>
      </c>
    </row>
    <row r="1149" spans="1:14" x14ac:dyDescent="0.35">
      <c r="A1149">
        <v>1148</v>
      </c>
      <c r="B1149" s="1">
        <v>44974.791666666664</v>
      </c>
      <c r="C1149" s="2">
        <v>4.3750000000000004E-2</v>
      </c>
      <c r="D1149" s="3">
        <v>2921</v>
      </c>
      <c r="E1149" s="3">
        <v>407</v>
      </c>
      <c r="F1149" s="2">
        <v>3.3374999999999999</v>
      </c>
      <c r="G1149" t="s">
        <v>2812</v>
      </c>
      <c r="H1149" t="s">
        <v>2813</v>
      </c>
      <c r="I1149" s="2">
        <v>1.8347222222222221</v>
      </c>
      <c r="J1149" s="4" t="str">
        <f>IF(Table1[[#This Row],[processing_time_hours]]&gt;1.5,"Slow", "Fast")</f>
        <v>Slow</v>
      </c>
      <c r="K1149" t="s">
        <v>2821</v>
      </c>
      <c r="L1149" s="3">
        <v>1</v>
      </c>
      <c r="M1149" t="str">
        <f>IF(Table1[[#This Row],[delayed]]=1,"Delayed","On Time")</f>
        <v>Delayed</v>
      </c>
      <c r="N1149" t="str">
        <f>IF(AND(Table1[[#This Row],[delayed]]=1,Table1[[#This Row],[weather_condition]]="Storm"),"High Risk", IF(Table1[[#This Row],[delayed]]=1,"Medium Risk","Low Risk"))</f>
        <v>Medium Risk</v>
      </c>
    </row>
    <row r="1150" spans="1:14" x14ac:dyDescent="0.35">
      <c r="A1150">
        <v>1149</v>
      </c>
      <c r="B1150" s="1">
        <v>44974.833333333336</v>
      </c>
      <c r="C1150" s="2">
        <v>6.2499999999999995E-3</v>
      </c>
      <c r="D1150" s="3">
        <v>901</v>
      </c>
      <c r="E1150" s="3">
        <v>52</v>
      </c>
      <c r="F1150" s="2">
        <v>39.420833333333334</v>
      </c>
      <c r="G1150" t="s">
        <v>2815</v>
      </c>
      <c r="H1150" t="s">
        <v>2822</v>
      </c>
      <c r="I1150" s="2">
        <v>1.4194444444444445</v>
      </c>
      <c r="J1150" s="4" t="str">
        <f>IF(Table1[[#This Row],[processing_time_hours]]&gt;1.5,"Slow", "Fast")</f>
        <v>Fast</v>
      </c>
      <c r="K1150" t="s">
        <v>2821</v>
      </c>
      <c r="L1150" s="3">
        <v>0</v>
      </c>
      <c r="M1150" t="str">
        <f>IF(Table1[[#This Row],[delayed]]=1,"Delayed","On Time")</f>
        <v>On Time</v>
      </c>
      <c r="N1150" t="str">
        <f>IF(AND(Table1[[#This Row],[delayed]]=1,Table1[[#This Row],[weather_condition]]="Storm"),"High Risk", IF(Table1[[#This Row],[delayed]]=1,"Medium Risk","Low Risk"))</f>
        <v>Low Risk</v>
      </c>
    </row>
    <row r="1151" spans="1:14" x14ac:dyDescent="0.35">
      <c r="A1151">
        <v>1150</v>
      </c>
      <c r="B1151" s="1">
        <v>44974.875</v>
      </c>
      <c r="C1151" s="2">
        <v>6.3194444444444442E-2</v>
      </c>
      <c r="D1151" s="3">
        <v>1886</v>
      </c>
      <c r="E1151" s="3">
        <v>121</v>
      </c>
      <c r="F1151" s="2">
        <v>23.209722222222222</v>
      </c>
      <c r="G1151" t="s">
        <v>2812</v>
      </c>
      <c r="H1151" t="s">
        <v>2813</v>
      </c>
      <c r="I1151" s="2">
        <v>1.8756944444444443</v>
      </c>
      <c r="J1151" s="4" t="str">
        <f>IF(Table1[[#This Row],[processing_time_hours]]&gt;1.5,"Slow", "Fast")</f>
        <v>Slow</v>
      </c>
      <c r="K1151" t="s">
        <v>2814</v>
      </c>
      <c r="L1151" s="3">
        <v>0</v>
      </c>
      <c r="M1151" t="str">
        <f>IF(Table1[[#This Row],[delayed]]=1,"Delayed","On Time")</f>
        <v>On Time</v>
      </c>
      <c r="N1151" t="str">
        <f>IF(AND(Table1[[#This Row],[delayed]]=1,Table1[[#This Row],[weather_condition]]="Storm"),"High Risk", IF(Table1[[#This Row],[delayed]]=1,"Medium Risk","Low Risk"))</f>
        <v>Low Risk</v>
      </c>
    </row>
    <row r="1152" spans="1:14" x14ac:dyDescent="0.35">
      <c r="A1152">
        <v>1151</v>
      </c>
      <c r="B1152" s="1">
        <v>44974.916666666664</v>
      </c>
      <c r="C1152" s="2">
        <v>4.9999999999999996E-2</v>
      </c>
      <c r="D1152" s="3">
        <v>1562</v>
      </c>
      <c r="E1152" s="3">
        <v>195</v>
      </c>
      <c r="F1152" s="2">
        <v>37.00277777777778</v>
      </c>
      <c r="G1152" t="s">
        <v>2816</v>
      </c>
      <c r="H1152" t="s">
        <v>2813</v>
      </c>
      <c r="I1152" s="2">
        <v>2.7972222222222225</v>
      </c>
      <c r="J1152" s="4" t="str">
        <f>IF(Table1[[#This Row],[processing_time_hours]]&gt;1.5,"Slow", "Fast")</f>
        <v>Slow</v>
      </c>
      <c r="K1152" t="s">
        <v>2814</v>
      </c>
      <c r="L1152" s="3">
        <v>0</v>
      </c>
      <c r="M1152" t="str">
        <f>IF(Table1[[#This Row],[delayed]]=1,"Delayed","On Time")</f>
        <v>On Time</v>
      </c>
      <c r="N1152" t="str">
        <f>IF(AND(Table1[[#This Row],[delayed]]=1,Table1[[#This Row],[weather_condition]]="Storm"),"High Risk", IF(Table1[[#This Row],[delayed]]=1,"Medium Risk","Low Risk"))</f>
        <v>Low Risk</v>
      </c>
    </row>
    <row r="1153" spans="1:14" x14ac:dyDescent="0.35">
      <c r="A1153">
        <v>1152</v>
      </c>
      <c r="B1153" s="1">
        <v>44974.958333333336</v>
      </c>
      <c r="C1153" s="2">
        <v>6.6666666666666666E-2</v>
      </c>
      <c r="D1153" s="3">
        <v>2512</v>
      </c>
      <c r="E1153" s="3">
        <v>158</v>
      </c>
      <c r="F1153" s="2">
        <v>48.711111111111109</v>
      </c>
      <c r="G1153" t="s">
        <v>2819</v>
      </c>
      <c r="H1153" t="s">
        <v>2813</v>
      </c>
      <c r="I1153" s="2">
        <v>0.12847222222222224</v>
      </c>
      <c r="J1153" s="4" t="str">
        <f>IF(Table1[[#This Row],[processing_time_hours]]&gt;1.5,"Slow", "Fast")</f>
        <v>Fast</v>
      </c>
      <c r="K1153" t="s">
        <v>2814</v>
      </c>
      <c r="L1153" s="3">
        <v>0</v>
      </c>
      <c r="M1153" t="str">
        <f>IF(Table1[[#This Row],[delayed]]=1,"Delayed","On Time")</f>
        <v>On Time</v>
      </c>
      <c r="N1153" t="str">
        <f>IF(AND(Table1[[#This Row],[delayed]]=1,Table1[[#This Row],[weather_condition]]="Storm"),"High Risk", IF(Table1[[#This Row],[delayed]]=1,"Medium Risk","Low Risk"))</f>
        <v>Low Risk</v>
      </c>
    </row>
    <row r="1154" spans="1:14" x14ac:dyDescent="0.35">
      <c r="A1154">
        <v>1153</v>
      </c>
      <c r="B1154" s="1">
        <v>44975</v>
      </c>
      <c r="C1154" s="2">
        <v>5.6944444444444443E-2</v>
      </c>
      <c r="D1154" s="3">
        <v>2392</v>
      </c>
      <c r="E1154" s="3">
        <v>261</v>
      </c>
      <c r="F1154" s="2">
        <v>13.043750000000001</v>
      </c>
      <c r="G1154" t="s">
        <v>2815</v>
      </c>
      <c r="H1154" t="s">
        <v>2820</v>
      </c>
      <c r="I1154" s="2">
        <v>0.625</v>
      </c>
      <c r="J1154" s="4" t="str">
        <f>IF(Table1[[#This Row],[processing_time_hours]]&gt;1.5,"Slow", "Fast")</f>
        <v>Fast</v>
      </c>
      <c r="K1154" t="s">
        <v>2814</v>
      </c>
      <c r="L1154" s="3">
        <v>0</v>
      </c>
      <c r="M1154" t="str">
        <f>IF(Table1[[#This Row],[delayed]]=1,"Delayed","On Time")</f>
        <v>On Time</v>
      </c>
      <c r="N1154" t="str">
        <f>IF(AND(Table1[[#This Row],[delayed]]=1,Table1[[#This Row],[weather_condition]]="Storm"),"High Risk", IF(Table1[[#This Row],[delayed]]=1,"Medium Risk","Low Risk"))</f>
        <v>Low Risk</v>
      </c>
    </row>
    <row r="1155" spans="1:14" x14ac:dyDescent="0.35">
      <c r="A1155">
        <v>1154</v>
      </c>
      <c r="B1155" s="1">
        <v>44975.041666666664</v>
      </c>
      <c r="C1155" s="2">
        <v>4.7916666666666663E-2</v>
      </c>
      <c r="D1155" s="3">
        <v>2563</v>
      </c>
      <c r="E1155" s="3">
        <v>14</v>
      </c>
      <c r="F1155" s="2">
        <v>17.964583333333334</v>
      </c>
      <c r="G1155" t="s">
        <v>2819</v>
      </c>
      <c r="H1155" t="s">
        <v>2817</v>
      </c>
      <c r="I1155" s="2">
        <v>0.5854166666666667</v>
      </c>
      <c r="J1155" s="4" t="str">
        <f>IF(Table1[[#This Row],[processing_time_hours]]&gt;1.5,"Slow", "Fast")</f>
        <v>Fast</v>
      </c>
      <c r="K1155" t="s">
        <v>2818</v>
      </c>
      <c r="L1155" s="3">
        <v>0</v>
      </c>
      <c r="M1155" t="str">
        <f>IF(Table1[[#This Row],[delayed]]=1,"Delayed","On Time")</f>
        <v>On Time</v>
      </c>
      <c r="N1155" t="str">
        <f>IF(AND(Table1[[#This Row],[delayed]]=1,Table1[[#This Row],[weather_condition]]="Storm"),"High Risk", IF(Table1[[#This Row],[delayed]]=1,"Medium Risk","Low Risk"))</f>
        <v>Low Risk</v>
      </c>
    </row>
    <row r="1156" spans="1:14" x14ac:dyDescent="0.35">
      <c r="A1156">
        <v>1155</v>
      </c>
      <c r="B1156" s="1">
        <v>44975.083333333336</v>
      </c>
      <c r="C1156" s="2">
        <v>5.9027777777777783E-2</v>
      </c>
      <c r="D1156" s="3">
        <v>352</v>
      </c>
      <c r="E1156" s="3">
        <v>253</v>
      </c>
      <c r="F1156" s="2">
        <v>62.335416666666667</v>
      </c>
      <c r="G1156" t="s">
        <v>2812</v>
      </c>
      <c r="H1156" t="s">
        <v>2813</v>
      </c>
      <c r="I1156" s="2">
        <v>2.8368055555555554</v>
      </c>
      <c r="J1156" s="4" t="str">
        <f>IF(Table1[[#This Row],[processing_time_hours]]&gt;1.5,"Slow", "Fast")</f>
        <v>Slow</v>
      </c>
      <c r="K1156" t="s">
        <v>2818</v>
      </c>
      <c r="L1156" s="3">
        <v>1</v>
      </c>
      <c r="M1156" t="str">
        <f>IF(Table1[[#This Row],[delayed]]=1,"Delayed","On Time")</f>
        <v>Delayed</v>
      </c>
      <c r="N1156" t="str">
        <f>IF(AND(Table1[[#This Row],[delayed]]=1,Table1[[#This Row],[weather_condition]]="Storm"),"High Risk", IF(Table1[[#This Row],[delayed]]=1,"Medium Risk","Low Risk"))</f>
        <v>Medium Risk</v>
      </c>
    </row>
    <row r="1157" spans="1:14" x14ac:dyDescent="0.35">
      <c r="A1157">
        <v>1156</v>
      </c>
      <c r="B1157" s="1">
        <v>44975.125</v>
      </c>
      <c r="C1157" s="2">
        <v>6.0416666666666667E-2</v>
      </c>
      <c r="D1157" s="3">
        <v>1375</v>
      </c>
      <c r="E1157" s="3">
        <v>78</v>
      </c>
      <c r="F1157" s="2">
        <v>42.75</v>
      </c>
      <c r="G1157" t="s">
        <v>2815</v>
      </c>
      <c r="H1157" t="s">
        <v>2813</v>
      </c>
      <c r="I1157" s="2">
        <v>2.6270833333333332</v>
      </c>
      <c r="J1157" s="4" t="str">
        <f>IF(Table1[[#This Row],[processing_time_hours]]&gt;1.5,"Slow", "Fast")</f>
        <v>Slow</v>
      </c>
      <c r="K1157" t="s">
        <v>2821</v>
      </c>
      <c r="L1157" s="3">
        <v>0</v>
      </c>
      <c r="M1157" t="str">
        <f>IF(Table1[[#This Row],[delayed]]=1,"Delayed","On Time")</f>
        <v>On Time</v>
      </c>
      <c r="N1157" t="str">
        <f>IF(AND(Table1[[#This Row],[delayed]]=1,Table1[[#This Row],[weather_condition]]="Storm"),"High Risk", IF(Table1[[#This Row],[delayed]]=1,"Medium Risk","Low Risk"))</f>
        <v>Low Risk</v>
      </c>
    </row>
    <row r="1158" spans="1:14" x14ac:dyDescent="0.35">
      <c r="A1158">
        <v>1157</v>
      </c>
      <c r="B1158" s="1">
        <v>44975.166666666664</v>
      </c>
      <c r="C1158" s="2">
        <v>6.1805555555555558E-2</v>
      </c>
      <c r="D1158" s="3">
        <v>870</v>
      </c>
      <c r="E1158" s="3">
        <v>249</v>
      </c>
      <c r="F1158" s="2">
        <v>12.627083333333333</v>
      </c>
      <c r="G1158" t="s">
        <v>2815</v>
      </c>
      <c r="H1158" t="s">
        <v>2817</v>
      </c>
      <c r="I1158" s="2">
        <v>1.8395833333333333</v>
      </c>
      <c r="J1158" s="4" t="str">
        <f>IF(Table1[[#This Row],[processing_time_hours]]&gt;1.5,"Slow", "Fast")</f>
        <v>Slow</v>
      </c>
      <c r="K1158" t="s">
        <v>2818</v>
      </c>
      <c r="L1158" s="3">
        <v>0</v>
      </c>
      <c r="M1158" t="str">
        <f>IF(Table1[[#This Row],[delayed]]=1,"Delayed","On Time")</f>
        <v>On Time</v>
      </c>
      <c r="N1158" t="str">
        <f>IF(AND(Table1[[#This Row],[delayed]]=1,Table1[[#This Row],[weather_condition]]="Storm"),"High Risk", IF(Table1[[#This Row],[delayed]]=1,"Medium Risk","Low Risk"))</f>
        <v>Low Risk</v>
      </c>
    </row>
    <row r="1159" spans="1:14" x14ac:dyDescent="0.35">
      <c r="A1159">
        <v>1158</v>
      </c>
      <c r="B1159" s="1">
        <v>44975.208333333336</v>
      </c>
      <c r="C1159" s="2">
        <v>6.8749999999999992E-2</v>
      </c>
      <c r="D1159" s="3">
        <v>1288</v>
      </c>
      <c r="E1159" s="3">
        <v>83</v>
      </c>
      <c r="F1159" s="2">
        <v>71.797916666666666</v>
      </c>
      <c r="G1159" t="s">
        <v>2819</v>
      </c>
      <c r="H1159" t="s">
        <v>2822</v>
      </c>
      <c r="I1159" s="2">
        <v>1.9201388888888891</v>
      </c>
      <c r="J1159" s="4" t="str">
        <f>IF(Table1[[#This Row],[processing_time_hours]]&gt;1.5,"Slow", "Fast")</f>
        <v>Slow</v>
      </c>
      <c r="K1159" t="s">
        <v>2818</v>
      </c>
      <c r="L1159" s="3">
        <v>0</v>
      </c>
      <c r="M1159" t="str">
        <f>IF(Table1[[#This Row],[delayed]]=1,"Delayed","On Time")</f>
        <v>On Time</v>
      </c>
      <c r="N1159" t="str">
        <f>IF(AND(Table1[[#This Row],[delayed]]=1,Table1[[#This Row],[weather_condition]]="Storm"),"High Risk", IF(Table1[[#This Row],[delayed]]=1,"Medium Risk","Low Risk"))</f>
        <v>Low Risk</v>
      </c>
    </row>
    <row r="1160" spans="1:14" x14ac:dyDescent="0.35">
      <c r="A1160">
        <v>1159</v>
      </c>
      <c r="B1160" s="1">
        <v>44975.25</v>
      </c>
      <c r="C1160" s="2">
        <v>6.7361111111111108E-2</v>
      </c>
      <c r="D1160" s="3">
        <v>1502</v>
      </c>
      <c r="E1160" s="3">
        <v>447</v>
      </c>
      <c r="F1160" s="2">
        <v>63.46180555555555</v>
      </c>
      <c r="G1160" t="s">
        <v>2812</v>
      </c>
      <c r="H1160" t="s">
        <v>2820</v>
      </c>
      <c r="I1160" s="2">
        <v>0.91666666666666663</v>
      </c>
      <c r="J1160" s="4" t="str">
        <f>IF(Table1[[#This Row],[processing_time_hours]]&gt;1.5,"Slow", "Fast")</f>
        <v>Fast</v>
      </c>
      <c r="K1160" t="s">
        <v>2821</v>
      </c>
      <c r="L1160" s="3">
        <v>0</v>
      </c>
      <c r="M1160" t="str">
        <f>IF(Table1[[#This Row],[delayed]]=1,"Delayed","On Time")</f>
        <v>On Time</v>
      </c>
      <c r="N1160" t="str">
        <f>IF(AND(Table1[[#This Row],[delayed]]=1,Table1[[#This Row],[weather_condition]]="Storm"),"High Risk", IF(Table1[[#This Row],[delayed]]=1,"Medium Risk","Low Risk"))</f>
        <v>Low Risk</v>
      </c>
    </row>
    <row r="1161" spans="1:14" x14ac:dyDescent="0.35">
      <c r="A1161">
        <v>1160</v>
      </c>
      <c r="B1161" s="1">
        <v>44975.291666666664</v>
      </c>
      <c r="C1161" s="2">
        <v>5.3472222222222227E-2</v>
      </c>
      <c r="D1161" s="3">
        <v>1236</v>
      </c>
      <c r="E1161" s="3">
        <v>184</v>
      </c>
      <c r="F1161" s="2">
        <v>75.004166666666663</v>
      </c>
      <c r="G1161" t="s">
        <v>2816</v>
      </c>
      <c r="H1161" t="s">
        <v>2822</v>
      </c>
      <c r="I1161" s="2">
        <v>2.125</v>
      </c>
      <c r="J1161" s="4" t="str">
        <f>IF(Table1[[#This Row],[processing_time_hours]]&gt;1.5,"Slow", "Fast")</f>
        <v>Slow</v>
      </c>
      <c r="K1161" t="s">
        <v>2814</v>
      </c>
      <c r="L1161" s="3">
        <v>0</v>
      </c>
      <c r="M1161" t="str">
        <f>IF(Table1[[#This Row],[delayed]]=1,"Delayed","On Time")</f>
        <v>On Time</v>
      </c>
      <c r="N1161" t="str">
        <f>IF(AND(Table1[[#This Row],[delayed]]=1,Table1[[#This Row],[weather_condition]]="Storm"),"High Risk", IF(Table1[[#This Row],[delayed]]=1,"Medium Risk","Low Risk"))</f>
        <v>Low Risk</v>
      </c>
    </row>
    <row r="1162" spans="1:14" x14ac:dyDescent="0.35">
      <c r="A1162">
        <v>1161</v>
      </c>
      <c r="B1162" s="1">
        <v>44975.333333333336</v>
      </c>
      <c r="C1162" s="2">
        <v>5.3472222222222227E-2</v>
      </c>
      <c r="D1162" s="3">
        <v>3188</v>
      </c>
      <c r="E1162" s="3">
        <v>195</v>
      </c>
      <c r="F1162" s="2">
        <v>55.922916666666673</v>
      </c>
      <c r="G1162" t="s">
        <v>2815</v>
      </c>
      <c r="H1162" t="s">
        <v>2813</v>
      </c>
      <c r="I1162" s="2">
        <v>2.3374999999999999</v>
      </c>
      <c r="J1162" s="4" t="str">
        <f>IF(Table1[[#This Row],[processing_time_hours]]&gt;1.5,"Slow", "Fast")</f>
        <v>Slow</v>
      </c>
      <c r="K1162" t="s">
        <v>2814</v>
      </c>
      <c r="L1162" s="3">
        <v>0</v>
      </c>
      <c r="M1162" t="str">
        <f>IF(Table1[[#This Row],[delayed]]=1,"Delayed","On Time")</f>
        <v>On Time</v>
      </c>
      <c r="N1162" t="str">
        <f>IF(AND(Table1[[#This Row],[delayed]]=1,Table1[[#This Row],[weather_condition]]="Storm"),"High Risk", IF(Table1[[#This Row],[delayed]]=1,"Medium Risk","Low Risk"))</f>
        <v>Low Risk</v>
      </c>
    </row>
    <row r="1163" spans="1:14" x14ac:dyDescent="0.35">
      <c r="A1163">
        <v>1162</v>
      </c>
      <c r="B1163" s="1">
        <v>44975.375</v>
      </c>
      <c r="C1163" s="2">
        <v>4.2361111111111106E-2</v>
      </c>
      <c r="D1163" s="3">
        <v>2799</v>
      </c>
      <c r="E1163" s="3">
        <v>495</v>
      </c>
      <c r="F1163" s="2">
        <v>14.128472222222221</v>
      </c>
      <c r="G1163" t="s">
        <v>2819</v>
      </c>
      <c r="H1163" t="s">
        <v>2820</v>
      </c>
      <c r="I1163" s="2">
        <v>1.2923611111111111</v>
      </c>
      <c r="J1163" s="4" t="str">
        <f>IF(Table1[[#This Row],[processing_time_hours]]&gt;1.5,"Slow", "Fast")</f>
        <v>Fast</v>
      </c>
      <c r="K1163" t="s">
        <v>2821</v>
      </c>
      <c r="L1163" s="3">
        <v>0</v>
      </c>
      <c r="M1163" t="str">
        <f>IF(Table1[[#This Row],[delayed]]=1,"Delayed","On Time")</f>
        <v>On Time</v>
      </c>
      <c r="N1163" t="str">
        <f>IF(AND(Table1[[#This Row],[delayed]]=1,Table1[[#This Row],[weather_condition]]="Storm"),"High Risk", IF(Table1[[#This Row],[delayed]]=1,"Medium Risk","Low Risk"))</f>
        <v>Low Risk</v>
      </c>
    </row>
    <row r="1164" spans="1:14" x14ac:dyDescent="0.35">
      <c r="A1164">
        <v>1163</v>
      </c>
      <c r="B1164" s="1">
        <v>44975.416666666664</v>
      </c>
      <c r="C1164" s="2">
        <v>5.3472222222222227E-2</v>
      </c>
      <c r="D1164" s="3">
        <v>4940</v>
      </c>
      <c r="E1164" s="3">
        <v>5</v>
      </c>
      <c r="F1164" s="2">
        <v>0.25347222222222221</v>
      </c>
      <c r="G1164" t="s">
        <v>2815</v>
      </c>
      <c r="H1164" t="s">
        <v>2822</v>
      </c>
      <c r="I1164" s="2">
        <v>0.21111111111111111</v>
      </c>
      <c r="J1164" s="4" t="str">
        <f>IF(Table1[[#This Row],[processing_time_hours]]&gt;1.5,"Slow", "Fast")</f>
        <v>Fast</v>
      </c>
      <c r="K1164" t="s">
        <v>2814</v>
      </c>
      <c r="L1164" s="3">
        <v>0</v>
      </c>
      <c r="M1164" t="str">
        <f>IF(Table1[[#This Row],[delayed]]=1,"Delayed","On Time")</f>
        <v>On Time</v>
      </c>
      <c r="N1164" t="str">
        <f>IF(AND(Table1[[#This Row],[delayed]]=1,Table1[[#This Row],[weather_condition]]="Storm"),"High Risk", IF(Table1[[#This Row],[delayed]]=1,"Medium Risk","Low Risk"))</f>
        <v>Low Risk</v>
      </c>
    </row>
    <row r="1165" spans="1:14" x14ac:dyDescent="0.35">
      <c r="A1165">
        <v>1164</v>
      </c>
      <c r="B1165" s="1">
        <v>44975.458333333336</v>
      </c>
      <c r="C1165" s="2">
        <v>4.6527777777777779E-2</v>
      </c>
      <c r="D1165" s="3">
        <v>4575</v>
      </c>
      <c r="E1165" s="3">
        <v>70</v>
      </c>
      <c r="F1165" s="2">
        <v>48.461111111111109</v>
      </c>
      <c r="G1165" t="s">
        <v>2816</v>
      </c>
      <c r="H1165" t="s">
        <v>2822</v>
      </c>
      <c r="I1165" s="2">
        <v>1.4583333333333333</v>
      </c>
      <c r="J1165" s="4" t="str">
        <f>IF(Table1[[#This Row],[processing_time_hours]]&gt;1.5,"Slow", "Fast")</f>
        <v>Fast</v>
      </c>
      <c r="K1165" t="s">
        <v>2818</v>
      </c>
      <c r="L1165" s="3">
        <v>0</v>
      </c>
      <c r="M1165" t="str">
        <f>IF(Table1[[#This Row],[delayed]]=1,"Delayed","On Time")</f>
        <v>On Time</v>
      </c>
      <c r="N1165" t="str">
        <f>IF(AND(Table1[[#This Row],[delayed]]=1,Table1[[#This Row],[weather_condition]]="Storm"),"High Risk", IF(Table1[[#This Row],[delayed]]=1,"Medium Risk","Low Risk"))</f>
        <v>Low Risk</v>
      </c>
    </row>
    <row r="1166" spans="1:14" x14ac:dyDescent="0.35">
      <c r="A1166">
        <v>1165</v>
      </c>
      <c r="B1166" s="1">
        <v>44975.5</v>
      </c>
      <c r="C1166" s="2">
        <v>4.5138888888888888E-2</v>
      </c>
      <c r="D1166" s="3">
        <v>947</v>
      </c>
      <c r="E1166" s="3">
        <v>77</v>
      </c>
      <c r="F1166" s="2">
        <v>34.668055555555554</v>
      </c>
      <c r="G1166" t="s">
        <v>2819</v>
      </c>
      <c r="H1166" t="s">
        <v>2820</v>
      </c>
      <c r="I1166" s="2">
        <v>2.6701388888888888</v>
      </c>
      <c r="J1166" s="4" t="str">
        <f>IF(Table1[[#This Row],[processing_time_hours]]&gt;1.5,"Slow", "Fast")</f>
        <v>Slow</v>
      </c>
      <c r="K1166" t="s">
        <v>2821</v>
      </c>
      <c r="L1166" s="3">
        <v>1</v>
      </c>
      <c r="M1166" t="str">
        <f>IF(Table1[[#This Row],[delayed]]=1,"Delayed","On Time")</f>
        <v>Delayed</v>
      </c>
      <c r="N1166" t="str">
        <f>IF(AND(Table1[[#This Row],[delayed]]=1,Table1[[#This Row],[weather_condition]]="Storm"),"High Risk", IF(Table1[[#This Row],[delayed]]=1,"Medium Risk","Low Risk"))</f>
        <v>Medium Risk</v>
      </c>
    </row>
    <row r="1167" spans="1:14" x14ac:dyDescent="0.35">
      <c r="A1167">
        <v>1166</v>
      </c>
      <c r="B1167" s="1">
        <v>44975.541666666664</v>
      </c>
      <c r="C1167" s="2">
        <v>6.458333333333334E-2</v>
      </c>
      <c r="D1167" s="3">
        <v>4837</v>
      </c>
      <c r="E1167" s="3">
        <v>165</v>
      </c>
      <c r="F1167" s="2">
        <v>57.791666666666664</v>
      </c>
      <c r="G1167" t="s">
        <v>2816</v>
      </c>
      <c r="H1167" t="s">
        <v>2817</v>
      </c>
      <c r="I1167" s="2">
        <v>2.5</v>
      </c>
      <c r="J1167" s="4" t="str">
        <f>IF(Table1[[#This Row],[processing_time_hours]]&gt;1.5,"Slow", "Fast")</f>
        <v>Slow</v>
      </c>
      <c r="K1167" t="s">
        <v>2818</v>
      </c>
      <c r="L1167" s="3">
        <v>0</v>
      </c>
      <c r="M1167" t="str">
        <f>IF(Table1[[#This Row],[delayed]]=1,"Delayed","On Time")</f>
        <v>On Time</v>
      </c>
      <c r="N1167" t="str">
        <f>IF(AND(Table1[[#This Row],[delayed]]=1,Table1[[#This Row],[weather_condition]]="Storm"),"High Risk", IF(Table1[[#This Row],[delayed]]=1,"Medium Risk","Low Risk"))</f>
        <v>Low Risk</v>
      </c>
    </row>
    <row r="1168" spans="1:14" x14ac:dyDescent="0.35">
      <c r="A1168">
        <v>1167</v>
      </c>
      <c r="B1168" s="1">
        <v>44975.583333333336</v>
      </c>
      <c r="C1168" s="2">
        <v>4.2361111111111106E-2</v>
      </c>
      <c r="D1168" s="3">
        <v>1739</v>
      </c>
      <c r="E1168" s="3">
        <v>340</v>
      </c>
      <c r="F1168" s="2">
        <v>3.2513888888888887</v>
      </c>
      <c r="G1168" t="s">
        <v>2812</v>
      </c>
      <c r="H1168" t="s">
        <v>2820</v>
      </c>
      <c r="I1168" s="2">
        <v>2.2097222222222221</v>
      </c>
      <c r="J1168" s="4" t="str">
        <f>IF(Table1[[#This Row],[processing_time_hours]]&gt;1.5,"Slow", "Fast")</f>
        <v>Slow</v>
      </c>
      <c r="K1168" t="s">
        <v>2821</v>
      </c>
      <c r="L1168" s="3">
        <v>1</v>
      </c>
      <c r="M1168" t="str">
        <f>IF(Table1[[#This Row],[delayed]]=1,"Delayed","On Time")</f>
        <v>Delayed</v>
      </c>
      <c r="N1168" t="str">
        <f>IF(AND(Table1[[#This Row],[delayed]]=1,Table1[[#This Row],[weather_condition]]="Storm"),"High Risk", IF(Table1[[#This Row],[delayed]]=1,"Medium Risk","Low Risk"))</f>
        <v>Medium Risk</v>
      </c>
    </row>
    <row r="1169" spans="1:14" x14ac:dyDescent="0.35">
      <c r="A1169">
        <v>1168</v>
      </c>
      <c r="B1169" s="1">
        <v>44975.625</v>
      </c>
      <c r="C1169" s="2">
        <v>4.5138888888888888E-2</v>
      </c>
      <c r="D1169" s="3">
        <v>2270</v>
      </c>
      <c r="E1169" s="3">
        <v>244</v>
      </c>
      <c r="F1169" s="2">
        <v>13.961805555555555</v>
      </c>
      <c r="G1169" t="s">
        <v>2819</v>
      </c>
      <c r="H1169" t="s">
        <v>2813</v>
      </c>
      <c r="I1169" s="2">
        <v>0.45902777777777781</v>
      </c>
      <c r="J1169" s="4" t="str">
        <f>IF(Table1[[#This Row],[processing_time_hours]]&gt;1.5,"Slow", "Fast")</f>
        <v>Fast</v>
      </c>
      <c r="K1169" t="s">
        <v>2821</v>
      </c>
      <c r="L1169" s="3">
        <v>0</v>
      </c>
      <c r="M1169" t="str">
        <f>IF(Table1[[#This Row],[delayed]]=1,"Delayed","On Time")</f>
        <v>On Time</v>
      </c>
      <c r="N1169" t="str">
        <f>IF(AND(Table1[[#This Row],[delayed]]=1,Table1[[#This Row],[weather_condition]]="Storm"),"High Risk", IF(Table1[[#This Row],[delayed]]=1,"Medium Risk","Low Risk"))</f>
        <v>Low Risk</v>
      </c>
    </row>
    <row r="1170" spans="1:14" x14ac:dyDescent="0.35">
      <c r="A1170">
        <v>1169</v>
      </c>
      <c r="B1170" s="1">
        <v>44975.666666666664</v>
      </c>
      <c r="C1170" s="2">
        <v>6.0416666666666667E-2</v>
      </c>
      <c r="D1170" s="3">
        <v>4672</v>
      </c>
      <c r="E1170" s="3">
        <v>154</v>
      </c>
      <c r="F1170" s="2">
        <v>3.2083333333333335</v>
      </c>
      <c r="G1170" t="s">
        <v>2815</v>
      </c>
      <c r="H1170" t="s">
        <v>2817</v>
      </c>
      <c r="I1170" s="2">
        <v>2.0861111111111112</v>
      </c>
      <c r="J1170" s="4" t="str">
        <f>IF(Table1[[#This Row],[processing_time_hours]]&gt;1.5,"Slow", "Fast")</f>
        <v>Slow</v>
      </c>
      <c r="K1170" t="s">
        <v>2821</v>
      </c>
      <c r="L1170" s="3">
        <v>1</v>
      </c>
      <c r="M1170" t="str">
        <f>IF(Table1[[#This Row],[delayed]]=1,"Delayed","On Time")</f>
        <v>Delayed</v>
      </c>
      <c r="N1170" t="str">
        <f>IF(AND(Table1[[#This Row],[delayed]]=1,Table1[[#This Row],[weather_condition]]="Storm"),"High Risk", IF(Table1[[#This Row],[delayed]]=1,"Medium Risk","Low Risk"))</f>
        <v>High Risk</v>
      </c>
    </row>
    <row r="1171" spans="1:14" x14ac:dyDescent="0.35">
      <c r="A1171">
        <v>1170</v>
      </c>
      <c r="B1171" s="1">
        <v>44975.708333333336</v>
      </c>
      <c r="C1171" s="2">
        <v>5.7638888888888885E-2</v>
      </c>
      <c r="D1171" s="3">
        <v>3266</v>
      </c>
      <c r="E1171" s="3">
        <v>269</v>
      </c>
      <c r="F1171" s="2">
        <v>2.6708333333333329</v>
      </c>
      <c r="G1171" t="s">
        <v>2815</v>
      </c>
      <c r="H1171" t="s">
        <v>2813</v>
      </c>
      <c r="I1171" s="2">
        <v>0.92291666666666661</v>
      </c>
      <c r="J1171" s="4" t="str">
        <f>IF(Table1[[#This Row],[processing_time_hours]]&gt;1.5,"Slow", "Fast")</f>
        <v>Fast</v>
      </c>
      <c r="K1171" t="s">
        <v>2818</v>
      </c>
      <c r="L1171" s="3">
        <v>0</v>
      </c>
      <c r="M1171" t="str">
        <f>IF(Table1[[#This Row],[delayed]]=1,"Delayed","On Time")</f>
        <v>On Time</v>
      </c>
      <c r="N1171" t="str">
        <f>IF(AND(Table1[[#This Row],[delayed]]=1,Table1[[#This Row],[weather_condition]]="Storm"),"High Risk", IF(Table1[[#This Row],[delayed]]=1,"Medium Risk","Low Risk"))</f>
        <v>Low Risk</v>
      </c>
    </row>
    <row r="1172" spans="1:14" x14ac:dyDescent="0.35">
      <c r="A1172">
        <v>1171</v>
      </c>
      <c r="B1172" s="1">
        <v>44975.75</v>
      </c>
      <c r="C1172" s="2">
        <v>5.3472222222222227E-2</v>
      </c>
      <c r="D1172" s="3">
        <v>4862</v>
      </c>
      <c r="E1172" s="3">
        <v>288</v>
      </c>
      <c r="F1172" s="2">
        <v>60.791666666666664</v>
      </c>
      <c r="G1172" t="s">
        <v>2815</v>
      </c>
      <c r="H1172" t="s">
        <v>2813</v>
      </c>
      <c r="I1172" s="2">
        <v>1.5034722222222223</v>
      </c>
      <c r="J1172" s="4" t="str">
        <f>IF(Table1[[#This Row],[processing_time_hours]]&gt;1.5,"Slow", "Fast")</f>
        <v>Slow</v>
      </c>
      <c r="K1172" t="s">
        <v>2818</v>
      </c>
      <c r="L1172" s="3">
        <v>0</v>
      </c>
      <c r="M1172" t="str">
        <f>IF(Table1[[#This Row],[delayed]]=1,"Delayed","On Time")</f>
        <v>On Time</v>
      </c>
      <c r="N1172" t="str">
        <f>IF(AND(Table1[[#This Row],[delayed]]=1,Table1[[#This Row],[weather_condition]]="Storm"),"High Risk", IF(Table1[[#This Row],[delayed]]=1,"Medium Risk","Low Risk"))</f>
        <v>Low Risk</v>
      </c>
    </row>
    <row r="1173" spans="1:14" x14ac:dyDescent="0.35">
      <c r="A1173">
        <v>1172</v>
      </c>
      <c r="B1173" s="1">
        <v>44975.791666666664</v>
      </c>
      <c r="C1173" s="2">
        <v>6.3888888888888898E-2</v>
      </c>
      <c r="D1173" s="3">
        <v>1815</v>
      </c>
      <c r="E1173" s="3">
        <v>115</v>
      </c>
      <c r="F1173" s="2">
        <v>34.381250000000001</v>
      </c>
      <c r="G1173" t="s">
        <v>2819</v>
      </c>
      <c r="H1173" t="s">
        <v>2813</v>
      </c>
      <c r="I1173" s="2">
        <v>0.25416666666666665</v>
      </c>
      <c r="J1173" s="4" t="str">
        <f>IF(Table1[[#This Row],[processing_time_hours]]&gt;1.5,"Slow", "Fast")</f>
        <v>Fast</v>
      </c>
      <c r="K1173" t="s">
        <v>2818</v>
      </c>
      <c r="L1173" s="3">
        <v>1</v>
      </c>
      <c r="M1173" t="str">
        <f>IF(Table1[[#This Row],[delayed]]=1,"Delayed","On Time")</f>
        <v>Delayed</v>
      </c>
      <c r="N1173" t="str">
        <f>IF(AND(Table1[[#This Row],[delayed]]=1,Table1[[#This Row],[weather_condition]]="Storm"),"High Risk", IF(Table1[[#This Row],[delayed]]=1,"Medium Risk","Low Risk"))</f>
        <v>Medium Risk</v>
      </c>
    </row>
    <row r="1174" spans="1:14" x14ac:dyDescent="0.35">
      <c r="A1174">
        <v>1173</v>
      </c>
      <c r="B1174" s="1">
        <v>44975.833333333336</v>
      </c>
      <c r="C1174" s="2">
        <v>4.8611111111111112E-3</v>
      </c>
      <c r="D1174" s="3">
        <v>3154</v>
      </c>
      <c r="E1174" s="3">
        <v>242</v>
      </c>
      <c r="F1174" s="2">
        <v>71.422222222222231</v>
      </c>
      <c r="G1174" t="s">
        <v>2815</v>
      </c>
      <c r="H1174" t="s">
        <v>2813</v>
      </c>
      <c r="I1174" s="2">
        <v>0.46458333333333335</v>
      </c>
      <c r="J1174" s="4" t="str">
        <f>IF(Table1[[#This Row],[processing_time_hours]]&gt;1.5,"Slow", "Fast")</f>
        <v>Fast</v>
      </c>
      <c r="K1174" t="s">
        <v>2821</v>
      </c>
      <c r="L1174" s="3">
        <v>0</v>
      </c>
      <c r="M1174" t="str">
        <f>IF(Table1[[#This Row],[delayed]]=1,"Delayed","On Time")</f>
        <v>On Time</v>
      </c>
      <c r="N1174" t="str">
        <f>IF(AND(Table1[[#This Row],[delayed]]=1,Table1[[#This Row],[weather_condition]]="Storm"),"High Risk", IF(Table1[[#This Row],[delayed]]=1,"Medium Risk","Low Risk"))</f>
        <v>Low Risk</v>
      </c>
    </row>
    <row r="1175" spans="1:14" x14ac:dyDescent="0.35">
      <c r="A1175">
        <v>1174</v>
      </c>
      <c r="B1175" s="1">
        <v>44975.875</v>
      </c>
      <c r="C1175" s="2">
        <v>4.7222222222222221E-2</v>
      </c>
      <c r="D1175" s="3">
        <v>1406</v>
      </c>
      <c r="E1175" s="3">
        <v>286</v>
      </c>
      <c r="F1175" s="2">
        <v>28.128472222222225</v>
      </c>
      <c r="G1175" t="s">
        <v>2816</v>
      </c>
      <c r="H1175" t="s">
        <v>2817</v>
      </c>
      <c r="I1175" s="2">
        <v>8.6805555555555566E-2</v>
      </c>
      <c r="J1175" s="4" t="str">
        <f>IF(Table1[[#This Row],[processing_time_hours]]&gt;1.5,"Slow", "Fast")</f>
        <v>Fast</v>
      </c>
      <c r="K1175" t="s">
        <v>2814</v>
      </c>
      <c r="L1175" s="3">
        <v>0</v>
      </c>
      <c r="M1175" t="str">
        <f>IF(Table1[[#This Row],[delayed]]=1,"Delayed","On Time")</f>
        <v>On Time</v>
      </c>
      <c r="N1175" t="str">
        <f>IF(AND(Table1[[#This Row],[delayed]]=1,Table1[[#This Row],[weather_condition]]="Storm"),"High Risk", IF(Table1[[#This Row],[delayed]]=1,"Medium Risk","Low Risk"))</f>
        <v>Low Risk</v>
      </c>
    </row>
    <row r="1176" spans="1:14" x14ac:dyDescent="0.35">
      <c r="A1176">
        <v>1175</v>
      </c>
      <c r="B1176" s="1">
        <v>44975.916666666664</v>
      </c>
      <c r="C1176" s="2">
        <v>5.6250000000000001E-2</v>
      </c>
      <c r="D1176" s="3">
        <v>2773</v>
      </c>
      <c r="E1176" s="3">
        <v>408</v>
      </c>
      <c r="F1176" s="2">
        <v>59.875694444444441</v>
      </c>
      <c r="G1176" t="s">
        <v>2812</v>
      </c>
      <c r="H1176" t="s">
        <v>2817</v>
      </c>
      <c r="I1176" s="2">
        <v>0.75208333333333333</v>
      </c>
      <c r="J1176" s="4" t="str">
        <f>IF(Table1[[#This Row],[processing_time_hours]]&gt;1.5,"Slow", "Fast")</f>
        <v>Fast</v>
      </c>
      <c r="K1176" t="s">
        <v>2821</v>
      </c>
      <c r="L1176" s="3">
        <v>1</v>
      </c>
      <c r="M1176" t="str">
        <f>IF(Table1[[#This Row],[delayed]]=1,"Delayed","On Time")</f>
        <v>Delayed</v>
      </c>
      <c r="N1176" t="str">
        <f>IF(AND(Table1[[#This Row],[delayed]]=1,Table1[[#This Row],[weather_condition]]="Storm"),"High Risk", IF(Table1[[#This Row],[delayed]]=1,"Medium Risk","Low Risk"))</f>
        <v>High Risk</v>
      </c>
    </row>
    <row r="1177" spans="1:14" x14ac:dyDescent="0.35">
      <c r="A1177">
        <v>1176</v>
      </c>
      <c r="B1177" s="1">
        <v>44975.958333333336</v>
      </c>
      <c r="C1177" s="2">
        <v>4.4444444444444446E-2</v>
      </c>
      <c r="D1177" s="3">
        <v>1741</v>
      </c>
      <c r="E1177" s="3">
        <v>120</v>
      </c>
      <c r="F1177" s="2">
        <v>60.667361111111113</v>
      </c>
      <c r="G1177" t="s">
        <v>2819</v>
      </c>
      <c r="H1177" t="s">
        <v>2813</v>
      </c>
      <c r="I1177" s="2">
        <v>1.2944444444444445</v>
      </c>
      <c r="J1177" s="4" t="str">
        <f>IF(Table1[[#This Row],[processing_time_hours]]&gt;1.5,"Slow", "Fast")</f>
        <v>Fast</v>
      </c>
      <c r="K1177" t="s">
        <v>2818</v>
      </c>
      <c r="L1177" s="3">
        <v>1</v>
      </c>
      <c r="M1177" t="str">
        <f>IF(Table1[[#This Row],[delayed]]=1,"Delayed","On Time")</f>
        <v>Delayed</v>
      </c>
      <c r="N1177" t="str">
        <f>IF(AND(Table1[[#This Row],[delayed]]=1,Table1[[#This Row],[weather_condition]]="Storm"),"High Risk", IF(Table1[[#This Row],[delayed]]=1,"Medium Risk","Low Risk"))</f>
        <v>Medium Risk</v>
      </c>
    </row>
    <row r="1178" spans="1:14" x14ac:dyDescent="0.35">
      <c r="A1178">
        <v>1177</v>
      </c>
      <c r="B1178" s="1">
        <v>44976</v>
      </c>
      <c r="C1178" s="2">
        <v>6.1111111111111109E-2</v>
      </c>
      <c r="D1178" s="3">
        <v>2097</v>
      </c>
      <c r="E1178" s="3">
        <v>54</v>
      </c>
      <c r="F1178" s="2">
        <v>42.62916666666667</v>
      </c>
      <c r="G1178" t="s">
        <v>2815</v>
      </c>
      <c r="H1178" t="s">
        <v>2813</v>
      </c>
      <c r="I1178" s="2">
        <v>0.17222222222222225</v>
      </c>
      <c r="J1178" s="4" t="str">
        <f>IF(Table1[[#This Row],[processing_time_hours]]&gt;1.5,"Slow", "Fast")</f>
        <v>Fast</v>
      </c>
      <c r="K1178" t="s">
        <v>2821</v>
      </c>
      <c r="L1178" s="3">
        <v>1</v>
      </c>
      <c r="M1178" t="str">
        <f>IF(Table1[[#This Row],[delayed]]=1,"Delayed","On Time")</f>
        <v>Delayed</v>
      </c>
      <c r="N1178" t="str">
        <f>IF(AND(Table1[[#This Row],[delayed]]=1,Table1[[#This Row],[weather_condition]]="Storm"),"High Risk", IF(Table1[[#This Row],[delayed]]=1,"Medium Risk","Low Risk"))</f>
        <v>Medium Risk</v>
      </c>
    </row>
    <row r="1179" spans="1:14" x14ac:dyDescent="0.35">
      <c r="A1179">
        <v>1178</v>
      </c>
      <c r="B1179" s="1">
        <v>44976.041666666664</v>
      </c>
      <c r="C1179" s="2">
        <v>6.7361111111111108E-2</v>
      </c>
      <c r="D1179" s="3">
        <v>1992</v>
      </c>
      <c r="E1179" s="3">
        <v>310</v>
      </c>
      <c r="F1179" s="2">
        <v>76.667361111111106</v>
      </c>
      <c r="G1179" t="s">
        <v>2815</v>
      </c>
      <c r="H1179" t="s">
        <v>2817</v>
      </c>
      <c r="I1179" s="2">
        <v>2.6305555555555555</v>
      </c>
      <c r="J1179" s="4" t="str">
        <f>IF(Table1[[#This Row],[processing_time_hours]]&gt;1.5,"Slow", "Fast")</f>
        <v>Slow</v>
      </c>
      <c r="K1179" t="s">
        <v>2821</v>
      </c>
      <c r="L1179" s="3">
        <v>1</v>
      </c>
      <c r="M1179" t="str">
        <f>IF(Table1[[#This Row],[delayed]]=1,"Delayed","On Time")</f>
        <v>Delayed</v>
      </c>
      <c r="N1179" t="str">
        <f>IF(AND(Table1[[#This Row],[delayed]]=1,Table1[[#This Row],[weather_condition]]="Storm"),"High Risk", IF(Table1[[#This Row],[delayed]]=1,"Medium Risk","Low Risk"))</f>
        <v>High Risk</v>
      </c>
    </row>
    <row r="1180" spans="1:14" x14ac:dyDescent="0.35">
      <c r="A1180">
        <v>1179</v>
      </c>
      <c r="B1180" s="1">
        <v>44976.083333333336</v>
      </c>
      <c r="C1180" s="2">
        <v>6.3888888888888898E-2</v>
      </c>
      <c r="D1180" s="3">
        <v>1153</v>
      </c>
      <c r="E1180" s="3">
        <v>204</v>
      </c>
      <c r="F1180" s="2">
        <v>10.835416666666667</v>
      </c>
      <c r="G1180" t="s">
        <v>2816</v>
      </c>
      <c r="H1180" t="s">
        <v>2820</v>
      </c>
      <c r="I1180" s="2">
        <v>0.5444444444444444</v>
      </c>
      <c r="J1180" s="4" t="str">
        <f>IF(Table1[[#This Row],[processing_time_hours]]&gt;1.5,"Slow", "Fast")</f>
        <v>Fast</v>
      </c>
      <c r="K1180" t="s">
        <v>2818</v>
      </c>
      <c r="L1180" s="3">
        <v>1</v>
      </c>
      <c r="M1180" t="str">
        <f>IF(Table1[[#This Row],[delayed]]=1,"Delayed","On Time")</f>
        <v>Delayed</v>
      </c>
      <c r="N1180" t="str">
        <f>IF(AND(Table1[[#This Row],[delayed]]=1,Table1[[#This Row],[weather_condition]]="Storm"),"High Risk", IF(Table1[[#This Row],[delayed]]=1,"Medium Risk","Low Risk"))</f>
        <v>Medium Risk</v>
      </c>
    </row>
    <row r="1181" spans="1:14" x14ac:dyDescent="0.35">
      <c r="A1181">
        <v>1180</v>
      </c>
      <c r="B1181" s="1">
        <v>44976.125</v>
      </c>
      <c r="C1181" s="2">
        <v>6.5972222222222224E-2</v>
      </c>
      <c r="D1181" s="3">
        <v>2286</v>
      </c>
      <c r="E1181" s="3">
        <v>155</v>
      </c>
      <c r="F1181" s="2">
        <v>41.211805555555557</v>
      </c>
      <c r="G1181" t="s">
        <v>2812</v>
      </c>
      <c r="H1181" t="s">
        <v>2820</v>
      </c>
      <c r="I1181" s="2">
        <v>1.9604166666666665</v>
      </c>
      <c r="J1181" s="4" t="str">
        <f>IF(Table1[[#This Row],[processing_time_hours]]&gt;1.5,"Slow", "Fast")</f>
        <v>Slow</v>
      </c>
      <c r="K1181" t="s">
        <v>2818</v>
      </c>
      <c r="L1181" s="3">
        <v>0</v>
      </c>
      <c r="M1181" t="str">
        <f>IF(Table1[[#This Row],[delayed]]=1,"Delayed","On Time")</f>
        <v>On Time</v>
      </c>
      <c r="N1181" t="str">
        <f>IF(AND(Table1[[#This Row],[delayed]]=1,Table1[[#This Row],[weather_condition]]="Storm"),"High Risk", IF(Table1[[#This Row],[delayed]]=1,"Medium Risk","Low Risk"))</f>
        <v>Low Risk</v>
      </c>
    </row>
    <row r="1182" spans="1:14" x14ac:dyDescent="0.35">
      <c r="A1182">
        <v>1181</v>
      </c>
      <c r="B1182" s="1">
        <v>44976.166666666664</v>
      </c>
      <c r="C1182" s="2">
        <v>4.3750000000000004E-2</v>
      </c>
      <c r="D1182" s="3">
        <v>615</v>
      </c>
      <c r="E1182" s="3">
        <v>245</v>
      </c>
      <c r="F1182" s="2">
        <v>69.294444444444437</v>
      </c>
      <c r="G1182" t="s">
        <v>2812</v>
      </c>
      <c r="H1182" t="s">
        <v>2813</v>
      </c>
      <c r="I1182" s="2">
        <v>1.1694444444444445</v>
      </c>
      <c r="J1182" s="4" t="str">
        <f>IF(Table1[[#This Row],[processing_time_hours]]&gt;1.5,"Slow", "Fast")</f>
        <v>Fast</v>
      </c>
      <c r="K1182" t="s">
        <v>2818</v>
      </c>
      <c r="L1182" s="3">
        <v>0</v>
      </c>
      <c r="M1182" t="str">
        <f>IF(Table1[[#This Row],[delayed]]=1,"Delayed","On Time")</f>
        <v>On Time</v>
      </c>
      <c r="N1182" t="str">
        <f>IF(AND(Table1[[#This Row],[delayed]]=1,Table1[[#This Row],[weather_condition]]="Storm"),"High Risk", IF(Table1[[#This Row],[delayed]]=1,"Medium Risk","Low Risk"))</f>
        <v>Low Risk</v>
      </c>
    </row>
    <row r="1183" spans="1:14" x14ac:dyDescent="0.35">
      <c r="A1183">
        <v>1182</v>
      </c>
      <c r="B1183" s="1">
        <v>44976.208333333336</v>
      </c>
      <c r="C1183" s="2">
        <v>5.3472222222222227E-2</v>
      </c>
      <c r="D1183" s="3">
        <v>4339</v>
      </c>
      <c r="E1183" s="3">
        <v>217</v>
      </c>
      <c r="F1183" s="2">
        <v>33.50277777777778</v>
      </c>
      <c r="G1183" t="s">
        <v>2815</v>
      </c>
      <c r="H1183" t="s">
        <v>2813</v>
      </c>
      <c r="I1183" s="2">
        <v>1.8756944444444443</v>
      </c>
      <c r="J1183" s="4" t="str">
        <f>IF(Table1[[#This Row],[processing_time_hours]]&gt;1.5,"Slow", "Fast")</f>
        <v>Slow</v>
      </c>
      <c r="K1183" t="s">
        <v>2821</v>
      </c>
      <c r="L1183" s="3">
        <v>1</v>
      </c>
      <c r="M1183" t="str">
        <f>IF(Table1[[#This Row],[delayed]]=1,"Delayed","On Time")</f>
        <v>Delayed</v>
      </c>
      <c r="N1183" t="str">
        <f>IF(AND(Table1[[#This Row],[delayed]]=1,Table1[[#This Row],[weather_condition]]="Storm"),"High Risk", IF(Table1[[#This Row],[delayed]]=1,"Medium Risk","Low Risk"))</f>
        <v>Medium Risk</v>
      </c>
    </row>
    <row r="1184" spans="1:14" x14ac:dyDescent="0.35">
      <c r="A1184">
        <v>1183</v>
      </c>
      <c r="B1184" s="1">
        <v>44976.25</v>
      </c>
      <c r="C1184" s="2">
        <v>6.6666666666666666E-2</v>
      </c>
      <c r="D1184" s="3">
        <v>4515</v>
      </c>
      <c r="E1184" s="3">
        <v>414</v>
      </c>
      <c r="F1184" s="2">
        <v>60.588888888888896</v>
      </c>
      <c r="G1184" t="s">
        <v>2815</v>
      </c>
      <c r="H1184" t="s">
        <v>2820</v>
      </c>
      <c r="I1184" s="2">
        <v>8.8888888888888892E-2</v>
      </c>
      <c r="J1184" s="4" t="str">
        <f>IF(Table1[[#This Row],[processing_time_hours]]&gt;1.5,"Slow", "Fast")</f>
        <v>Fast</v>
      </c>
      <c r="K1184" t="s">
        <v>2818</v>
      </c>
      <c r="L1184" s="3">
        <v>0</v>
      </c>
      <c r="M1184" t="str">
        <f>IF(Table1[[#This Row],[delayed]]=1,"Delayed","On Time")</f>
        <v>On Time</v>
      </c>
      <c r="N1184" t="str">
        <f>IF(AND(Table1[[#This Row],[delayed]]=1,Table1[[#This Row],[weather_condition]]="Storm"),"High Risk", IF(Table1[[#This Row],[delayed]]=1,"Medium Risk","Low Risk"))</f>
        <v>Low Risk</v>
      </c>
    </row>
    <row r="1185" spans="1:14" x14ac:dyDescent="0.35">
      <c r="A1185">
        <v>1184</v>
      </c>
      <c r="B1185" s="1">
        <v>44976.291666666664</v>
      </c>
      <c r="C1185" s="2">
        <v>6.5277777777777782E-2</v>
      </c>
      <c r="D1185" s="3">
        <v>2993</v>
      </c>
      <c r="E1185" s="3">
        <v>18</v>
      </c>
      <c r="F1185" s="2">
        <v>34.836805555555557</v>
      </c>
      <c r="G1185" t="s">
        <v>2816</v>
      </c>
      <c r="H1185" t="s">
        <v>2822</v>
      </c>
      <c r="I1185" s="2">
        <v>0.33402777777777781</v>
      </c>
      <c r="J1185" s="4" t="str">
        <f>IF(Table1[[#This Row],[processing_time_hours]]&gt;1.5,"Slow", "Fast")</f>
        <v>Fast</v>
      </c>
      <c r="K1185" t="s">
        <v>2818</v>
      </c>
      <c r="L1185" s="3">
        <v>0</v>
      </c>
      <c r="M1185" t="str">
        <f>IF(Table1[[#This Row],[delayed]]=1,"Delayed","On Time")</f>
        <v>On Time</v>
      </c>
      <c r="N1185" t="str">
        <f>IF(AND(Table1[[#This Row],[delayed]]=1,Table1[[#This Row],[weather_condition]]="Storm"),"High Risk", IF(Table1[[#This Row],[delayed]]=1,"Medium Risk","Low Risk"))</f>
        <v>Low Risk</v>
      </c>
    </row>
    <row r="1186" spans="1:14" x14ac:dyDescent="0.35">
      <c r="A1186">
        <v>1185</v>
      </c>
      <c r="B1186" s="1">
        <v>44976.333333333336</v>
      </c>
      <c r="C1186" s="2">
        <v>5.8333333333333327E-2</v>
      </c>
      <c r="D1186" s="3">
        <v>4658</v>
      </c>
      <c r="E1186" s="3">
        <v>94</v>
      </c>
      <c r="F1186" s="2">
        <v>2.7937499999999997</v>
      </c>
      <c r="G1186" t="s">
        <v>2816</v>
      </c>
      <c r="H1186" t="s">
        <v>2820</v>
      </c>
      <c r="I1186" s="2">
        <v>2.2131944444444445</v>
      </c>
      <c r="J1186" s="4" t="str">
        <f>IF(Table1[[#This Row],[processing_time_hours]]&gt;1.5,"Slow", "Fast")</f>
        <v>Slow</v>
      </c>
      <c r="K1186" t="s">
        <v>2814</v>
      </c>
      <c r="L1186" s="3">
        <v>0</v>
      </c>
      <c r="M1186" t="str">
        <f>IF(Table1[[#This Row],[delayed]]=1,"Delayed","On Time")</f>
        <v>On Time</v>
      </c>
      <c r="N1186" t="str">
        <f>IF(AND(Table1[[#This Row],[delayed]]=1,Table1[[#This Row],[weather_condition]]="Storm"),"High Risk", IF(Table1[[#This Row],[delayed]]=1,"Medium Risk","Low Risk"))</f>
        <v>Low Risk</v>
      </c>
    </row>
    <row r="1187" spans="1:14" x14ac:dyDescent="0.35">
      <c r="A1187">
        <v>1186</v>
      </c>
      <c r="B1187" s="1">
        <v>44976.375</v>
      </c>
      <c r="C1187" s="2">
        <v>5.9722222222222225E-2</v>
      </c>
      <c r="D1187" s="3">
        <v>447</v>
      </c>
      <c r="E1187" s="3">
        <v>217</v>
      </c>
      <c r="F1187" s="2">
        <v>21.127777777777776</v>
      </c>
      <c r="G1187" t="s">
        <v>2815</v>
      </c>
      <c r="H1187" t="s">
        <v>2820</v>
      </c>
      <c r="I1187" s="2">
        <v>0.3756944444444445</v>
      </c>
      <c r="J1187" s="4" t="str">
        <f>IF(Table1[[#This Row],[processing_time_hours]]&gt;1.5,"Slow", "Fast")</f>
        <v>Fast</v>
      </c>
      <c r="K1187" t="s">
        <v>2814</v>
      </c>
      <c r="L1187" s="3">
        <v>0</v>
      </c>
      <c r="M1187" t="str">
        <f>IF(Table1[[#This Row],[delayed]]=1,"Delayed","On Time")</f>
        <v>On Time</v>
      </c>
      <c r="N1187" t="str">
        <f>IF(AND(Table1[[#This Row],[delayed]]=1,Table1[[#This Row],[weather_condition]]="Storm"),"High Risk", IF(Table1[[#This Row],[delayed]]=1,"Medium Risk","Low Risk"))</f>
        <v>Low Risk</v>
      </c>
    </row>
    <row r="1188" spans="1:14" x14ac:dyDescent="0.35">
      <c r="A1188">
        <v>1187</v>
      </c>
      <c r="B1188" s="1">
        <v>44976.416666666664</v>
      </c>
      <c r="C1188" s="2">
        <v>4.9305555555555554E-2</v>
      </c>
      <c r="D1188" s="3">
        <v>3515</v>
      </c>
      <c r="E1188" s="3">
        <v>97</v>
      </c>
      <c r="F1188" s="2">
        <v>38.422916666666666</v>
      </c>
      <c r="G1188" t="s">
        <v>2815</v>
      </c>
      <c r="H1188" t="s">
        <v>2817</v>
      </c>
      <c r="I1188" s="2">
        <v>1.3368055555555556</v>
      </c>
      <c r="J1188" s="4" t="str">
        <f>IF(Table1[[#This Row],[processing_time_hours]]&gt;1.5,"Slow", "Fast")</f>
        <v>Fast</v>
      </c>
      <c r="K1188" t="s">
        <v>2818</v>
      </c>
      <c r="L1188" s="3">
        <v>0</v>
      </c>
      <c r="M1188" t="str">
        <f>IF(Table1[[#This Row],[delayed]]=1,"Delayed","On Time")</f>
        <v>On Time</v>
      </c>
      <c r="N1188" t="str">
        <f>IF(AND(Table1[[#This Row],[delayed]]=1,Table1[[#This Row],[weather_condition]]="Storm"),"High Risk", IF(Table1[[#This Row],[delayed]]=1,"Medium Risk","Low Risk"))</f>
        <v>Low Risk</v>
      </c>
    </row>
    <row r="1189" spans="1:14" x14ac:dyDescent="0.35">
      <c r="A1189">
        <v>1188</v>
      </c>
      <c r="B1189" s="1">
        <v>44976.458333333336</v>
      </c>
      <c r="C1189" s="2">
        <v>4.9305555555555554E-2</v>
      </c>
      <c r="D1189" s="3">
        <v>3203</v>
      </c>
      <c r="E1189" s="3">
        <v>478</v>
      </c>
      <c r="F1189" s="2">
        <v>62.208333333333336</v>
      </c>
      <c r="G1189" t="s">
        <v>2816</v>
      </c>
      <c r="H1189" t="s">
        <v>2822</v>
      </c>
      <c r="I1189" s="2">
        <v>1.3381944444444445</v>
      </c>
      <c r="J1189" s="4" t="str">
        <f>IF(Table1[[#This Row],[processing_time_hours]]&gt;1.5,"Slow", "Fast")</f>
        <v>Fast</v>
      </c>
      <c r="K1189" t="s">
        <v>2821</v>
      </c>
      <c r="L1189" s="3">
        <v>0</v>
      </c>
      <c r="M1189" t="str">
        <f>IF(Table1[[#This Row],[delayed]]=1,"Delayed","On Time")</f>
        <v>On Time</v>
      </c>
      <c r="N1189" t="str">
        <f>IF(AND(Table1[[#This Row],[delayed]]=1,Table1[[#This Row],[weather_condition]]="Storm"),"High Risk", IF(Table1[[#This Row],[delayed]]=1,"Medium Risk","Low Risk"))</f>
        <v>Low Risk</v>
      </c>
    </row>
    <row r="1190" spans="1:14" x14ac:dyDescent="0.35">
      <c r="A1190">
        <v>1189</v>
      </c>
      <c r="B1190" s="1">
        <v>44976.5</v>
      </c>
      <c r="C1190" s="2">
        <v>4.3750000000000004E-2</v>
      </c>
      <c r="D1190" s="3">
        <v>524</v>
      </c>
      <c r="E1190" s="3">
        <v>78</v>
      </c>
      <c r="F1190" s="2">
        <v>2.4215277777777779</v>
      </c>
      <c r="G1190" t="s">
        <v>2812</v>
      </c>
      <c r="H1190" t="s">
        <v>2817</v>
      </c>
      <c r="I1190" s="2">
        <v>2.4173611111111111</v>
      </c>
      <c r="J1190" s="4" t="str">
        <f>IF(Table1[[#This Row],[processing_time_hours]]&gt;1.5,"Slow", "Fast")</f>
        <v>Slow</v>
      </c>
      <c r="K1190" t="s">
        <v>2818</v>
      </c>
      <c r="L1190" s="3">
        <v>0</v>
      </c>
      <c r="M1190" t="str">
        <f>IF(Table1[[#This Row],[delayed]]=1,"Delayed","On Time")</f>
        <v>On Time</v>
      </c>
      <c r="N1190" t="str">
        <f>IF(AND(Table1[[#This Row],[delayed]]=1,Table1[[#This Row],[weather_condition]]="Storm"),"High Risk", IF(Table1[[#This Row],[delayed]]=1,"Medium Risk","Low Risk"))</f>
        <v>Low Risk</v>
      </c>
    </row>
    <row r="1191" spans="1:14" x14ac:dyDescent="0.35">
      <c r="A1191">
        <v>1190</v>
      </c>
      <c r="B1191" s="1">
        <v>44976.541666666664</v>
      </c>
      <c r="C1191" s="2">
        <v>6.6666666666666666E-2</v>
      </c>
      <c r="D1191" s="3">
        <v>2037</v>
      </c>
      <c r="E1191" s="3">
        <v>440</v>
      </c>
      <c r="F1191" s="2">
        <v>13.461805555555555</v>
      </c>
      <c r="G1191" t="s">
        <v>2819</v>
      </c>
      <c r="H1191" t="s">
        <v>2820</v>
      </c>
      <c r="I1191" s="2">
        <v>0.37847222222222227</v>
      </c>
      <c r="J1191" s="4" t="str">
        <f>IF(Table1[[#This Row],[processing_time_hours]]&gt;1.5,"Slow", "Fast")</f>
        <v>Fast</v>
      </c>
      <c r="K1191" t="s">
        <v>2821</v>
      </c>
      <c r="L1191" s="3">
        <v>0</v>
      </c>
      <c r="M1191" t="str">
        <f>IF(Table1[[#This Row],[delayed]]=1,"Delayed","On Time")</f>
        <v>On Time</v>
      </c>
      <c r="N1191" t="str">
        <f>IF(AND(Table1[[#This Row],[delayed]]=1,Table1[[#This Row],[weather_condition]]="Storm"),"High Risk", IF(Table1[[#This Row],[delayed]]=1,"Medium Risk","Low Risk"))</f>
        <v>Low Risk</v>
      </c>
    </row>
    <row r="1192" spans="1:14" x14ac:dyDescent="0.35">
      <c r="A1192">
        <v>1191</v>
      </c>
      <c r="B1192" s="1">
        <v>44976.583333333336</v>
      </c>
      <c r="C1192" s="2">
        <v>4.9999999999999996E-2</v>
      </c>
      <c r="D1192" s="3">
        <v>4179</v>
      </c>
      <c r="E1192" s="3">
        <v>217</v>
      </c>
      <c r="F1192" s="2">
        <v>25.335416666666664</v>
      </c>
      <c r="G1192" t="s">
        <v>2812</v>
      </c>
      <c r="H1192" t="s">
        <v>2813</v>
      </c>
      <c r="I1192" s="2">
        <v>1.3381944444444445</v>
      </c>
      <c r="J1192" s="4" t="str">
        <f>IF(Table1[[#This Row],[processing_time_hours]]&gt;1.5,"Slow", "Fast")</f>
        <v>Fast</v>
      </c>
      <c r="K1192" t="s">
        <v>2821</v>
      </c>
      <c r="L1192" s="3">
        <v>0</v>
      </c>
      <c r="M1192" t="str">
        <f>IF(Table1[[#This Row],[delayed]]=1,"Delayed","On Time")</f>
        <v>On Time</v>
      </c>
      <c r="N1192" t="str">
        <f>IF(AND(Table1[[#This Row],[delayed]]=1,Table1[[#This Row],[weather_condition]]="Storm"),"High Risk", IF(Table1[[#This Row],[delayed]]=1,"Medium Risk","Low Risk"))</f>
        <v>Low Risk</v>
      </c>
    </row>
    <row r="1193" spans="1:14" x14ac:dyDescent="0.35">
      <c r="A1193">
        <v>1192</v>
      </c>
      <c r="B1193" s="1">
        <v>44976.625</v>
      </c>
      <c r="C1193" s="2">
        <v>4.1666666666666664E-2</v>
      </c>
      <c r="D1193" s="3">
        <v>2841</v>
      </c>
      <c r="E1193" s="3">
        <v>87</v>
      </c>
      <c r="F1193" s="2">
        <v>51.877083333333331</v>
      </c>
      <c r="G1193" t="s">
        <v>2815</v>
      </c>
      <c r="H1193" t="s">
        <v>2822</v>
      </c>
      <c r="I1193" s="2">
        <v>0.25138888888888888</v>
      </c>
      <c r="J1193" s="4" t="str">
        <f>IF(Table1[[#This Row],[processing_time_hours]]&gt;1.5,"Slow", "Fast")</f>
        <v>Fast</v>
      </c>
      <c r="K1193" t="s">
        <v>2821</v>
      </c>
      <c r="L1193" s="3">
        <v>0</v>
      </c>
      <c r="M1193" t="str">
        <f>IF(Table1[[#This Row],[delayed]]=1,"Delayed","On Time")</f>
        <v>On Time</v>
      </c>
      <c r="N1193" t="str">
        <f>IF(AND(Table1[[#This Row],[delayed]]=1,Table1[[#This Row],[weather_condition]]="Storm"),"High Risk", IF(Table1[[#This Row],[delayed]]=1,"Medium Risk","Low Risk"))</f>
        <v>Low Risk</v>
      </c>
    </row>
    <row r="1194" spans="1:14" x14ac:dyDescent="0.35">
      <c r="A1194">
        <v>1193</v>
      </c>
      <c r="B1194" s="1">
        <v>44976.666666666664</v>
      </c>
      <c r="C1194" s="2">
        <v>4.1666666666666666E-3</v>
      </c>
      <c r="D1194" s="3">
        <v>2672</v>
      </c>
      <c r="E1194" s="3">
        <v>389</v>
      </c>
      <c r="F1194" s="2">
        <v>37.208333333333336</v>
      </c>
      <c r="G1194" t="s">
        <v>2812</v>
      </c>
      <c r="H1194" t="s">
        <v>2813</v>
      </c>
      <c r="I1194" s="2">
        <v>0.54236111111111118</v>
      </c>
      <c r="J1194" s="4" t="str">
        <f>IF(Table1[[#This Row],[processing_time_hours]]&gt;1.5,"Slow", "Fast")</f>
        <v>Fast</v>
      </c>
      <c r="K1194" t="s">
        <v>2814</v>
      </c>
      <c r="L1194" s="3">
        <v>0</v>
      </c>
      <c r="M1194" t="str">
        <f>IF(Table1[[#This Row],[delayed]]=1,"Delayed","On Time")</f>
        <v>On Time</v>
      </c>
      <c r="N1194" t="str">
        <f>IF(AND(Table1[[#This Row],[delayed]]=1,Table1[[#This Row],[weather_condition]]="Storm"),"High Risk", IF(Table1[[#This Row],[delayed]]=1,"Medium Risk","Low Risk"))</f>
        <v>Low Risk</v>
      </c>
    </row>
    <row r="1195" spans="1:14" x14ac:dyDescent="0.35">
      <c r="A1195">
        <v>1194</v>
      </c>
      <c r="B1195" s="1">
        <v>44976.708333333336</v>
      </c>
      <c r="C1195" s="2">
        <v>6.3888888888888898E-2</v>
      </c>
      <c r="D1195" s="3">
        <v>2480</v>
      </c>
      <c r="E1195" s="3">
        <v>228</v>
      </c>
      <c r="F1195" s="2">
        <v>17.291666666666668</v>
      </c>
      <c r="G1195" t="s">
        <v>2819</v>
      </c>
      <c r="H1195" t="s">
        <v>2817</v>
      </c>
      <c r="I1195" s="2">
        <v>1.8798611111111112</v>
      </c>
      <c r="J1195" s="4" t="str">
        <f>IF(Table1[[#This Row],[processing_time_hours]]&gt;1.5,"Slow", "Fast")</f>
        <v>Slow</v>
      </c>
      <c r="K1195" t="s">
        <v>2821</v>
      </c>
      <c r="L1195" s="3">
        <v>1</v>
      </c>
      <c r="M1195" t="str">
        <f>IF(Table1[[#This Row],[delayed]]=1,"Delayed","On Time")</f>
        <v>Delayed</v>
      </c>
      <c r="N1195" t="str">
        <f>IF(AND(Table1[[#This Row],[delayed]]=1,Table1[[#This Row],[weather_condition]]="Storm"),"High Risk", IF(Table1[[#This Row],[delayed]]=1,"Medium Risk","Low Risk"))</f>
        <v>High Risk</v>
      </c>
    </row>
    <row r="1196" spans="1:14" x14ac:dyDescent="0.35">
      <c r="A1196">
        <v>1195</v>
      </c>
      <c r="B1196" s="1">
        <v>44976.75</v>
      </c>
      <c r="C1196" s="2">
        <v>5.6250000000000001E-2</v>
      </c>
      <c r="D1196" s="3">
        <v>822</v>
      </c>
      <c r="E1196" s="3">
        <v>383</v>
      </c>
      <c r="F1196" s="2">
        <v>51.752083333333331</v>
      </c>
      <c r="G1196" t="s">
        <v>2819</v>
      </c>
      <c r="H1196" t="s">
        <v>2822</v>
      </c>
      <c r="I1196" s="2">
        <v>2.1729166666666666</v>
      </c>
      <c r="J1196" s="4" t="str">
        <f>IF(Table1[[#This Row],[processing_time_hours]]&gt;1.5,"Slow", "Fast")</f>
        <v>Slow</v>
      </c>
      <c r="K1196" t="s">
        <v>2818</v>
      </c>
      <c r="L1196" s="3">
        <v>0</v>
      </c>
      <c r="M1196" t="str">
        <f>IF(Table1[[#This Row],[delayed]]=1,"Delayed","On Time")</f>
        <v>On Time</v>
      </c>
      <c r="N1196" t="str">
        <f>IF(AND(Table1[[#This Row],[delayed]]=1,Table1[[#This Row],[weather_condition]]="Storm"),"High Risk", IF(Table1[[#This Row],[delayed]]=1,"Medium Risk","Low Risk"))</f>
        <v>Low Risk</v>
      </c>
    </row>
    <row r="1197" spans="1:14" x14ac:dyDescent="0.35">
      <c r="A1197">
        <v>1196</v>
      </c>
      <c r="B1197" s="1">
        <v>44976.791666666664</v>
      </c>
      <c r="C1197" s="2">
        <v>4.3055555555555562E-2</v>
      </c>
      <c r="D1197" s="3">
        <v>3461</v>
      </c>
      <c r="E1197" s="3">
        <v>458</v>
      </c>
      <c r="F1197" s="2">
        <v>61.044444444444444</v>
      </c>
      <c r="G1197" t="s">
        <v>2819</v>
      </c>
      <c r="H1197" t="s">
        <v>2820</v>
      </c>
      <c r="I1197" s="2">
        <v>2.5430555555555556</v>
      </c>
      <c r="J1197" s="4" t="str">
        <f>IF(Table1[[#This Row],[processing_time_hours]]&gt;1.5,"Slow", "Fast")</f>
        <v>Slow</v>
      </c>
      <c r="K1197" t="s">
        <v>2818</v>
      </c>
      <c r="L1197" s="3">
        <v>0</v>
      </c>
      <c r="M1197" t="str">
        <f>IF(Table1[[#This Row],[delayed]]=1,"Delayed","On Time")</f>
        <v>On Time</v>
      </c>
      <c r="N1197" t="str">
        <f>IF(AND(Table1[[#This Row],[delayed]]=1,Table1[[#This Row],[weather_condition]]="Storm"),"High Risk", IF(Table1[[#This Row],[delayed]]=1,"Medium Risk","Low Risk"))</f>
        <v>Low Risk</v>
      </c>
    </row>
    <row r="1198" spans="1:14" x14ac:dyDescent="0.35">
      <c r="A1198">
        <v>1197</v>
      </c>
      <c r="B1198" s="1">
        <v>44976.833333333336</v>
      </c>
      <c r="C1198" s="2">
        <v>6.0416666666666667E-2</v>
      </c>
      <c r="D1198" s="3">
        <v>1183</v>
      </c>
      <c r="E1198" s="3">
        <v>280</v>
      </c>
      <c r="F1198" s="2">
        <v>12.750694444444443</v>
      </c>
      <c r="G1198" t="s">
        <v>2816</v>
      </c>
      <c r="H1198" t="s">
        <v>2820</v>
      </c>
      <c r="I1198" s="2">
        <v>0.71319444444444446</v>
      </c>
      <c r="J1198" s="4" t="str">
        <f>IF(Table1[[#This Row],[processing_time_hours]]&gt;1.5,"Slow", "Fast")</f>
        <v>Fast</v>
      </c>
      <c r="K1198" t="s">
        <v>2821</v>
      </c>
      <c r="L1198" s="3">
        <v>0</v>
      </c>
      <c r="M1198" t="str">
        <f>IF(Table1[[#This Row],[delayed]]=1,"Delayed","On Time")</f>
        <v>On Time</v>
      </c>
      <c r="N1198" t="str">
        <f>IF(AND(Table1[[#This Row],[delayed]]=1,Table1[[#This Row],[weather_condition]]="Storm"),"High Risk", IF(Table1[[#This Row],[delayed]]=1,"Medium Risk","Low Risk"))</f>
        <v>Low Risk</v>
      </c>
    </row>
    <row r="1199" spans="1:14" x14ac:dyDescent="0.35">
      <c r="A1199">
        <v>1198</v>
      </c>
      <c r="B1199" s="1">
        <v>44976.875</v>
      </c>
      <c r="C1199" s="2">
        <v>6.1111111111111109E-2</v>
      </c>
      <c r="D1199" s="3">
        <v>3201</v>
      </c>
      <c r="E1199" s="3">
        <v>384</v>
      </c>
      <c r="F1199" s="2">
        <v>7.2541666666666664</v>
      </c>
      <c r="G1199" t="s">
        <v>2815</v>
      </c>
      <c r="H1199" t="s">
        <v>2822</v>
      </c>
      <c r="I1199" s="2">
        <v>0.12569444444444444</v>
      </c>
      <c r="J1199" s="4" t="str">
        <f>IF(Table1[[#This Row],[processing_time_hours]]&gt;1.5,"Slow", "Fast")</f>
        <v>Fast</v>
      </c>
      <c r="K1199" t="s">
        <v>2814</v>
      </c>
      <c r="L1199" s="3">
        <v>1</v>
      </c>
      <c r="M1199" t="str">
        <f>IF(Table1[[#This Row],[delayed]]=1,"Delayed","On Time")</f>
        <v>Delayed</v>
      </c>
      <c r="N1199" t="str">
        <f>IF(AND(Table1[[#This Row],[delayed]]=1,Table1[[#This Row],[weather_condition]]="Storm"),"High Risk", IF(Table1[[#This Row],[delayed]]=1,"Medium Risk","Low Risk"))</f>
        <v>Medium Risk</v>
      </c>
    </row>
    <row r="1200" spans="1:14" x14ac:dyDescent="0.35">
      <c r="A1200">
        <v>1199</v>
      </c>
      <c r="B1200" s="1">
        <v>44976.916666666664</v>
      </c>
      <c r="C1200" s="2">
        <v>6.1111111111111109E-2</v>
      </c>
      <c r="D1200" s="3">
        <v>3712</v>
      </c>
      <c r="E1200" s="3">
        <v>447</v>
      </c>
      <c r="F1200" s="2">
        <v>79.793055555555554</v>
      </c>
      <c r="G1200" t="s">
        <v>2816</v>
      </c>
      <c r="H1200" t="s">
        <v>2820</v>
      </c>
      <c r="I1200" s="2">
        <v>1.5479166666666666</v>
      </c>
      <c r="J1200" s="4" t="str">
        <f>IF(Table1[[#This Row],[processing_time_hours]]&gt;1.5,"Slow", "Fast")</f>
        <v>Slow</v>
      </c>
      <c r="K1200" t="s">
        <v>2814</v>
      </c>
      <c r="L1200" s="3">
        <v>0</v>
      </c>
      <c r="M1200" t="str">
        <f>IF(Table1[[#This Row],[delayed]]=1,"Delayed","On Time")</f>
        <v>On Time</v>
      </c>
      <c r="N1200" t="str">
        <f>IF(AND(Table1[[#This Row],[delayed]]=1,Table1[[#This Row],[weather_condition]]="Storm"),"High Risk", IF(Table1[[#This Row],[delayed]]=1,"Medium Risk","Low Risk"))</f>
        <v>Low Risk</v>
      </c>
    </row>
    <row r="1201" spans="1:14" x14ac:dyDescent="0.35">
      <c r="A1201">
        <v>1200</v>
      </c>
      <c r="B1201" s="1">
        <v>44976.958333333336</v>
      </c>
      <c r="C1201" s="2">
        <v>6.1111111111111109E-2</v>
      </c>
      <c r="D1201" s="3">
        <v>1694</v>
      </c>
      <c r="E1201" s="3">
        <v>204</v>
      </c>
      <c r="F1201" s="2">
        <v>66.588888888888889</v>
      </c>
      <c r="G1201" t="s">
        <v>2815</v>
      </c>
      <c r="H1201" t="s">
        <v>2822</v>
      </c>
      <c r="I1201" s="2">
        <v>2.4583333333333335</v>
      </c>
      <c r="J1201" s="4" t="str">
        <f>IF(Table1[[#This Row],[processing_time_hours]]&gt;1.5,"Slow", "Fast")</f>
        <v>Slow</v>
      </c>
      <c r="K1201" t="s">
        <v>2818</v>
      </c>
      <c r="L1201" s="3">
        <v>0</v>
      </c>
      <c r="M1201" t="str">
        <f>IF(Table1[[#This Row],[delayed]]=1,"Delayed","On Time")</f>
        <v>On Time</v>
      </c>
      <c r="N1201" t="str">
        <f>IF(AND(Table1[[#This Row],[delayed]]=1,Table1[[#This Row],[weather_condition]]="Storm"),"High Risk", IF(Table1[[#This Row],[delayed]]=1,"Medium Risk","Low Risk"))</f>
        <v>Low Risk</v>
      </c>
    </row>
    <row r="1202" spans="1:14" x14ac:dyDescent="0.35">
      <c r="A1202">
        <v>1201</v>
      </c>
      <c r="B1202" s="1">
        <v>44977</v>
      </c>
      <c r="C1202" s="2">
        <v>6.0416666666666667E-2</v>
      </c>
      <c r="D1202" s="3">
        <v>2376</v>
      </c>
      <c r="E1202" s="3">
        <v>348</v>
      </c>
      <c r="F1202" s="2">
        <v>46.171527777777776</v>
      </c>
      <c r="G1202" t="s">
        <v>2816</v>
      </c>
      <c r="H1202" t="s">
        <v>2817</v>
      </c>
      <c r="I1202" s="2">
        <v>1.4229166666666666</v>
      </c>
      <c r="J1202" s="4" t="str">
        <f>IF(Table1[[#This Row],[processing_time_hours]]&gt;1.5,"Slow", "Fast")</f>
        <v>Fast</v>
      </c>
      <c r="K1202" t="s">
        <v>2821</v>
      </c>
      <c r="L1202" s="3">
        <v>0</v>
      </c>
      <c r="M1202" t="str">
        <f>IF(Table1[[#This Row],[delayed]]=1,"Delayed","On Time")</f>
        <v>On Time</v>
      </c>
      <c r="N1202" t="str">
        <f>IF(AND(Table1[[#This Row],[delayed]]=1,Table1[[#This Row],[weather_condition]]="Storm"),"High Risk", IF(Table1[[#This Row],[delayed]]=1,"Medium Risk","Low Risk"))</f>
        <v>Low Risk</v>
      </c>
    </row>
    <row r="1203" spans="1:14" x14ac:dyDescent="0.35">
      <c r="A1203">
        <v>1202</v>
      </c>
      <c r="B1203" s="1">
        <v>44977.041666666664</v>
      </c>
      <c r="C1203" s="2">
        <v>6.3194444444444442E-2</v>
      </c>
      <c r="D1203" s="3">
        <v>143</v>
      </c>
      <c r="E1203" s="3">
        <v>493</v>
      </c>
      <c r="F1203" s="2">
        <v>46.041666666666664</v>
      </c>
      <c r="G1203" t="s">
        <v>2816</v>
      </c>
      <c r="H1203" t="s">
        <v>2822</v>
      </c>
      <c r="I1203" s="2">
        <v>8.4027777777777771E-2</v>
      </c>
      <c r="J1203" s="4" t="str">
        <f>IF(Table1[[#This Row],[processing_time_hours]]&gt;1.5,"Slow", "Fast")</f>
        <v>Fast</v>
      </c>
      <c r="K1203" t="s">
        <v>2818</v>
      </c>
      <c r="L1203" s="3">
        <v>0</v>
      </c>
      <c r="M1203" t="str">
        <f>IF(Table1[[#This Row],[delayed]]=1,"Delayed","On Time")</f>
        <v>On Time</v>
      </c>
      <c r="N1203" t="str">
        <f>IF(AND(Table1[[#This Row],[delayed]]=1,Table1[[#This Row],[weather_condition]]="Storm"),"High Risk", IF(Table1[[#This Row],[delayed]]=1,"Medium Risk","Low Risk"))</f>
        <v>Low Risk</v>
      </c>
    </row>
    <row r="1204" spans="1:14" x14ac:dyDescent="0.35">
      <c r="A1204">
        <v>1203</v>
      </c>
      <c r="B1204" s="1">
        <v>44977.083333333336</v>
      </c>
      <c r="C1204" s="2">
        <v>5.2083333333333336E-2</v>
      </c>
      <c r="D1204" s="3">
        <v>4314</v>
      </c>
      <c r="E1204" s="3">
        <v>61</v>
      </c>
      <c r="F1204" s="2">
        <v>69.836805555555557</v>
      </c>
      <c r="G1204" t="s">
        <v>2819</v>
      </c>
      <c r="H1204" t="s">
        <v>2817</v>
      </c>
      <c r="I1204" s="2">
        <v>2.2111111111111112</v>
      </c>
      <c r="J1204" s="4" t="str">
        <f>IF(Table1[[#This Row],[processing_time_hours]]&gt;1.5,"Slow", "Fast")</f>
        <v>Slow</v>
      </c>
      <c r="K1204" t="s">
        <v>2818</v>
      </c>
      <c r="L1204" s="3">
        <v>0</v>
      </c>
      <c r="M1204" t="str">
        <f>IF(Table1[[#This Row],[delayed]]=1,"Delayed","On Time")</f>
        <v>On Time</v>
      </c>
      <c r="N1204" t="str">
        <f>IF(AND(Table1[[#This Row],[delayed]]=1,Table1[[#This Row],[weather_condition]]="Storm"),"High Risk", IF(Table1[[#This Row],[delayed]]=1,"Medium Risk","Low Risk"))</f>
        <v>Low Risk</v>
      </c>
    </row>
    <row r="1205" spans="1:14" x14ac:dyDescent="0.35">
      <c r="A1205">
        <v>1204</v>
      </c>
      <c r="B1205" s="1">
        <v>44977.125</v>
      </c>
      <c r="C1205" s="2">
        <v>6.805555555555555E-2</v>
      </c>
      <c r="D1205" s="3">
        <v>1497</v>
      </c>
      <c r="E1205" s="3">
        <v>395</v>
      </c>
      <c r="F1205" s="2">
        <v>48.631250000000001</v>
      </c>
      <c r="G1205" t="s">
        <v>2819</v>
      </c>
      <c r="H1205" t="s">
        <v>2813</v>
      </c>
      <c r="I1205" s="2">
        <v>2.5006944444444446</v>
      </c>
      <c r="J1205" s="4" t="str">
        <f>IF(Table1[[#This Row],[processing_time_hours]]&gt;1.5,"Slow", "Fast")</f>
        <v>Slow</v>
      </c>
      <c r="K1205" t="s">
        <v>2818</v>
      </c>
      <c r="L1205" s="3">
        <v>1</v>
      </c>
      <c r="M1205" t="str">
        <f>IF(Table1[[#This Row],[delayed]]=1,"Delayed","On Time")</f>
        <v>Delayed</v>
      </c>
      <c r="N1205" t="str">
        <f>IF(AND(Table1[[#This Row],[delayed]]=1,Table1[[#This Row],[weather_condition]]="Storm"),"High Risk", IF(Table1[[#This Row],[delayed]]=1,"Medium Risk","Low Risk"))</f>
        <v>Medium Risk</v>
      </c>
    </row>
    <row r="1206" spans="1:14" x14ac:dyDescent="0.35">
      <c r="A1206">
        <v>1205</v>
      </c>
      <c r="B1206" s="1">
        <v>44977.166666666664</v>
      </c>
      <c r="C1206" s="2">
        <v>5.486111111111111E-2</v>
      </c>
      <c r="D1206" s="3">
        <v>1377</v>
      </c>
      <c r="E1206" s="3">
        <v>348</v>
      </c>
      <c r="F1206" s="2">
        <v>80.376388888888883</v>
      </c>
      <c r="G1206" t="s">
        <v>2819</v>
      </c>
      <c r="H1206" t="s">
        <v>2813</v>
      </c>
      <c r="I1206" s="2">
        <v>1.7520833333333332</v>
      </c>
      <c r="J1206" s="4" t="str">
        <f>IF(Table1[[#This Row],[processing_time_hours]]&gt;1.5,"Slow", "Fast")</f>
        <v>Slow</v>
      </c>
      <c r="K1206" t="s">
        <v>2818</v>
      </c>
      <c r="L1206" s="3">
        <v>0</v>
      </c>
      <c r="M1206" t="str">
        <f>IF(Table1[[#This Row],[delayed]]=1,"Delayed","On Time")</f>
        <v>On Time</v>
      </c>
      <c r="N1206" t="str">
        <f>IF(AND(Table1[[#This Row],[delayed]]=1,Table1[[#This Row],[weather_condition]]="Storm"),"High Risk", IF(Table1[[#This Row],[delayed]]=1,"Medium Risk","Low Risk"))</f>
        <v>Low Risk</v>
      </c>
    </row>
    <row r="1207" spans="1:14" x14ac:dyDescent="0.35">
      <c r="A1207">
        <v>1206</v>
      </c>
      <c r="B1207" s="1">
        <v>44977.208333333336</v>
      </c>
      <c r="C1207" s="2">
        <v>4.9305555555555554E-2</v>
      </c>
      <c r="D1207" s="3">
        <v>2066</v>
      </c>
      <c r="E1207" s="3">
        <v>462</v>
      </c>
      <c r="F1207" s="2">
        <v>62.545833333333327</v>
      </c>
      <c r="G1207" t="s">
        <v>2815</v>
      </c>
      <c r="H1207" t="s">
        <v>2817</v>
      </c>
      <c r="I1207" s="2">
        <v>0.54236111111111118</v>
      </c>
      <c r="J1207" s="4" t="str">
        <f>IF(Table1[[#This Row],[processing_time_hours]]&gt;1.5,"Slow", "Fast")</f>
        <v>Fast</v>
      </c>
      <c r="K1207" t="s">
        <v>2821</v>
      </c>
      <c r="L1207" s="3">
        <v>1</v>
      </c>
      <c r="M1207" t="str">
        <f>IF(Table1[[#This Row],[delayed]]=1,"Delayed","On Time")</f>
        <v>Delayed</v>
      </c>
      <c r="N1207" t="str">
        <f>IF(AND(Table1[[#This Row],[delayed]]=1,Table1[[#This Row],[weather_condition]]="Storm"),"High Risk", IF(Table1[[#This Row],[delayed]]=1,"Medium Risk","Low Risk"))</f>
        <v>High Risk</v>
      </c>
    </row>
    <row r="1208" spans="1:14" x14ac:dyDescent="0.35">
      <c r="A1208">
        <v>1207</v>
      </c>
      <c r="B1208" s="1">
        <v>44977.25</v>
      </c>
      <c r="C1208" s="2">
        <v>4.1666666666666664E-2</v>
      </c>
      <c r="D1208" s="3">
        <v>245</v>
      </c>
      <c r="E1208" s="3">
        <v>458</v>
      </c>
      <c r="F1208" s="2">
        <v>74.50555555555556</v>
      </c>
      <c r="G1208" t="s">
        <v>2815</v>
      </c>
      <c r="H1208" t="s">
        <v>2820</v>
      </c>
      <c r="I1208" s="2">
        <v>2.2520833333333332</v>
      </c>
      <c r="J1208" s="4" t="str">
        <f>IF(Table1[[#This Row],[processing_time_hours]]&gt;1.5,"Slow", "Fast")</f>
        <v>Slow</v>
      </c>
      <c r="K1208" t="s">
        <v>2821</v>
      </c>
      <c r="L1208" s="3">
        <v>1</v>
      </c>
      <c r="M1208" t="str">
        <f>IF(Table1[[#This Row],[delayed]]=1,"Delayed","On Time")</f>
        <v>Delayed</v>
      </c>
      <c r="N1208" t="str">
        <f>IF(AND(Table1[[#This Row],[delayed]]=1,Table1[[#This Row],[weather_condition]]="Storm"),"High Risk", IF(Table1[[#This Row],[delayed]]=1,"Medium Risk","Low Risk"))</f>
        <v>Medium Risk</v>
      </c>
    </row>
    <row r="1209" spans="1:14" x14ac:dyDescent="0.35">
      <c r="A1209">
        <v>1208</v>
      </c>
      <c r="B1209" s="1">
        <v>44977.291666666664</v>
      </c>
      <c r="C1209" s="2">
        <v>4.9305555555555554E-2</v>
      </c>
      <c r="D1209" s="3">
        <v>3587</v>
      </c>
      <c r="E1209" s="3">
        <v>452</v>
      </c>
      <c r="F1209" s="2">
        <v>39.625694444444441</v>
      </c>
      <c r="G1209" t="s">
        <v>2812</v>
      </c>
      <c r="H1209" t="s">
        <v>2820</v>
      </c>
      <c r="I1209" s="2">
        <v>0.45833333333333331</v>
      </c>
      <c r="J1209" s="4" t="str">
        <f>IF(Table1[[#This Row],[processing_time_hours]]&gt;1.5,"Slow", "Fast")</f>
        <v>Fast</v>
      </c>
      <c r="K1209" t="s">
        <v>2818</v>
      </c>
      <c r="L1209" s="3">
        <v>0</v>
      </c>
      <c r="M1209" t="str">
        <f>IF(Table1[[#This Row],[delayed]]=1,"Delayed","On Time")</f>
        <v>On Time</v>
      </c>
      <c r="N1209" t="str">
        <f>IF(AND(Table1[[#This Row],[delayed]]=1,Table1[[#This Row],[weather_condition]]="Storm"),"High Risk", IF(Table1[[#This Row],[delayed]]=1,"Medium Risk","Low Risk"))</f>
        <v>Low Risk</v>
      </c>
    </row>
    <row r="1210" spans="1:14" x14ac:dyDescent="0.35">
      <c r="A1210">
        <v>1209</v>
      </c>
      <c r="B1210" s="1">
        <v>44977.333333333336</v>
      </c>
      <c r="C1210" s="2">
        <v>5.4166666666666669E-2</v>
      </c>
      <c r="D1210" s="3">
        <v>1517</v>
      </c>
      <c r="E1210" s="3">
        <v>473</v>
      </c>
      <c r="F1210" s="2">
        <v>30.754166666666666</v>
      </c>
      <c r="G1210" t="s">
        <v>2815</v>
      </c>
      <c r="H1210" t="s">
        <v>2813</v>
      </c>
      <c r="I1210" s="2">
        <v>1.2916666666666667</v>
      </c>
      <c r="J1210" s="4" t="str">
        <f>IF(Table1[[#This Row],[processing_time_hours]]&gt;1.5,"Slow", "Fast")</f>
        <v>Fast</v>
      </c>
      <c r="K1210" t="s">
        <v>2814</v>
      </c>
      <c r="L1210" s="3">
        <v>0</v>
      </c>
      <c r="M1210" t="str">
        <f>IF(Table1[[#This Row],[delayed]]=1,"Delayed","On Time")</f>
        <v>On Time</v>
      </c>
      <c r="N1210" t="str">
        <f>IF(AND(Table1[[#This Row],[delayed]]=1,Table1[[#This Row],[weather_condition]]="Storm"),"High Risk", IF(Table1[[#This Row],[delayed]]=1,"Medium Risk","Low Risk"))</f>
        <v>Low Risk</v>
      </c>
    </row>
    <row r="1211" spans="1:14" x14ac:dyDescent="0.35">
      <c r="A1211">
        <v>1210</v>
      </c>
      <c r="B1211" s="1">
        <v>44977.375</v>
      </c>
      <c r="C1211" s="2">
        <v>6.1111111111111109E-2</v>
      </c>
      <c r="D1211" s="3">
        <v>4859</v>
      </c>
      <c r="E1211" s="3">
        <v>446</v>
      </c>
      <c r="F1211" s="2">
        <v>44.627083333333331</v>
      </c>
      <c r="G1211" t="s">
        <v>2815</v>
      </c>
      <c r="H1211" t="s">
        <v>2817</v>
      </c>
      <c r="I1211" s="2">
        <v>0.50624999999999998</v>
      </c>
      <c r="J1211" s="4" t="str">
        <f>IF(Table1[[#This Row],[processing_time_hours]]&gt;1.5,"Slow", "Fast")</f>
        <v>Fast</v>
      </c>
      <c r="K1211" t="s">
        <v>2818</v>
      </c>
      <c r="L1211" s="3">
        <v>0</v>
      </c>
      <c r="M1211" t="str">
        <f>IF(Table1[[#This Row],[delayed]]=1,"Delayed","On Time")</f>
        <v>On Time</v>
      </c>
      <c r="N1211" t="str">
        <f>IF(AND(Table1[[#This Row],[delayed]]=1,Table1[[#This Row],[weather_condition]]="Storm"),"High Risk", IF(Table1[[#This Row],[delayed]]=1,"Medium Risk","Low Risk"))</f>
        <v>Low Risk</v>
      </c>
    </row>
    <row r="1212" spans="1:14" x14ac:dyDescent="0.35">
      <c r="A1212">
        <v>1211</v>
      </c>
      <c r="B1212" s="1">
        <v>44977.416666666664</v>
      </c>
      <c r="C1212" s="2">
        <v>6.3888888888888898E-2</v>
      </c>
      <c r="D1212" s="3">
        <v>1814</v>
      </c>
      <c r="E1212" s="3">
        <v>359</v>
      </c>
      <c r="F1212" s="2">
        <v>72.421527777777769</v>
      </c>
      <c r="G1212" t="s">
        <v>2816</v>
      </c>
      <c r="H1212" t="s">
        <v>2817</v>
      </c>
      <c r="I1212" s="2">
        <v>1.3812499999999999</v>
      </c>
      <c r="J1212" s="4" t="str">
        <f>IF(Table1[[#This Row],[processing_time_hours]]&gt;1.5,"Slow", "Fast")</f>
        <v>Fast</v>
      </c>
      <c r="K1212" t="s">
        <v>2818</v>
      </c>
      <c r="L1212" s="3">
        <v>0</v>
      </c>
      <c r="M1212" t="str">
        <f>IF(Table1[[#This Row],[delayed]]=1,"Delayed","On Time")</f>
        <v>On Time</v>
      </c>
      <c r="N1212" t="str">
        <f>IF(AND(Table1[[#This Row],[delayed]]=1,Table1[[#This Row],[weather_condition]]="Storm"),"High Risk", IF(Table1[[#This Row],[delayed]]=1,"Medium Risk","Low Risk"))</f>
        <v>Low Risk</v>
      </c>
    </row>
    <row r="1213" spans="1:14" x14ac:dyDescent="0.35">
      <c r="A1213">
        <v>1212</v>
      </c>
      <c r="B1213" s="1">
        <v>44977.458333333336</v>
      </c>
      <c r="C1213" s="2">
        <v>5.0694444444444438E-2</v>
      </c>
      <c r="D1213" s="3">
        <v>879</v>
      </c>
      <c r="E1213" s="3">
        <v>341</v>
      </c>
      <c r="F1213" s="2">
        <v>80.670138888888886</v>
      </c>
      <c r="G1213" t="s">
        <v>2819</v>
      </c>
      <c r="H1213" t="s">
        <v>2813</v>
      </c>
      <c r="I1213" s="2">
        <v>1.4173611111111111</v>
      </c>
      <c r="J1213" s="4" t="str">
        <f>IF(Table1[[#This Row],[processing_time_hours]]&gt;1.5,"Slow", "Fast")</f>
        <v>Fast</v>
      </c>
      <c r="K1213" t="s">
        <v>2814</v>
      </c>
      <c r="L1213" s="3">
        <v>1</v>
      </c>
      <c r="M1213" t="str">
        <f>IF(Table1[[#This Row],[delayed]]=1,"Delayed","On Time")</f>
        <v>Delayed</v>
      </c>
      <c r="N1213" t="str">
        <f>IF(AND(Table1[[#This Row],[delayed]]=1,Table1[[#This Row],[weather_condition]]="Storm"),"High Risk", IF(Table1[[#This Row],[delayed]]=1,"Medium Risk","Low Risk"))</f>
        <v>Medium Risk</v>
      </c>
    </row>
    <row r="1214" spans="1:14" x14ac:dyDescent="0.35">
      <c r="A1214">
        <v>1213</v>
      </c>
      <c r="B1214" s="1">
        <v>44977.5</v>
      </c>
      <c r="C1214" s="2">
        <v>4.2361111111111106E-2</v>
      </c>
      <c r="D1214" s="3">
        <v>2129</v>
      </c>
      <c r="E1214" s="3">
        <v>121</v>
      </c>
      <c r="F1214" s="2">
        <v>60.542361111111113</v>
      </c>
      <c r="G1214" t="s">
        <v>2816</v>
      </c>
      <c r="H1214" t="s">
        <v>2820</v>
      </c>
      <c r="I1214" s="2">
        <v>0.37847222222222227</v>
      </c>
      <c r="J1214" s="4" t="str">
        <f>IF(Table1[[#This Row],[processing_time_hours]]&gt;1.5,"Slow", "Fast")</f>
        <v>Fast</v>
      </c>
      <c r="K1214" t="s">
        <v>2821</v>
      </c>
      <c r="L1214" s="3">
        <v>0</v>
      </c>
      <c r="M1214" t="str">
        <f>IF(Table1[[#This Row],[delayed]]=1,"Delayed","On Time")</f>
        <v>On Time</v>
      </c>
      <c r="N1214" t="str">
        <f>IF(AND(Table1[[#This Row],[delayed]]=1,Table1[[#This Row],[weather_condition]]="Storm"),"High Risk", IF(Table1[[#This Row],[delayed]]=1,"Medium Risk","Low Risk"))</f>
        <v>Low Risk</v>
      </c>
    </row>
    <row r="1215" spans="1:14" x14ac:dyDescent="0.35">
      <c r="A1215">
        <v>1214</v>
      </c>
      <c r="B1215" s="1">
        <v>44977.541666666664</v>
      </c>
      <c r="C1215" s="2">
        <v>5.7638888888888885E-2</v>
      </c>
      <c r="D1215" s="3">
        <v>4031</v>
      </c>
      <c r="E1215" s="3">
        <v>356</v>
      </c>
      <c r="F1215" s="2">
        <v>14.464583333333332</v>
      </c>
      <c r="G1215" t="s">
        <v>2819</v>
      </c>
      <c r="H1215" t="s">
        <v>2822</v>
      </c>
      <c r="I1215" s="2">
        <v>1.0479166666666666</v>
      </c>
      <c r="J1215" s="4" t="str">
        <f>IF(Table1[[#This Row],[processing_time_hours]]&gt;1.5,"Slow", "Fast")</f>
        <v>Fast</v>
      </c>
      <c r="K1215" t="s">
        <v>2814</v>
      </c>
      <c r="L1215" s="3">
        <v>1</v>
      </c>
      <c r="M1215" t="str">
        <f>IF(Table1[[#This Row],[delayed]]=1,"Delayed","On Time")</f>
        <v>Delayed</v>
      </c>
      <c r="N1215" t="str">
        <f>IF(AND(Table1[[#This Row],[delayed]]=1,Table1[[#This Row],[weather_condition]]="Storm"),"High Risk", IF(Table1[[#This Row],[delayed]]=1,"Medium Risk","Low Risk"))</f>
        <v>Medium Risk</v>
      </c>
    </row>
    <row r="1216" spans="1:14" x14ac:dyDescent="0.35">
      <c r="A1216">
        <v>1215</v>
      </c>
      <c r="B1216" s="1">
        <v>44977.583333333336</v>
      </c>
      <c r="C1216" s="2">
        <v>5.8333333333333327E-2</v>
      </c>
      <c r="D1216" s="3">
        <v>3240</v>
      </c>
      <c r="E1216" s="3">
        <v>137</v>
      </c>
      <c r="F1216" s="2">
        <v>72.797916666666666</v>
      </c>
      <c r="G1216" t="s">
        <v>2812</v>
      </c>
      <c r="H1216" t="s">
        <v>2820</v>
      </c>
      <c r="I1216" s="2">
        <v>2.0437499999999997</v>
      </c>
      <c r="J1216" s="4" t="str">
        <f>IF(Table1[[#This Row],[processing_time_hours]]&gt;1.5,"Slow", "Fast")</f>
        <v>Slow</v>
      </c>
      <c r="K1216" t="s">
        <v>2818</v>
      </c>
      <c r="L1216" s="3">
        <v>0</v>
      </c>
      <c r="M1216" t="str">
        <f>IF(Table1[[#This Row],[delayed]]=1,"Delayed","On Time")</f>
        <v>On Time</v>
      </c>
      <c r="N1216" t="str">
        <f>IF(AND(Table1[[#This Row],[delayed]]=1,Table1[[#This Row],[weather_condition]]="Storm"),"High Risk", IF(Table1[[#This Row],[delayed]]=1,"Medium Risk","Low Risk"))</f>
        <v>Low Risk</v>
      </c>
    </row>
    <row r="1217" spans="1:14" x14ac:dyDescent="0.35">
      <c r="A1217">
        <v>1216</v>
      </c>
      <c r="B1217" s="1">
        <v>44977.625</v>
      </c>
      <c r="C1217" s="2">
        <v>6.1805555555555558E-2</v>
      </c>
      <c r="D1217" s="3">
        <v>335</v>
      </c>
      <c r="E1217" s="3">
        <v>103</v>
      </c>
      <c r="F1217" s="2">
        <v>71.256250000000009</v>
      </c>
      <c r="G1217" t="s">
        <v>2812</v>
      </c>
      <c r="H1217" t="s">
        <v>2822</v>
      </c>
      <c r="I1217" s="2">
        <v>1.5041666666666667</v>
      </c>
      <c r="J1217" s="4" t="str">
        <f>IF(Table1[[#This Row],[processing_time_hours]]&gt;1.5,"Slow", "Fast")</f>
        <v>Slow</v>
      </c>
      <c r="K1217" t="s">
        <v>2821</v>
      </c>
      <c r="L1217" s="3">
        <v>0</v>
      </c>
      <c r="M1217" t="str">
        <f>IF(Table1[[#This Row],[delayed]]=1,"Delayed","On Time")</f>
        <v>On Time</v>
      </c>
      <c r="N1217" t="str">
        <f>IF(AND(Table1[[#This Row],[delayed]]=1,Table1[[#This Row],[weather_condition]]="Storm"),"High Risk", IF(Table1[[#This Row],[delayed]]=1,"Medium Risk","Low Risk"))</f>
        <v>Low Risk</v>
      </c>
    </row>
    <row r="1218" spans="1:14" x14ac:dyDescent="0.35">
      <c r="A1218">
        <v>1217</v>
      </c>
      <c r="B1218" s="1">
        <v>44977.666666666664</v>
      </c>
      <c r="C1218" s="2">
        <v>4.8611111111111112E-3</v>
      </c>
      <c r="D1218" s="3">
        <v>3020</v>
      </c>
      <c r="E1218" s="3">
        <v>108</v>
      </c>
      <c r="F1218" s="2">
        <v>60.209722222222219</v>
      </c>
      <c r="G1218" t="s">
        <v>2819</v>
      </c>
      <c r="H1218" t="s">
        <v>2822</v>
      </c>
      <c r="I1218" s="2">
        <v>2.9201388888888888</v>
      </c>
      <c r="J1218" s="4" t="str">
        <f>IF(Table1[[#This Row],[processing_time_hours]]&gt;1.5,"Slow", "Fast")</f>
        <v>Slow</v>
      </c>
      <c r="K1218" t="s">
        <v>2814</v>
      </c>
      <c r="L1218" s="3">
        <v>1</v>
      </c>
      <c r="M1218" t="str">
        <f>IF(Table1[[#This Row],[delayed]]=1,"Delayed","On Time")</f>
        <v>Delayed</v>
      </c>
      <c r="N1218" t="str">
        <f>IF(AND(Table1[[#This Row],[delayed]]=1,Table1[[#This Row],[weather_condition]]="Storm"),"High Risk", IF(Table1[[#This Row],[delayed]]=1,"Medium Risk","Low Risk"))</f>
        <v>Medium Risk</v>
      </c>
    </row>
    <row r="1219" spans="1:14" x14ac:dyDescent="0.35">
      <c r="A1219">
        <v>1218</v>
      </c>
      <c r="B1219" s="1">
        <v>44977.708333333336</v>
      </c>
      <c r="C1219" s="2">
        <v>6.458333333333334E-2</v>
      </c>
      <c r="D1219" s="3">
        <v>578</v>
      </c>
      <c r="E1219" s="3">
        <v>349</v>
      </c>
      <c r="F1219" s="2">
        <v>45.297916666666673</v>
      </c>
      <c r="G1219" t="s">
        <v>2812</v>
      </c>
      <c r="H1219" t="s">
        <v>2813</v>
      </c>
      <c r="I1219" s="2">
        <v>0.45833333333333331</v>
      </c>
      <c r="J1219" s="4" t="str">
        <f>IF(Table1[[#This Row],[processing_time_hours]]&gt;1.5,"Slow", "Fast")</f>
        <v>Fast</v>
      </c>
      <c r="K1219" t="s">
        <v>2818</v>
      </c>
      <c r="L1219" s="3">
        <v>0</v>
      </c>
      <c r="M1219" t="str">
        <f>IF(Table1[[#This Row],[delayed]]=1,"Delayed","On Time")</f>
        <v>On Time</v>
      </c>
      <c r="N1219" t="str">
        <f>IF(AND(Table1[[#This Row],[delayed]]=1,Table1[[#This Row],[weather_condition]]="Storm"),"High Risk", IF(Table1[[#This Row],[delayed]]=1,"Medium Risk","Low Risk"))</f>
        <v>Low Risk</v>
      </c>
    </row>
    <row r="1220" spans="1:14" x14ac:dyDescent="0.35">
      <c r="A1220">
        <v>1219</v>
      </c>
      <c r="B1220" s="1">
        <v>44977.75</v>
      </c>
      <c r="C1220" s="2">
        <v>6.3194444444444442E-2</v>
      </c>
      <c r="D1220" s="3">
        <v>3808</v>
      </c>
      <c r="E1220" s="3">
        <v>145</v>
      </c>
      <c r="F1220" s="2">
        <v>45.502777777777773</v>
      </c>
      <c r="G1220" t="s">
        <v>2819</v>
      </c>
      <c r="H1220" t="s">
        <v>2820</v>
      </c>
      <c r="I1220" s="2">
        <v>2.5868055555555558</v>
      </c>
      <c r="J1220" s="4" t="str">
        <f>IF(Table1[[#This Row],[processing_time_hours]]&gt;1.5,"Slow", "Fast")</f>
        <v>Slow</v>
      </c>
      <c r="K1220" t="s">
        <v>2818</v>
      </c>
      <c r="L1220" s="3">
        <v>0</v>
      </c>
      <c r="M1220" t="str">
        <f>IF(Table1[[#This Row],[delayed]]=1,"Delayed","On Time")</f>
        <v>On Time</v>
      </c>
      <c r="N1220" t="str">
        <f>IF(AND(Table1[[#This Row],[delayed]]=1,Table1[[#This Row],[weather_condition]]="Storm"),"High Risk", IF(Table1[[#This Row],[delayed]]=1,"Medium Risk","Low Risk"))</f>
        <v>Low Risk</v>
      </c>
    </row>
    <row r="1221" spans="1:14" x14ac:dyDescent="0.35">
      <c r="A1221">
        <v>1220</v>
      </c>
      <c r="B1221" s="1">
        <v>44977.791666666664</v>
      </c>
      <c r="C1221" s="2">
        <v>6.5277777777777782E-2</v>
      </c>
      <c r="D1221" s="3">
        <v>2108</v>
      </c>
      <c r="E1221" s="3">
        <v>25</v>
      </c>
      <c r="F1221" s="2">
        <v>63.459027777777777</v>
      </c>
      <c r="G1221" t="s">
        <v>2816</v>
      </c>
      <c r="H1221" t="s">
        <v>2817</v>
      </c>
      <c r="I1221" s="2">
        <v>2.3374999999999999</v>
      </c>
      <c r="J1221" s="4" t="str">
        <f>IF(Table1[[#This Row],[processing_time_hours]]&gt;1.5,"Slow", "Fast")</f>
        <v>Slow</v>
      </c>
      <c r="K1221" t="s">
        <v>2818</v>
      </c>
      <c r="L1221" s="3">
        <v>0</v>
      </c>
      <c r="M1221" t="str">
        <f>IF(Table1[[#This Row],[delayed]]=1,"Delayed","On Time")</f>
        <v>On Time</v>
      </c>
      <c r="N1221" t="str">
        <f>IF(AND(Table1[[#This Row],[delayed]]=1,Table1[[#This Row],[weather_condition]]="Storm"),"High Risk", IF(Table1[[#This Row],[delayed]]=1,"Medium Risk","Low Risk"))</f>
        <v>Low Risk</v>
      </c>
    </row>
    <row r="1222" spans="1:14" x14ac:dyDescent="0.35">
      <c r="A1222">
        <v>1221</v>
      </c>
      <c r="B1222" s="1">
        <v>44977.833333333336</v>
      </c>
      <c r="C1222" s="2">
        <v>6.2499999999999995E-3</v>
      </c>
      <c r="D1222" s="3">
        <v>358</v>
      </c>
      <c r="E1222" s="3">
        <v>10</v>
      </c>
      <c r="F1222" s="2">
        <v>45.839583333333337</v>
      </c>
      <c r="G1222" t="s">
        <v>2815</v>
      </c>
      <c r="H1222" t="s">
        <v>2813</v>
      </c>
      <c r="I1222" s="2">
        <v>2.754861111111111</v>
      </c>
      <c r="J1222" s="4" t="str">
        <f>IF(Table1[[#This Row],[processing_time_hours]]&gt;1.5,"Slow", "Fast")</f>
        <v>Slow</v>
      </c>
      <c r="K1222" t="s">
        <v>2818</v>
      </c>
      <c r="L1222" s="3">
        <v>0</v>
      </c>
      <c r="M1222" t="str">
        <f>IF(Table1[[#This Row],[delayed]]=1,"Delayed","On Time")</f>
        <v>On Time</v>
      </c>
      <c r="N1222" t="str">
        <f>IF(AND(Table1[[#This Row],[delayed]]=1,Table1[[#This Row],[weather_condition]]="Storm"),"High Risk", IF(Table1[[#This Row],[delayed]]=1,"Medium Risk","Low Risk"))</f>
        <v>Low Risk</v>
      </c>
    </row>
    <row r="1223" spans="1:14" x14ac:dyDescent="0.35">
      <c r="A1223">
        <v>1222</v>
      </c>
      <c r="B1223" s="1">
        <v>44977.875</v>
      </c>
      <c r="C1223" s="2">
        <v>6.0416666666666667E-2</v>
      </c>
      <c r="D1223" s="3">
        <v>4733</v>
      </c>
      <c r="E1223" s="3">
        <v>160</v>
      </c>
      <c r="F1223" s="2">
        <v>30.333333333333332</v>
      </c>
      <c r="G1223" t="s">
        <v>2819</v>
      </c>
      <c r="H1223" t="s">
        <v>2817</v>
      </c>
      <c r="I1223" s="2">
        <v>2.3340277777777776</v>
      </c>
      <c r="J1223" s="4" t="str">
        <f>IF(Table1[[#This Row],[processing_time_hours]]&gt;1.5,"Slow", "Fast")</f>
        <v>Slow</v>
      </c>
      <c r="K1223" t="s">
        <v>2818</v>
      </c>
      <c r="L1223" s="3">
        <v>0</v>
      </c>
      <c r="M1223" t="str">
        <f>IF(Table1[[#This Row],[delayed]]=1,"Delayed","On Time")</f>
        <v>On Time</v>
      </c>
      <c r="N1223" t="str">
        <f>IF(AND(Table1[[#This Row],[delayed]]=1,Table1[[#This Row],[weather_condition]]="Storm"),"High Risk", IF(Table1[[#This Row],[delayed]]=1,"Medium Risk","Low Risk"))</f>
        <v>Low Risk</v>
      </c>
    </row>
    <row r="1224" spans="1:14" x14ac:dyDescent="0.35">
      <c r="A1224">
        <v>1223</v>
      </c>
      <c r="B1224" s="1">
        <v>44977.916666666664</v>
      </c>
      <c r="C1224" s="2">
        <v>5.6944444444444443E-2</v>
      </c>
      <c r="D1224" s="3">
        <v>1779</v>
      </c>
      <c r="E1224" s="3">
        <v>487</v>
      </c>
      <c r="F1224" s="2">
        <v>74.504166666666663</v>
      </c>
      <c r="G1224" t="s">
        <v>2815</v>
      </c>
      <c r="H1224" t="s">
        <v>2820</v>
      </c>
      <c r="I1224" s="2">
        <v>2.125</v>
      </c>
      <c r="J1224" s="4" t="str">
        <f>IF(Table1[[#This Row],[processing_time_hours]]&gt;1.5,"Slow", "Fast")</f>
        <v>Slow</v>
      </c>
      <c r="K1224" t="s">
        <v>2814</v>
      </c>
      <c r="L1224" s="3">
        <v>0</v>
      </c>
      <c r="M1224" t="str">
        <f>IF(Table1[[#This Row],[delayed]]=1,"Delayed","On Time")</f>
        <v>On Time</v>
      </c>
      <c r="N1224" t="str">
        <f>IF(AND(Table1[[#This Row],[delayed]]=1,Table1[[#This Row],[weather_condition]]="Storm"),"High Risk", IF(Table1[[#This Row],[delayed]]=1,"Medium Risk","Low Risk"))</f>
        <v>Low Risk</v>
      </c>
    </row>
    <row r="1225" spans="1:14" x14ac:dyDescent="0.35">
      <c r="A1225">
        <v>1224</v>
      </c>
      <c r="B1225" s="1">
        <v>44977.958333333336</v>
      </c>
      <c r="C1225" s="2">
        <v>6.5277777777777782E-2</v>
      </c>
      <c r="D1225" s="3">
        <v>2232</v>
      </c>
      <c r="E1225" s="3">
        <v>290</v>
      </c>
      <c r="F1225" s="2">
        <v>2.1722222222222221</v>
      </c>
      <c r="G1225" t="s">
        <v>2815</v>
      </c>
      <c r="H1225" t="s">
        <v>2817</v>
      </c>
      <c r="I1225" s="2">
        <v>2.4611111111111112</v>
      </c>
      <c r="J1225" s="4" t="str">
        <f>IF(Table1[[#This Row],[processing_time_hours]]&gt;1.5,"Slow", "Fast")</f>
        <v>Slow</v>
      </c>
      <c r="K1225" t="s">
        <v>2821</v>
      </c>
      <c r="L1225" s="3">
        <v>0</v>
      </c>
      <c r="M1225" t="str">
        <f>IF(Table1[[#This Row],[delayed]]=1,"Delayed","On Time")</f>
        <v>On Time</v>
      </c>
      <c r="N1225" t="str">
        <f>IF(AND(Table1[[#This Row],[delayed]]=1,Table1[[#This Row],[weather_condition]]="Storm"),"High Risk", IF(Table1[[#This Row],[delayed]]=1,"Medium Risk","Low Risk"))</f>
        <v>Low Risk</v>
      </c>
    </row>
    <row r="1226" spans="1:14" x14ac:dyDescent="0.35">
      <c r="A1226">
        <v>1225</v>
      </c>
      <c r="B1226" s="1">
        <v>44978</v>
      </c>
      <c r="C1226" s="2">
        <v>4.7916666666666663E-2</v>
      </c>
      <c r="D1226" s="3">
        <v>1069</v>
      </c>
      <c r="E1226" s="3">
        <v>202</v>
      </c>
      <c r="F1226" s="2">
        <v>43.63055555555556</v>
      </c>
      <c r="G1226" t="s">
        <v>2819</v>
      </c>
      <c r="H1226" t="s">
        <v>2822</v>
      </c>
      <c r="I1226" s="2">
        <v>2.5062500000000001</v>
      </c>
      <c r="J1226" s="4" t="str">
        <f>IF(Table1[[#This Row],[processing_time_hours]]&gt;1.5,"Slow", "Fast")</f>
        <v>Slow</v>
      </c>
      <c r="K1226" t="s">
        <v>2818</v>
      </c>
      <c r="L1226" s="3">
        <v>0</v>
      </c>
      <c r="M1226" t="str">
        <f>IF(Table1[[#This Row],[delayed]]=1,"Delayed","On Time")</f>
        <v>On Time</v>
      </c>
      <c r="N1226" t="str">
        <f>IF(AND(Table1[[#This Row],[delayed]]=1,Table1[[#This Row],[weather_condition]]="Storm"),"High Risk", IF(Table1[[#This Row],[delayed]]=1,"Medium Risk","Low Risk"))</f>
        <v>Low Risk</v>
      </c>
    </row>
    <row r="1227" spans="1:14" x14ac:dyDescent="0.35">
      <c r="A1227">
        <v>1226</v>
      </c>
      <c r="B1227" s="1">
        <v>44978.041666666664</v>
      </c>
      <c r="C1227" s="2">
        <v>6.0416666666666667E-2</v>
      </c>
      <c r="D1227" s="3">
        <v>4405</v>
      </c>
      <c r="E1227" s="3">
        <v>26</v>
      </c>
      <c r="F1227" s="2">
        <v>40.755555555555553</v>
      </c>
      <c r="G1227" t="s">
        <v>2819</v>
      </c>
      <c r="H1227" t="s">
        <v>2820</v>
      </c>
      <c r="I1227" s="2">
        <v>0.87986111111111109</v>
      </c>
      <c r="J1227" s="4" t="str">
        <f>IF(Table1[[#This Row],[processing_time_hours]]&gt;1.5,"Slow", "Fast")</f>
        <v>Fast</v>
      </c>
      <c r="K1227" t="s">
        <v>2818</v>
      </c>
      <c r="L1227" s="3">
        <v>0</v>
      </c>
      <c r="M1227" t="str">
        <f>IF(Table1[[#This Row],[delayed]]=1,"Delayed","On Time")</f>
        <v>On Time</v>
      </c>
      <c r="N1227" t="str">
        <f>IF(AND(Table1[[#This Row],[delayed]]=1,Table1[[#This Row],[weather_condition]]="Storm"),"High Risk", IF(Table1[[#This Row],[delayed]]=1,"Medium Risk","Low Risk"))</f>
        <v>Low Risk</v>
      </c>
    </row>
    <row r="1228" spans="1:14" x14ac:dyDescent="0.35">
      <c r="A1228">
        <v>1227</v>
      </c>
      <c r="B1228" s="1">
        <v>44978.083333333336</v>
      </c>
      <c r="C1228" s="2">
        <v>6.3888888888888898E-2</v>
      </c>
      <c r="D1228" s="3">
        <v>888</v>
      </c>
      <c r="E1228" s="3">
        <v>255</v>
      </c>
      <c r="F1228" s="2">
        <v>27.795833333333334</v>
      </c>
      <c r="G1228" t="s">
        <v>2815</v>
      </c>
      <c r="H1228" t="s">
        <v>2813</v>
      </c>
      <c r="I1228" s="2">
        <v>1.7083333333333333</v>
      </c>
      <c r="J1228" s="4" t="str">
        <f>IF(Table1[[#This Row],[processing_time_hours]]&gt;1.5,"Slow", "Fast")</f>
        <v>Slow</v>
      </c>
      <c r="K1228" t="s">
        <v>2818</v>
      </c>
      <c r="L1228" s="3">
        <v>0</v>
      </c>
      <c r="M1228" t="str">
        <f>IF(Table1[[#This Row],[delayed]]=1,"Delayed","On Time")</f>
        <v>On Time</v>
      </c>
      <c r="N1228" t="str">
        <f>IF(AND(Table1[[#This Row],[delayed]]=1,Table1[[#This Row],[weather_condition]]="Storm"),"High Risk", IF(Table1[[#This Row],[delayed]]=1,"Medium Risk","Low Risk"))</f>
        <v>Low Risk</v>
      </c>
    </row>
    <row r="1229" spans="1:14" x14ac:dyDescent="0.35">
      <c r="A1229">
        <v>1228</v>
      </c>
      <c r="B1229" s="1">
        <v>44978.125</v>
      </c>
      <c r="C1229" s="2">
        <v>6.3194444444444442E-2</v>
      </c>
      <c r="D1229" s="3">
        <v>2250</v>
      </c>
      <c r="E1229" s="3">
        <v>446</v>
      </c>
      <c r="F1229" s="2">
        <v>16.672222222222221</v>
      </c>
      <c r="G1229" t="s">
        <v>2816</v>
      </c>
      <c r="H1229" t="s">
        <v>2813</v>
      </c>
      <c r="I1229" s="2">
        <v>1.6729166666666666</v>
      </c>
      <c r="J1229" s="4" t="str">
        <f>IF(Table1[[#This Row],[processing_time_hours]]&gt;1.5,"Slow", "Fast")</f>
        <v>Slow</v>
      </c>
      <c r="K1229" t="s">
        <v>2818</v>
      </c>
      <c r="L1229" s="3">
        <v>0</v>
      </c>
      <c r="M1229" t="str">
        <f>IF(Table1[[#This Row],[delayed]]=1,"Delayed","On Time")</f>
        <v>On Time</v>
      </c>
      <c r="N1229" t="str">
        <f>IF(AND(Table1[[#This Row],[delayed]]=1,Table1[[#This Row],[weather_condition]]="Storm"),"High Risk", IF(Table1[[#This Row],[delayed]]=1,"Medium Risk","Low Risk"))</f>
        <v>Low Risk</v>
      </c>
    </row>
    <row r="1230" spans="1:14" x14ac:dyDescent="0.35">
      <c r="A1230">
        <v>1229</v>
      </c>
      <c r="B1230" s="1">
        <v>44978.166666666664</v>
      </c>
      <c r="C1230" s="2">
        <v>4.5138888888888888E-2</v>
      </c>
      <c r="D1230" s="3">
        <v>91</v>
      </c>
      <c r="E1230" s="3">
        <v>267</v>
      </c>
      <c r="F1230" s="2">
        <v>29.464583333333334</v>
      </c>
      <c r="G1230" t="s">
        <v>2812</v>
      </c>
      <c r="H1230" t="s">
        <v>2813</v>
      </c>
      <c r="I1230" s="2">
        <v>0.87638888888888899</v>
      </c>
      <c r="J1230" s="4" t="str">
        <f>IF(Table1[[#This Row],[processing_time_hours]]&gt;1.5,"Slow", "Fast")</f>
        <v>Fast</v>
      </c>
      <c r="K1230" t="s">
        <v>2818</v>
      </c>
      <c r="L1230" s="3">
        <v>0</v>
      </c>
      <c r="M1230" t="str">
        <f>IF(Table1[[#This Row],[delayed]]=1,"Delayed","On Time")</f>
        <v>On Time</v>
      </c>
      <c r="N1230" t="str">
        <f>IF(AND(Table1[[#This Row],[delayed]]=1,Table1[[#This Row],[weather_condition]]="Storm"),"High Risk", IF(Table1[[#This Row],[delayed]]=1,"Medium Risk","Low Risk"))</f>
        <v>Low Risk</v>
      </c>
    </row>
    <row r="1231" spans="1:14" x14ac:dyDescent="0.35">
      <c r="A1231">
        <v>1230</v>
      </c>
      <c r="B1231" s="1">
        <v>44978.208333333336</v>
      </c>
      <c r="C1231" s="2">
        <v>5.0694444444444438E-2</v>
      </c>
      <c r="D1231" s="3">
        <v>3234</v>
      </c>
      <c r="E1231" s="3">
        <v>252</v>
      </c>
      <c r="F1231" s="2">
        <v>54.214583333333337</v>
      </c>
      <c r="G1231" t="s">
        <v>2812</v>
      </c>
      <c r="H1231" t="s">
        <v>2813</v>
      </c>
      <c r="I1231" s="2">
        <v>0.33402777777777781</v>
      </c>
      <c r="J1231" s="4" t="str">
        <f>IF(Table1[[#This Row],[processing_time_hours]]&gt;1.5,"Slow", "Fast")</f>
        <v>Fast</v>
      </c>
      <c r="K1231" t="s">
        <v>2818</v>
      </c>
      <c r="L1231" s="3">
        <v>1</v>
      </c>
      <c r="M1231" t="str">
        <f>IF(Table1[[#This Row],[delayed]]=1,"Delayed","On Time")</f>
        <v>Delayed</v>
      </c>
      <c r="N1231" t="str">
        <f>IF(AND(Table1[[#This Row],[delayed]]=1,Table1[[#This Row],[weather_condition]]="Storm"),"High Risk", IF(Table1[[#This Row],[delayed]]=1,"Medium Risk","Low Risk"))</f>
        <v>Medium Risk</v>
      </c>
    </row>
    <row r="1232" spans="1:14" x14ac:dyDescent="0.35">
      <c r="A1232">
        <v>1231</v>
      </c>
      <c r="B1232" s="1">
        <v>44978.25</v>
      </c>
      <c r="C1232" s="2">
        <v>6.7361111111111108E-2</v>
      </c>
      <c r="D1232" s="3">
        <v>3640</v>
      </c>
      <c r="E1232" s="3">
        <v>321</v>
      </c>
      <c r="F1232" s="2">
        <v>24.963194444444444</v>
      </c>
      <c r="G1232" t="s">
        <v>2812</v>
      </c>
      <c r="H1232" t="s">
        <v>2817</v>
      </c>
      <c r="I1232" s="2">
        <v>2.8763888888888887</v>
      </c>
      <c r="J1232" s="4" t="str">
        <f>IF(Table1[[#This Row],[processing_time_hours]]&gt;1.5,"Slow", "Fast")</f>
        <v>Slow</v>
      </c>
      <c r="K1232" t="s">
        <v>2814</v>
      </c>
      <c r="L1232" s="3">
        <v>0</v>
      </c>
      <c r="M1232" t="str">
        <f>IF(Table1[[#This Row],[delayed]]=1,"Delayed","On Time")</f>
        <v>On Time</v>
      </c>
      <c r="N1232" t="str">
        <f>IF(AND(Table1[[#This Row],[delayed]]=1,Table1[[#This Row],[weather_condition]]="Storm"),"High Risk", IF(Table1[[#This Row],[delayed]]=1,"Medium Risk","Low Risk"))</f>
        <v>Low Risk</v>
      </c>
    </row>
    <row r="1233" spans="1:14" x14ac:dyDescent="0.35">
      <c r="A1233">
        <v>1232</v>
      </c>
      <c r="B1233" s="1">
        <v>44978.291666666664</v>
      </c>
      <c r="C1233" s="2">
        <v>6.3194444444444442E-2</v>
      </c>
      <c r="D1233" s="3">
        <v>2030</v>
      </c>
      <c r="E1233" s="3">
        <v>183</v>
      </c>
      <c r="F1233" s="2">
        <v>40.631250000000001</v>
      </c>
      <c r="G1233" t="s">
        <v>2816</v>
      </c>
      <c r="H1233" t="s">
        <v>2820</v>
      </c>
      <c r="I1233" s="2">
        <v>0.58611111111111114</v>
      </c>
      <c r="J1233" s="4" t="str">
        <f>IF(Table1[[#This Row],[processing_time_hours]]&gt;1.5,"Slow", "Fast")</f>
        <v>Fast</v>
      </c>
      <c r="K1233" t="s">
        <v>2818</v>
      </c>
      <c r="L1233" s="3">
        <v>0</v>
      </c>
      <c r="M1233" t="str">
        <f>IF(Table1[[#This Row],[delayed]]=1,"Delayed","On Time")</f>
        <v>On Time</v>
      </c>
      <c r="N1233" t="str">
        <f>IF(AND(Table1[[#This Row],[delayed]]=1,Table1[[#This Row],[weather_condition]]="Storm"),"High Risk", IF(Table1[[#This Row],[delayed]]=1,"Medium Risk","Low Risk"))</f>
        <v>Low Risk</v>
      </c>
    </row>
    <row r="1234" spans="1:14" x14ac:dyDescent="0.35">
      <c r="A1234">
        <v>1233</v>
      </c>
      <c r="B1234" s="1">
        <v>44978.333333333336</v>
      </c>
      <c r="C1234" s="2">
        <v>4.5833333333333337E-2</v>
      </c>
      <c r="D1234" s="3">
        <v>4163</v>
      </c>
      <c r="E1234" s="3">
        <v>69</v>
      </c>
      <c r="F1234" s="2">
        <v>45.37638888888889</v>
      </c>
      <c r="G1234" t="s">
        <v>2816</v>
      </c>
      <c r="H1234" t="s">
        <v>2820</v>
      </c>
      <c r="I1234" s="2">
        <v>2.7104166666666667</v>
      </c>
      <c r="J1234" s="4" t="str">
        <f>IF(Table1[[#This Row],[processing_time_hours]]&gt;1.5,"Slow", "Fast")</f>
        <v>Slow</v>
      </c>
      <c r="K1234" t="s">
        <v>2818</v>
      </c>
      <c r="L1234" s="3">
        <v>0</v>
      </c>
      <c r="M1234" t="str">
        <f>IF(Table1[[#This Row],[delayed]]=1,"Delayed","On Time")</f>
        <v>On Time</v>
      </c>
      <c r="N1234" t="str">
        <f>IF(AND(Table1[[#This Row],[delayed]]=1,Table1[[#This Row],[weather_condition]]="Storm"),"High Risk", IF(Table1[[#This Row],[delayed]]=1,"Medium Risk","Low Risk"))</f>
        <v>Low Risk</v>
      </c>
    </row>
    <row r="1235" spans="1:14" x14ac:dyDescent="0.35">
      <c r="A1235">
        <v>1234</v>
      </c>
      <c r="B1235" s="1">
        <v>44978.375</v>
      </c>
      <c r="C1235" s="2">
        <v>5.486111111111111E-2</v>
      </c>
      <c r="D1235" s="3">
        <v>2315</v>
      </c>
      <c r="E1235" s="3">
        <v>496</v>
      </c>
      <c r="F1235" s="2">
        <v>30.043749999999999</v>
      </c>
      <c r="G1235" t="s">
        <v>2819</v>
      </c>
      <c r="H1235" t="s">
        <v>2813</v>
      </c>
      <c r="I1235" s="2">
        <v>4.4444444444444446E-2</v>
      </c>
      <c r="J1235" s="4" t="str">
        <f>IF(Table1[[#This Row],[processing_time_hours]]&gt;1.5,"Slow", "Fast")</f>
        <v>Fast</v>
      </c>
      <c r="K1235" t="s">
        <v>2821</v>
      </c>
      <c r="L1235" s="3">
        <v>1</v>
      </c>
      <c r="M1235" t="str">
        <f>IF(Table1[[#This Row],[delayed]]=1,"Delayed","On Time")</f>
        <v>Delayed</v>
      </c>
      <c r="N1235" t="str">
        <f>IF(AND(Table1[[#This Row],[delayed]]=1,Table1[[#This Row],[weather_condition]]="Storm"),"High Risk", IF(Table1[[#This Row],[delayed]]=1,"Medium Risk","Low Risk"))</f>
        <v>Medium Risk</v>
      </c>
    </row>
    <row r="1236" spans="1:14" x14ac:dyDescent="0.35">
      <c r="A1236">
        <v>1235</v>
      </c>
      <c r="B1236" s="1">
        <v>44978.416666666664</v>
      </c>
      <c r="C1236" s="2">
        <v>6.3888888888888898E-2</v>
      </c>
      <c r="D1236" s="3">
        <v>2148</v>
      </c>
      <c r="E1236" s="3">
        <v>450</v>
      </c>
      <c r="F1236" s="2">
        <v>36.461111111111116</v>
      </c>
      <c r="G1236" t="s">
        <v>2812</v>
      </c>
      <c r="H1236" t="s">
        <v>2817</v>
      </c>
      <c r="I1236" s="2">
        <v>0.87708333333333333</v>
      </c>
      <c r="J1236" s="4" t="str">
        <f>IF(Table1[[#This Row],[processing_time_hours]]&gt;1.5,"Slow", "Fast")</f>
        <v>Fast</v>
      </c>
      <c r="K1236" t="s">
        <v>2821</v>
      </c>
      <c r="L1236" s="3">
        <v>0</v>
      </c>
      <c r="M1236" t="str">
        <f>IF(Table1[[#This Row],[delayed]]=1,"Delayed","On Time")</f>
        <v>On Time</v>
      </c>
      <c r="N1236" t="str">
        <f>IF(AND(Table1[[#This Row],[delayed]]=1,Table1[[#This Row],[weather_condition]]="Storm"),"High Risk", IF(Table1[[#This Row],[delayed]]=1,"Medium Risk","Low Risk"))</f>
        <v>Low Risk</v>
      </c>
    </row>
    <row r="1237" spans="1:14" x14ac:dyDescent="0.35">
      <c r="A1237">
        <v>1236</v>
      </c>
      <c r="B1237" s="1">
        <v>44978.458333333336</v>
      </c>
      <c r="C1237" s="2">
        <v>6.5277777777777782E-2</v>
      </c>
      <c r="D1237" s="3">
        <v>1416</v>
      </c>
      <c r="E1237" s="3">
        <v>129</v>
      </c>
      <c r="F1237" s="2">
        <v>51.33819444444444</v>
      </c>
      <c r="G1237" t="s">
        <v>2812</v>
      </c>
      <c r="H1237" t="s">
        <v>2822</v>
      </c>
      <c r="I1237" s="2">
        <v>1.1284722222222221</v>
      </c>
      <c r="J1237" s="4" t="str">
        <f>IF(Table1[[#This Row],[processing_time_hours]]&gt;1.5,"Slow", "Fast")</f>
        <v>Fast</v>
      </c>
      <c r="K1237" t="s">
        <v>2821</v>
      </c>
      <c r="L1237" s="3">
        <v>0</v>
      </c>
      <c r="M1237" t="str">
        <f>IF(Table1[[#This Row],[delayed]]=1,"Delayed","On Time")</f>
        <v>On Time</v>
      </c>
      <c r="N1237" t="str">
        <f>IF(AND(Table1[[#This Row],[delayed]]=1,Table1[[#This Row],[weather_condition]]="Storm"),"High Risk", IF(Table1[[#This Row],[delayed]]=1,"Medium Risk","Low Risk"))</f>
        <v>Low Risk</v>
      </c>
    </row>
    <row r="1238" spans="1:14" x14ac:dyDescent="0.35">
      <c r="A1238">
        <v>1237</v>
      </c>
      <c r="B1238" s="1">
        <v>44978.5</v>
      </c>
      <c r="C1238" s="2">
        <v>5.6250000000000001E-2</v>
      </c>
      <c r="D1238" s="3">
        <v>1843</v>
      </c>
      <c r="E1238" s="3">
        <v>438</v>
      </c>
      <c r="F1238" s="2">
        <v>17.666666666666668</v>
      </c>
      <c r="G1238" t="s">
        <v>2816</v>
      </c>
      <c r="H1238" t="s">
        <v>2813</v>
      </c>
      <c r="I1238" s="2">
        <v>1.7145833333333333</v>
      </c>
      <c r="J1238" s="4" t="str">
        <f>IF(Table1[[#This Row],[processing_time_hours]]&gt;1.5,"Slow", "Fast")</f>
        <v>Slow</v>
      </c>
      <c r="K1238" t="s">
        <v>2818</v>
      </c>
      <c r="L1238" s="3">
        <v>1</v>
      </c>
      <c r="M1238" t="str">
        <f>IF(Table1[[#This Row],[delayed]]=1,"Delayed","On Time")</f>
        <v>Delayed</v>
      </c>
      <c r="N1238" t="str">
        <f>IF(AND(Table1[[#This Row],[delayed]]=1,Table1[[#This Row],[weather_condition]]="Storm"),"High Risk", IF(Table1[[#This Row],[delayed]]=1,"Medium Risk","Low Risk"))</f>
        <v>Medium Risk</v>
      </c>
    </row>
    <row r="1239" spans="1:14" x14ac:dyDescent="0.35">
      <c r="A1239">
        <v>1238</v>
      </c>
      <c r="B1239" s="1">
        <v>44978.541666666664</v>
      </c>
      <c r="C1239" s="2">
        <v>4.4444444444444446E-2</v>
      </c>
      <c r="D1239" s="3">
        <v>4490</v>
      </c>
      <c r="E1239" s="3">
        <v>208</v>
      </c>
      <c r="F1239" s="2">
        <v>40.666666666666664</v>
      </c>
      <c r="G1239" t="s">
        <v>2815</v>
      </c>
      <c r="H1239" t="s">
        <v>2817</v>
      </c>
      <c r="I1239" s="2">
        <v>1.2520833333333334</v>
      </c>
      <c r="J1239" s="4" t="str">
        <f>IF(Table1[[#This Row],[processing_time_hours]]&gt;1.5,"Slow", "Fast")</f>
        <v>Fast</v>
      </c>
      <c r="K1239" t="s">
        <v>2814</v>
      </c>
      <c r="L1239" s="3">
        <v>0</v>
      </c>
      <c r="M1239" t="str">
        <f>IF(Table1[[#This Row],[delayed]]=1,"Delayed","On Time")</f>
        <v>On Time</v>
      </c>
      <c r="N1239" t="str">
        <f>IF(AND(Table1[[#This Row],[delayed]]=1,Table1[[#This Row],[weather_condition]]="Storm"),"High Risk", IF(Table1[[#This Row],[delayed]]=1,"Medium Risk","Low Risk"))</f>
        <v>Low Risk</v>
      </c>
    </row>
    <row r="1240" spans="1:14" x14ac:dyDescent="0.35">
      <c r="A1240">
        <v>1239</v>
      </c>
      <c r="B1240" s="1">
        <v>44978.583333333336</v>
      </c>
      <c r="C1240" s="2">
        <v>4.7916666666666663E-2</v>
      </c>
      <c r="D1240" s="3">
        <v>2326</v>
      </c>
      <c r="E1240" s="3">
        <v>468</v>
      </c>
      <c r="F1240" s="2">
        <v>44.459027777777777</v>
      </c>
      <c r="G1240" t="s">
        <v>2812</v>
      </c>
      <c r="H1240" t="s">
        <v>2820</v>
      </c>
      <c r="I1240" s="2">
        <v>0.38055555555555554</v>
      </c>
      <c r="J1240" s="4" t="str">
        <f>IF(Table1[[#This Row],[processing_time_hours]]&gt;1.5,"Slow", "Fast")</f>
        <v>Fast</v>
      </c>
      <c r="K1240" t="s">
        <v>2821</v>
      </c>
      <c r="L1240" s="3">
        <v>1</v>
      </c>
      <c r="M1240" t="str">
        <f>IF(Table1[[#This Row],[delayed]]=1,"Delayed","On Time")</f>
        <v>Delayed</v>
      </c>
      <c r="N1240" t="str">
        <f>IF(AND(Table1[[#This Row],[delayed]]=1,Table1[[#This Row],[weather_condition]]="Storm"),"High Risk", IF(Table1[[#This Row],[delayed]]=1,"Medium Risk","Low Risk"))</f>
        <v>Medium Risk</v>
      </c>
    </row>
    <row r="1241" spans="1:14" x14ac:dyDescent="0.35">
      <c r="A1241">
        <v>1240</v>
      </c>
      <c r="B1241" s="1">
        <v>44978.625</v>
      </c>
      <c r="C1241" s="2">
        <v>4.2361111111111106E-2</v>
      </c>
      <c r="D1241" s="3">
        <v>283</v>
      </c>
      <c r="E1241" s="3">
        <v>384</v>
      </c>
      <c r="F1241" s="2">
        <v>68.96041666666666</v>
      </c>
      <c r="G1241" t="s">
        <v>2816</v>
      </c>
      <c r="H1241" t="s">
        <v>2813</v>
      </c>
      <c r="I1241" s="2">
        <v>1.5416666666666667</v>
      </c>
      <c r="J1241" s="4" t="str">
        <f>IF(Table1[[#This Row],[processing_time_hours]]&gt;1.5,"Slow", "Fast")</f>
        <v>Slow</v>
      </c>
      <c r="K1241" t="s">
        <v>2818</v>
      </c>
      <c r="L1241" s="3">
        <v>0</v>
      </c>
      <c r="M1241" t="str">
        <f>IF(Table1[[#This Row],[delayed]]=1,"Delayed","On Time")</f>
        <v>On Time</v>
      </c>
      <c r="N1241" t="str">
        <f>IF(AND(Table1[[#This Row],[delayed]]=1,Table1[[#This Row],[weather_condition]]="Storm"),"High Risk", IF(Table1[[#This Row],[delayed]]=1,"Medium Risk","Low Risk"))</f>
        <v>Low Risk</v>
      </c>
    </row>
    <row r="1242" spans="1:14" x14ac:dyDescent="0.35">
      <c r="A1242">
        <v>1241</v>
      </c>
      <c r="B1242" s="1">
        <v>44978.666666666664</v>
      </c>
      <c r="C1242" s="2">
        <v>4.6527777777777779E-2</v>
      </c>
      <c r="D1242" s="3">
        <v>4162</v>
      </c>
      <c r="E1242" s="3">
        <v>217</v>
      </c>
      <c r="F1242" s="2">
        <v>23.251388888888886</v>
      </c>
      <c r="G1242" t="s">
        <v>2816</v>
      </c>
      <c r="H1242" t="s">
        <v>2820</v>
      </c>
      <c r="I1242" s="2">
        <v>2.3347222222222221</v>
      </c>
      <c r="J1242" s="4" t="str">
        <f>IF(Table1[[#This Row],[processing_time_hours]]&gt;1.5,"Slow", "Fast")</f>
        <v>Slow</v>
      </c>
      <c r="K1242" t="s">
        <v>2814</v>
      </c>
      <c r="L1242" s="3">
        <v>0</v>
      </c>
      <c r="M1242" t="str">
        <f>IF(Table1[[#This Row],[delayed]]=1,"Delayed","On Time")</f>
        <v>On Time</v>
      </c>
      <c r="N1242" t="str">
        <f>IF(AND(Table1[[#This Row],[delayed]]=1,Table1[[#This Row],[weather_condition]]="Storm"),"High Risk", IF(Table1[[#This Row],[delayed]]=1,"Medium Risk","Low Risk"))</f>
        <v>Low Risk</v>
      </c>
    </row>
    <row r="1243" spans="1:14" x14ac:dyDescent="0.35">
      <c r="A1243">
        <v>1242</v>
      </c>
      <c r="B1243" s="1">
        <v>44978.708333333336</v>
      </c>
      <c r="C1243" s="2">
        <v>4.3055555555555562E-2</v>
      </c>
      <c r="D1243" s="3">
        <v>4346</v>
      </c>
      <c r="E1243" s="3">
        <v>491</v>
      </c>
      <c r="F1243" s="2">
        <v>67.003472222222214</v>
      </c>
      <c r="G1243" t="s">
        <v>2812</v>
      </c>
      <c r="H1243" t="s">
        <v>2813</v>
      </c>
      <c r="I1243" s="2">
        <v>1.2104166666666667</v>
      </c>
      <c r="J1243" s="4" t="str">
        <f>IF(Table1[[#This Row],[processing_time_hours]]&gt;1.5,"Slow", "Fast")</f>
        <v>Fast</v>
      </c>
      <c r="K1243" t="s">
        <v>2814</v>
      </c>
      <c r="L1243" s="3">
        <v>0</v>
      </c>
      <c r="M1243" t="str">
        <f>IF(Table1[[#This Row],[delayed]]=1,"Delayed","On Time")</f>
        <v>On Time</v>
      </c>
      <c r="N1243" t="str">
        <f>IF(AND(Table1[[#This Row],[delayed]]=1,Table1[[#This Row],[weather_condition]]="Storm"),"High Risk", IF(Table1[[#This Row],[delayed]]=1,"Medium Risk","Low Risk"))</f>
        <v>Low Risk</v>
      </c>
    </row>
    <row r="1244" spans="1:14" x14ac:dyDescent="0.35">
      <c r="A1244">
        <v>1243</v>
      </c>
      <c r="B1244" s="1">
        <v>44978.75</v>
      </c>
      <c r="C1244" s="2">
        <v>6.1111111111111109E-2</v>
      </c>
      <c r="D1244" s="3">
        <v>2420</v>
      </c>
      <c r="E1244" s="3">
        <v>461</v>
      </c>
      <c r="F1244" s="2">
        <v>57.418749999999996</v>
      </c>
      <c r="G1244" t="s">
        <v>2819</v>
      </c>
      <c r="H1244" t="s">
        <v>2822</v>
      </c>
      <c r="I1244" s="2">
        <v>0.4597222222222222</v>
      </c>
      <c r="J1244" s="4" t="str">
        <f>IF(Table1[[#This Row],[processing_time_hours]]&gt;1.5,"Slow", "Fast")</f>
        <v>Fast</v>
      </c>
      <c r="K1244" t="s">
        <v>2821</v>
      </c>
      <c r="L1244" s="3">
        <v>1</v>
      </c>
      <c r="M1244" t="str">
        <f>IF(Table1[[#This Row],[delayed]]=1,"Delayed","On Time")</f>
        <v>Delayed</v>
      </c>
      <c r="N1244" t="str">
        <f>IF(AND(Table1[[#This Row],[delayed]]=1,Table1[[#This Row],[weather_condition]]="Storm"),"High Risk", IF(Table1[[#This Row],[delayed]]=1,"Medium Risk","Low Risk"))</f>
        <v>Medium Risk</v>
      </c>
    </row>
    <row r="1245" spans="1:14" x14ac:dyDescent="0.35">
      <c r="A1245">
        <v>1244</v>
      </c>
      <c r="B1245" s="1">
        <v>44978.791666666664</v>
      </c>
      <c r="C1245" s="2">
        <v>6.1111111111111109E-2</v>
      </c>
      <c r="D1245" s="3">
        <v>4166</v>
      </c>
      <c r="E1245" s="3">
        <v>30</v>
      </c>
      <c r="F1245" s="2">
        <v>69.875694444444449</v>
      </c>
      <c r="G1245" t="s">
        <v>2816</v>
      </c>
      <c r="H1245" t="s">
        <v>2822</v>
      </c>
      <c r="I1245" s="2">
        <v>1.9201388888888891</v>
      </c>
      <c r="J1245" s="4" t="str">
        <f>IF(Table1[[#This Row],[processing_time_hours]]&gt;1.5,"Slow", "Fast")</f>
        <v>Slow</v>
      </c>
      <c r="K1245" t="s">
        <v>2821</v>
      </c>
      <c r="L1245" s="3">
        <v>0</v>
      </c>
      <c r="M1245" t="str">
        <f>IF(Table1[[#This Row],[delayed]]=1,"Delayed","On Time")</f>
        <v>On Time</v>
      </c>
      <c r="N1245" t="str">
        <f>IF(AND(Table1[[#This Row],[delayed]]=1,Table1[[#This Row],[weather_condition]]="Storm"),"High Risk", IF(Table1[[#This Row],[delayed]]=1,"Medium Risk","Low Risk"))</f>
        <v>Low Risk</v>
      </c>
    </row>
    <row r="1246" spans="1:14" x14ac:dyDescent="0.35">
      <c r="A1246">
        <v>1245</v>
      </c>
      <c r="B1246" s="1">
        <v>44978.833333333336</v>
      </c>
      <c r="C1246" s="2">
        <v>5.4166666666666669E-2</v>
      </c>
      <c r="D1246" s="3">
        <v>3274</v>
      </c>
      <c r="E1246" s="3">
        <v>425</v>
      </c>
      <c r="F1246" s="2">
        <v>58.464583333333337</v>
      </c>
      <c r="G1246" t="s">
        <v>2816</v>
      </c>
      <c r="H1246" t="s">
        <v>2820</v>
      </c>
      <c r="I1246" s="2">
        <v>1.5875000000000001</v>
      </c>
      <c r="J1246" s="4" t="str">
        <f>IF(Table1[[#This Row],[processing_time_hours]]&gt;1.5,"Slow", "Fast")</f>
        <v>Slow</v>
      </c>
      <c r="K1246" t="s">
        <v>2814</v>
      </c>
      <c r="L1246" s="3">
        <v>0</v>
      </c>
      <c r="M1246" t="str">
        <f>IF(Table1[[#This Row],[delayed]]=1,"Delayed","On Time")</f>
        <v>On Time</v>
      </c>
      <c r="N1246" t="str">
        <f>IF(AND(Table1[[#This Row],[delayed]]=1,Table1[[#This Row],[weather_condition]]="Storm"),"High Risk", IF(Table1[[#This Row],[delayed]]=1,"Medium Risk","Low Risk"))</f>
        <v>Low Risk</v>
      </c>
    </row>
    <row r="1247" spans="1:14" x14ac:dyDescent="0.35">
      <c r="A1247">
        <v>1246</v>
      </c>
      <c r="B1247" s="1">
        <v>44978.875</v>
      </c>
      <c r="C1247" s="2">
        <v>6.5972222222222224E-2</v>
      </c>
      <c r="D1247" s="3">
        <v>988</v>
      </c>
      <c r="E1247" s="3">
        <v>58</v>
      </c>
      <c r="F1247" s="2">
        <v>18.792361111111109</v>
      </c>
      <c r="G1247" t="s">
        <v>2816</v>
      </c>
      <c r="H1247" t="s">
        <v>2813</v>
      </c>
      <c r="I1247" s="2">
        <v>1.0020833333333334</v>
      </c>
      <c r="J1247" s="4" t="str">
        <f>IF(Table1[[#This Row],[processing_time_hours]]&gt;1.5,"Slow", "Fast")</f>
        <v>Fast</v>
      </c>
      <c r="K1247" t="s">
        <v>2818</v>
      </c>
      <c r="L1247" s="3">
        <v>1</v>
      </c>
      <c r="M1247" t="str">
        <f>IF(Table1[[#This Row],[delayed]]=1,"Delayed","On Time")</f>
        <v>Delayed</v>
      </c>
      <c r="N1247" t="str">
        <f>IF(AND(Table1[[#This Row],[delayed]]=1,Table1[[#This Row],[weather_condition]]="Storm"),"High Risk", IF(Table1[[#This Row],[delayed]]=1,"Medium Risk","Low Risk"))</f>
        <v>Medium Risk</v>
      </c>
    </row>
    <row r="1248" spans="1:14" x14ac:dyDescent="0.35">
      <c r="A1248">
        <v>1247</v>
      </c>
      <c r="B1248" s="1">
        <v>44978.916666666664</v>
      </c>
      <c r="C1248" s="2">
        <v>4.5833333333333337E-2</v>
      </c>
      <c r="D1248" s="3">
        <v>4680</v>
      </c>
      <c r="E1248" s="3">
        <v>241</v>
      </c>
      <c r="F1248" s="2">
        <v>45.252083333333331</v>
      </c>
      <c r="G1248" t="s">
        <v>2816</v>
      </c>
      <c r="H1248" t="s">
        <v>2817</v>
      </c>
      <c r="I1248" s="2">
        <v>2.8770833333333332</v>
      </c>
      <c r="J1248" s="4" t="str">
        <f>IF(Table1[[#This Row],[processing_time_hours]]&gt;1.5,"Slow", "Fast")</f>
        <v>Slow</v>
      </c>
      <c r="K1248" t="s">
        <v>2814</v>
      </c>
      <c r="L1248" s="3">
        <v>1</v>
      </c>
      <c r="M1248" t="str">
        <f>IF(Table1[[#This Row],[delayed]]=1,"Delayed","On Time")</f>
        <v>Delayed</v>
      </c>
      <c r="N1248" t="str">
        <f>IF(AND(Table1[[#This Row],[delayed]]=1,Table1[[#This Row],[weather_condition]]="Storm"),"High Risk", IF(Table1[[#This Row],[delayed]]=1,"Medium Risk","Low Risk"))</f>
        <v>High Risk</v>
      </c>
    </row>
    <row r="1249" spans="1:14" x14ac:dyDescent="0.35">
      <c r="A1249">
        <v>1248</v>
      </c>
      <c r="B1249" s="1">
        <v>44978.958333333336</v>
      </c>
      <c r="C1249" s="2">
        <v>4.7222222222222221E-2</v>
      </c>
      <c r="D1249" s="3">
        <v>3493</v>
      </c>
      <c r="E1249" s="3">
        <v>251</v>
      </c>
      <c r="F1249" s="2">
        <v>67.713888888888889</v>
      </c>
      <c r="G1249" t="s">
        <v>2812</v>
      </c>
      <c r="H1249" t="s">
        <v>2820</v>
      </c>
      <c r="I1249" s="2">
        <v>0.5</v>
      </c>
      <c r="J1249" s="4" t="str">
        <f>IF(Table1[[#This Row],[processing_time_hours]]&gt;1.5,"Slow", "Fast")</f>
        <v>Fast</v>
      </c>
      <c r="K1249" t="s">
        <v>2818</v>
      </c>
      <c r="L1249" s="3">
        <v>0</v>
      </c>
      <c r="M1249" t="str">
        <f>IF(Table1[[#This Row],[delayed]]=1,"Delayed","On Time")</f>
        <v>On Time</v>
      </c>
      <c r="N1249" t="str">
        <f>IF(AND(Table1[[#This Row],[delayed]]=1,Table1[[#This Row],[weather_condition]]="Storm"),"High Risk", IF(Table1[[#This Row],[delayed]]=1,"Medium Risk","Low Risk"))</f>
        <v>Low Risk</v>
      </c>
    </row>
    <row r="1250" spans="1:14" x14ac:dyDescent="0.35">
      <c r="A1250">
        <v>1249</v>
      </c>
      <c r="B1250" s="1">
        <v>44979</v>
      </c>
      <c r="C1250" s="2">
        <v>5.8333333333333327E-2</v>
      </c>
      <c r="D1250" s="3">
        <v>2113</v>
      </c>
      <c r="E1250" s="3">
        <v>35</v>
      </c>
      <c r="F1250" s="2">
        <v>38.545833333333334</v>
      </c>
      <c r="G1250" t="s">
        <v>2819</v>
      </c>
      <c r="H1250" t="s">
        <v>2820</v>
      </c>
      <c r="I1250" s="2">
        <v>2.4166666666666665</v>
      </c>
      <c r="J1250" s="4" t="str">
        <f>IF(Table1[[#This Row],[processing_time_hours]]&gt;1.5,"Slow", "Fast")</f>
        <v>Slow</v>
      </c>
      <c r="K1250" t="s">
        <v>2814</v>
      </c>
      <c r="L1250" s="3">
        <v>1</v>
      </c>
      <c r="M1250" t="str">
        <f>IF(Table1[[#This Row],[delayed]]=1,"Delayed","On Time")</f>
        <v>Delayed</v>
      </c>
      <c r="N1250" t="str">
        <f>IF(AND(Table1[[#This Row],[delayed]]=1,Table1[[#This Row],[weather_condition]]="Storm"),"High Risk", IF(Table1[[#This Row],[delayed]]=1,"Medium Risk","Low Risk"))</f>
        <v>Medium Risk</v>
      </c>
    </row>
    <row r="1251" spans="1:14" x14ac:dyDescent="0.35">
      <c r="A1251">
        <v>1250</v>
      </c>
      <c r="B1251" s="1">
        <v>44979.041666666664</v>
      </c>
      <c r="C1251" s="2">
        <v>5.6250000000000001E-2</v>
      </c>
      <c r="D1251" s="3">
        <v>2742</v>
      </c>
      <c r="E1251" s="3">
        <v>239</v>
      </c>
      <c r="F1251" s="2">
        <v>57.83819444444444</v>
      </c>
      <c r="G1251" t="s">
        <v>2819</v>
      </c>
      <c r="H1251" t="s">
        <v>2813</v>
      </c>
      <c r="I1251" s="2">
        <v>1.7930555555555554</v>
      </c>
      <c r="J1251" s="4" t="str">
        <f>IF(Table1[[#This Row],[processing_time_hours]]&gt;1.5,"Slow", "Fast")</f>
        <v>Slow</v>
      </c>
      <c r="K1251" t="s">
        <v>2818</v>
      </c>
      <c r="L1251" s="3">
        <v>0</v>
      </c>
      <c r="M1251" t="str">
        <f>IF(Table1[[#This Row],[delayed]]=1,"Delayed","On Time")</f>
        <v>On Time</v>
      </c>
      <c r="N1251" t="str">
        <f>IF(AND(Table1[[#This Row],[delayed]]=1,Table1[[#This Row],[weather_condition]]="Storm"),"High Risk", IF(Table1[[#This Row],[delayed]]=1,"Medium Risk","Low Risk"))</f>
        <v>Low Risk</v>
      </c>
    </row>
    <row r="1252" spans="1:14" x14ac:dyDescent="0.35">
      <c r="A1252">
        <v>1251</v>
      </c>
      <c r="B1252" s="1">
        <v>44979.083333333336</v>
      </c>
      <c r="C1252" s="2">
        <v>4.5138888888888888E-2</v>
      </c>
      <c r="D1252" s="3">
        <v>1153</v>
      </c>
      <c r="E1252" s="3">
        <v>428</v>
      </c>
      <c r="F1252" s="2">
        <v>49.042361111111113</v>
      </c>
      <c r="G1252" t="s">
        <v>2815</v>
      </c>
      <c r="H1252" t="s">
        <v>2813</v>
      </c>
      <c r="I1252" s="2">
        <v>1.8368055555555556</v>
      </c>
      <c r="J1252" s="4" t="str">
        <f>IF(Table1[[#This Row],[processing_time_hours]]&gt;1.5,"Slow", "Fast")</f>
        <v>Slow</v>
      </c>
      <c r="K1252" t="s">
        <v>2814</v>
      </c>
      <c r="L1252" s="3">
        <v>0</v>
      </c>
      <c r="M1252" t="str">
        <f>IF(Table1[[#This Row],[delayed]]=1,"Delayed","On Time")</f>
        <v>On Time</v>
      </c>
      <c r="N1252" t="str">
        <f>IF(AND(Table1[[#This Row],[delayed]]=1,Table1[[#This Row],[weather_condition]]="Storm"),"High Risk", IF(Table1[[#This Row],[delayed]]=1,"Medium Risk","Low Risk"))</f>
        <v>Low Risk</v>
      </c>
    </row>
    <row r="1253" spans="1:14" x14ac:dyDescent="0.35">
      <c r="A1253">
        <v>1252</v>
      </c>
      <c r="B1253" s="1">
        <v>44979.125</v>
      </c>
      <c r="C1253" s="2">
        <v>6.6666666666666666E-2</v>
      </c>
      <c r="D1253" s="3">
        <v>340</v>
      </c>
      <c r="E1253" s="3">
        <v>159</v>
      </c>
      <c r="F1253" s="2">
        <v>32.458333333333336</v>
      </c>
      <c r="G1253" t="s">
        <v>2816</v>
      </c>
      <c r="H1253" t="s">
        <v>2822</v>
      </c>
      <c r="I1253" s="2">
        <v>0.92013888888888884</v>
      </c>
      <c r="J1253" s="4" t="str">
        <f>IF(Table1[[#This Row],[processing_time_hours]]&gt;1.5,"Slow", "Fast")</f>
        <v>Fast</v>
      </c>
      <c r="K1253" t="s">
        <v>2821</v>
      </c>
      <c r="L1253" s="3">
        <v>0</v>
      </c>
      <c r="M1253" t="str">
        <f>IF(Table1[[#This Row],[delayed]]=1,"Delayed","On Time")</f>
        <v>On Time</v>
      </c>
      <c r="N1253" t="str">
        <f>IF(AND(Table1[[#This Row],[delayed]]=1,Table1[[#This Row],[weather_condition]]="Storm"),"High Risk", IF(Table1[[#This Row],[delayed]]=1,"Medium Risk","Low Risk"))</f>
        <v>Low Risk</v>
      </c>
    </row>
    <row r="1254" spans="1:14" x14ac:dyDescent="0.35">
      <c r="A1254">
        <v>1253</v>
      </c>
      <c r="B1254" s="1">
        <v>44979.166666666664</v>
      </c>
      <c r="C1254" s="2">
        <v>5.9027777777777783E-2</v>
      </c>
      <c r="D1254" s="3">
        <v>584</v>
      </c>
      <c r="E1254" s="3">
        <v>1</v>
      </c>
      <c r="F1254" s="2">
        <v>31.629166666666666</v>
      </c>
      <c r="G1254" t="s">
        <v>2816</v>
      </c>
      <c r="H1254" t="s">
        <v>2817</v>
      </c>
      <c r="I1254" s="2">
        <v>1.3798611111111112</v>
      </c>
      <c r="J1254" s="4" t="str">
        <f>IF(Table1[[#This Row],[processing_time_hours]]&gt;1.5,"Slow", "Fast")</f>
        <v>Fast</v>
      </c>
      <c r="K1254" t="s">
        <v>2821</v>
      </c>
      <c r="L1254" s="3">
        <v>1</v>
      </c>
      <c r="M1254" t="str">
        <f>IF(Table1[[#This Row],[delayed]]=1,"Delayed","On Time")</f>
        <v>Delayed</v>
      </c>
      <c r="N1254" t="str">
        <f>IF(AND(Table1[[#This Row],[delayed]]=1,Table1[[#This Row],[weather_condition]]="Storm"),"High Risk", IF(Table1[[#This Row],[delayed]]=1,"Medium Risk","Low Risk"))</f>
        <v>High Risk</v>
      </c>
    </row>
    <row r="1255" spans="1:14" x14ac:dyDescent="0.35">
      <c r="A1255">
        <v>1254</v>
      </c>
      <c r="B1255" s="1">
        <v>44979.208333333336</v>
      </c>
      <c r="C1255" s="2">
        <v>5.8333333333333327E-2</v>
      </c>
      <c r="D1255" s="3">
        <v>107</v>
      </c>
      <c r="E1255" s="3">
        <v>101</v>
      </c>
      <c r="F1255" s="2">
        <v>23.961805555555557</v>
      </c>
      <c r="G1255" t="s">
        <v>2815</v>
      </c>
      <c r="H1255" t="s">
        <v>2822</v>
      </c>
      <c r="I1255" s="2">
        <v>1.0416666666666667</v>
      </c>
      <c r="J1255" s="4" t="str">
        <f>IF(Table1[[#This Row],[processing_time_hours]]&gt;1.5,"Slow", "Fast")</f>
        <v>Fast</v>
      </c>
      <c r="K1255" t="s">
        <v>2821</v>
      </c>
      <c r="L1255" s="3">
        <v>0</v>
      </c>
      <c r="M1255" t="str">
        <f>IF(Table1[[#This Row],[delayed]]=1,"Delayed","On Time")</f>
        <v>On Time</v>
      </c>
      <c r="N1255" t="str">
        <f>IF(AND(Table1[[#This Row],[delayed]]=1,Table1[[#This Row],[weather_condition]]="Storm"),"High Risk", IF(Table1[[#This Row],[delayed]]=1,"Medium Risk","Low Risk"))</f>
        <v>Low Risk</v>
      </c>
    </row>
    <row r="1256" spans="1:14" x14ac:dyDescent="0.35">
      <c r="A1256">
        <v>1255</v>
      </c>
      <c r="B1256" s="1">
        <v>44979.25</v>
      </c>
      <c r="C1256" s="2">
        <v>5.2083333333333336E-2</v>
      </c>
      <c r="D1256" s="3">
        <v>4008</v>
      </c>
      <c r="E1256" s="3">
        <v>365</v>
      </c>
      <c r="F1256" s="2">
        <v>1.3791666666666667</v>
      </c>
      <c r="G1256" t="s">
        <v>2812</v>
      </c>
      <c r="H1256" t="s">
        <v>2817</v>
      </c>
      <c r="I1256" s="2">
        <v>0.21180555555555555</v>
      </c>
      <c r="J1256" s="4" t="str">
        <f>IF(Table1[[#This Row],[processing_time_hours]]&gt;1.5,"Slow", "Fast")</f>
        <v>Fast</v>
      </c>
      <c r="K1256" t="s">
        <v>2821</v>
      </c>
      <c r="L1256" s="3">
        <v>0</v>
      </c>
      <c r="M1256" t="str">
        <f>IF(Table1[[#This Row],[delayed]]=1,"Delayed","On Time")</f>
        <v>On Time</v>
      </c>
      <c r="N1256" t="str">
        <f>IF(AND(Table1[[#This Row],[delayed]]=1,Table1[[#This Row],[weather_condition]]="Storm"),"High Risk", IF(Table1[[#This Row],[delayed]]=1,"Medium Risk","Low Risk"))</f>
        <v>Low Risk</v>
      </c>
    </row>
    <row r="1257" spans="1:14" x14ac:dyDescent="0.35">
      <c r="A1257">
        <v>1256</v>
      </c>
      <c r="B1257" s="1">
        <v>44979.291666666664</v>
      </c>
      <c r="C1257" s="2">
        <v>5.8333333333333327E-2</v>
      </c>
      <c r="D1257" s="3">
        <v>4575</v>
      </c>
      <c r="E1257" s="3">
        <v>281</v>
      </c>
      <c r="F1257" s="2">
        <v>28.960416666666664</v>
      </c>
      <c r="G1257" t="s">
        <v>2812</v>
      </c>
      <c r="H1257" t="s">
        <v>2813</v>
      </c>
      <c r="I1257" s="2">
        <v>2.4583333333333335</v>
      </c>
      <c r="J1257" s="4" t="str">
        <f>IF(Table1[[#This Row],[processing_time_hours]]&gt;1.5,"Slow", "Fast")</f>
        <v>Slow</v>
      </c>
      <c r="K1257" t="s">
        <v>2818</v>
      </c>
      <c r="L1257" s="3">
        <v>1</v>
      </c>
      <c r="M1257" t="str">
        <f>IF(Table1[[#This Row],[delayed]]=1,"Delayed","On Time")</f>
        <v>Delayed</v>
      </c>
      <c r="N1257" t="str">
        <f>IF(AND(Table1[[#This Row],[delayed]]=1,Table1[[#This Row],[weather_condition]]="Storm"),"High Risk", IF(Table1[[#This Row],[delayed]]=1,"Medium Risk","Low Risk"))</f>
        <v>Medium Risk</v>
      </c>
    </row>
    <row r="1258" spans="1:14" x14ac:dyDescent="0.35">
      <c r="A1258">
        <v>1257</v>
      </c>
      <c r="B1258" s="1">
        <v>44979.333333333336</v>
      </c>
      <c r="C1258" s="2">
        <v>4.3750000000000004E-2</v>
      </c>
      <c r="D1258" s="3">
        <v>3565</v>
      </c>
      <c r="E1258" s="3">
        <v>119</v>
      </c>
      <c r="F1258" s="2">
        <v>67.833333333333329</v>
      </c>
      <c r="G1258" t="s">
        <v>2819</v>
      </c>
      <c r="H1258" t="s">
        <v>2817</v>
      </c>
      <c r="I1258" s="2">
        <v>2.7104166666666667</v>
      </c>
      <c r="J1258" s="4" t="str">
        <f>IF(Table1[[#This Row],[processing_time_hours]]&gt;1.5,"Slow", "Fast")</f>
        <v>Slow</v>
      </c>
      <c r="K1258" t="s">
        <v>2814</v>
      </c>
      <c r="L1258" s="3">
        <v>0</v>
      </c>
      <c r="M1258" t="str">
        <f>IF(Table1[[#This Row],[delayed]]=1,"Delayed","On Time")</f>
        <v>On Time</v>
      </c>
      <c r="N1258" t="str">
        <f>IF(AND(Table1[[#This Row],[delayed]]=1,Table1[[#This Row],[weather_condition]]="Storm"),"High Risk", IF(Table1[[#This Row],[delayed]]=1,"Medium Risk","Low Risk"))</f>
        <v>Low Risk</v>
      </c>
    </row>
    <row r="1259" spans="1:14" x14ac:dyDescent="0.35">
      <c r="A1259">
        <v>1258</v>
      </c>
      <c r="B1259" s="1">
        <v>44979.375</v>
      </c>
      <c r="C1259" s="2">
        <v>4.9999999999999996E-2</v>
      </c>
      <c r="D1259" s="3">
        <v>1426</v>
      </c>
      <c r="E1259" s="3">
        <v>487</v>
      </c>
      <c r="F1259" s="2">
        <v>68.666666666666671</v>
      </c>
      <c r="G1259" t="s">
        <v>2815</v>
      </c>
      <c r="H1259" t="s">
        <v>2820</v>
      </c>
      <c r="I1259" s="2">
        <v>1.4583333333333333</v>
      </c>
      <c r="J1259" s="4" t="str">
        <f>IF(Table1[[#This Row],[processing_time_hours]]&gt;1.5,"Slow", "Fast")</f>
        <v>Fast</v>
      </c>
      <c r="K1259" t="s">
        <v>2821</v>
      </c>
      <c r="L1259" s="3">
        <v>0</v>
      </c>
      <c r="M1259" t="str">
        <f>IF(Table1[[#This Row],[delayed]]=1,"Delayed","On Time")</f>
        <v>On Time</v>
      </c>
      <c r="N1259" t="str">
        <f>IF(AND(Table1[[#This Row],[delayed]]=1,Table1[[#This Row],[weather_condition]]="Storm"),"High Risk", IF(Table1[[#This Row],[delayed]]=1,"Medium Risk","Low Risk"))</f>
        <v>Low Risk</v>
      </c>
    </row>
    <row r="1260" spans="1:14" x14ac:dyDescent="0.35">
      <c r="A1260">
        <v>1259</v>
      </c>
      <c r="B1260" s="1">
        <v>44979.416666666664</v>
      </c>
      <c r="C1260" s="2">
        <v>5.9027777777777783E-2</v>
      </c>
      <c r="D1260" s="3">
        <v>2996</v>
      </c>
      <c r="E1260" s="3">
        <v>451</v>
      </c>
      <c r="F1260" s="2">
        <v>29.088888888888889</v>
      </c>
      <c r="G1260" t="s">
        <v>2815</v>
      </c>
      <c r="H1260" t="s">
        <v>2820</v>
      </c>
      <c r="I1260" s="2">
        <v>0.71180555555555547</v>
      </c>
      <c r="J1260" s="4" t="str">
        <f>IF(Table1[[#This Row],[processing_time_hours]]&gt;1.5,"Slow", "Fast")</f>
        <v>Fast</v>
      </c>
      <c r="K1260" t="s">
        <v>2814</v>
      </c>
      <c r="L1260" s="3">
        <v>0</v>
      </c>
      <c r="M1260" t="str">
        <f>IF(Table1[[#This Row],[delayed]]=1,"Delayed","On Time")</f>
        <v>On Time</v>
      </c>
      <c r="N1260" t="str">
        <f>IF(AND(Table1[[#This Row],[delayed]]=1,Table1[[#This Row],[weather_condition]]="Storm"),"High Risk", IF(Table1[[#This Row],[delayed]]=1,"Medium Risk","Low Risk"))</f>
        <v>Low Risk</v>
      </c>
    </row>
    <row r="1261" spans="1:14" x14ac:dyDescent="0.35">
      <c r="A1261">
        <v>1260</v>
      </c>
      <c r="B1261" s="1">
        <v>44979.458333333336</v>
      </c>
      <c r="C1261" s="2">
        <v>5.8333333333333327E-2</v>
      </c>
      <c r="D1261" s="3">
        <v>4663</v>
      </c>
      <c r="E1261" s="3">
        <v>149</v>
      </c>
      <c r="F1261" s="2">
        <v>44</v>
      </c>
      <c r="G1261" t="s">
        <v>2815</v>
      </c>
      <c r="H1261" t="s">
        <v>2813</v>
      </c>
      <c r="I1261" s="2">
        <v>1.1673611111111111</v>
      </c>
      <c r="J1261" s="4" t="str">
        <f>IF(Table1[[#This Row],[processing_time_hours]]&gt;1.5,"Slow", "Fast")</f>
        <v>Fast</v>
      </c>
      <c r="K1261" t="s">
        <v>2821</v>
      </c>
      <c r="L1261" s="3">
        <v>0</v>
      </c>
      <c r="M1261" t="str">
        <f>IF(Table1[[#This Row],[delayed]]=1,"Delayed","On Time")</f>
        <v>On Time</v>
      </c>
      <c r="N1261" t="str">
        <f>IF(AND(Table1[[#This Row],[delayed]]=1,Table1[[#This Row],[weather_condition]]="Storm"),"High Risk", IF(Table1[[#This Row],[delayed]]=1,"Medium Risk","Low Risk"))</f>
        <v>Low Risk</v>
      </c>
    </row>
    <row r="1262" spans="1:14" x14ac:dyDescent="0.35">
      <c r="A1262">
        <v>1261</v>
      </c>
      <c r="B1262" s="1">
        <v>44979.5</v>
      </c>
      <c r="C1262" s="2">
        <v>5.6250000000000001E-2</v>
      </c>
      <c r="D1262" s="3">
        <v>3466</v>
      </c>
      <c r="E1262" s="3">
        <v>25</v>
      </c>
      <c r="F1262" s="2">
        <v>54.960416666666667</v>
      </c>
      <c r="G1262" t="s">
        <v>2812</v>
      </c>
      <c r="H1262" t="s">
        <v>2822</v>
      </c>
      <c r="I1262" s="2">
        <v>0.9590277777777777</v>
      </c>
      <c r="J1262" s="4" t="str">
        <f>IF(Table1[[#This Row],[processing_time_hours]]&gt;1.5,"Slow", "Fast")</f>
        <v>Fast</v>
      </c>
      <c r="K1262" t="s">
        <v>2821</v>
      </c>
      <c r="L1262" s="3">
        <v>0</v>
      </c>
      <c r="M1262" t="str">
        <f>IF(Table1[[#This Row],[delayed]]=1,"Delayed","On Time")</f>
        <v>On Time</v>
      </c>
      <c r="N1262" t="str">
        <f>IF(AND(Table1[[#This Row],[delayed]]=1,Table1[[#This Row],[weather_condition]]="Storm"),"High Risk", IF(Table1[[#This Row],[delayed]]=1,"Medium Risk","Low Risk"))</f>
        <v>Low Risk</v>
      </c>
    </row>
    <row r="1263" spans="1:14" x14ac:dyDescent="0.35">
      <c r="A1263">
        <v>1262</v>
      </c>
      <c r="B1263" s="1">
        <v>44979.541666666664</v>
      </c>
      <c r="C1263" s="2">
        <v>4.3055555555555562E-2</v>
      </c>
      <c r="D1263" s="3">
        <v>2846</v>
      </c>
      <c r="E1263" s="3">
        <v>292</v>
      </c>
      <c r="F1263" s="2">
        <v>28.339583333333334</v>
      </c>
      <c r="G1263" t="s">
        <v>2816</v>
      </c>
      <c r="H1263" t="s">
        <v>2817</v>
      </c>
      <c r="I1263" s="2">
        <v>2.1291666666666669</v>
      </c>
      <c r="J1263" s="4" t="str">
        <f>IF(Table1[[#This Row],[processing_time_hours]]&gt;1.5,"Slow", "Fast")</f>
        <v>Slow</v>
      </c>
      <c r="K1263" t="s">
        <v>2821</v>
      </c>
      <c r="L1263" s="3">
        <v>0</v>
      </c>
      <c r="M1263" t="str">
        <f>IF(Table1[[#This Row],[delayed]]=1,"Delayed","On Time")</f>
        <v>On Time</v>
      </c>
      <c r="N1263" t="str">
        <f>IF(AND(Table1[[#This Row],[delayed]]=1,Table1[[#This Row],[weather_condition]]="Storm"),"High Risk", IF(Table1[[#This Row],[delayed]]=1,"Medium Risk","Low Risk"))</f>
        <v>Low Risk</v>
      </c>
    </row>
    <row r="1264" spans="1:14" x14ac:dyDescent="0.35">
      <c r="A1264">
        <v>1263</v>
      </c>
      <c r="B1264" s="1">
        <v>44979.583333333336</v>
      </c>
      <c r="C1264" s="2">
        <v>5.0694444444444438E-2</v>
      </c>
      <c r="D1264" s="3">
        <v>2236</v>
      </c>
      <c r="E1264" s="3">
        <v>241</v>
      </c>
      <c r="F1264" s="2">
        <v>37.087499999999999</v>
      </c>
      <c r="G1264" t="s">
        <v>2816</v>
      </c>
      <c r="H1264" t="s">
        <v>2822</v>
      </c>
      <c r="I1264" s="2">
        <v>2.5874999999999999</v>
      </c>
      <c r="J1264" s="4" t="str">
        <f>IF(Table1[[#This Row],[processing_time_hours]]&gt;1.5,"Slow", "Fast")</f>
        <v>Slow</v>
      </c>
      <c r="K1264" t="s">
        <v>2821</v>
      </c>
      <c r="L1264" s="3">
        <v>0</v>
      </c>
      <c r="M1264" t="str">
        <f>IF(Table1[[#This Row],[delayed]]=1,"Delayed","On Time")</f>
        <v>On Time</v>
      </c>
      <c r="N1264" t="str">
        <f>IF(AND(Table1[[#This Row],[delayed]]=1,Table1[[#This Row],[weather_condition]]="Storm"),"High Risk", IF(Table1[[#This Row],[delayed]]=1,"Medium Risk","Low Risk"))</f>
        <v>Low Risk</v>
      </c>
    </row>
    <row r="1265" spans="1:14" x14ac:dyDescent="0.35">
      <c r="A1265">
        <v>1264</v>
      </c>
      <c r="B1265" s="1">
        <v>44979.625</v>
      </c>
      <c r="C1265" s="2">
        <v>6.8749999999999992E-2</v>
      </c>
      <c r="D1265" s="3">
        <v>3897</v>
      </c>
      <c r="E1265" s="3">
        <v>217</v>
      </c>
      <c r="F1265" s="2">
        <v>49.043749999999996</v>
      </c>
      <c r="G1265" t="s">
        <v>2819</v>
      </c>
      <c r="H1265" t="s">
        <v>2817</v>
      </c>
      <c r="I1265" s="2">
        <v>1.6680555555555554</v>
      </c>
      <c r="J1265" s="4" t="str">
        <f>IF(Table1[[#This Row],[processing_time_hours]]&gt;1.5,"Slow", "Fast")</f>
        <v>Slow</v>
      </c>
      <c r="K1265" t="s">
        <v>2814</v>
      </c>
      <c r="L1265" s="3">
        <v>0</v>
      </c>
      <c r="M1265" t="str">
        <f>IF(Table1[[#This Row],[delayed]]=1,"Delayed","On Time")</f>
        <v>On Time</v>
      </c>
      <c r="N1265" t="str">
        <f>IF(AND(Table1[[#This Row],[delayed]]=1,Table1[[#This Row],[weather_condition]]="Storm"),"High Risk", IF(Table1[[#This Row],[delayed]]=1,"Medium Risk","Low Risk"))</f>
        <v>Low Risk</v>
      </c>
    </row>
    <row r="1266" spans="1:14" x14ac:dyDescent="0.35">
      <c r="A1266">
        <v>1265</v>
      </c>
      <c r="B1266" s="1">
        <v>44979.666666666664</v>
      </c>
      <c r="C1266" s="2">
        <v>6.805555555555555E-2</v>
      </c>
      <c r="D1266" s="3">
        <v>4418</v>
      </c>
      <c r="E1266" s="3">
        <v>145</v>
      </c>
      <c r="F1266" s="2">
        <v>24.088194444444444</v>
      </c>
      <c r="G1266" t="s">
        <v>2815</v>
      </c>
      <c r="H1266" t="s">
        <v>2820</v>
      </c>
      <c r="I1266" s="2">
        <v>2.9590277777777776</v>
      </c>
      <c r="J1266" s="4" t="str">
        <f>IF(Table1[[#This Row],[processing_time_hours]]&gt;1.5,"Slow", "Fast")</f>
        <v>Slow</v>
      </c>
      <c r="K1266" t="s">
        <v>2818</v>
      </c>
      <c r="L1266" s="3">
        <v>0</v>
      </c>
      <c r="M1266" t="str">
        <f>IF(Table1[[#This Row],[delayed]]=1,"Delayed","On Time")</f>
        <v>On Time</v>
      </c>
      <c r="N1266" t="str">
        <f>IF(AND(Table1[[#This Row],[delayed]]=1,Table1[[#This Row],[weather_condition]]="Storm"),"High Risk", IF(Table1[[#This Row],[delayed]]=1,"Medium Risk","Low Risk"))</f>
        <v>Low Risk</v>
      </c>
    </row>
    <row r="1267" spans="1:14" x14ac:dyDescent="0.35">
      <c r="A1267">
        <v>1266</v>
      </c>
      <c r="B1267" s="1">
        <v>44979.708333333336</v>
      </c>
      <c r="C1267" s="2">
        <v>6.458333333333334E-2</v>
      </c>
      <c r="D1267" s="3">
        <v>255</v>
      </c>
      <c r="E1267" s="3">
        <v>111</v>
      </c>
      <c r="F1267" s="2">
        <v>34.335416666666667</v>
      </c>
      <c r="G1267" t="s">
        <v>2819</v>
      </c>
      <c r="H1267" t="s">
        <v>2813</v>
      </c>
      <c r="I1267" s="2">
        <v>1.0458333333333334</v>
      </c>
      <c r="J1267" s="4" t="str">
        <f>IF(Table1[[#This Row],[processing_time_hours]]&gt;1.5,"Slow", "Fast")</f>
        <v>Fast</v>
      </c>
      <c r="K1267" t="s">
        <v>2818</v>
      </c>
      <c r="L1267" s="3">
        <v>0</v>
      </c>
      <c r="M1267" t="str">
        <f>IF(Table1[[#This Row],[delayed]]=1,"Delayed","On Time")</f>
        <v>On Time</v>
      </c>
      <c r="N1267" t="str">
        <f>IF(AND(Table1[[#This Row],[delayed]]=1,Table1[[#This Row],[weather_condition]]="Storm"),"High Risk", IF(Table1[[#This Row],[delayed]]=1,"Medium Risk","Low Risk"))</f>
        <v>Low Risk</v>
      </c>
    </row>
    <row r="1268" spans="1:14" x14ac:dyDescent="0.35">
      <c r="A1268">
        <v>1267</v>
      </c>
      <c r="B1268" s="1">
        <v>44979.75</v>
      </c>
      <c r="C1268" s="2">
        <v>4.3750000000000004E-2</v>
      </c>
      <c r="D1268" s="3">
        <v>2540</v>
      </c>
      <c r="E1268" s="3">
        <v>310</v>
      </c>
      <c r="F1268" s="2">
        <v>7.7979166666666666</v>
      </c>
      <c r="G1268" t="s">
        <v>2816</v>
      </c>
      <c r="H1268" t="s">
        <v>2817</v>
      </c>
      <c r="I1268" s="2">
        <v>0.79583333333333339</v>
      </c>
      <c r="J1268" s="4" t="str">
        <f>IF(Table1[[#This Row],[processing_time_hours]]&gt;1.5,"Slow", "Fast")</f>
        <v>Fast</v>
      </c>
      <c r="K1268" t="s">
        <v>2818</v>
      </c>
      <c r="L1268" s="3">
        <v>0</v>
      </c>
      <c r="M1268" t="str">
        <f>IF(Table1[[#This Row],[delayed]]=1,"Delayed","On Time")</f>
        <v>On Time</v>
      </c>
      <c r="N1268" t="str">
        <f>IF(AND(Table1[[#This Row],[delayed]]=1,Table1[[#This Row],[weather_condition]]="Storm"),"High Risk", IF(Table1[[#This Row],[delayed]]=1,"Medium Risk","Low Risk"))</f>
        <v>Low Risk</v>
      </c>
    </row>
    <row r="1269" spans="1:14" x14ac:dyDescent="0.35">
      <c r="A1269">
        <v>1268</v>
      </c>
      <c r="B1269" s="1">
        <v>44979.791666666664</v>
      </c>
      <c r="C1269" s="2">
        <v>4.3750000000000004E-2</v>
      </c>
      <c r="D1269" s="3">
        <v>3415</v>
      </c>
      <c r="E1269" s="3">
        <v>450</v>
      </c>
      <c r="F1269" s="2">
        <v>73.045138888888886</v>
      </c>
      <c r="G1269" t="s">
        <v>2812</v>
      </c>
      <c r="H1269" t="s">
        <v>2813</v>
      </c>
      <c r="I1269" s="2">
        <v>2.254861111111111</v>
      </c>
      <c r="J1269" s="4" t="str">
        <f>IF(Table1[[#This Row],[processing_time_hours]]&gt;1.5,"Slow", "Fast")</f>
        <v>Slow</v>
      </c>
      <c r="K1269" t="s">
        <v>2821</v>
      </c>
      <c r="L1269" s="3">
        <v>0</v>
      </c>
      <c r="M1269" t="str">
        <f>IF(Table1[[#This Row],[delayed]]=1,"Delayed","On Time")</f>
        <v>On Time</v>
      </c>
      <c r="N1269" t="str">
        <f>IF(AND(Table1[[#This Row],[delayed]]=1,Table1[[#This Row],[weather_condition]]="Storm"),"High Risk", IF(Table1[[#This Row],[delayed]]=1,"Medium Risk","Low Risk"))</f>
        <v>Low Risk</v>
      </c>
    </row>
    <row r="1270" spans="1:14" x14ac:dyDescent="0.35">
      <c r="A1270">
        <v>1269</v>
      </c>
      <c r="B1270" s="1">
        <v>44979.833333333336</v>
      </c>
      <c r="C1270" s="2">
        <v>4.7916666666666663E-2</v>
      </c>
      <c r="D1270" s="3">
        <v>2846</v>
      </c>
      <c r="E1270" s="3">
        <v>95</v>
      </c>
      <c r="F1270" s="2">
        <v>58.131250000000001</v>
      </c>
      <c r="G1270" t="s">
        <v>2819</v>
      </c>
      <c r="H1270" t="s">
        <v>2822</v>
      </c>
      <c r="I1270" s="2">
        <v>1.0013888888888889</v>
      </c>
      <c r="J1270" s="4" t="str">
        <f>IF(Table1[[#This Row],[processing_time_hours]]&gt;1.5,"Slow", "Fast")</f>
        <v>Fast</v>
      </c>
      <c r="K1270" t="s">
        <v>2814</v>
      </c>
      <c r="L1270" s="3">
        <v>0</v>
      </c>
      <c r="M1270" t="str">
        <f>IF(Table1[[#This Row],[delayed]]=1,"Delayed","On Time")</f>
        <v>On Time</v>
      </c>
      <c r="N1270" t="str">
        <f>IF(AND(Table1[[#This Row],[delayed]]=1,Table1[[#This Row],[weather_condition]]="Storm"),"High Risk", IF(Table1[[#This Row],[delayed]]=1,"Medium Risk","Low Risk"))</f>
        <v>Low Risk</v>
      </c>
    </row>
    <row r="1271" spans="1:14" x14ac:dyDescent="0.35">
      <c r="A1271">
        <v>1270</v>
      </c>
      <c r="B1271" s="1">
        <v>44979.875</v>
      </c>
      <c r="C1271" s="2">
        <v>6.458333333333334E-2</v>
      </c>
      <c r="D1271" s="3">
        <v>1648</v>
      </c>
      <c r="E1271" s="3">
        <v>2</v>
      </c>
      <c r="F1271" s="2">
        <v>37.166666666666664</v>
      </c>
      <c r="G1271" t="s">
        <v>2815</v>
      </c>
      <c r="H1271" t="s">
        <v>2820</v>
      </c>
      <c r="I1271" s="2">
        <v>1.0458333333333334</v>
      </c>
      <c r="J1271" s="4" t="str">
        <f>IF(Table1[[#This Row],[processing_time_hours]]&gt;1.5,"Slow", "Fast")</f>
        <v>Fast</v>
      </c>
      <c r="K1271" t="s">
        <v>2821</v>
      </c>
      <c r="L1271" s="3">
        <v>0</v>
      </c>
      <c r="M1271" t="str">
        <f>IF(Table1[[#This Row],[delayed]]=1,"Delayed","On Time")</f>
        <v>On Time</v>
      </c>
      <c r="N1271" t="str">
        <f>IF(AND(Table1[[#This Row],[delayed]]=1,Table1[[#This Row],[weather_condition]]="Storm"),"High Risk", IF(Table1[[#This Row],[delayed]]=1,"Medium Risk","Low Risk"))</f>
        <v>Low Risk</v>
      </c>
    </row>
    <row r="1272" spans="1:14" x14ac:dyDescent="0.35">
      <c r="A1272">
        <v>1271</v>
      </c>
      <c r="B1272" s="1">
        <v>44979.916666666664</v>
      </c>
      <c r="C1272" s="2">
        <v>4.7222222222222221E-2</v>
      </c>
      <c r="D1272" s="3">
        <v>980</v>
      </c>
      <c r="E1272" s="3">
        <v>342</v>
      </c>
      <c r="F1272" s="2">
        <v>15.880555555555555</v>
      </c>
      <c r="G1272" t="s">
        <v>2812</v>
      </c>
      <c r="H1272" t="s">
        <v>2813</v>
      </c>
      <c r="I1272" s="2">
        <v>0.16944444444444443</v>
      </c>
      <c r="J1272" s="4" t="str">
        <f>IF(Table1[[#This Row],[processing_time_hours]]&gt;1.5,"Slow", "Fast")</f>
        <v>Fast</v>
      </c>
      <c r="K1272" t="s">
        <v>2818</v>
      </c>
      <c r="L1272" s="3">
        <v>1</v>
      </c>
      <c r="M1272" t="str">
        <f>IF(Table1[[#This Row],[delayed]]=1,"Delayed","On Time")</f>
        <v>Delayed</v>
      </c>
      <c r="N1272" t="str">
        <f>IF(AND(Table1[[#This Row],[delayed]]=1,Table1[[#This Row],[weather_condition]]="Storm"),"High Risk", IF(Table1[[#This Row],[delayed]]=1,"Medium Risk","Low Risk"))</f>
        <v>Medium Risk</v>
      </c>
    </row>
    <row r="1273" spans="1:14" x14ac:dyDescent="0.35">
      <c r="A1273">
        <v>1272</v>
      </c>
      <c r="B1273" s="1">
        <v>44979.958333333336</v>
      </c>
      <c r="C1273" s="2">
        <v>4.7916666666666663E-2</v>
      </c>
      <c r="D1273" s="3">
        <v>3169</v>
      </c>
      <c r="E1273" s="3">
        <v>30</v>
      </c>
      <c r="F1273" s="2">
        <v>44.709027777777777</v>
      </c>
      <c r="G1273" t="s">
        <v>2812</v>
      </c>
      <c r="H1273" t="s">
        <v>2817</v>
      </c>
      <c r="I1273" s="2">
        <v>1.6701388888888891</v>
      </c>
      <c r="J1273" s="4" t="str">
        <f>IF(Table1[[#This Row],[processing_time_hours]]&gt;1.5,"Slow", "Fast")</f>
        <v>Slow</v>
      </c>
      <c r="K1273" t="s">
        <v>2821</v>
      </c>
      <c r="L1273" s="3">
        <v>1</v>
      </c>
      <c r="M1273" t="str">
        <f>IF(Table1[[#This Row],[delayed]]=1,"Delayed","On Time")</f>
        <v>Delayed</v>
      </c>
      <c r="N1273" t="str">
        <f>IF(AND(Table1[[#This Row],[delayed]]=1,Table1[[#This Row],[weather_condition]]="Storm"),"High Risk", IF(Table1[[#This Row],[delayed]]=1,"Medium Risk","Low Risk"))</f>
        <v>High Risk</v>
      </c>
    </row>
    <row r="1274" spans="1:14" x14ac:dyDescent="0.35">
      <c r="A1274">
        <v>1273</v>
      </c>
      <c r="B1274" s="1">
        <v>44980</v>
      </c>
      <c r="C1274" s="2">
        <v>4.8611111111111112E-3</v>
      </c>
      <c r="D1274" s="3">
        <v>4613</v>
      </c>
      <c r="E1274" s="3">
        <v>352</v>
      </c>
      <c r="F1274" s="2">
        <v>51.920833333333327</v>
      </c>
      <c r="G1274" t="s">
        <v>2816</v>
      </c>
      <c r="H1274" t="s">
        <v>2817</v>
      </c>
      <c r="I1274" s="2">
        <v>2.4194444444444447</v>
      </c>
      <c r="J1274" s="4" t="str">
        <f>IF(Table1[[#This Row],[processing_time_hours]]&gt;1.5,"Slow", "Fast")</f>
        <v>Slow</v>
      </c>
      <c r="K1274" t="s">
        <v>2818</v>
      </c>
      <c r="L1274" s="3">
        <v>0</v>
      </c>
      <c r="M1274" t="str">
        <f>IF(Table1[[#This Row],[delayed]]=1,"Delayed","On Time")</f>
        <v>On Time</v>
      </c>
      <c r="N1274" t="str">
        <f>IF(AND(Table1[[#This Row],[delayed]]=1,Table1[[#This Row],[weather_condition]]="Storm"),"High Risk", IF(Table1[[#This Row],[delayed]]=1,"Medium Risk","Low Risk"))</f>
        <v>Low Risk</v>
      </c>
    </row>
    <row r="1275" spans="1:14" x14ac:dyDescent="0.35">
      <c r="A1275">
        <v>1274</v>
      </c>
      <c r="B1275" s="1">
        <v>44980.041666666664</v>
      </c>
      <c r="C1275" s="2">
        <v>6.1805555555555558E-2</v>
      </c>
      <c r="D1275" s="3">
        <v>3787</v>
      </c>
      <c r="E1275" s="3">
        <v>428</v>
      </c>
      <c r="F1275" s="2">
        <v>53.962499999999999</v>
      </c>
      <c r="G1275" t="s">
        <v>2819</v>
      </c>
      <c r="H1275" t="s">
        <v>2813</v>
      </c>
      <c r="I1275" s="2">
        <v>1.3368055555555556</v>
      </c>
      <c r="J1275" s="4" t="str">
        <f>IF(Table1[[#This Row],[processing_time_hours]]&gt;1.5,"Slow", "Fast")</f>
        <v>Fast</v>
      </c>
      <c r="K1275" t="s">
        <v>2814</v>
      </c>
      <c r="L1275" s="3">
        <v>0</v>
      </c>
      <c r="M1275" t="str">
        <f>IF(Table1[[#This Row],[delayed]]=1,"Delayed","On Time")</f>
        <v>On Time</v>
      </c>
      <c r="N1275" t="str">
        <f>IF(AND(Table1[[#This Row],[delayed]]=1,Table1[[#This Row],[weather_condition]]="Storm"),"High Risk", IF(Table1[[#This Row],[delayed]]=1,"Medium Risk","Low Risk"))</f>
        <v>Low Risk</v>
      </c>
    </row>
    <row r="1276" spans="1:14" x14ac:dyDescent="0.35">
      <c r="A1276">
        <v>1275</v>
      </c>
      <c r="B1276" s="1">
        <v>44980.083333333336</v>
      </c>
      <c r="C1276" s="2">
        <v>5.6250000000000001E-2</v>
      </c>
      <c r="D1276" s="3">
        <v>3151</v>
      </c>
      <c r="E1276" s="3">
        <v>444</v>
      </c>
      <c r="F1276" s="2">
        <v>37.25277777777778</v>
      </c>
      <c r="G1276" t="s">
        <v>2816</v>
      </c>
      <c r="H1276" t="s">
        <v>2813</v>
      </c>
      <c r="I1276" s="2">
        <v>1.6722222222222223</v>
      </c>
      <c r="J1276" s="4" t="str">
        <f>IF(Table1[[#This Row],[processing_time_hours]]&gt;1.5,"Slow", "Fast")</f>
        <v>Slow</v>
      </c>
      <c r="K1276" t="s">
        <v>2821</v>
      </c>
      <c r="L1276" s="3">
        <v>0</v>
      </c>
      <c r="M1276" t="str">
        <f>IF(Table1[[#This Row],[delayed]]=1,"Delayed","On Time")</f>
        <v>On Time</v>
      </c>
      <c r="N1276" t="str">
        <f>IF(AND(Table1[[#This Row],[delayed]]=1,Table1[[#This Row],[weather_condition]]="Storm"),"High Risk", IF(Table1[[#This Row],[delayed]]=1,"Medium Risk","Low Risk"))</f>
        <v>Low Risk</v>
      </c>
    </row>
    <row r="1277" spans="1:14" x14ac:dyDescent="0.35">
      <c r="A1277">
        <v>1276</v>
      </c>
      <c r="B1277" s="1">
        <v>44980.125</v>
      </c>
      <c r="C1277" s="2">
        <v>6.5277777777777782E-2</v>
      </c>
      <c r="D1277" s="3">
        <v>1724</v>
      </c>
      <c r="E1277" s="3">
        <v>130</v>
      </c>
      <c r="F1277" s="2">
        <v>19.086805555555554</v>
      </c>
      <c r="G1277" t="s">
        <v>2812</v>
      </c>
      <c r="H1277" t="s">
        <v>2820</v>
      </c>
      <c r="I1277" s="2">
        <v>2.1666666666666665</v>
      </c>
      <c r="J1277" s="4" t="str">
        <f>IF(Table1[[#This Row],[processing_time_hours]]&gt;1.5,"Slow", "Fast")</f>
        <v>Slow</v>
      </c>
      <c r="K1277" t="s">
        <v>2814</v>
      </c>
      <c r="L1277" s="3">
        <v>0</v>
      </c>
      <c r="M1277" t="str">
        <f>IF(Table1[[#This Row],[delayed]]=1,"Delayed","On Time")</f>
        <v>On Time</v>
      </c>
      <c r="N1277" t="str">
        <f>IF(AND(Table1[[#This Row],[delayed]]=1,Table1[[#This Row],[weather_condition]]="Storm"),"High Risk", IF(Table1[[#This Row],[delayed]]=1,"Medium Risk","Low Risk"))</f>
        <v>Low Risk</v>
      </c>
    </row>
    <row r="1278" spans="1:14" x14ac:dyDescent="0.35">
      <c r="A1278">
        <v>1277</v>
      </c>
      <c r="B1278" s="1">
        <v>44980.166666666664</v>
      </c>
      <c r="C1278" s="2">
        <v>4.3750000000000004E-2</v>
      </c>
      <c r="D1278" s="3">
        <v>4344</v>
      </c>
      <c r="E1278" s="3">
        <v>141</v>
      </c>
      <c r="F1278" s="2">
        <v>10.168055555555556</v>
      </c>
      <c r="G1278" t="s">
        <v>2819</v>
      </c>
      <c r="H1278" t="s">
        <v>2813</v>
      </c>
      <c r="I1278" s="2">
        <v>1.9173611111111111</v>
      </c>
      <c r="J1278" s="4" t="str">
        <f>IF(Table1[[#This Row],[processing_time_hours]]&gt;1.5,"Slow", "Fast")</f>
        <v>Slow</v>
      </c>
      <c r="K1278" t="s">
        <v>2821</v>
      </c>
      <c r="L1278" s="3">
        <v>1</v>
      </c>
      <c r="M1278" t="str">
        <f>IF(Table1[[#This Row],[delayed]]=1,"Delayed","On Time")</f>
        <v>Delayed</v>
      </c>
      <c r="N1278" t="str">
        <f>IF(AND(Table1[[#This Row],[delayed]]=1,Table1[[#This Row],[weather_condition]]="Storm"),"High Risk", IF(Table1[[#This Row],[delayed]]=1,"Medium Risk","Low Risk"))</f>
        <v>Medium Risk</v>
      </c>
    </row>
    <row r="1279" spans="1:14" x14ac:dyDescent="0.35">
      <c r="A1279">
        <v>1278</v>
      </c>
      <c r="B1279" s="1">
        <v>44980.208333333336</v>
      </c>
      <c r="C1279" s="2">
        <v>4.3055555555555562E-2</v>
      </c>
      <c r="D1279" s="3">
        <v>4639</v>
      </c>
      <c r="E1279" s="3">
        <v>313</v>
      </c>
      <c r="F1279" s="2">
        <v>67.708333333333329</v>
      </c>
      <c r="G1279" t="s">
        <v>2816</v>
      </c>
      <c r="H1279" t="s">
        <v>2813</v>
      </c>
      <c r="I1279" s="2">
        <v>0.58472222222222225</v>
      </c>
      <c r="J1279" s="4" t="str">
        <f>IF(Table1[[#This Row],[processing_time_hours]]&gt;1.5,"Slow", "Fast")</f>
        <v>Fast</v>
      </c>
      <c r="K1279" t="s">
        <v>2814</v>
      </c>
      <c r="L1279" s="3">
        <v>0</v>
      </c>
      <c r="M1279" t="str">
        <f>IF(Table1[[#This Row],[delayed]]=1,"Delayed","On Time")</f>
        <v>On Time</v>
      </c>
      <c r="N1279" t="str">
        <f>IF(AND(Table1[[#This Row],[delayed]]=1,Table1[[#This Row],[weather_condition]]="Storm"),"High Risk", IF(Table1[[#This Row],[delayed]]=1,"Medium Risk","Low Risk"))</f>
        <v>Low Risk</v>
      </c>
    </row>
    <row r="1280" spans="1:14" x14ac:dyDescent="0.35">
      <c r="A1280">
        <v>1279</v>
      </c>
      <c r="B1280" s="1">
        <v>44980.25</v>
      </c>
      <c r="C1280" s="2">
        <v>6.5277777777777782E-2</v>
      </c>
      <c r="D1280" s="3">
        <v>302</v>
      </c>
      <c r="E1280" s="3">
        <v>368</v>
      </c>
      <c r="F1280" s="2">
        <v>17.046527777777779</v>
      </c>
      <c r="G1280" t="s">
        <v>2816</v>
      </c>
      <c r="H1280" t="s">
        <v>2813</v>
      </c>
      <c r="I1280" s="2">
        <v>4.6527777777777779E-2</v>
      </c>
      <c r="J1280" s="4" t="str">
        <f>IF(Table1[[#This Row],[processing_time_hours]]&gt;1.5,"Slow", "Fast")</f>
        <v>Fast</v>
      </c>
      <c r="K1280" t="s">
        <v>2821</v>
      </c>
      <c r="L1280" s="3">
        <v>0</v>
      </c>
      <c r="M1280" t="str">
        <f>IF(Table1[[#This Row],[delayed]]=1,"Delayed","On Time")</f>
        <v>On Time</v>
      </c>
      <c r="N1280" t="str">
        <f>IF(AND(Table1[[#This Row],[delayed]]=1,Table1[[#This Row],[weather_condition]]="Storm"),"High Risk", IF(Table1[[#This Row],[delayed]]=1,"Medium Risk","Low Risk"))</f>
        <v>Low Risk</v>
      </c>
    </row>
    <row r="1281" spans="1:14" x14ac:dyDescent="0.35">
      <c r="A1281">
        <v>1280</v>
      </c>
      <c r="B1281" s="1">
        <v>44980.291666666664</v>
      </c>
      <c r="C1281" s="2">
        <v>4.4444444444444446E-2</v>
      </c>
      <c r="D1281" s="3">
        <v>4276</v>
      </c>
      <c r="E1281" s="3">
        <v>295</v>
      </c>
      <c r="F1281" s="2">
        <v>56.211111111111109</v>
      </c>
      <c r="G1281" t="s">
        <v>2812</v>
      </c>
      <c r="H1281" t="s">
        <v>2822</v>
      </c>
      <c r="I1281" s="2">
        <v>0.79583333333333339</v>
      </c>
      <c r="J1281" s="4" t="str">
        <f>IF(Table1[[#This Row],[processing_time_hours]]&gt;1.5,"Slow", "Fast")</f>
        <v>Fast</v>
      </c>
      <c r="K1281" t="s">
        <v>2821</v>
      </c>
      <c r="L1281" s="3">
        <v>0</v>
      </c>
      <c r="M1281" t="str">
        <f>IF(Table1[[#This Row],[delayed]]=1,"Delayed","On Time")</f>
        <v>On Time</v>
      </c>
      <c r="N1281" t="str">
        <f>IF(AND(Table1[[#This Row],[delayed]]=1,Table1[[#This Row],[weather_condition]]="Storm"),"High Risk", IF(Table1[[#This Row],[delayed]]=1,"Medium Risk","Low Risk"))</f>
        <v>Low Risk</v>
      </c>
    </row>
    <row r="1282" spans="1:14" x14ac:dyDescent="0.35">
      <c r="A1282">
        <v>1281</v>
      </c>
      <c r="B1282" s="1">
        <v>44980.333333333336</v>
      </c>
      <c r="C1282" s="2">
        <v>6.1805555555555558E-2</v>
      </c>
      <c r="D1282" s="3">
        <v>2309</v>
      </c>
      <c r="E1282" s="3">
        <v>246</v>
      </c>
      <c r="F1282" s="2">
        <v>40.170138888888893</v>
      </c>
      <c r="G1282" t="s">
        <v>2819</v>
      </c>
      <c r="H1282" t="s">
        <v>2820</v>
      </c>
      <c r="I1282" s="2">
        <v>1.8812499999999999</v>
      </c>
      <c r="J1282" s="4" t="str">
        <f>IF(Table1[[#This Row],[processing_time_hours]]&gt;1.5,"Slow", "Fast")</f>
        <v>Slow</v>
      </c>
      <c r="K1282" t="s">
        <v>2818</v>
      </c>
      <c r="L1282" s="3">
        <v>1</v>
      </c>
      <c r="M1282" t="str">
        <f>IF(Table1[[#This Row],[delayed]]=1,"Delayed","On Time")</f>
        <v>Delayed</v>
      </c>
      <c r="N1282" t="str">
        <f>IF(AND(Table1[[#This Row],[delayed]]=1,Table1[[#This Row],[weather_condition]]="Storm"),"High Risk", IF(Table1[[#This Row],[delayed]]=1,"Medium Risk","Low Risk"))</f>
        <v>Medium Risk</v>
      </c>
    </row>
    <row r="1283" spans="1:14" x14ac:dyDescent="0.35">
      <c r="A1283">
        <v>1282</v>
      </c>
      <c r="B1283" s="1">
        <v>44980.375</v>
      </c>
      <c r="C1283" s="2">
        <v>5.8333333333333327E-2</v>
      </c>
      <c r="D1283" s="3">
        <v>911</v>
      </c>
      <c r="E1283" s="3">
        <v>348</v>
      </c>
      <c r="F1283" s="2">
        <v>75.797222222222231</v>
      </c>
      <c r="G1283" t="s">
        <v>2812</v>
      </c>
      <c r="H1283" t="s">
        <v>2820</v>
      </c>
      <c r="I1283" s="2">
        <v>2.0465277777777779</v>
      </c>
      <c r="J1283" s="4" t="str">
        <f>IF(Table1[[#This Row],[processing_time_hours]]&gt;1.5,"Slow", "Fast")</f>
        <v>Slow</v>
      </c>
      <c r="K1283" t="s">
        <v>2821</v>
      </c>
      <c r="L1283" s="3">
        <v>0</v>
      </c>
      <c r="M1283" t="str">
        <f>IF(Table1[[#This Row],[delayed]]=1,"Delayed","On Time")</f>
        <v>On Time</v>
      </c>
      <c r="N1283" t="str">
        <f>IF(AND(Table1[[#This Row],[delayed]]=1,Table1[[#This Row],[weather_condition]]="Storm"),"High Risk", IF(Table1[[#This Row],[delayed]]=1,"Medium Risk","Low Risk"))</f>
        <v>Low Risk</v>
      </c>
    </row>
    <row r="1284" spans="1:14" x14ac:dyDescent="0.35">
      <c r="A1284">
        <v>1283</v>
      </c>
      <c r="B1284" s="1">
        <v>44980.416666666664</v>
      </c>
      <c r="C1284" s="2">
        <v>4.7222222222222221E-2</v>
      </c>
      <c r="D1284" s="3">
        <v>3681</v>
      </c>
      <c r="E1284" s="3">
        <v>90</v>
      </c>
      <c r="F1284" s="2">
        <v>32.377083333333331</v>
      </c>
      <c r="G1284" t="s">
        <v>2816</v>
      </c>
      <c r="H1284" t="s">
        <v>2813</v>
      </c>
      <c r="I1284" s="2">
        <v>2.5847222222222221</v>
      </c>
      <c r="J1284" s="4" t="str">
        <f>IF(Table1[[#This Row],[processing_time_hours]]&gt;1.5,"Slow", "Fast")</f>
        <v>Slow</v>
      </c>
      <c r="K1284" t="s">
        <v>2814</v>
      </c>
      <c r="L1284" s="3">
        <v>0</v>
      </c>
      <c r="M1284" t="str">
        <f>IF(Table1[[#This Row],[delayed]]=1,"Delayed","On Time")</f>
        <v>On Time</v>
      </c>
      <c r="N1284" t="str">
        <f>IF(AND(Table1[[#This Row],[delayed]]=1,Table1[[#This Row],[weather_condition]]="Storm"),"High Risk", IF(Table1[[#This Row],[delayed]]=1,"Medium Risk","Low Risk"))</f>
        <v>Low Risk</v>
      </c>
    </row>
    <row r="1285" spans="1:14" x14ac:dyDescent="0.35">
      <c r="A1285">
        <v>1284</v>
      </c>
      <c r="B1285" s="1">
        <v>44980.458333333336</v>
      </c>
      <c r="C1285" s="2">
        <v>4.8611111111111112E-3</v>
      </c>
      <c r="D1285" s="3">
        <v>1141</v>
      </c>
      <c r="E1285" s="3">
        <v>66</v>
      </c>
      <c r="F1285" s="2">
        <v>61.875</v>
      </c>
      <c r="G1285" t="s">
        <v>2819</v>
      </c>
      <c r="H1285" t="s">
        <v>2813</v>
      </c>
      <c r="I1285" s="2">
        <v>2.2923611111111111</v>
      </c>
      <c r="J1285" s="4" t="str">
        <f>IF(Table1[[#This Row],[processing_time_hours]]&gt;1.5,"Slow", "Fast")</f>
        <v>Slow</v>
      </c>
      <c r="K1285" t="s">
        <v>2821</v>
      </c>
      <c r="L1285" s="3">
        <v>0</v>
      </c>
      <c r="M1285" t="str">
        <f>IF(Table1[[#This Row],[delayed]]=1,"Delayed","On Time")</f>
        <v>On Time</v>
      </c>
      <c r="N1285" t="str">
        <f>IF(AND(Table1[[#This Row],[delayed]]=1,Table1[[#This Row],[weather_condition]]="Storm"),"High Risk", IF(Table1[[#This Row],[delayed]]=1,"Medium Risk","Low Risk"))</f>
        <v>Low Risk</v>
      </c>
    </row>
    <row r="1286" spans="1:14" x14ac:dyDescent="0.35">
      <c r="A1286">
        <v>1285</v>
      </c>
      <c r="B1286" s="1">
        <v>44980.5</v>
      </c>
      <c r="C1286" s="2">
        <v>6.2499999999999995E-3</v>
      </c>
      <c r="D1286" s="3">
        <v>2003</v>
      </c>
      <c r="E1286" s="3">
        <v>306</v>
      </c>
      <c r="F1286" s="2">
        <v>60.13055555555556</v>
      </c>
      <c r="G1286" t="s">
        <v>2819</v>
      </c>
      <c r="H1286" t="s">
        <v>2822</v>
      </c>
      <c r="I1286" s="2">
        <v>0.66805555555555562</v>
      </c>
      <c r="J1286" s="4" t="str">
        <f>IF(Table1[[#This Row],[processing_time_hours]]&gt;1.5,"Slow", "Fast")</f>
        <v>Fast</v>
      </c>
      <c r="K1286" t="s">
        <v>2814</v>
      </c>
      <c r="L1286" s="3">
        <v>1</v>
      </c>
      <c r="M1286" t="str">
        <f>IF(Table1[[#This Row],[delayed]]=1,"Delayed","On Time")</f>
        <v>Delayed</v>
      </c>
      <c r="N1286" t="str">
        <f>IF(AND(Table1[[#This Row],[delayed]]=1,Table1[[#This Row],[weather_condition]]="Storm"),"High Risk", IF(Table1[[#This Row],[delayed]]=1,"Medium Risk","Low Risk"))</f>
        <v>Medium Risk</v>
      </c>
    </row>
    <row r="1287" spans="1:14" x14ac:dyDescent="0.35">
      <c r="A1287">
        <v>1286</v>
      </c>
      <c r="B1287" s="1">
        <v>44980.541666666664</v>
      </c>
      <c r="C1287" s="2">
        <v>4.2361111111111106E-2</v>
      </c>
      <c r="D1287" s="3">
        <v>2522</v>
      </c>
      <c r="E1287" s="3">
        <v>276</v>
      </c>
      <c r="F1287" s="2">
        <v>71.672222222222231</v>
      </c>
      <c r="G1287" t="s">
        <v>2816</v>
      </c>
      <c r="H1287" t="s">
        <v>2813</v>
      </c>
      <c r="I1287" s="2">
        <v>1.7513888888888889</v>
      </c>
      <c r="J1287" s="4" t="str">
        <f>IF(Table1[[#This Row],[processing_time_hours]]&gt;1.5,"Slow", "Fast")</f>
        <v>Slow</v>
      </c>
      <c r="K1287" t="s">
        <v>2814</v>
      </c>
      <c r="L1287" s="3">
        <v>0</v>
      </c>
      <c r="M1287" t="str">
        <f>IF(Table1[[#This Row],[delayed]]=1,"Delayed","On Time")</f>
        <v>On Time</v>
      </c>
      <c r="N1287" t="str">
        <f>IF(AND(Table1[[#This Row],[delayed]]=1,Table1[[#This Row],[weather_condition]]="Storm"),"High Risk", IF(Table1[[#This Row],[delayed]]=1,"Medium Risk","Low Risk"))</f>
        <v>Low Risk</v>
      </c>
    </row>
    <row r="1288" spans="1:14" x14ac:dyDescent="0.35">
      <c r="A1288">
        <v>1287</v>
      </c>
      <c r="B1288" s="1">
        <v>44980.583333333336</v>
      </c>
      <c r="C1288" s="2">
        <v>6.805555555555555E-2</v>
      </c>
      <c r="D1288" s="3">
        <v>3696</v>
      </c>
      <c r="E1288" s="3">
        <v>12</v>
      </c>
      <c r="F1288" s="2">
        <v>69.043750000000003</v>
      </c>
      <c r="G1288" t="s">
        <v>2815</v>
      </c>
      <c r="H1288" t="s">
        <v>2817</v>
      </c>
      <c r="I1288" s="2">
        <v>2.1694444444444447</v>
      </c>
      <c r="J1288" s="4" t="str">
        <f>IF(Table1[[#This Row],[processing_time_hours]]&gt;1.5,"Slow", "Fast")</f>
        <v>Slow</v>
      </c>
      <c r="K1288" t="s">
        <v>2814</v>
      </c>
      <c r="L1288" s="3">
        <v>0</v>
      </c>
      <c r="M1288" t="str">
        <f>IF(Table1[[#This Row],[delayed]]=1,"Delayed","On Time")</f>
        <v>On Time</v>
      </c>
      <c r="N1288" t="str">
        <f>IF(AND(Table1[[#This Row],[delayed]]=1,Table1[[#This Row],[weather_condition]]="Storm"),"High Risk", IF(Table1[[#This Row],[delayed]]=1,"Medium Risk","Low Risk"))</f>
        <v>Low Risk</v>
      </c>
    </row>
    <row r="1289" spans="1:14" x14ac:dyDescent="0.35">
      <c r="A1289">
        <v>1288</v>
      </c>
      <c r="B1289" s="1">
        <v>44980.625</v>
      </c>
      <c r="C1289" s="2">
        <v>4.3055555555555562E-2</v>
      </c>
      <c r="D1289" s="3">
        <v>3540</v>
      </c>
      <c r="E1289" s="3">
        <v>388</v>
      </c>
      <c r="F1289" s="2">
        <v>8.3375000000000004</v>
      </c>
      <c r="G1289" t="s">
        <v>2819</v>
      </c>
      <c r="H1289" t="s">
        <v>2813</v>
      </c>
      <c r="I1289" s="2">
        <v>2.3368055555555558</v>
      </c>
      <c r="J1289" s="4" t="str">
        <f>IF(Table1[[#This Row],[processing_time_hours]]&gt;1.5,"Slow", "Fast")</f>
        <v>Slow</v>
      </c>
      <c r="K1289" t="s">
        <v>2814</v>
      </c>
      <c r="L1289" s="3">
        <v>0</v>
      </c>
      <c r="M1289" t="str">
        <f>IF(Table1[[#This Row],[delayed]]=1,"Delayed","On Time")</f>
        <v>On Time</v>
      </c>
      <c r="N1289" t="str">
        <f>IF(AND(Table1[[#This Row],[delayed]]=1,Table1[[#This Row],[weather_condition]]="Storm"),"High Risk", IF(Table1[[#This Row],[delayed]]=1,"Medium Risk","Low Risk"))</f>
        <v>Low Risk</v>
      </c>
    </row>
    <row r="1290" spans="1:14" x14ac:dyDescent="0.35">
      <c r="A1290">
        <v>1289</v>
      </c>
      <c r="B1290" s="1">
        <v>44980.666666666664</v>
      </c>
      <c r="C1290" s="2">
        <v>4.5833333333333337E-2</v>
      </c>
      <c r="D1290" s="3">
        <v>4732</v>
      </c>
      <c r="E1290" s="3">
        <v>389</v>
      </c>
      <c r="F1290" s="2">
        <v>83.168750000000003</v>
      </c>
      <c r="G1290" t="s">
        <v>2812</v>
      </c>
      <c r="H1290" t="s">
        <v>2813</v>
      </c>
      <c r="I1290" s="2">
        <v>1.1298611111111112</v>
      </c>
      <c r="J1290" s="4" t="str">
        <f>IF(Table1[[#This Row],[processing_time_hours]]&gt;1.5,"Slow", "Fast")</f>
        <v>Fast</v>
      </c>
      <c r="K1290" t="s">
        <v>2821</v>
      </c>
      <c r="L1290" s="3">
        <v>0</v>
      </c>
      <c r="M1290" t="str">
        <f>IF(Table1[[#This Row],[delayed]]=1,"Delayed","On Time")</f>
        <v>On Time</v>
      </c>
      <c r="N1290" t="str">
        <f>IF(AND(Table1[[#This Row],[delayed]]=1,Table1[[#This Row],[weather_condition]]="Storm"),"High Risk", IF(Table1[[#This Row],[delayed]]=1,"Medium Risk","Low Risk"))</f>
        <v>Low Risk</v>
      </c>
    </row>
    <row r="1291" spans="1:14" x14ac:dyDescent="0.35">
      <c r="A1291">
        <v>1290</v>
      </c>
      <c r="B1291" s="1">
        <v>44980.708333333336</v>
      </c>
      <c r="C1291" s="2">
        <v>5.9722222222222225E-2</v>
      </c>
      <c r="D1291" s="3">
        <v>278</v>
      </c>
      <c r="E1291" s="3">
        <v>116</v>
      </c>
      <c r="F1291" s="2">
        <v>23.501388888888886</v>
      </c>
      <c r="G1291" t="s">
        <v>2819</v>
      </c>
      <c r="H1291" t="s">
        <v>2820</v>
      </c>
      <c r="I1291" s="2">
        <v>0.1673611111111111</v>
      </c>
      <c r="J1291" s="4" t="str">
        <f>IF(Table1[[#This Row],[processing_time_hours]]&gt;1.5,"Slow", "Fast")</f>
        <v>Fast</v>
      </c>
      <c r="K1291" t="s">
        <v>2821</v>
      </c>
      <c r="L1291" s="3">
        <v>0</v>
      </c>
      <c r="M1291" t="str">
        <f>IF(Table1[[#This Row],[delayed]]=1,"Delayed","On Time")</f>
        <v>On Time</v>
      </c>
      <c r="N1291" t="str">
        <f>IF(AND(Table1[[#This Row],[delayed]]=1,Table1[[#This Row],[weather_condition]]="Storm"),"High Risk", IF(Table1[[#This Row],[delayed]]=1,"Medium Risk","Low Risk"))</f>
        <v>Low Risk</v>
      </c>
    </row>
    <row r="1292" spans="1:14" x14ac:dyDescent="0.35">
      <c r="A1292">
        <v>1291</v>
      </c>
      <c r="B1292" s="1">
        <v>44980.75</v>
      </c>
      <c r="C1292" s="2">
        <v>4.5138888888888888E-2</v>
      </c>
      <c r="D1292" s="3">
        <v>168</v>
      </c>
      <c r="E1292" s="3">
        <v>239</v>
      </c>
      <c r="F1292" s="2">
        <v>72.543750000000003</v>
      </c>
      <c r="G1292" t="s">
        <v>2816</v>
      </c>
      <c r="H1292" t="s">
        <v>2822</v>
      </c>
      <c r="I1292" s="2">
        <v>1.8805555555555555</v>
      </c>
      <c r="J1292" s="4" t="str">
        <f>IF(Table1[[#This Row],[processing_time_hours]]&gt;1.5,"Slow", "Fast")</f>
        <v>Slow</v>
      </c>
      <c r="K1292" t="s">
        <v>2818</v>
      </c>
      <c r="L1292" s="3">
        <v>0</v>
      </c>
      <c r="M1292" t="str">
        <f>IF(Table1[[#This Row],[delayed]]=1,"Delayed","On Time")</f>
        <v>On Time</v>
      </c>
      <c r="N1292" t="str">
        <f>IF(AND(Table1[[#This Row],[delayed]]=1,Table1[[#This Row],[weather_condition]]="Storm"),"High Risk", IF(Table1[[#This Row],[delayed]]=1,"Medium Risk","Low Risk"))</f>
        <v>Low Risk</v>
      </c>
    </row>
    <row r="1293" spans="1:14" x14ac:dyDescent="0.35">
      <c r="A1293">
        <v>1292</v>
      </c>
      <c r="B1293" s="1">
        <v>44980.791666666664</v>
      </c>
      <c r="C1293" s="2">
        <v>4.1666666666666664E-2</v>
      </c>
      <c r="D1293" s="3">
        <v>3475</v>
      </c>
      <c r="E1293" s="3">
        <v>247</v>
      </c>
      <c r="F1293" s="2">
        <v>6.5027777777777773</v>
      </c>
      <c r="G1293" t="s">
        <v>2812</v>
      </c>
      <c r="H1293" t="s">
        <v>2820</v>
      </c>
      <c r="I1293" s="2">
        <v>2.4180555555555556</v>
      </c>
      <c r="J1293" s="4" t="str">
        <f>IF(Table1[[#This Row],[processing_time_hours]]&gt;1.5,"Slow", "Fast")</f>
        <v>Slow</v>
      </c>
      <c r="K1293" t="s">
        <v>2818</v>
      </c>
      <c r="L1293" s="3">
        <v>1</v>
      </c>
      <c r="M1293" t="str">
        <f>IF(Table1[[#This Row],[delayed]]=1,"Delayed","On Time")</f>
        <v>Delayed</v>
      </c>
      <c r="N1293" t="str">
        <f>IF(AND(Table1[[#This Row],[delayed]]=1,Table1[[#This Row],[weather_condition]]="Storm"),"High Risk", IF(Table1[[#This Row],[delayed]]=1,"Medium Risk","Low Risk"))</f>
        <v>Medium Risk</v>
      </c>
    </row>
    <row r="1294" spans="1:14" x14ac:dyDescent="0.35">
      <c r="A1294">
        <v>1293</v>
      </c>
      <c r="B1294" s="1">
        <v>44980.833333333336</v>
      </c>
      <c r="C1294" s="2">
        <v>5.3472222222222227E-2</v>
      </c>
      <c r="D1294" s="3">
        <v>4298</v>
      </c>
      <c r="E1294" s="3">
        <v>378</v>
      </c>
      <c r="F1294" s="2">
        <v>80.708333333333329</v>
      </c>
      <c r="G1294" t="s">
        <v>2815</v>
      </c>
      <c r="H1294" t="s">
        <v>2822</v>
      </c>
      <c r="I1294" s="2">
        <v>2.1263888888888887</v>
      </c>
      <c r="J1294" s="4" t="str">
        <f>IF(Table1[[#This Row],[processing_time_hours]]&gt;1.5,"Slow", "Fast")</f>
        <v>Slow</v>
      </c>
      <c r="K1294" t="s">
        <v>2821</v>
      </c>
      <c r="L1294" s="3">
        <v>1</v>
      </c>
      <c r="M1294" t="str">
        <f>IF(Table1[[#This Row],[delayed]]=1,"Delayed","On Time")</f>
        <v>Delayed</v>
      </c>
      <c r="N1294" t="str">
        <f>IF(AND(Table1[[#This Row],[delayed]]=1,Table1[[#This Row],[weather_condition]]="Storm"),"High Risk", IF(Table1[[#This Row],[delayed]]=1,"Medium Risk","Low Risk"))</f>
        <v>Medium Risk</v>
      </c>
    </row>
    <row r="1295" spans="1:14" x14ac:dyDescent="0.35">
      <c r="A1295">
        <v>1294</v>
      </c>
      <c r="B1295" s="1">
        <v>44980.875</v>
      </c>
      <c r="C1295" s="2">
        <v>4.3750000000000004E-2</v>
      </c>
      <c r="D1295" s="3">
        <v>3076</v>
      </c>
      <c r="E1295" s="3">
        <v>25</v>
      </c>
      <c r="F1295" s="2">
        <v>37.00277777777778</v>
      </c>
      <c r="G1295" t="s">
        <v>2812</v>
      </c>
      <c r="H1295" t="s">
        <v>2813</v>
      </c>
      <c r="I1295" s="2">
        <v>2.2083333333333335</v>
      </c>
      <c r="J1295" s="4" t="str">
        <f>IF(Table1[[#This Row],[processing_time_hours]]&gt;1.5,"Slow", "Fast")</f>
        <v>Slow</v>
      </c>
      <c r="K1295" t="s">
        <v>2818</v>
      </c>
      <c r="L1295" s="3">
        <v>0</v>
      </c>
      <c r="M1295" t="str">
        <f>IF(Table1[[#This Row],[delayed]]=1,"Delayed","On Time")</f>
        <v>On Time</v>
      </c>
      <c r="N1295" t="str">
        <f>IF(AND(Table1[[#This Row],[delayed]]=1,Table1[[#This Row],[weather_condition]]="Storm"),"High Risk", IF(Table1[[#This Row],[delayed]]=1,"Medium Risk","Low Risk"))</f>
        <v>Low Risk</v>
      </c>
    </row>
    <row r="1296" spans="1:14" x14ac:dyDescent="0.35">
      <c r="A1296">
        <v>1295</v>
      </c>
      <c r="B1296" s="1">
        <v>44980.916666666664</v>
      </c>
      <c r="C1296" s="2">
        <v>4.6527777777777779E-2</v>
      </c>
      <c r="D1296" s="3">
        <v>3826</v>
      </c>
      <c r="E1296" s="3">
        <v>162</v>
      </c>
      <c r="F1296" s="2">
        <v>19.375694444444445</v>
      </c>
      <c r="G1296" t="s">
        <v>2819</v>
      </c>
      <c r="H1296" t="s">
        <v>2813</v>
      </c>
      <c r="I1296" s="2">
        <v>2.5416666666666665</v>
      </c>
      <c r="J1296" s="4" t="str">
        <f>IF(Table1[[#This Row],[processing_time_hours]]&gt;1.5,"Slow", "Fast")</f>
        <v>Slow</v>
      </c>
      <c r="K1296" t="s">
        <v>2821</v>
      </c>
      <c r="L1296" s="3">
        <v>1</v>
      </c>
      <c r="M1296" t="str">
        <f>IF(Table1[[#This Row],[delayed]]=1,"Delayed","On Time")</f>
        <v>Delayed</v>
      </c>
      <c r="N1296" t="str">
        <f>IF(AND(Table1[[#This Row],[delayed]]=1,Table1[[#This Row],[weather_condition]]="Storm"),"High Risk", IF(Table1[[#This Row],[delayed]]=1,"Medium Risk","Low Risk"))</f>
        <v>Medium Risk</v>
      </c>
    </row>
    <row r="1297" spans="1:14" x14ac:dyDescent="0.35">
      <c r="A1297">
        <v>1296</v>
      </c>
      <c r="B1297" s="1">
        <v>44980.958333333336</v>
      </c>
      <c r="C1297" s="2">
        <v>5.6944444444444443E-2</v>
      </c>
      <c r="D1297" s="3">
        <v>1429</v>
      </c>
      <c r="E1297" s="3">
        <v>401</v>
      </c>
      <c r="F1297" s="2">
        <v>12.293750000000001</v>
      </c>
      <c r="G1297" t="s">
        <v>2816</v>
      </c>
      <c r="H1297" t="s">
        <v>2822</v>
      </c>
      <c r="I1297" s="2">
        <v>2.4604166666666667</v>
      </c>
      <c r="J1297" s="4" t="str">
        <f>IF(Table1[[#This Row],[processing_time_hours]]&gt;1.5,"Slow", "Fast")</f>
        <v>Slow</v>
      </c>
      <c r="K1297" t="s">
        <v>2821</v>
      </c>
      <c r="L1297" s="3">
        <v>0</v>
      </c>
      <c r="M1297" t="str">
        <f>IF(Table1[[#This Row],[delayed]]=1,"Delayed","On Time")</f>
        <v>On Time</v>
      </c>
      <c r="N1297" t="str">
        <f>IF(AND(Table1[[#This Row],[delayed]]=1,Table1[[#This Row],[weather_condition]]="Storm"),"High Risk", IF(Table1[[#This Row],[delayed]]=1,"Medium Risk","Low Risk"))</f>
        <v>Low Risk</v>
      </c>
    </row>
    <row r="1298" spans="1:14" x14ac:dyDescent="0.35">
      <c r="A1298">
        <v>1297</v>
      </c>
      <c r="B1298" s="1">
        <v>44981</v>
      </c>
      <c r="C1298" s="2">
        <v>6.5972222222222224E-2</v>
      </c>
      <c r="D1298" s="3">
        <v>2537</v>
      </c>
      <c r="E1298" s="3">
        <v>22</v>
      </c>
      <c r="F1298" s="2">
        <v>70.834027777777777</v>
      </c>
      <c r="G1298" t="s">
        <v>2819</v>
      </c>
      <c r="H1298" t="s">
        <v>2820</v>
      </c>
      <c r="I1298" s="2">
        <v>1.4180555555555554</v>
      </c>
      <c r="J1298" s="4" t="str">
        <f>IF(Table1[[#This Row],[processing_time_hours]]&gt;1.5,"Slow", "Fast")</f>
        <v>Fast</v>
      </c>
      <c r="K1298" t="s">
        <v>2814</v>
      </c>
      <c r="L1298" s="3">
        <v>0</v>
      </c>
      <c r="M1298" t="str">
        <f>IF(Table1[[#This Row],[delayed]]=1,"Delayed","On Time")</f>
        <v>On Time</v>
      </c>
      <c r="N1298" t="str">
        <f>IF(AND(Table1[[#This Row],[delayed]]=1,Table1[[#This Row],[weather_condition]]="Storm"),"High Risk", IF(Table1[[#This Row],[delayed]]=1,"Medium Risk","Low Risk"))</f>
        <v>Low Risk</v>
      </c>
    </row>
    <row r="1299" spans="1:14" x14ac:dyDescent="0.35">
      <c r="A1299">
        <v>1298</v>
      </c>
      <c r="B1299" s="1">
        <v>44981.041666666664</v>
      </c>
      <c r="C1299" s="2">
        <v>4.8611111111111112E-3</v>
      </c>
      <c r="D1299" s="3">
        <v>1553</v>
      </c>
      <c r="E1299" s="3">
        <v>366</v>
      </c>
      <c r="F1299" s="2">
        <v>1.1694444444444445</v>
      </c>
      <c r="G1299" t="s">
        <v>2812</v>
      </c>
      <c r="H1299" t="s">
        <v>2817</v>
      </c>
      <c r="I1299" s="2">
        <v>1.1298611111111112</v>
      </c>
      <c r="J1299" s="4" t="str">
        <f>IF(Table1[[#This Row],[processing_time_hours]]&gt;1.5,"Slow", "Fast")</f>
        <v>Fast</v>
      </c>
      <c r="K1299" t="s">
        <v>2818</v>
      </c>
      <c r="L1299" s="3">
        <v>0</v>
      </c>
      <c r="M1299" t="str">
        <f>IF(Table1[[#This Row],[delayed]]=1,"Delayed","On Time")</f>
        <v>On Time</v>
      </c>
      <c r="N1299" t="str">
        <f>IF(AND(Table1[[#This Row],[delayed]]=1,Table1[[#This Row],[weather_condition]]="Storm"),"High Risk", IF(Table1[[#This Row],[delayed]]=1,"Medium Risk","Low Risk"))</f>
        <v>Low Risk</v>
      </c>
    </row>
    <row r="1300" spans="1:14" x14ac:dyDescent="0.35">
      <c r="A1300">
        <v>1299</v>
      </c>
      <c r="B1300" s="1">
        <v>44981.083333333336</v>
      </c>
      <c r="C1300" s="2">
        <v>5.2777777777777778E-2</v>
      </c>
      <c r="D1300" s="3">
        <v>2535</v>
      </c>
      <c r="E1300" s="3">
        <v>461</v>
      </c>
      <c r="F1300" s="2">
        <v>33.791666666666664</v>
      </c>
      <c r="G1300" t="s">
        <v>2816</v>
      </c>
      <c r="H1300" t="s">
        <v>2817</v>
      </c>
      <c r="I1300" s="2">
        <v>1.3340277777777778</v>
      </c>
      <c r="J1300" s="4" t="str">
        <f>IF(Table1[[#This Row],[processing_time_hours]]&gt;1.5,"Slow", "Fast")</f>
        <v>Fast</v>
      </c>
      <c r="K1300" t="s">
        <v>2818</v>
      </c>
      <c r="L1300" s="3">
        <v>0</v>
      </c>
      <c r="M1300" t="str">
        <f>IF(Table1[[#This Row],[delayed]]=1,"Delayed","On Time")</f>
        <v>On Time</v>
      </c>
      <c r="N1300" t="str">
        <f>IF(AND(Table1[[#This Row],[delayed]]=1,Table1[[#This Row],[weather_condition]]="Storm"),"High Risk", IF(Table1[[#This Row],[delayed]]=1,"Medium Risk","Low Risk"))</f>
        <v>Low Risk</v>
      </c>
    </row>
    <row r="1301" spans="1:14" x14ac:dyDescent="0.35">
      <c r="A1301">
        <v>1300</v>
      </c>
      <c r="B1301" s="1">
        <v>44981.125</v>
      </c>
      <c r="C1301" s="2">
        <v>5.7638888888888885E-2</v>
      </c>
      <c r="D1301" s="3">
        <v>749</v>
      </c>
      <c r="E1301" s="3">
        <v>72</v>
      </c>
      <c r="F1301" s="2">
        <v>64.875694444444449</v>
      </c>
      <c r="G1301" t="s">
        <v>2819</v>
      </c>
      <c r="H1301" t="s">
        <v>2817</v>
      </c>
      <c r="I1301" s="2">
        <v>1.3375000000000001</v>
      </c>
      <c r="J1301" s="4" t="str">
        <f>IF(Table1[[#This Row],[processing_time_hours]]&gt;1.5,"Slow", "Fast")</f>
        <v>Fast</v>
      </c>
      <c r="K1301" t="s">
        <v>2821</v>
      </c>
      <c r="L1301" s="3">
        <v>0</v>
      </c>
      <c r="M1301" t="str">
        <f>IF(Table1[[#This Row],[delayed]]=1,"Delayed","On Time")</f>
        <v>On Time</v>
      </c>
      <c r="N1301" t="str">
        <f>IF(AND(Table1[[#This Row],[delayed]]=1,Table1[[#This Row],[weather_condition]]="Storm"),"High Risk", IF(Table1[[#This Row],[delayed]]=1,"Medium Risk","Low Risk"))</f>
        <v>Low Risk</v>
      </c>
    </row>
    <row r="1302" spans="1:14" x14ac:dyDescent="0.35">
      <c r="A1302">
        <v>1301</v>
      </c>
      <c r="B1302" s="1">
        <v>44981.166666666664</v>
      </c>
      <c r="C1302" s="2">
        <v>5.9722222222222225E-2</v>
      </c>
      <c r="D1302" s="3">
        <v>873</v>
      </c>
      <c r="E1302" s="3">
        <v>298</v>
      </c>
      <c r="F1302" s="2">
        <v>81.003472222222214</v>
      </c>
      <c r="G1302" t="s">
        <v>2819</v>
      </c>
      <c r="H1302" t="s">
        <v>2820</v>
      </c>
      <c r="I1302" s="2">
        <v>2.2104166666666667</v>
      </c>
      <c r="J1302" s="4" t="str">
        <f>IF(Table1[[#This Row],[processing_time_hours]]&gt;1.5,"Slow", "Fast")</f>
        <v>Slow</v>
      </c>
      <c r="K1302" t="s">
        <v>2818</v>
      </c>
      <c r="L1302" s="3">
        <v>0</v>
      </c>
      <c r="M1302" t="str">
        <f>IF(Table1[[#This Row],[delayed]]=1,"Delayed","On Time")</f>
        <v>On Time</v>
      </c>
      <c r="N1302" t="str">
        <f>IF(AND(Table1[[#This Row],[delayed]]=1,Table1[[#This Row],[weather_condition]]="Storm"),"High Risk", IF(Table1[[#This Row],[delayed]]=1,"Medium Risk","Low Risk"))</f>
        <v>Low Risk</v>
      </c>
    </row>
    <row r="1303" spans="1:14" x14ac:dyDescent="0.35">
      <c r="A1303">
        <v>1302</v>
      </c>
      <c r="B1303" s="1">
        <v>44981.208333333336</v>
      </c>
      <c r="C1303" s="2">
        <v>6.1805555555555558E-2</v>
      </c>
      <c r="D1303" s="3">
        <v>3115</v>
      </c>
      <c r="E1303" s="3">
        <v>355</v>
      </c>
      <c r="F1303" s="2">
        <v>67.375</v>
      </c>
      <c r="G1303" t="s">
        <v>2812</v>
      </c>
      <c r="H1303" t="s">
        <v>2813</v>
      </c>
      <c r="I1303" s="2">
        <v>2.3374999999999999</v>
      </c>
      <c r="J1303" s="4" t="str">
        <f>IF(Table1[[#This Row],[processing_time_hours]]&gt;1.5,"Slow", "Fast")</f>
        <v>Slow</v>
      </c>
      <c r="K1303" t="s">
        <v>2818</v>
      </c>
      <c r="L1303" s="3">
        <v>0</v>
      </c>
      <c r="M1303" t="str">
        <f>IF(Table1[[#This Row],[delayed]]=1,"Delayed","On Time")</f>
        <v>On Time</v>
      </c>
      <c r="N1303" t="str">
        <f>IF(AND(Table1[[#This Row],[delayed]]=1,Table1[[#This Row],[weather_condition]]="Storm"),"High Risk", IF(Table1[[#This Row],[delayed]]=1,"Medium Risk","Low Risk"))</f>
        <v>Low Risk</v>
      </c>
    </row>
    <row r="1304" spans="1:14" x14ac:dyDescent="0.35">
      <c r="A1304">
        <v>1303</v>
      </c>
      <c r="B1304" s="1">
        <v>44981.25</v>
      </c>
      <c r="C1304" s="2">
        <v>5.0694444444444438E-2</v>
      </c>
      <c r="D1304" s="3">
        <v>3692</v>
      </c>
      <c r="E1304" s="3">
        <v>245</v>
      </c>
      <c r="F1304" s="2">
        <v>7.5888888888888886</v>
      </c>
      <c r="G1304" t="s">
        <v>2816</v>
      </c>
      <c r="H1304" t="s">
        <v>2813</v>
      </c>
      <c r="I1304" s="2">
        <v>2.0861111111111112</v>
      </c>
      <c r="J1304" s="4" t="str">
        <f>IF(Table1[[#This Row],[processing_time_hours]]&gt;1.5,"Slow", "Fast")</f>
        <v>Slow</v>
      </c>
      <c r="K1304" t="s">
        <v>2814</v>
      </c>
      <c r="L1304" s="3">
        <v>0</v>
      </c>
      <c r="M1304" t="str">
        <f>IF(Table1[[#This Row],[delayed]]=1,"Delayed","On Time")</f>
        <v>On Time</v>
      </c>
      <c r="N1304" t="str">
        <f>IF(AND(Table1[[#This Row],[delayed]]=1,Table1[[#This Row],[weather_condition]]="Storm"),"High Risk", IF(Table1[[#This Row],[delayed]]=1,"Medium Risk","Low Risk"))</f>
        <v>Low Risk</v>
      </c>
    </row>
    <row r="1305" spans="1:14" x14ac:dyDescent="0.35">
      <c r="A1305">
        <v>1304</v>
      </c>
      <c r="B1305" s="1">
        <v>44981.291666666664</v>
      </c>
      <c r="C1305" s="2">
        <v>5.2083333333333336E-2</v>
      </c>
      <c r="D1305" s="3">
        <v>3771</v>
      </c>
      <c r="E1305" s="3">
        <v>100</v>
      </c>
      <c r="F1305" s="2">
        <v>31.211111111111112</v>
      </c>
      <c r="G1305" t="s">
        <v>2819</v>
      </c>
      <c r="H1305" t="s">
        <v>2820</v>
      </c>
      <c r="I1305" s="2">
        <v>2.1694444444444447</v>
      </c>
      <c r="J1305" s="4" t="str">
        <f>IF(Table1[[#This Row],[processing_time_hours]]&gt;1.5,"Slow", "Fast")</f>
        <v>Slow</v>
      </c>
      <c r="K1305" t="s">
        <v>2814</v>
      </c>
      <c r="L1305" s="3">
        <v>0</v>
      </c>
      <c r="M1305" t="str">
        <f>IF(Table1[[#This Row],[delayed]]=1,"Delayed","On Time")</f>
        <v>On Time</v>
      </c>
      <c r="N1305" t="str">
        <f>IF(AND(Table1[[#This Row],[delayed]]=1,Table1[[#This Row],[weather_condition]]="Storm"),"High Risk", IF(Table1[[#This Row],[delayed]]=1,"Medium Risk","Low Risk"))</f>
        <v>Low Risk</v>
      </c>
    </row>
    <row r="1306" spans="1:14" x14ac:dyDescent="0.35">
      <c r="A1306">
        <v>1305</v>
      </c>
      <c r="B1306" s="1">
        <v>44981.333333333336</v>
      </c>
      <c r="C1306" s="2">
        <v>6.5972222222222224E-2</v>
      </c>
      <c r="D1306" s="3">
        <v>3741</v>
      </c>
      <c r="E1306" s="3">
        <v>420</v>
      </c>
      <c r="F1306" s="2">
        <v>29.089583333333334</v>
      </c>
      <c r="G1306" t="s">
        <v>2812</v>
      </c>
      <c r="H1306" t="s">
        <v>2817</v>
      </c>
      <c r="I1306" s="2">
        <v>0.46249999999999997</v>
      </c>
      <c r="J1306" s="4" t="str">
        <f>IF(Table1[[#This Row],[processing_time_hours]]&gt;1.5,"Slow", "Fast")</f>
        <v>Fast</v>
      </c>
      <c r="K1306" t="s">
        <v>2814</v>
      </c>
      <c r="L1306" s="3">
        <v>1</v>
      </c>
      <c r="M1306" t="str">
        <f>IF(Table1[[#This Row],[delayed]]=1,"Delayed","On Time")</f>
        <v>Delayed</v>
      </c>
      <c r="N1306" t="str">
        <f>IF(AND(Table1[[#This Row],[delayed]]=1,Table1[[#This Row],[weather_condition]]="Storm"),"High Risk", IF(Table1[[#This Row],[delayed]]=1,"Medium Risk","Low Risk"))</f>
        <v>High Risk</v>
      </c>
    </row>
    <row r="1307" spans="1:14" x14ac:dyDescent="0.35">
      <c r="A1307">
        <v>1306</v>
      </c>
      <c r="B1307" s="1">
        <v>44981.375</v>
      </c>
      <c r="C1307" s="2">
        <v>6.6666666666666666E-2</v>
      </c>
      <c r="D1307" s="3">
        <v>4708</v>
      </c>
      <c r="E1307" s="3">
        <v>113</v>
      </c>
      <c r="F1307" s="2">
        <v>30.375</v>
      </c>
      <c r="G1307" t="s">
        <v>2819</v>
      </c>
      <c r="H1307" t="s">
        <v>2820</v>
      </c>
      <c r="I1307" s="2">
        <v>0.33611111111111108</v>
      </c>
      <c r="J1307" s="4" t="str">
        <f>IF(Table1[[#This Row],[processing_time_hours]]&gt;1.5,"Slow", "Fast")</f>
        <v>Fast</v>
      </c>
      <c r="K1307" t="s">
        <v>2818</v>
      </c>
      <c r="L1307" s="3">
        <v>0</v>
      </c>
      <c r="M1307" t="str">
        <f>IF(Table1[[#This Row],[delayed]]=1,"Delayed","On Time")</f>
        <v>On Time</v>
      </c>
      <c r="N1307" t="str">
        <f>IF(AND(Table1[[#This Row],[delayed]]=1,Table1[[#This Row],[weather_condition]]="Storm"),"High Risk", IF(Table1[[#This Row],[delayed]]=1,"Medium Risk","Low Risk"))</f>
        <v>Low Risk</v>
      </c>
    </row>
    <row r="1308" spans="1:14" x14ac:dyDescent="0.35">
      <c r="A1308">
        <v>1307</v>
      </c>
      <c r="B1308" s="1">
        <v>44981.416666666664</v>
      </c>
      <c r="C1308" s="2">
        <v>5.3472222222222227E-2</v>
      </c>
      <c r="D1308" s="3">
        <v>2684</v>
      </c>
      <c r="E1308" s="3">
        <v>231</v>
      </c>
      <c r="F1308" s="2">
        <v>72.002083333333331</v>
      </c>
      <c r="G1308" t="s">
        <v>2812</v>
      </c>
      <c r="H1308" t="s">
        <v>2822</v>
      </c>
      <c r="I1308" s="2">
        <v>1.4604166666666665</v>
      </c>
      <c r="J1308" s="4" t="str">
        <f>IF(Table1[[#This Row],[processing_time_hours]]&gt;1.5,"Slow", "Fast")</f>
        <v>Fast</v>
      </c>
      <c r="K1308" t="s">
        <v>2818</v>
      </c>
      <c r="L1308" s="3">
        <v>0</v>
      </c>
      <c r="M1308" t="str">
        <f>IF(Table1[[#This Row],[delayed]]=1,"Delayed","On Time")</f>
        <v>On Time</v>
      </c>
      <c r="N1308" t="str">
        <f>IF(AND(Table1[[#This Row],[delayed]]=1,Table1[[#This Row],[weather_condition]]="Storm"),"High Risk", IF(Table1[[#This Row],[delayed]]=1,"Medium Risk","Low Risk"))</f>
        <v>Low Risk</v>
      </c>
    </row>
    <row r="1309" spans="1:14" x14ac:dyDescent="0.35">
      <c r="A1309">
        <v>1308</v>
      </c>
      <c r="B1309" s="1">
        <v>44981.458333333336</v>
      </c>
      <c r="C1309" s="2">
        <v>4.1666666666666664E-2</v>
      </c>
      <c r="D1309" s="3">
        <v>3739</v>
      </c>
      <c r="E1309" s="3">
        <v>272</v>
      </c>
      <c r="F1309" s="2">
        <v>12.042361111111111</v>
      </c>
      <c r="G1309" t="s">
        <v>2816</v>
      </c>
      <c r="H1309" t="s">
        <v>2822</v>
      </c>
      <c r="I1309" s="2">
        <v>0.58333333333333337</v>
      </c>
      <c r="J1309" s="4" t="str">
        <f>IF(Table1[[#This Row],[processing_time_hours]]&gt;1.5,"Slow", "Fast")</f>
        <v>Fast</v>
      </c>
      <c r="K1309" t="s">
        <v>2821</v>
      </c>
      <c r="L1309" s="3">
        <v>0</v>
      </c>
      <c r="M1309" t="str">
        <f>IF(Table1[[#This Row],[delayed]]=1,"Delayed","On Time")</f>
        <v>On Time</v>
      </c>
      <c r="N1309" t="str">
        <f>IF(AND(Table1[[#This Row],[delayed]]=1,Table1[[#This Row],[weather_condition]]="Storm"),"High Risk", IF(Table1[[#This Row],[delayed]]=1,"Medium Risk","Low Risk"))</f>
        <v>Low Risk</v>
      </c>
    </row>
    <row r="1310" spans="1:14" x14ac:dyDescent="0.35">
      <c r="A1310">
        <v>1309</v>
      </c>
      <c r="B1310" s="1">
        <v>44981.5</v>
      </c>
      <c r="C1310" s="2">
        <v>4.6527777777777779E-2</v>
      </c>
      <c r="D1310" s="3">
        <v>3863</v>
      </c>
      <c r="E1310" s="3">
        <v>192</v>
      </c>
      <c r="F1310" s="2">
        <v>71.795138888888886</v>
      </c>
      <c r="G1310" t="s">
        <v>2819</v>
      </c>
      <c r="H1310" t="s">
        <v>2813</v>
      </c>
      <c r="I1310" s="2">
        <v>1.7118055555555556</v>
      </c>
      <c r="J1310" s="4" t="str">
        <f>IF(Table1[[#This Row],[processing_time_hours]]&gt;1.5,"Slow", "Fast")</f>
        <v>Slow</v>
      </c>
      <c r="K1310" t="s">
        <v>2818</v>
      </c>
      <c r="L1310" s="3">
        <v>0</v>
      </c>
      <c r="M1310" t="str">
        <f>IF(Table1[[#This Row],[delayed]]=1,"Delayed","On Time")</f>
        <v>On Time</v>
      </c>
      <c r="N1310" t="str">
        <f>IF(AND(Table1[[#This Row],[delayed]]=1,Table1[[#This Row],[weather_condition]]="Storm"),"High Risk", IF(Table1[[#This Row],[delayed]]=1,"Medium Risk","Low Risk"))</f>
        <v>Low Risk</v>
      </c>
    </row>
    <row r="1311" spans="1:14" x14ac:dyDescent="0.35">
      <c r="A1311">
        <v>1310</v>
      </c>
      <c r="B1311" s="1">
        <v>44981.541666666664</v>
      </c>
      <c r="C1311" s="2">
        <v>6.458333333333334E-2</v>
      </c>
      <c r="D1311" s="3">
        <v>2568</v>
      </c>
      <c r="E1311" s="3">
        <v>50</v>
      </c>
      <c r="F1311" s="2">
        <v>22.464583333333334</v>
      </c>
      <c r="G1311" t="s">
        <v>2816</v>
      </c>
      <c r="H1311" t="s">
        <v>2817</v>
      </c>
      <c r="I1311" s="2">
        <v>2.7958333333333329</v>
      </c>
      <c r="J1311" s="4" t="str">
        <f>IF(Table1[[#This Row],[processing_time_hours]]&gt;1.5,"Slow", "Fast")</f>
        <v>Slow</v>
      </c>
      <c r="K1311" t="s">
        <v>2821</v>
      </c>
      <c r="L1311" s="3">
        <v>0</v>
      </c>
      <c r="M1311" t="str">
        <f>IF(Table1[[#This Row],[delayed]]=1,"Delayed","On Time")</f>
        <v>On Time</v>
      </c>
      <c r="N1311" t="str">
        <f>IF(AND(Table1[[#This Row],[delayed]]=1,Table1[[#This Row],[weather_condition]]="Storm"),"High Risk", IF(Table1[[#This Row],[delayed]]=1,"Medium Risk","Low Risk"))</f>
        <v>Low Risk</v>
      </c>
    </row>
    <row r="1312" spans="1:14" x14ac:dyDescent="0.35">
      <c r="A1312">
        <v>1311</v>
      </c>
      <c r="B1312" s="1">
        <v>44981.583333333336</v>
      </c>
      <c r="C1312" s="2">
        <v>6.6666666666666666E-2</v>
      </c>
      <c r="D1312" s="3">
        <v>418</v>
      </c>
      <c r="E1312" s="3">
        <v>216</v>
      </c>
      <c r="F1312" s="2">
        <v>18.088194444444444</v>
      </c>
      <c r="G1312" t="s">
        <v>2816</v>
      </c>
      <c r="H1312" t="s">
        <v>2817</v>
      </c>
      <c r="I1312" s="2">
        <v>0.38055555555555554</v>
      </c>
      <c r="J1312" s="4" t="str">
        <f>IF(Table1[[#This Row],[processing_time_hours]]&gt;1.5,"Slow", "Fast")</f>
        <v>Fast</v>
      </c>
      <c r="K1312" t="s">
        <v>2818</v>
      </c>
      <c r="L1312" s="3">
        <v>0</v>
      </c>
      <c r="M1312" t="str">
        <f>IF(Table1[[#This Row],[delayed]]=1,"Delayed","On Time")</f>
        <v>On Time</v>
      </c>
      <c r="N1312" t="str">
        <f>IF(AND(Table1[[#This Row],[delayed]]=1,Table1[[#This Row],[weather_condition]]="Storm"),"High Risk", IF(Table1[[#This Row],[delayed]]=1,"Medium Risk","Low Risk"))</f>
        <v>Low Risk</v>
      </c>
    </row>
    <row r="1313" spans="1:14" x14ac:dyDescent="0.35">
      <c r="A1313">
        <v>1312</v>
      </c>
      <c r="B1313" s="1">
        <v>44981.625</v>
      </c>
      <c r="C1313" s="2">
        <v>5.7638888888888885E-2</v>
      </c>
      <c r="D1313" s="3">
        <v>1127</v>
      </c>
      <c r="E1313" s="3">
        <v>440</v>
      </c>
      <c r="F1313" s="2">
        <v>36.588194444444447</v>
      </c>
      <c r="G1313" t="s">
        <v>2815</v>
      </c>
      <c r="H1313" t="s">
        <v>2817</v>
      </c>
      <c r="I1313" s="2">
        <v>0.33749999999999997</v>
      </c>
      <c r="J1313" s="4" t="str">
        <f>IF(Table1[[#This Row],[processing_time_hours]]&gt;1.5,"Slow", "Fast")</f>
        <v>Fast</v>
      </c>
      <c r="K1313" t="s">
        <v>2818</v>
      </c>
      <c r="L1313" s="3">
        <v>0</v>
      </c>
      <c r="M1313" t="str">
        <f>IF(Table1[[#This Row],[delayed]]=1,"Delayed","On Time")</f>
        <v>On Time</v>
      </c>
      <c r="N1313" t="str">
        <f>IF(AND(Table1[[#This Row],[delayed]]=1,Table1[[#This Row],[weather_condition]]="Storm"),"High Risk", IF(Table1[[#This Row],[delayed]]=1,"Medium Risk","Low Risk"))</f>
        <v>Low Risk</v>
      </c>
    </row>
    <row r="1314" spans="1:14" x14ac:dyDescent="0.35">
      <c r="A1314">
        <v>1313</v>
      </c>
      <c r="B1314" s="1">
        <v>44981.666666666664</v>
      </c>
      <c r="C1314" s="2">
        <v>6.1111111111111109E-2</v>
      </c>
      <c r="D1314" s="3">
        <v>3846</v>
      </c>
      <c r="E1314" s="3">
        <v>174</v>
      </c>
      <c r="F1314" s="2">
        <v>74.08541666666666</v>
      </c>
      <c r="G1314" t="s">
        <v>2812</v>
      </c>
      <c r="H1314" t="s">
        <v>2817</v>
      </c>
      <c r="I1314" s="2">
        <v>1.5055555555555555</v>
      </c>
      <c r="J1314" s="4" t="str">
        <f>IF(Table1[[#This Row],[processing_time_hours]]&gt;1.5,"Slow", "Fast")</f>
        <v>Slow</v>
      </c>
      <c r="K1314" t="s">
        <v>2814</v>
      </c>
      <c r="L1314" s="3">
        <v>0</v>
      </c>
      <c r="M1314" t="str">
        <f>IF(Table1[[#This Row],[delayed]]=1,"Delayed","On Time")</f>
        <v>On Time</v>
      </c>
      <c r="N1314" t="str">
        <f>IF(AND(Table1[[#This Row],[delayed]]=1,Table1[[#This Row],[weather_condition]]="Storm"),"High Risk", IF(Table1[[#This Row],[delayed]]=1,"Medium Risk","Low Risk"))</f>
        <v>Low Risk</v>
      </c>
    </row>
    <row r="1315" spans="1:14" x14ac:dyDescent="0.35">
      <c r="A1315">
        <v>1314</v>
      </c>
      <c r="B1315" s="1">
        <v>44981.708333333336</v>
      </c>
      <c r="C1315" s="2">
        <v>4.3055555555555562E-2</v>
      </c>
      <c r="D1315" s="3">
        <v>3679</v>
      </c>
      <c r="E1315" s="3">
        <v>434</v>
      </c>
      <c r="F1315" s="2">
        <v>83.089583333333337</v>
      </c>
      <c r="G1315" t="s">
        <v>2815</v>
      </c>
      <c r="H1315" t="s">
        <v>2822</v>
      </c>
      <c r="I1315" s="2">
        <v>1.5854166666666665</v>
      </c>
      <c r="J1315" s="4" t="str">
        <f>IF(Table1[[#This Row],[processing_time_hours]]&gt;1.5,"Slow", "Fast")</f>
        <v>Slow</v>
      </c>
      <c r="K1315" t="s">
        <v>2821</v>
      </c>
      <c r="L1315" s="3">
        <v>0</v>
      </c>
      <c r="M1315" t="str">
        <f>IF(Table1[[#This Row],[delayed]]=1,"Delayed","On Time")</f>
        <v>On Time</v>
      </c>
      <c r="N1315" t="str">
        <f>IF(AND(Table1[[#This Row],[delayed]]=1,Table1[[#This Row],[weather_condition]]="Storm"),"High Risk", IF(Table1[[#This Row],[delayed]]=1,"Medium Risk","Low Risk"))</f>
        <v>Low Risk</v>
      </c>
    </row>
    <row r="1316" spans="1:14" x14ac:dyDescent="0.35">
      <c r="A1316">
        <v>1315</v>
      </c>
      <c r="B1316" s="1">
        <v>44981.75</v>
      </c>
      <c r="C1316" s="2">
        <v>6.5277777777777782E-2</v>
      </c>
      <c r="D1316" s="3">
        <v>3180</v>
      </c>
      <c r="E1316" s="3">
        <v>28</v>
      </c>
      <c r="F1316" s="2">
        <v>41.959722222222219</v>
      </c>
      <c r="G1316" t="s">
        <v>2819</v>
      </c>
      <c r="H1316" t="s">
        <v>2820</v>
      </c>
      <c r="I1316" s="2">
        <v>0.62638888888888888</v>
      </c>
      <c r="J1316" s="4" t="str">
        <f>IF(Table1[[#This Row],[processing_time_hours]]&gt;1.5,"Slow", "Fast")</f>
        <v>Fast</v>
      </c>
      <c r="K1316" t="s">
        <v>2814</v>
      </c>
      <c r="L1316" s="3">
        <v>0</v>
      </c>
      <c r="M1316" t="str">
        <f>IF(Table1[[#This Row],[delayed]]=1,"Delayed","On Time")</f>
        <v>On Time</v>
      </c>
      <c r="N1316" t="str">
        <f>IF(AND(Table1[[#This Row],[delayed]]=1,Table1[[#This Row],[weather_condition]]="Storm"),"High Risk", IF(Table1[[#This Row],[delayed]]=1,"Medium Risk","Low Risk"))</f>
        <v>Low Risk</v>
      </c>
    </row>
    <row r="1317" spans="1:14" x14ac:dyDescent="0.35">
      <c r="A1317">
        <v>1316</v>
      </c>
      <c r="B1317" s="1">
        <v>44981.791666666664</v>
      </c>
      <c r="C1317" s="2">
        <v>6.0416666666666667E-2</v>
      </c>
      <c r="D1317" s="3">
        <v>1540</v>
      </c>
      <c r="E1317" s="3">
        <v>463</v>
      </c>
      <c r="F1317" s="2">
        <v>32.500694444444441</v>
      </c>
      <c r="G1317" t="s">
        <v>2815</v>
      </c>
      <c r="H1317" t="s">
        <v>2813</v>
      </c>
      <c r="I1317" s="2">
        <v>0.62847222222222221</v>
      </c>
      <c r="J1317" s="4" t="str">
        <f>IF(Table1[[#This Row],[processing_time_hours]]&gt;1.5,"Slow", "Fast")</f>
        <v>Fast</v>
      </c>
      <c r="K1317" t="s">
        <v>2821</v>
      </c>
      <c r="L1317" s="3">
        <v>0</v>
      </c>
      <c r="M1317" t="str">
        <f>IF(Table1[[#This Row],[delayed]]=1,"Delayed","On Time")</f>
        <v>On Time</v>
      </c>
      <c r="N1317" t="str">
        <f>IF(AND(Table1[[#This Row],[delayed]]=1,Table1[[#This Row],[weather_condition]]="Storm"),"High Risk", IF(Table1[[#This Row],[delayed]]=1,"Medium Risk","Low Risk"))</f>
        <v>Low Risk</v>
      </c>
    </row>
    <row r="1318" spans="1:14" x14ac:dyDescent="0.35">
      <c r="A1318">
        <v>1317</v>
      </c>
      <c r="B1318" s="1">
        <v>44981.833333333336</v>
      </c>
      <c r="C1318" s="2">
        <v>5.7638888888888885E-2</v>
      </c>
      <c r="D1318" s="3">
        <v>1938</v>
      </c>
      <c r="E1318" s="3">
        <v>443</v>
      </c>
      <c r="F1318" s="2">
        <v>64.208333333333329</v>
      </c>
      <c r="G1318" t="s">
        <v>2812</v>
      </c>
      <c r="H1318" t="s">
        <v>2813</v>
      </c>
      <c r="I1318" s="2">
        <v>2.9201388888888888</v>
      </c>
      <c r="J1318" s="4" t="str">
        <f>IF(Table1[[#This Row],[processing_time_hours]]&gt;1.5,"Slow", "Fast")</f>
        <v>Slow</v>
      </c>
      <c r="K1318" t="s">
        <v>2818</v>
      </c>
      <c r="L1318" s="3">
        <v>1</v>
      </c>
      <c r="M1318" t="str">
        <f>IF(Table1[[#This Row],[delayed]]=1,"Delayed","On Time")</f>
        <v>Delayed</v>
      </c>
      <c r="N1318" t="str">
        <f>IF(AND(Table1[[#This Row],[delayed]]=1,Table1[[#This Row],[weather_condition]]="Storm"),"High Risk", IF(Table1[[#This Row],[delayed]]=1,"Medium Risk","Low Risk"))</f>
        <v>Medium Risk</v>
      </c>
    </row>
    <row r="1319" spans="1:14" x14ac:dyDescent="0.35">
      <c r="A1319">
        <v>1318</v>
      </c>
      <c r="B1319" s="1">
        <v>44981.875</v>
      </c>
      <c r="C1319" s="2">
        <v>5.7638888888888885E-2</v>
      </c>
      <c r="D1319" s="3">
        <v>975</v>
      </c>
      <c r="E1319" s="3">
        <v>11</v>
      </c>
      <c r="F1319" s="2">
        <v>43.169444444444444</v>
      </c>
      <c r="G1319" t="s">
        <v>2819</v>
      </c>
      <c r="H1319" t="s">
        <v>2813</v>
      </c>
      <c r="I1319" s="2">
        <v>0.21458333333333335</v>
      </c>
      <c r="J1319" s="4" t="str">
        <f>IF(Table1[[#This Row],[processing_time_hours]]&gt;1.5,"Slow", "Fast")</f>
        <v>Fast</v>
      </c>
      <c r="K1319" t="s">
        <v>2821</v>
      </c>
      <c r="L1319" s="3">
        <v>0</v>
      </c>
      <c r="M1319" t="str">
        <f>IF(Table1[[#This Row],[delayed]]=1,"Delayed","On Time")</f>
        <v>On Time</v>
      </c>
      <c r="N1319" t="str">
        <f>IF(AND(Table1[[#This Row],[delayed]]=1,Table1[[#This Row],[weather_condition]]="Storm"),"High Risk", IF(Table1[[#This Row],[delayed]]=1,"Medium Risk","Low Risk"))</f>
        <v>Low Risk</v>
      </c>
    </row>
    <row r="1320" spans="1:14" x14ac:dyDescent="0.35">
      <c r="A1320">
        <v>1319</v>
      </c>
      <c r="B1320" s="1">
        <v>44981.916666666664</v>
      </c>
      <c r="C1320" s="2">
        <v>4.5833333333333337E-2</v>
      </c>
      <c r="D1320" s="3">
        <v>2520</v>
      </c>
      <c r="E1320" s="3">
        <v>333</v>
      </c>
      <c r="F1320" s="2">
        <v>55.293749999999996</v>
      </c>
      <c r="G1320" t="s">
        <v>2816</v>
      </c>
      <c r="H1320" t="s">
        <v>2820</v>
      </c>
      <c r="I1320" s="2">
        <v>0.17013888888888887</v>
      </c>
      <c r="J1320" s="4" t="str">
        <f>IF(Table1[[#This Row],[processing_time_hours]]&gt;1.5,"Slow", "Fast")</f>
        <v>Fast</v>
      </c>
      <c r="K1320" t="s">
        <v>2821</v>
      </c>
      <c r="L1320" s="3">
        <v>0</v>
      </c>
      <c r="M1320" t="str">
        <f>IF(Table1[[#This Row],[delayed]]=1,"Delayed","On Time")</f>
        <v>On Time</v>
      </c>
      <c r="N1320" t="str">
        <f>IF(AND(Table1[[#This Row],[delayed]]=1,Table1[[#This Row],[weather_condition]]="Storm"),"High Risk", IF(Table1[[#This Row],[delayed]]=1,"Medium Risk","Low Risk"))</f>
        <v>Low Risk</v>
      </c>
    </row>
    <row r="1321" spans="1:14" x14ac:dyDescent="0.35">
      <c r="A1321">
        <v>1320</v>
      </c>
      <c r="B1321" s="1">
        <v>44981.958333333336</v>
      </c>
      <c r="C1321" s="2">
        <v>6.5277777777777782E-2</v>
      </c>
      <c r="D1321" s="3">
        <v>4257</v>
      </c>
      <c r="E1321" s="3">
        <v>295</v>
      </c>
      <c r="F1321" s="2">
        <v>15.546527777777778</v>
      </c>
      <c r="G1321" t="s">
        <v>2812</v>
      </c>
      <c r="H1321" t="s">
        <v>2817</v>
      </c>
      <c r="I1321" s="2">
        <v>2.5847222222222221</v>
      </c>
      <c r="J1321" s="4" t="str">
        <f>IF(Table1[[#This Row],[processing_time_hours]]&gt;1.5,"Slow", "Fast")</f>
        <v>Slow</v>
      </c>
      <c r="K1321" t="s">
        <v>2821</v>
      </c>
      <c r="L1321" s="3">
        <v>0</v>
      </c>
      <c r="M1321" t="str">
        <f>IF(Table1[[#This Row],[delayed]]=1,"Delayed","On Time")</f>
        <v>On Time</v>
      </c>
      <c r="N1321" t="str">
        <f>IF(AND(Table1[[#This Row],[delayed]]=1,Table1[[#This Row],[weather_condition]]="Storm"),"High Risk", IF(Table1[[#This Row],[delayed]]=1,"Medium Risk","Low Risk"))</f>
        <v>Low Risk</v>
      </c>
    </row>
    <row r="1322" spans="1:14" x14ac:dyDescent="0.35">
      <c r="A1322">
        <v>1321</v>
      </c>
      <c r="B1322" s="1">
        <v>44982</v>
      </c>
      <c r="C1322" s="2">
        <v>5.6250000000000001E-2</v>
      </c>
      <c r="D1322" s="3">
        <v>3901</v>
      </c>
      <c r="E1322" s="3">
        <v>468</v>
      </c>
      <c r="F1322" s="2">
        <v>54.37638888888889</v>
      </c>
      <c r="G1322" t="s">
        <v>2819</v>
      </c>
      <c r="H1322" t="s">
        <v>2813</v>
      </c>
      <c r="I1322" s="2">
        <v>2.5847222222222221</v>
      </c>
      <c r="J1322" s="4" t="str">
        <f>IF(Table1[[#This Row],[processing_time_hours]]&gt;1.5,"Slow", "Fast")</f>
        <v>Slow</v>
      </c>
      <c r="K1322" t="s">
        <v>2821</v>
      </c>
      <c r="L1322" s="3">
        <v>1</v>
      </c>
      <c r="M1322" t="str">
        <f>IF(Table1[[#This Row],[delayed]]=1,"Delayed","On Time")</f>
        <v>Delayed</v>
      </c>
      <c r="N1322" t="str">
        <f>IF(AND(Table1[[#This Row],[delayed]]=1,Table1[[#This Row],[weather_condition]]="Storm"),"High Risk", IF(Table1[[#This Row],[delayed]]=1,"Medium Risk","Low Risk"))</f>
        <v>Medium Risk</v>
      </c>
    </row>
    <row r="1323" spans="1:14" x14ac:dyDescent="0.35">
      <c r="A1323">
        <v>1322</v>
      </c>
      <c r="B1323" s="1">
        <v>44982.041666666664</v>
      </c>
      <c r="C1323" s="2">
        <v>5.8333333333333327E-2</v>
      </c>
      <c r="D1323" s="3">
        <v>4603</v>
      </c>
      <c r="E1323" s="3">
        <v>147</v>
      </c>
      <c r="F1323" s="2">
        <v>22.505555555555556</v>
      </c>
      <c r="G1323" t="s">
        <v>2819</v>
      </c>
      <c r="H1323" t="s">
        <v>2822</v>
      </c>
      <c r="I1323" s="2">
        <v>2.7534722222222219</v>
      </c>
      <c r="J1323" s="4" t="str">
        <f>IF(Table1[[#This Row],[processing_time_hours]]&gt;1.5,"Slow", "Fast")</f>
        <v>Slow</v>
      </c>
      <c r="K1323" t="s">
        <v>2818</v>
      </c>
      <c r="L1323" s="3">
        <v>1</v>
      </c>
      <c r="M1323" t="str">
        <f>IF(Table1[[#This Row],[delayed]]=1,"Delayed","On Time")</f>
        <v>Delayed</v>
      </c>
      <c r="N1323" t="str">
        <f>IF(AND(Table1[[#This Row],[delayed]]=1,Table1[[#This Row],[weather_condition]]="Storm"),"High Risk", IF(Table1[[#This Row],[delayed]]=1,"Medium Risk","Low Risk"))</f>
        <v>Medium Risk</v>
      </c>
    </row>
    <row r="1324" spans="1:14" x14ac:dyDescent="0.35">
      <c r="A1324">
        <v>1323</v>
      </c>
      <c r="B1324" s="1">
        <v>44982.083333333336</v>
      </c>
      <c r="C1324" s="2">
        <v>4.6527777777777779E-2</v>
      </c>
      <c r="D1324" s="3">
        <v>979</v>
      </c>
      <c r="E1324" s="3">
        <v>484</v>
      </c>
      <c r="F1324" s="2">
        <v>22.004861111111111</v>
      </c>
      <c r="G1324" t="s">
        <v>2816</v>
      </c>
      <c r="H1324" t="s">
        <v>2813</v>
      </c>
      <c r="I1324" s="2">
        <v>1.5062499999999999</v>
      </c>
      <c r="J1324" s="4" t="str">
        <f>IF(Table1[[#This Row],[processing_time_hours]]&gt;1.5,"Slow", "Fast")</f>
        <v>Slow</v>
      </c>
      <c r="K1324" t="s">
        <v>2818</v>
      </c>
      <c r="L1324" s="3">
        <v>1</v>
      </c>
      <c r="M1324" t="str">
        <f>IF(Table1[[#This Row],[delayed]]=1,"Delayed","On Time")</f>
        <v>Delayed</v>
      </c>
      <c r="N1324" t="str">
        <f>IF(AND(Table1[[#This Row],[delayed]]=1,Table1[[#This Row],[weather_condition]]="Storm"),"High Risk", IF(Table1[[#This Row],[delayed]]=1,"Medium Risk","Low Risk"))</f>
        <v>Medium Risk</v>
      </c>
    </row>
    <row r="1325" spans="1:14" x14ac:dyDescent="0.35">
      <c r="A1325">
        <v>1324</v>
      </c>
      <c r="B1325" s="1">
        <v>44982.125</v>
      </c>
      <c r="C1325" s="2">
        <v>5.9027777777777783E-2</v>
      </c>
      <c r="D1325" s="3">
        <v>4311</v>
      </c>
      <c r="E1325" s="3">
        <v>175</v>
      </c>
      <c r="F1325" s="2">
        <v>77.459722222222226</v>
      </c>
      <c r="G1325" t="s">
        <v>2819</v>
      </c>
      <c r="H1325" t="s">
        <v>2820</v>
      </c>
      <c r="I1325" s="2">
        <v>2.9583333333333335</v>
      </c>
      <c r="J1325" s="4" t="str">
        <f>IF(Table1[[#This Row],[processing_time_hours]]&gt;1.5,"Slow", "Fast")</f>
        <v>Slow</v>
      </c>
      <c r="K1325" t="s">
        <v>2821</v>
      </c>
      <c r="L1325" s="3">
        <v>0</v>
      </c>
      <c r="M1325" t="str">
        <f>IF(Table1[[#This Row],[delayed]]=1,"Delayed","On Time")</f>
        <v>On Time</v>
      </c>
      <c r="N1325" t="str">
        <f>IF(AND(Table1[[#This Row],[delayed]]=1,Table1[[#This Row],[weather_condition]]="Storm"),"High Risk", IF(Table1[[#This Row],[delayed]]=1,"Medium Risk","Low Risk"))</f>
        <v>Low Risk</v>
      </c>
    </row>
    <row r="1326" spans="1:14" x14ac:dyDescent="0.35">
      <c r="A1326">
        <v>1325</v>
      </c>
      <c r="B1326" s="1">
        <v>44982.166666666664</v>
      </c>
      <c r="C1326" s="2">
        <v>4.8611111111111112E-3</v>
      </c>
      <c r="D1326" s="3">
        <v>4243</v>
      </c>
      <c r="E1326" s="3">
        <v>71</v>
      </c>
      <c r="F1326" s="2">
        <v>41.500694444444441</v>
      </c>
      <c r="G1326" t="s">
        <v>2819</v>
      </c>
      <c r="H1326" t="s">
        <v>2820</v>
      </c>
      <c r="I1326" s="2">
        <v>2.963194444444444</v>
      </c>
      <c r="J1326" s="4" t="str">
        <f>IF(Table1[[#This Row],[processing_time_hours]]&gt;1.5,"Slow", "Fast")</f>
        <v>Slow</v>
      </c>
      <c r="K1326" t="s">
        <v>2818</v>
      </c>
      <c r="L1326" s="3">
        <v>0</v>
      </c>
      <c r="M1326" t="str">
        <f>IF(Table1[[#This Row],[delayed]]=1,"Delayed","On Time")</f>
        <v>On Time</v>
      </c>
      <c r="N1326" t="str">
        <f>IF(AND(Table1[[#This Row],[delayed]]=1,Table1[[#This Row],[weather_condition]]="Storm"),"High Risk", IF(Table1[[#This Row],[delayed]]=1,"Medium Risk","Low Risk"))</f>
        <v>Low Risk</v>
      </c>
    </row>
    <row r="1327" spans="1:14" x14ac:dyDescent="0.35">
      <c r="A1327">
        <v>1326</v>
      </c>
      <c r="B1327" s="1">
        <v>44982.208333333336</v>
      </c>
      <c r="C1327" s="2">
        <v>6.2499999999999995E-3</v>
      </c>
      <c r="D1327" s="3">
        <v>3160</v>
      </c>
      <c r="E1327" s="3">
        <v>133</v>
      </c>
      <c r="F1327" s="2">
        <v>17.333333333333332</v>
      </c>
      <c r="G1327" t="s">
        <v>2812</v>
      </c>
      <c r="H1327" t="s">
        <v>2817</v>
      </c>
      <c r="I1327" s="2">
        <v>1.54375</v>
      </c>
      <c r="J1327" s="4" t="str">
        <f>IF(Table1[[#This Row],[processing_time_hours]]&gt;1.5,"Slow", "Fast")</f>
        <v>Slow</v>
      </c>
      <c r="K1327" t="s">
        <v>2821</v>
      </c>
      <c r="L1327" s="3">
        <v>0</v>
      </c>
      <c r="M1327" t="str">
        <f>IF(Table1[[#This Row],[delayed]]=1,"Delayed","On Time")</f>
        <v>On Time</v>
      </c>
      <c r="N1327" t="str">
        <f>IF(AND(Table1[[#This Row],[delayed]]=1,Table1[[#This Row],[weather_condition]]="Storm"),"High Risk", IF(Table1[[#This Row],[delayed]]=1,"Medium Risk","Low Risk"))</f>
        <v>Low Risk</v>
      </c>
    </row>
    <row r="1328" spans="1:14" x14ac:dyDescent="0.35">
      <c r="A1328">
        <v>1327</v>
      </c>
      <c r="B1328" s="1">
        <v>44982.25</v>
      </c>
      <c r="C1328" s="2">
        <v>4.2361111111111106E-2</v>
      </c>
      <c r="D1328" s="3">
        <v>2991</v>
      </c>
      <c r="E1328" s="3">
        <v>204</v>
      </c>
      <c r="F1328" s="2">
        <v>73.253472222222214</v>
      </c>
      <c r="G1328" t="s">
        <v>2815</v>
      </c>
      <c r="H1328" t="s">
        <v>2822</v>
      </c>
      <c r="I1328" s="2">
        <v>1.8784722222222223</v>
      </c>
      <c r="J1328" s="4" t="str">
        <f>IF(Table1[[#This Row],[processing_time_hours]]&gt;1.5,"Slow", "Fast")</f>
        <v>Slow</v>
      </c>
      <c r="K1328" t="s">
        <v>2814</v>
      </c>
      <c r="L1328" s="3">
        <v>1</v>
      </c>
      <c r="M1328" t="str">
        <f>IF(Table1[[#This Row],[delayed]]=1,"Delayed","On Time")</f>
        <v>Delayed</v>
      </c>
      <c r="N1328" t="str">
        <f>IF(AND(Table1[[#This Row],[delayed]]=1,Table1[[#This Row],[weather_condition]]="Storm"),"High Risk", IF(Table1[[#This Row],[delayed]]=1,"Medium Risk","Low Risk"))</f>
        <v>Medium Risk</v>
      </c>
    </row>
    <row r="1329" spans="1:14" x14ac:dyDescent="0.35">
      <c r="A1329">
        <v>1328</v>
      </c>
      <c r="B1329" s="1">
        <v>44982.291666666664</v>
      </c>
      <c r="C1329" s="2">
        <v>4.5138888888888888E-2</v>
      </c>
      <c r="D1329" s="3">
        <v>1244</v>
      </c>
      <c r="E1329" s="3">
        <v>22</v>
      </c>
      <c r="F1329" s="2">
        <v>41.085416666666667</v>
      </c>
      <c r="G1329" t="s">
        <v>2819</v>
      </c>
      <c r="H1329" t="s">
        <v>2813</v>
      </c>
      <c r="I1329" s="2">
        <v>1.7555555555555555</v>
      </c>
      <c r="J1329" s="4" t="str">
        <f>IF(Table1[[#This Row],[processing_time_hours]]&gt;1.5,"Slow", "Fast")</f>
        <v>Slow</v>
      </c>
      <c r="K1329" t="s">
        <v>2821</v>
      </c>
      <c r="L1329" s="3">
        <v>1</v>
      </c>
      <c r="M1329" t="str">
        <f>IF(Table1[[#This Row],[delayed]]=1,"Delayed","On Time")</f>
        <v>Delayed</v>
      </c>
      <c r="N1329" t="str">
        <f>IF(AND(Table1[[#This Row],[delayed]]=1,Table1[[#This Row],[weather_condition]]="Storm"),"High Risk", IF(Table1[[#This Row],[delayed]]=1,"Medium Risk","Low Risk"))</f>
        <v>Medium Risk</v>
      </c>
    </row>
    <row r="1330" spans="1:14" x14ac:dyDescent="0.35">
      <c r="A1330">
        <v>1329</v>
      </c>
      <c r="B1330" s="1">
        <v>44982.333333333336</v>
      </c>
      <c r="C1330" s="2">
        <v>4.7222222222222221E-2</v>
      </c>
      <c r="D1330" s="3">
        <v>4688</v>
      </c>
      <c r="E1330" s="3">
        <v>225</v>
      </c>
      <c r="F1330" s="2">
        <v>1.3388888888888888</v>
      </c>
      <c r="G1330" t="s">
        <v>2819</v>
      </c>
      <c r="H1330" t="s">
        <v>2822</v>
      </c>
      <c r="I1330" s="2">
        <v>1.29375</v>
      </c>
      <c r="J1330" s="4" t="str">
        <f>IF(Table1[[#This Row],[processing_time_hours]]&gt;1.5,"Slow", "Fast")</f>
        <v>Fast</v>
      </c>
      <c r="K1330" t="s">
        <v>2814</v>
      </c>
      <c r="L1330" s="3">
        <v>0</v>
      </c>
      <c r="M1330" t="str">
        <f>IF(Table1[[#This Row],[delayed]]=1,"Delayed","On Time")</f>
        <v>On Time</v>
      </c>
      <c r="N1330" t="str">
        <f>IF(AND(Table1[[#This Row],[delayed]]=1,Table1[[#This Row],[weather_condition]]="Storm"),"High Risk", IF(Table1[[#This Row],[delayed]]=1,"Medium Risk","Low Risk"))</f>
        <v>Low Risk</v>
      </c>
    </row>
    <row r="1331" spans="1:14" x14ac:dyDescent="0.35">
      <c r="A1331">
        <v>1330</v>
      </c>
      <c r="B1331" s="1">
        <v>44982.375</v>
      </c>
      <c r="C1331" s="2">
        <v>5.2777777777777778E-2</v>
      </c>
      <c r="D1331" s="3">
        <v>1944</v>
      </c>
      <c r="E1331" s="3">
        <v>327</v>
      </c>
      <c r="F1331" s="2">
        <v>35.334027777777777</v>
      </c>
      <c r="G1331" t="s">
        <v>2819</v>
      </c>
      <c r="H1331" t="s">
        <v>2813</v>
      </c>
      <c r="I1331" s="2">
        <v>1.79375</v>
      </c>
      <c r="J1331" s="4" t="str">
        <f>IF(Table1[[#This Row],[processing_time_hours]]&gt;1.5,"Slow", "Fast")</f>
        <v>Slow</v>
      </c>
      <c r="K1331" t="s">
        <v>2814</v>
      </c>
      <c r="L1331" s="3">
        <v>0</v>
      </c>
      <c r="M1331" t="str">
        <f>IF(Table1[[#This Row],[delayed]]=1,"Delayed","On Time")</f>
        <v>On Time</v>
      </c>
      <c r="N1331" t="str">
        <f>IF(AND(Table1[[#This Row],[delayed]]=1,Table1[[#This Row],[weather_condition]]="Storm"),"High Risk", IF(Table1[[#This Row],[delayed]]=1,"Medium Risk","Low Risk"))</f>
        <v>Low Risk</v>
      </c>
    </row>
    <row r="1332" spans="1:14" x14ac:dyDescent="0.35">
      <c r="A1332">
        <v>1331</v>
      </c>
      <c r="B1332" s="1">
        <v>44982.416666666664</v>
      </c>
      <c r="C1332" s="2">
        <v>6.5972222222222224E-2</v>
      </c>
      <c r="D1332" s="3">
        <v>3752</v>
      </c>
      <c r="E1332" s="3">
        <v>296</v>
      </c>
      <c r="F1332" s="2">
        <v>68.046527777777769</v>
      </c>
      <c r="G1332" t="s">
        <v>2815</v>
      </c>
      <c r="H1332" t="s">
        <v>2820</v>
      </c>
      <c r="I1332" s="2">
        <v>2.629861111111111</v>
      </c>
      <c r="J1332" s="4" t="str">
        <f>IF(Table1[[#This Row],[processing_time_hours]]&gt;1.5,"Slow", "Fast")</f>
        <v>Slow</v>
      </c>
      <c r="K1332" t="s">
        <v>2821</v>
      </c>
      <c r="L1332" s="3">
        <v>1</v>
      </c>
      <c r="M1332" t="str">
        <f>IF(Table1[[#This Row],[delayed]]=1,"Delayed","On Time")</f>
        <v>Delayed</v>
      </c>
      <c r="N1332" t="str">
        <f>IF(AND(Table1[[#This Row],[delayed]]=1,Table1[[#This Row],[weather_condition]]="Storm"),"High Risk", IF(Table1[[#This Row],[delayed]]=1,"Medium Risk","Low Risk"))</f>
        <v>Medium Risk</v>
      </c>
    </row>
    <row r="1333" spans="1:14" x14ac:dyDescent="0.35">
      <c r="A1333">
        <v>1332</v>
      </c>
      <c r="B1333" s="1">
        <v>44982.458333333336</v>
      </c>
      <c r="C1333" s="2">
        <v>4.1666666666666666E-3</v>
      </c>
      <c r="D1333" s="3">
        <v>2202</v>
      </c>
      <c r="E1333" s="3">
        <v>140</v>
      </c>
      <c r="F1333" s="2">
        <v>13.795833333333334</v>
      </c>
      <c r="G1333" t="s">
        <v>2812</v>
      </c>
      <c r="H1333" t="s">
        <v>2817</v>
      </c>
      <c r="I1333" s="2">
        <v>0.67152777777777783</v>
      </c>
      <c r="J1333" s="4" t="str">
        <f>IF(Table1[[#This Row],[processing_time_hours]]&gt;1.5,"Slow", "Fast")</f>
        <v>Fast</v>
      </c>
      <c r="K1333" t="s">
        <v>2818</v>
      </c>
      <c r="L1333" s="3">
        <v>0</v>
      </c>
      <c r="M1333" t="str">
        <f>IF(Table1[[#This Row],[delayed]]=1,"Delayed","On Time")</f>
        <v>On Time</v>
      </c>
      <c r="N1333" t="str">
        <f>IF(AND(Table1[[#This Row],[delayed]]=1,Table1[[#This Row],[weather_condition]]="Storm"),"High Risk", IF(Table1[[#This Row],[delayed]]=1,"Medium Risk","Low Risk"))</f>
        <v>Low Risk</v>
      </c>
    </row>
    <row r="1334" spans="1:14" x14ac:dyDescent="0.35">
      <c r="A1334">
        <v>1333</v>
      </c>
      <c r="B1334" s="1">
        <v>44982.5</v>
      </c>
      <c r="C1334" s="2">
        <v>5.6944444444444443E-2</v>
      </c>
      <c r="D1334" s="3">
        <v>1414</v>
      </c>
      <c r="E1334" s="3">
        <v>170</v>
      </c>
      <c r="F1334" s="2">
        <v>33.709722222222219</v>
      </c>
      <c r="G1334" t="s">
        <v>2819</v>
      </c>
      <c r="H1334" t="s">
        <v>2820</v>
      </c>
      <c r="I1334" s="2">
        <v>1.2548611111111112</v>
      </c>
      <c r="J1334" s="4" t="str">
        <f>IF(Table1[[#This Row],[processing_time_hours]]&gt;1.5,"Slow", "Fast")</f>
        <v>Fast</v>
      </c>
      <c r="K1334" t="s">
        <v>2821</v>
      </c>
      <c r="L1334" s="3">
        <v>1</v>
      </c>
      <c r="M1334" t="str">
        <f>IF(Table1[[#This Row],[delayed]]=1,"Delayed","On Time")</f>
        <v>Delayed</v>
      </c>
      <c r="N1334" t="str">
        <f>IF(AND(Table1[[#This Row],[delayed]]=1,Table1[[#This Row],[weather_condition]]="Storm"),"High Risk", IF(Table1[[#This Row],[delayed]]=1,"Medium Risk","Low Risk"))</f>
        <v>Medium Risk</v>
      </c>
    </row>
    <row r="1335" spans="1:14" x14ac:dyDescent="0.35">
      <c r="A1335">
        <v>1334</v>
      </c>
      <c r="B1335" s="1">
        <v>44982.541666666664</v>
      </c>
      <c r="C1335" s="2">
        <v>4.2361111111111106E-2</v>
      </c>
      <c r="D1335" s="3">
        <v>4601</v>
      </c>
      <c r="E1335" s="3">
        <v>323</v>
      </c>
      <c r="F1335" s="2">
        <v>58.21319444444444</v>
      </c>
      <c r="G1335" t="s">
        <v>2819</v>
      </c>
      <c r="H1335" t="s">
        <v>2817</v>
      </c>
      <c r="I1335" s="2">
        <v>2.6680555555555556</v>
      </c>
      <c r="J1335" s="4" t="str">
        <f>IF(Table1[[#This Row],[processing_time_hours]]&gt;1.5,"Slow", "Fast")</f>
        <v>Slow</v>
      </c>
      <c r="K1335" t="s">
        <v>2818</v>
      </c>
      <c r="L1335" s="3">
        <v>1</v>
      </c>
      <c r="M1335" t="str">
        <f>IF(Table1[[#This Row],[delayed]]=1,"Delayed","On Time")</f>
        <v>Delayed</v>
      </c>
      <c r="N1335" t="str">
        <f>IF(AND(Table1[[#This Row],[delayed]]=1,Table1[[#This Row],[weather_condition]]="Storm"),"High Risk", IF(Table1[[#This Row],[delayed]]=1,"Medium Risk","Low Risk"))</f>
        <v>High Risk</v>
      </c>
    </row>
    <row r="1336" spans="1:14" x14ac:dyDescent="0.35">
      <c r="A1336">
        <v>1335</v>
      </c>
      <c r="B1336" s="1">
        <v>44982.583333333336</v>
      </c>
      <c r="C1336" s="2">
        <v>5.2083333333333336E-2</v>
      </c>
      <c r="D1336" s="3">
        <v>3126</v>
      </c>
      <c r="E1336" s="3">
        <v>217</v>
      </c>
      <c r="F1336" s="2">
        <v>41.005555555555553</v>
      </c>
      <c r="G1336" t="s">
        <v>2815</v>
      </c>
      <c r="H1336" t="s">
        <v>2822</v>
      </c>
      <c r="I1336" s="2">
        <v>0.91805555555555562</v>
      </c>
      <c r="J1336" s="4" t="str">
        <f>IF(Table1[[#This Row],[processing_time_hours]]&gt;1.5,"Slow", "Fast")</f>
        <v>Fast</v>
      </c>
      <c r="K1336" t="s">
        <v>2821</v>
      </c>
      <c r="L1336" s="3">
        <v>0</v>
      </c>
      <c r="M1336" t="str">
        <f>IF(Table1[[#This Row],[delayed]]=1,"Delayed","On Time")</f>
        <v>On Time</v>
      </c>
      <c r="N1336" t="str">
        <f>IF(AND(Table1[[#This Row],[delayed]]=1,Table1[[#This Row],[weather_condition]]="Storm"),"High Risk", IF(Table1[[#This Row],[delayed]]=1,"Medium Risk","Low Risk"))</f>
        <v>Low Risk</v>
      </c>
    </row>
    <row r="1337" spans="1:14" x14ac:dyDescent="0.35">
      <c r="A1337">
        <v>1336</v>
      </c>
      <c r="B1337" s="1">
        <v>44982.625</v>
      </c>
      <c r="C1337" s="2">
        <v>4.9999999999999996E-2</v>
      </c>
      <c r="D1337" s="3">
        <v>683</v>
      </c>
      <c r="E1337" s="3">
        <v>193</v>
      </c>
      <c r="F1337" s="2">
        <v>61.795833333333327</v>
      </c>
      <c r="G1337" t="s">
        <v>2812</v>
      </c>
      <c r="H1337" t="s">
        <v>2822</v>
      </c>
      <c r="I1337" s="2">
        <v>0.71180555555555547</v>
      </c>
      <c r="J1337" s="4" t="str">
        <f>IF(Table1[[#This Row],[processing_time_hours]]&gt;1.5,"Slow", "Fast")</f>
        <v>Fast</v>
      </c>
      <c r="K1337" t="s">
        <v>2821</v>
      </c>
      <c r="L1337" s="3">
        <v>0</v>
      </c>
      <c r="M1337" t="str">
        <f>IF(Table1[[#This Row],[delayed]]=1,"Delayed","On Time")</f>
        <v>On Time</v>
      </c>
      <c r="N1337" t="str">
        <f>IF(AND(Table1[[#This Row],[delayed]]=1,Table1[[#This Row],[weather_condition]]="Storm"),"High Risk", IF(Table1[[#This Row],[delayed]]=1,"Medium Risk","Low Risk"))</f>
        <v>Low Risk</v>
      </c>
    </row>
    <row r="1338" spans="1:14" x14ac:dyDescent="0.35">
      <c r="A1338">
        <v>1337</v>
      </c>
      <c r="B1338" s="1">
        <v>44982.666666666664</v>
      </c>
      <c r="C1338" s="2">
        <v>4.6527777777777779E-2</v>
      </c>
      <c r="D1338" s="3">
        <v>2728</v>
      </c>
      <c r="E1338" s="3">
        <v>162</v>
      </c>
      <c r="F1338" s="2">
        <v>18.296527777777779</v>
      </c>
      <c r="G1338" t="s">
        <v>2815</v>
      </c>
      <c r="H1338" t="s">
        <v>2813</v>
      </c>
      <c r="I1338" s="2">
        <v>0.58680555555555558</v>
      </c>
      <c r="J1338" s="4" t="str">
        <f>IF(Table1[[#This Row],[processing_time_hours]]&gt;1.5,"Slow", "Fast")</f>
        <v>Fast</v>
      </c>
      <c r="K1338" t="s">
        <v>2821</v>
      </c>
      <c r="L1338" s="3">
        <v>0</v>
      </c>
      <c r="M1338" t="str">
        <f>IF(Table1[[#This Row],[delayed]]=1,"Delayed","On Time")</f>
        <v>On Time</v>
      </c>
      <c r="N1338" t="str">
        <f>IF(AND(Table1[[#This Row],[delayed]]=1,Table1[[#This Row],[weather_condition]]="Storm"),"High Risk", IF(Table1[[#This Row],[delayed]]=1,"Medium Risk","Low Risk"))</f>
        <v>Low Risk</v>
      </c>
    </row>
    <row r="1339" spans="1:14" x14ac:dyDescent="0.35">
      <c r="A1339">
        <v>1338</v>
      </c>
      <c r="B1339" s="1">
        <v>44982.708333333336</v>
      </c>
      <c r="C1339" s="2">
        <v>5.486111111111111E-2</v>
      </c>
      <c r="D1339" s="3">
        <v>3874</v>
      </c>
      <c r="E1339" s="3">
        <v>207</v>
      </c>
      <c r="F1339" s="2">
        <v>70.920833333333334</v>
      </c>
      <c r="G1339" t="s">
        <v>2816</v>
      </c>
      <c r="H1339" t="s">
        <v>2822</v>
      </c>
      <c r="I1339" s="2">
        <v>2.3784722222222223</v>
      </c>
      <c r="J1339" s="4" t="str">
        <f>IF(Table1[[#This Row],[processing_time_hours]]&gt;1.5,"Slow", "Fast")</f>
        <v>Slow</v>
      </c>
      <c r="K1339" t="s">
        <v>2814</v>
      </c>
      <c r="L1339" s="3">
        <v>1</v>
      </c>
      <c r="M1339" t="str">
        <f>IF(Table1[[#This Row],[delayed]]=1,"Delayed","On Time")</f>
        <v>Delayed</v>
      </c>
      <c r="N1339" t="str">
        <f>IF(AND(Table1[[#This Row],[delayed]]=1,Table1[[#This Row],[weather_condition]]="Storm"),"High Risk", IF(Table1[[#This Row],[delayed]]=1,"Medium Risk","Low Risk"))</f>
        <v>Medium Risk</v>
      </c>
    </row>
    <row r="1340" spans="1:14" x14ac:dyDescent="0.35">
      <c r="A1340">
        <v>1339</v>
      </c>
      <c r="B1340" s="1">
        <v>44982.75</v>
      </c>
      <c r="C1340" s="2">
        <v>5.1388888888888894E-2</v>
      </c>
      <c r="D1340" s="3">
        <v>1838</v>
      </c>
      <c r="E1340" s="3">
        <v>162</v>
      </c>
      <c r="F1340" s="2">
        <v>30.792361111111109</v>
      </c>
      <c r="G1340" t="s">
        <v>2816</v>
      </c>
      <c r="H1340" t="s">
        <v>2822</v>
      </c>
      <c r="I1340" s="2">
        <v>0.4604166666666667</v>
      </c>
      <c r="J1340" s="4" t="str">
        <f>IF(Table1[[#This Row],[processing_time_hours]]&gt;1.5,"Slow", "Fast")</f>
        <v>Fast</v>
      </c>
      <c r="K1340" t="s">
        <v>2814</v>
      </c>
      <c r="L1340" s="3">
        <v>0</v>
      </c>
      <c r="M1340" t="str">
        <f>IF(Table1[[#This Row],[delayed]]=1,"Delayed","On Time")</f>
        <v>On Time</v>
      </c>
      <c r="N1340" t="str">
        <f>IF(AND(Table1[[#This Row],[delayed]]=1,Table1[[#This Row],[weather_condition]]="Storm"),"High Risk", IF(Table1[[#This Row],[delayed]]=1,"Medium Risk","Low Risk"))</f>
        <v>Low Risk</v>
      </c>
    </row>
    <row r="1341" spans="1:14" x14ac:dyDescent="0.35">
      <c r="A1341">
        <v>1340</v>
      </c>
      <c r="B1341" s="1">
        <v>44982.791666666664</v>
      </c>
      <c r="C1341" s="2">
        <v>4.8611111111111112E-3</v>
      </c>
      <c r="D1341" s="3">
        <v>4206</v>
      </c>
      <c r="E1341" s="3">
        <v>265</v>
      </c>
      <c r="F1341" s="2">
        <v>26.542361111111109</v>
      </c>
      <c r="G1341" t="s">
        <v>2815</v>
      </c>
      <c r="H1341" t="s">
        <v>2813</v>
      </c>
      <c r="I1341" s="2">
        <v>8.4722222222222213E-2</v>
      </c>
      <c r="J1341" s="4" t="str">
        <f>IF(Table1[[#This Row],[processing_time_hours]]&gt;1.5,"Slow", "Fast")</f>
        <v>Fast</v>
      </c>
      <c r="K1341" t="s">
        <v>2814</v>
      </c>
      <c r="L1341" s="3">
        <v>1</v>
      </c>
      <c r="M1341" t="str">
        <f>IF(Table1[[#This Row],[delayed]]=1,"Delayed","On Time")</f>
        <v>Delayed</v>
      </c>
      <c r="N1341" t="str">
        <f>IF(AND(Table1[[#This Row],[delayed]]=1,Table1[[#This Row],[weather_condition]]="Storm"),"High Risk", IF(Table1[[#This Row],[delayed]]=1,"Medium Risk","Low Risk"))</f>
        <v>Medium Risk</v>
      </c>
    </row>
    <row r="1342" spans="1:14" x14ac:dyDescent="0.35">
      <c r="A1342">
        <v>1341</v>
      </c>
      <c r="B1342" s="1">
        <v>44982.833333333336</v>
      </c>
      <c r="C1342" s="2">
        <v>5.8333333333333327E-2</v>
      </c>
      <c r="D1342" s="3">
        <v>3488</v>
      </c>
      <c r="E1342" s="3">
        <v>66</v>
      </c>
      <c r="F1342" s="2">
        <v>33.586805555555557</v>
      </c>
      <c r="G1342" t="s">
        <v>2819</v>
      </c>
      <c r="H1342" t="s">
        <v>2817</v>
      </c>
      <c r="I1342" s="2">
        <v>0.3756944444444445</v>
      </c>
      <c r="J1342" s="4" t="str">
        <f>IF(Table1[[#This Row],[processing_time_hours]]&gt;1.5,"Slow", "Fast")</f>
        <v>Fast</v>
      </c>
      <c r="K1342" t="s">
        <v>2818</v>
      </c>
      <c r="L1342" s="3">
        <v>1</v>
      </c>
      <c r="M1342" t="str">
        <f>IF(Table1[[#This Row],[delayed]]=1,"Delayed","On Time")</f>
        <v>Delayed</v>
      </c>
      <c r="N1342" t="str">
        <f>IF(AND(Table1[[#This Row],[delayed]]=1,Table1[[#This Row],[weather_condition]]="Storm"),"High Risk", IF(Table1[[#This Row],[delayed]]=1,"Medium Risk","Low Risk"))</f>
        <v>High Risk</v>
      </c>
    </row>
    <row r="1343" spans="1:14" x14ac:dyDescent="0.35">
      <c r="A1343">
        <v>1342</v>
      </c>
      <c r="B1343" s="1">
        <v>44982.875</v>
      </c>
      <c r="C1343" s="2">
        <v>4.8611111111111112E-3</v>
      </c>
      <c r="D1343" s="3">
        <v>3899</v>
      </c>
      <c r="E1343" s="3">
        <v>353</v>
      </c>
      <c r="F1343" s="2">
        <v>35.588888888888889</v>
      </c>
      <c r="G1343" t="s">
        <v>2819</v>
      </c>
      <c r="H1343" t="s">
        <v>2813</v>
      </c>
      <c r="I1343" s="2">
        <v>0.21458333333333335</v>
      </c>
      <c r="J1343" s="4" t="str">
        <f>IF(Table1[[#This Row],[processing_time_hours]]&gt;1.5,"Slow", "Fast")</f>
        <v>Fast</v>
      </c>
      <c r="K1343" t="s">
        <v>2814</v>
      </c>
      <c r="L1343" s="3">
        <v>0</v>
      </c>
      <c r="M1343" t="str">
        <f>IF(Table1[[#This Row],[delayed]]=1,"Delayed","On Time")</f>
        <v>On Time</v>
      </c>
      <c r="N1343" t="str">
        <f>IF(AND(Table1[[#This Row],[delayed]]=1,Table1[[#This Row],[weather_condition]]="Storm"),"High Risk", IF(Table1[[#This Row],[delayed]]=1,"Medium Risk","Low Risk"))</f>
        <v>Low Risk</v>
      </c>
    </row>
    <row r="1344" spans="1:14" x14ac:dyDescent="0.35">
      <c r="A1344">
        <v>1343</v>
      </c>
      <c r="B1344" s="1">
        <v>44982.916666666664</v>
      </c>
      <c r="C1344" s="2">
        <v>6.8749999999999992E-2</v>
      </c>
      <c r="D1344" s="3">
        <v>4452</v>
      </c>
      <c r="E1344" s="3">
        <v>355</v>
      </c>
      <c r="F1344" s="2">
        <v>76.461805555555557</v>
      </c>
      <c r="G1344" t="s">
        <v>2812</v>
      </c>
      <c r="H1344" t="s">
        <v>2822</v>
      </c>
      <c r="I1344" s="2">
        <v>0.70833333333333337</v>
      </c>
      <c r="J1344" s="4" t="str">
        <f>IF(Table1[[#This Row],[processing_time_hours]]&gt;1.5,"Slow", "Fast")</f>
        <v>Fast</v>
      </c>
      <c r="K1344" t="s">
        <v>2821</v>
      </c>
      <c r="L1344" s="3">
        <v>0</v>
      </c>
      <c r="M1344" t="str">
        <f>IF(Table1[[#This Row],[delayed]]=1,"Delayed","On Time")</f>
        <v>On Time</v>
      </c>
      <c r="N1344" t="str">
        <f>IF(AND(Table1[[#This Row],[delayed]]=1,Table1[[#This Row],[weather_condition]]="Storm"),"High Risk", IF(Table1[[#This Row],[delayed]]=1,"Medium Risk","Low Risk"))</f>
        <v>Low Risk</v>
      </c>
    </row>
    <row r="1345" spans="1:14" x14ac:dyDescent="0.35">
      <c r="A1345">
        <v>1344</v>
      </c>
      <c r="B1345" s="1">
        <v>44982.958333333336</v>
      </c>
      <c r="C1345" s="2">
        <v>4.8611111111111112E-3</v>
      </c>
      <c r="D1345" s="3">
        <v>451</v>
      </c>
      <c r="E1345" s="3">
        <v>104</v>
      </c>
      <c r="F1345" s="2">
        <v>81.922916666666666</v>
      </c>
      <c r="G1345" t="s">
        <v>2812</v>
      </c>
      <c r="H1345" t="s">
        <v>2820</v>
      </c>
      <c r="I1345" s="2">
        <v>2.4597222222222221</v>
      </c>
      <c r="J1345" s="4" t="str">
        <f>IF(Table1[[#This Row],[processing_time_hours]]&gt;1.5,"Slow", "Fast")</f>
        <v>Slow</v>
      </c>
      <c r="K1345" t="s">
        <v>2818</v>
      </c>
      <c r="L1345" s="3">
        <v>1</v>
      </c>
      <c r="M1345" t="str">
        <f>IF(Table1[[#This Row],[delayed]]=1,"Delayed","On Time")</f>
        <v>Delayed</v>
      </c>
      <c r="N1345" t="str">
        <f>IF(AND(Table1[[#This Row],[delayed]]=1,Table1[[#This Row],[weather_condition]]="Storm"),"High Risk", IF(Table1[[#This Row],[delayed]]=1,"Medium Risk","Low Risk"))</f>
        <v>Medium Risk</v>
      </c>
    </row>
    <row r="1346" spans="1:14" x14ac:dyDescent="0.35">
      <c r="A1346">
        <v>1345</v>
      </c>
      <c r="B1346" s="1">
        <v>44983</v>
      </c>
      <c r="C1346" s="2">
        <v>4.1666666666666664E-2</v>
      </c>
      <c r="D1346" s="3">
        <v>252</v>
      </c>
      <c r="E1346" s="3">
        <v>31</v>
      </c>
      <c r="F1346" s="2">
        <v>24.794444444444448</v>
      </c>
      <c r="G1346" t="s">
        <v>2815</v>
      </c>
      <c r="H1346" t="s">
        <v>2817</v>
      </c>
      <c r="I1346" s="2">
        <v>0.83750000000000002</v>
      </c>
      <c r="J1346" s="4" t="str">
        <f>IF(Table1[[#This Row],[processing_time_hours]]&gt;1.5,"Slow", "Fast")</f>
        <v>Fast</v>
      </c>
      <c r="K1346" t="s">
        <v>2818</v>
      </c>
      <c r="L1346" s="3">
        <v>0</v>
      </c>
      <c r="M1346" t="str">
        <f>IF(Table1[[#This Row],[delayed]]=1,"Delayed","On Time")</f>
        <v>On Time</v>
      </c>
      <c r="N1346" t="str">
        <f>IF(AND(Table1[[#This Row],[delayed]]=1,Table1[[#This Row],[weather_condition]]="Storm"),"High Risk", IF(Table1[[#This Row],[delayed]]=1,"Medium Risk","Low Risk"))</f>
        <v>Low Risk</v>
      </c>
    </row>
    <row r="1347" spans="1:14" x14ac:dyDescent="0.35">
      <c r="A1347">
        <v>1346</v>
      </c>
      <c r="B1347" s="1">
        <v>44983.041666666664</v>
      </c>
      <c r="C1347" s="2">
        <v>4.5833333333333337E-2</v>
      </c>
      <c r="D1347" s="3">
        <v>4035</v>
      </c>
      <c r="E1347" s="3">
        <v>190</v>
      </c>
      <c r="F1347" s="2">
        <v>18.086111111111112</v>
      </c>
      <c r="G1347" t="s">
        <v>2815</v>
      </c>
      <c r="H1347" t="s">
        <v>2817</v>
      </c>
      <c r="I1347" s="2">
        <v>2.0416666666666665</v>
      </c>
      <c r="J1347" s="4" t="str">
        <f>IF(Table1[[#This Row],[processing_time_hours]]&gt;1.5,"Slow", "Fast")</f>
        <v>Slow</v>
      </c>
      <c r="K1347" t="s">
        <v>2821</v>
      </c>
      <c r="L1347" s="3">
        <v>1</v>
      </c>
      <c r="M1347" t="str">
        <f>IF(Table1[[#This Row],[delayed]]=1,"Delayed","On Time")</f>
        <v>Delayed</v>
      </c>
      <c r="N1347" t="str">
        <f>IF(AND(Table1[[#This Row],[delayed]]=1,Table1[[#This Row],[weather_condition]]="Storm"),"High Risk", IF(Table1[[#This Row],[delayed]]=1,"Medium Risk","Low Risk"))</f>
        <v>High Risk</v>
      </c>
    </row>
    <row r="1348" spans="1:14" x14ac:dyDescent="0.35">
      <c r="A1348">
        <v>1347</v>
      </c>
      <c r="B1348" s="1">
        <v>44983.083333333336</v>
      </c>
      <c r="C1348" s="2">
        <v>6.805555555555555E-2</v>
      </c>
      <c r="D1348" s="3">
        <v>332</v>
      </c>
      <c r="E1348" s="3">
        <v>446</v>
      </c>
      <c r="F1348" s="2">
        <v>16.293055555555558</v>
      </c>
      <c r="G1348" t="s">
        <v>2816</v>
      </c>
      <c r="H1348" t="s">
        <v>2813</v>
      </c>
      <c r="I1348" s="2">
        <v>2.6673611111111111</v>
      </c>
      <c r="J1348" s="4" t="str">
        <f>IF(Table1[[#This Row],[processing_time_hours]]&gt;1.5,"Slow", "Fast")</f>
        <v>Slow</v>
      </c>
      <c r="K1348" t="s">
        <v>2818</v>
      </c>
      <c r="L1348" s="3">
        <v>0</v>
      </c>
      <c r="M1348" t="str">
        <f>IF(Table1[[#This Row],[delayed]]=1,"Delayed","On Time")</f>
        <v>On Time</v>
      </c>
      <c r="N1348" t="str">
        <f>IF(AND(Table1[[#This Row],[delayed]]=1,Table1[[#This Row],[weather_condition]]="Storm"),"High Risk", IF(Table1[[#This Row],[delayed]]=1,"Medium Risk","Low Risk"))</f>
        <v>Low Risk</v>
      </c>
    </row>
    <row r="1349" spans="1:14" x14ac:dyDescent="0.35">
      <c r="A1349">
        <v>1348</v>
      </c>
      <c r="B1349" s="1">
        <v>44983.125</v>
      </c>
      <c r="C1349" s="2">
        <v>4.3750000000000004E-2</v>
      </c>
      <c r="D1349" s="3">
        <v>3898</v>
      </c>
      <c r="E1349" s="3">
        <v>279</v>
      </c>
      <c r="F1349" s="2">
        <v>52.96180555555555</v>
      </c>
      <c r="G1349" t="s">
        <v>2812</v>
      </c>
      <c r="H1349" t="s">
        <v>2813</v>
      </c>
      <c r="I1349" s="2">
        <v>2.3784722222222223</v>
      </c>
      <c r="J1349" s="4" t="str">
        <f>IF(Table1[[#This Row],[processing_time_hours]]&gt;1.5,"Slow", "Fast")</f>
        <v>Slow</v>
      </c>
      <c r="K1349" t="s">
        <v>2821</v>
      </c>
      <c r="L1349" s="3">
        <v>0</v>
      </c>
      <c r="M1349" t="str">
        <f>IF(Table1[[#This Row],[delayed]]=1,"Delayed","On Time")</f>
        <v>On Time</v>
      </c>
      <c r="N1349" t="str">
        <f>IF(AND(Table1[[#This Row],[delayed]]=1,Table1[[#This Row],[weather_condition]]="Storm"),"High Risk", IF(Table1[[#This Row],[delayed]]=1,"Medium Risk","Low Risk"))</f>
        <v>Low Risk</v>
      </c>
    </row>
    <row r="1350" spans="1:14" x14ac:dyDescent="0.35">
      <c r="A1350">
        <v>1349</v>
      </c>
      <c r="B1350" s="1">
        <v>44983.166666666664</v>
      </c>
      <c r="C1350" s="2">
        <v>4.1666666666666666E-3</v>
      </c>
      <c r="D1350" s="3">
        <v>4725</v>
      </c>
      <c r="E1350" s="3">
        <v>268</v>
      </c>
      <c r="F1350" s="2">
        <v>79.750694444444449</v>
      </c>
      <c r="G1350" t="s">
        <v>2816</v>
      </c>
      <c r="H1350" t="s">
        <v>2822</v>
      </c>
      <c r="I1350" s="2">
        <v>2.2506944444444446</v>
      </c>
      <c r="J1350" s="4" t="str">
        <f>IF(Table1[[#This Row],[processing_time_hours]]&gt;1.5,"Slow", "Fast")</f>
        <v>Slow</v>
      </c>
      <c r="K1350" t="s">
        <v>2821</v>
      </c>
      <c r="L1350" s="3">
        <v>0</v>
      </c>
      <c r="M1350" t="str">
        <f>IF(Table1[[#This Row],[delayed]]=1,"Delayed","On Time")</f>
        <v>On Time</v>
      </c>
      <c r="N1350" t="str">
        <f>IF(AND(Table1[[#This Row],[delayed]]=1,Table1[[#This Row],[weather_condition]]="Storm"),"High Risk", IF(Table1[[#This Row],[delayed]]=1,"Medium Risk","Low Risk"))</f>
        <v>Low Risk</v>
      </c>
    </row>
    <row r="1351" spans="1:14" x14ac:dyDescent="0.35">
      <c r="A1351">
        <v>1350</v>
      </c>
      <c r="B1351" s="1">
        <v>44983.208333333336</v>
      </c>
      <c r="C1351" s="2">
        <v>4.4444444444444446E-2</v>
      </c>
      <c r="D1351" s="3">
        <v>1099</v>
      </c>
      <c r="E1351" s="3">
        <v>233</v>
      </c>
      <c r="F1351" s="2">
        <v>2.0833333333333335</v>
      </c>
      <c r="G1351" t="s">
        <v>2819</v>
      </c>
      <c r="H1351" t="s">
        <v>2822</v>
      </c>
      <c r="I1351" s="2">
        <v>2.8777777777777778</v>
      </c>
      <c r="J1351" s="4" t="str">
        <f>IF(Table1[[#This Row],[processing_time_hours]]&gt;1.5,"Slow", "Fast")</f>
        <v>Slow</v>
      </c>
      <c r="K1351" t="s">
        <v>2814</v>
      </c>
      <c r="L1351" s="3">
        <v>1</v>
      </c>
      <c r="M1351" t="str">
        <f>IF(Table1[[#This Row],[delayed]]=1,"Delayed","On Time")</f>
        <v>Delayed</v>
      </c>
      <c r="N1351" t="str">
        <f>IF(AND(Table1[[#This Row],[delayed]]=1,Table1[[#This Row],[weather_condition]]="Storm"),"High Risk", IF(Table1[[#This Row],[delayed]]=1,"Medium Risk","Low Risk"))</f>
        <v>Medium Risk</v>
      </c>
    </row>
    <row r="1352" spans="1:14" x14ac:dyDescent="0.35">
      <c r="A1352">
        <v>1351</v>
      </c>
      <c r="B1352" s="1">
        <v>44983.25</v>
      </c>
      <c r="C1352" s="2">
        <v>6.1111111111111109E-2</v>
      </c>
      <c r="D1352" s="3">
        <v>4413</v>
      </c>
      <c r="E1352" s="3">
        <v>54</v>
      </c>
      <c r="F1352" s="2">
        <v>21.213194444444444</v>
      </c>
      <c r="G1352" t="s">
        <v>2819</v>
      </c>
      <c r="H1352" t="s">
        <v>2813</v>
      </c>
      <c r="I1352" s="2">
        <v>2.2124999999999999</v>
      </c>
      <c r="J1352" s="4" t="str">
        <f>IF(Table1[[#This Row],[processing_time_hours]]&gt;1.5,"Slow", "Fast")</f>
        <v>Slow</v>
      </c>
      <c r="K1352" t="s">
        <v>2818</v>
      </c>
      <c r="L1352" s="3">
        <v>1</v>
      </c>
      <c r="M1352" t="str">
        <f>IF(Table1[[#This Row],[delayed]]=1,"Delayed","On Time")</f>
        <v>Delayed</v>
      </c>
      <c r="N1352" t="str">
        <f>IF(AND(Table1[[#This Row],[delayed]]=1,Table1[[#This Row],[weather_condition]]="Storm"),"High Risk", IF(Table1[[#This Row],[delayed]]=1,"Medium Risk","Low Risk"))</f>
        <v>Medium Risk</v>
      </c>
    </row>
    <row r="1353" spans="1:14" x14ac:dyDescent="0.35">
      <c r="A1353">
        <v>1352</v>
      </c>
      <c r="B1353" s="1">
        <v>44983.291666666664</v>
      </c>
      <c r="C1353" s="2">
        <v>4.7916666666666663E-2</v>
      </c>
      <c r="D1353" s="3">
        <v>155</v>
      </c>
      <c r="E1353" s="3">
        <v>485</v>
      </c>
      <c r="F1353" s="2">
        <v>73.837499999999991</v>
      </c>
      <c r="G1353" t="s">
        <v>2819</v>
      </c>
      <c r="H1353" t="s">
        <v>2820</v>
      </c>
      <c r="I1353" s="2">
        <v>0.25208333333333333</v>
      </c>
      <c r="J1353" s="4" t="str">
        <f>IF(Table1[[#This Row],[processing_time_hours]]&gt;1.5,"Slow", "Fast")</f>
        <v>Fast</v>
      </c>
      <c r="K1353" t="s">
        <v>2821</v>
      </c>
      <c r="L1353" s="3">
        <v>0</v>
      </c>
      <c r="M1353" t="str">
        <f>IF(Table1[[#This Row],[delayed]]=1,"Delayed","On Time")</f>
        <v>On Time</v>
      </c>
      <c r="N1353" t="str">
        <f>IF(AND(Table1[[#This Row],[delayed]]=1,Table1[[#This Row],[weather_condition]]="Storm"),"High Risk", IF(Table1[[#This Row],[delayed]]=1,"Medium Risk","Low Risk"))</f>
        <v>Low Risk</v>
      </c>
    </row>
    <row r="1354" spans="1:14" x14ac:dyDescent="0.35">
      <c r="A1354">
        <v>1353</v>
      </c>
      <c r="B1354" s="1">
        <v>44983.333333333336</v>
      </c>
      <c r="C1354" s="2">
        <v>4.9305555555555554E-2</v>
      </c>
      <c r="D1354" s="3">
        <v>1976</v>
      </c>
      <c r="E1354" s="3">
        <v>320</v>
      </c>
      <c r="F1354" s="2">
        <v>60.004861111111104</v>
      </c>
      <c r="G1354" t="s">
        <v>2819</v>
      </c>
      <c r="H1354" t="s">
        <v>2813</v>
      </c>
      <c r="I1354" s="2">
        <v>1.0027777777777778</v>
      </c>
      <c r="J1354" s="4" t="str">
        <f>IF(Table1[[#This Row],[processing_time_hours]]&gt;1.5,"Slow", "Fast")</f>
        <v>Fast</v>
      </c>
      <c r="K1354" t="s">
        <v>2818</v>
      </c>
      <c r="L1354" s="3">
        <v>1</v>
      </c>
      <c r="M1354" t="str">
        <f>IF(Table1[[#This Row],[delayed]]=1,"Delayed","On Time")</f>
        <v>Delayed</v>
      </c>
      <c r="N1354" t="str">
        <f>IF(AND(Table1[[#This Row],[delayed]]=1,Table1[[#This Row],[weather_condition]]="Storm"),"High Risk", IF(Table1[[#This Row],[delayed]]=1,"Medium Risk","Low Risk"))</f>
        <v>Medium Risk</v>
      </c>
    </row>
    <row r="1355" spans="1:14" x14ac:dyDescent="0.35">
      <c r="A1355">
        <v>1354</v>
      </c>
      <c r="B1355" s="1">
        <v>44983.375</v>
      </c>
      <c r="C1355" s="2">
        <v>6.0416666666666667E-2</v>
      </c>
      <c r="D1355" s="3">
        <v>3399</v>
      </c>
      <c r="E1355" s="3">
        <v>436</v>
      </c>
      <c r="F1355" s="2">
        <v>19.755555555555556</v>
      </c>
      <c r="G1355" t="s">
        <v>2819</v>
      </c>
      <c r="H1355" t="s">
        <v>2813</v>
      </c>
      <c r="I1355" s="2">
        <v>2.9173611111111111</v>
      </c>
      <c r="J1355" s="4" t="str">
        <f>IF(Table1[[#This Row],[processing_time_hours]]&gt;1.5,"Slow", "Fast")</f>
        <v>Slow</v>
      </c>
      <c r="K1355" t="s">
        <v>2818</v>
      </c>
      <c r="L1355" s="3">
        <v>1</v>
      </c>
      <c r="M1355" t="str">
        <f>IF(Table1[[#This Row],[delayed]]=1,"Delayed","On Time")</f>
        <v>Delayed</v>
      </c>
      <c r="N1355" t="str">
        <f>IF(AND(Table1[[#This Row],[delayed]]=1,Table1[[#This Row],[weather_condition]]="Storm"),"High Risk", IF(Table1[[#This Row],[delayed]]=1,"Medium Risk","Low Risk"))</f>
        <v>Medium Risk</v>
      </c>
    </row>
    <row r="1356" spans="1:14" x14ac:dyDescent="0.35">
      <c r="A1356">
        <v>1355</v>
      </c>
      <c r="B1356" s="1">
        <v>44983.416666666664</v>
      </c>
      <c r="C1356" s="2">
        <v>4.2361111111111106E-2</v>
      </c>
      <c r="D1356" s="3">
        <v>4776</v>
      </c>
      <c r="E1356" s="3">
        <v>205</v>
      </c>
      <c r="F1356" s="2">
        <v>63.667361111111113</v>
      </c>
      <c r="G1356" t="s">
        <v>2812</v>
      </c>
      <c r="H1356" t="s">
        <v>2813</v>
      </c>
      <c r="I1356" s="2">
        <v>1.1277777777777778</v>
      </c>
      <c r="J1356" s="4" t="str">
        <f>IF(Table1[[#This Row],[processing_time_hours]]&gt;1.5,"Slow", "Fast")</f>
        <v>Fast</v>
      </c>
      <c r="K1356" t="s">
        <v>2821</v>
      </c>
      <c r="L1356" s="3">
        <v>0</v>
      </c>
      <c r="M1356" t="str">
        <f>IF(Table1[[#This Row],[delayed]]=1,"Delayed","On Time")</f>
        <v>On Time</v>
      </c>
      <c r="N1356" t="str">
        <f>IF(AND(Table1[[#This Row],[delayed]]=1,Table1[[#This Row],[weather_condition]]="Storm"),"High Risk", IF(Table1[[#This Row],[delayed]]=1,"Medium Risk","Low Risk"))</f>
        <v>Low Risk</v>
      </c>
    </row>
    <row r="1357" spans="1:14" x14ac:dyDescent="0.35">
      <c r="A1357">
        <v>1356</v>
      </c>
      <c r="B1357" s="1">
        <v>44983.458333333336</v>
      </c>
      <c r="C1357" s="2">
        <v>5.6944444444444443E-2</v>
      </c>
      <c r="D1357" s="3">
        <v>3008</v>
      </c>
      <c r="E1357" s="3">
        <v>274</v>
      </c>
      <c r="F1357" s="2">
        <v>16.128472222222221</v>
      </c>
      <c r="G1357" t="s">
        <v>2816</v>
      </c>
      <c r="H1357" t="s">
        <v>2820</v>
      </c>
      <c r="I1357" s="2">
        <v>2.9645833333333336</v>
      </c>
      <c r="J1357" s="4" t="str">
        <f>IF(Table1[[#This Row],[processing_time_hours]]&gt;1.5,"Slow", "Fast")</f>
        <v>Slow</v>
      </c>
      <c r="K1357" t="s">
        <v>2814</v>
      </c>
      <c r="L1357" s="3">
        <v>0</v>
      </c>
      <c r="M1357" t="str">
        <f>IF(Table1[[#This Row],[delayed]]=1,"Delayed","On Time")</f>
        <v>On Time</v>
      </c>
      <c r="N1357" t="str">
        <f>IF(AND(Table1[[#This Row],[delayed]]=1,Table1[[#This Row],[weather_condition]]="Storm"),"High Risk", IF(Table1[[#This Row],[delayed]]=1,"Medium Risk","Low Risk"))</f>
        <v>Low Risk</v>
      </c>
    </row>
    <row r="1358" spans="1:14" x14ac:dyDescent="0.35">
      <c r="A1358">
        <v>1357</v>
      </c>
      <c r="B1358" s="1">
        <v>44983.5</v>
      </c>
      <c r="C1358" s="2">
        <v>5.2777777777777778E-2</v>
      </c>
      <c r="D1358" s="3">
        <v>1650</v>
      </c>
      <c r="E1358" s="3">
        <v>185</v>
      </c>
      <c r="F1358" s="2">
        <v>76.25</v>
      </c>
      <c r="G1358" t="s">
        <v>2815</v>
      </c>
      <c r="H1358" t="s">
        <v>2813</v>
      </c>
      <c r="I1358" s="2">
        <v>2.125</v>
      </c>
      <c r="J1358" s="4" t="str">
        <f>IF(Table1[[#This Row],[processing_time_hours]]&gt;1.5,"Slow", "Fast")</f>
        <v>Slow</v>
      </c>
      <c r="K1358" t="s">
        <v>2814</v>
      </c>
      <c r="L1358" s="3">
        <v>0</v>
      </c>
      <c r="M1358" t="str">
        <f>IF(Table1[[#This Row],[delayed]]=1,"Delayed","On Time")</f>
        <v>On Time</v>
      </c>
      <c r="N1358" t="str">
        <f>IF(AND(Table1[[#This Row],[delayed]]=1,Table1[[#This Row],[weather_condition]]="Storm"),"High Risk", IF(Table1[[#This Row],[delayed]]=1,"Medium Risk","Low Risk"))</f>
        <v>Low Risk</v>
      </c>
    </row>
    <row r="1359" spans="1:14" x14ac:dyDescent="0.35">
      <c r="A1359">
        <v>1358</v>
      </c>
      <c r="B1359" s="1">
        <v>44983.541666666664</v>
      </c>
      <c r="C1359" s="2">
        <v>4.5833333333333337E-2</v>
      </c>
      <c r="D1359" s="3">
        <v>1147</v>
      </c>
      <c r="E1359" s="3">
        <v>248</v>
      </c>
      <c r="F1359" s="2">
        <v>1.8340277777777778</v>
      </c>
      <c r="G1359" t="s">
        <v>2816</v>
      </c>
      <c r="H1359" t="s">
        <v>2822</v>
      </c>
      <c r="I1359" s="2">
        <v>0.4201388888888889</v>
      </c>
      <c r="J1359" s="4" t="str">
        <f>IF(Table1[[#This Row],[processing_time_hours]]&gt;1.5,"Slow", "Fast")</f>
        <v>Fast</v>
      </c>
      <c r="K1359" t="s">
        <v>2818</v>
      </c>
      <c r="L1359" s="3">
        <v>0</v>
      </c>
      <c r="M1359" t="str">
        <f>IF(Table1[[#This Row],[delayed]]=1,"Delayed","On Time")</f>
        <v>On Time</v>
      </c>
      <c r="N1359" t="str">
        <f>IF(AND(Table1[[#This Row],[delayed]]=1,Table1[[#This Row],[weather_condition]]="Storm"),"High Risk", IF(Table1[[#This Row],[delayed]]=1,"Medium Risk","Low Risk"))</f>
        <v>Low Risk</v>
      </c>
    </row>
    <row r="1360" spans="1:14" x14ac:dyDescent="0.35">
      <c r="A1360">
        <v>1359</v>
      </c>
      <c r="B1360" s="1">
        <v>44983.583333333336</v>
      </c>
      <c r="C1360" s="2">
        <v>6.6666666666666666E-2</v>
      </c>
      <c r="D1360" s="3">
        <v>1266</v>
      </c>
      <c r="E1360" s="3">
        <v>391</v>
      </c>
      <c r="F1360" s="2">
        <v>43.754861111111104</v>
      </c>
      <c r="G1360" t="s">
        <v>2816</v>
      </c>
      <c r="H1360" t="s">
        <v>2820</v>
      </c>
      <c r="I1360" s="2">
        <v>2.3805555555555555</v>
      </c>
      <c r="J1360" s="4" t="str">
        <f>IF(Table1[[#This Row],[processing_time_hours]]&gt;1.5,"Slow", "Fast")</f>
        <v>Slow</v>
      </c>
      <c r="K1360" t="s">
        <v>2818</v>
      </c>
      <c r="L1360" s="3">
        <v>0</v>
      </c>
      <c r="M1360" t="str">
        <f>IF(Table1[[#This Row],[delayed]]=1,"Delayed","On Time")</f>
        <v>On Time</v>
      </c>
      <c r="N1360" t="str">
        <f>IF(AND(Table1[[#This Row],[delayed]]=1,Table1[[#This Row],[weather_condition]]="Storm"),"High Risk", IF(Table1[[#This Row],[delayed]]=1,"Medium Risk","Low Risk"))</f>
        <v>Low Risk</v>
      </c>
    </row>
    <row r="1361" spans="1:14" x14ac:dyDescent="0.35">
      <c r="A1361">
        <v>1360</v>
      </c>
      <c r="B1361" s="1">
        <v>44983.625</v>
      </c>
      <c r="C1361" s="2">
        <v>5.1388888888888894E-2</v>
      </c>
      <c r="D1361" s="3">
        <v>3740</v>
      </c>
      <c r="E1361" s="3">
        <v>444</v>
      </c>
      <c r="F1361" s="2">
        <v>80.709027777777777</v>
      </c>
      <c r="G1361" t="s">
        <v>2815</v>
      </c>
      <c r="H1361" t="s">
        <v>2817</v>
      </c>
      <c r="I1361" s="2">
        <v>0.63124999999999998</v>
      </c>
      <c r="J1361" s="4" t="str">
        <f>IF(Table1[[#This Row],[processing_time_hours]]&gt;1.5,"Slow", "Fast")</f>
        <v>Fast</v>
      </c>
      <c r="K1361" t="s">
        <v>2814</v>
      </c>
      <c r="L1361" s="3">
        <v>1</v>
      </c>
      <c r="M1361" t="str">
        <f>IF(Table1[[#This Row],[delayed]]=1,"Delayed","On Time")</f>
        <v>Delayed</v>
      </c>
      <c r="N1361" t="str">
        <f>IF(AND(Table1[[#This Row],[delayed]]=1,Table1[[#This Row],[weather_condition]]="Storm"),"High Risk", IF(Table1[[#This Row],[delayed]]=1,"Medium Risk","Low Risk"))</f>
        <v>High Risk</v>
      </c>
    </row>
    <row r="1362" spans="1:14" x14ac:dyDescent="0.35">
      <c r="A1362">
        <v>1361</v>
      </c>
      <c r="B1362" s="1">
        <v>44983.666666666664</v>
      </c>
      <c r="C1362" s="2">
        <v>4.9999999999999996E-2</v>
      </c>
      <c r="D1362" s="3">
        <v>3354</v>
      </c>
      <c r="E1362" s="3">
        <v>41</v>
      </c>
      <c r="F1362" s="2">
        <v>73.295833333333334</v>
      </c>
      <c r="G1362" t="s">
        <v>2812</v>
      </c>
      <c r="H1362" t="s">
        <v>2822</v>
      </c>
      <c r="I1362" s="2">
        <v>1.0034722222222221</v>
      </c>
      <c r="J1362" s="4" t="str">
        <f>IF(Table1[[#This Row],[processing_time_hours]]&gt;1.5,"Slow", "Fast")</f>
        <v>Fast</v>
      </c>
      <c r="K1362" t="s">
        <v>2814</v>
      </c>
      <c r="L1362" s="3">
        <v>0</v>
      </c>
      <c r="M1362" t="str">
        <f>IF(Table1[[#This Row],[delayed]]=1,"Delayed","On Time")</f>
        <v>On Time</v>
      </c>
      <c r="N1362" t="str">
        <f>IF(AND(Table1[[#This Row],[delayed]]=1,Table1[[#This Row],[weather_condition]]="Storm"),"High Risk", IF(Table1[[#This Row],[delayed]]=1,"Medium Risk","Low Risk"))</f>
        <v>Low Risk</v>
      </c>
    </row>
    <row r="1363" spans="1:14" x14ac:dyDescent="0.35">
      <c r="A1363">
        <v>1362</v>
      </c>
      <c r="B1363" s="1">
        <v>44983.708333333336</v>
      </c>
      <c r="C1363" s="2">
        <v>6.1111111111111109E-2</v>
      </c>
      <c r="D1363" s="3">
        <v>425</v>
      </c>
      <c r="E1363" s="3">
        <v>5</v>
      </c>
      <c r="F1363" s="2">
        <v>74.421527777777769</v>
      </c>
      <c r="G1363" t="s">
        <v>2812</v>
      </c>
      <c r="H1363" t="s">
        <v>2813</v>
      </c>
      <c r="I1363" s="2">
        <v>1.1673611111111111</v>
      </c>
      <c r="J1363" s="4" t="str">
        <f>IF(Table1[[#This Row],[processing_time_hours]]&gt;1.5,"Slow", "Fast")</f>
        <v>Fast</v>
      </c>
      <c r="K1363" t="s">
        <v>2821</v>
      </c>
      <c r="L1363" s="3">
        <v>0</v>
      </c>
      <c r="M1363" t="str">
        <f>IF(Table1[[#This Row],[delayed]]=1,"Delayed","On Time")</f>
        <v>On Time</v>
      </c>
      <c r="N1363" t="str">
        <f>IF(AND(Table1[[#This Row],[delayed]]=1,Table1[[#This Row],[weather_condition]]="Storm"),"High Risk", IF(Table1[[#This Row],[delayed]]=1,"Medium Risk","Low Risk"))</f>
        <v>Low Risk</v>
      </c>
    </row>
    <row r="1364" spans="1:14" x14ac:dyDescent="0.35">
      <c r="A1364">
        <v>1363</v>
      </c>
      <c r="B1364" s="1">
        <v>44983.75</v>
      </c>
      <c r="C1364" s="2">
        <v>6.5277777777777782E-2</v>
      </c>
      <c r="D1364" s="3">
        <v>1886</v>
      </c>
      <c r="E1364" s="3">
        <v>115</v>
      </c>
      <c r="F1364" s="2">
        <v>11.129861111111111</v>
      </c>
      <c r="G1364" t="s">
        <v>2819</v>
      </c>
      <c r="H1364" t="s">
        <v>2813</v>
      </c>
      <c r="I1364" s="2">
        <v>2.2124999999999999</v>
      </c>
      <c r="J1364" s="4" t="str">
        <f>IF(Table1[[#This Row],[processing_time_hours]]&gt;1.5,"Slow", "Fast")</f>
        <v>Slow</v>
      </c>
      <c r="K1364" t="s">
        <v>2814</v>
      </c>
      <c r="L1364" s="3">
        <v>0</v>
      </c>
      <c r="M1364" t="str">
        <f>IF(Table1[[#This Row],[delayed]]=1,"Delayed","On Time")</f>
        <v>On Time</v>
      </c>
      <c r="N1364" t="str">
        <f>IF(AND(Table1[[#This Row],[delayed]]=1,Table1[[#This Row],[weather_condition]]="Storm"),"High Risk", IF(Table1[[#This Row],[delayed]]=1,"Medium Risk","Low Risk"))</f>
        <v>Low Risk</v>
      </c>
    </row>
    <row r="1365" spans="1:14" x14ac:dyDescent="0.35">
      <c r="A1365">
        <v>1364</v>
      </c>
      <c r="B1365" s="1">
        <v>44983.791666666664</v>
      </c>
      <c r="C1365" s="2">
        <v>4.7916666666666663E-2</v>
      </c>
      <c r="D1365" s="3">
        <v>2062</v>
      </c>
      <c r="E1365" s="3">
        <v>94</v>
      </c>
      <c r="F1365" s="2">
        <v>74.96041666666666</v>
      </c>
      <c r="G1365" t="s">
        <v>2815</v>
      </c>
      <c r="H1365" t="s">
        <v>2822</v>
      </c>
      <c r="I1365" s="2">
        <v>0.2951388888888889</v>
      </c>
      <c r="J1365" s="4" t="str">
        <f>IF(Table1[[#This Row],[processing_time_hours]]&gt;1.5,"Slow", "Fast")</f>
        <v>Fast</v>
      </c>
      <c r="K1365" t="s">
        <v>2821</v>
      </c>
      <c r="L1365" s="3">
        <v>1</v>
      </c>
      <c r="M1365" t="str">
        <f>IF(Table1[[#This Row],[delayed]]=1,"Delayed","On Time")</f>
        <v>Delayed</v>
      </c>
      <c r="N1365" t="str">
        <f>IF(AND(Table1[[#This Row],[delayed]]=1,Table1[[#This Row],[weather_condition]]="Storm"),"High Risk", IF(Table1[[#This Row],[delayed]]=1,"Medium Risk","Low Risk"))</f>
        <v>Medium Risk</v>
      </c>
    </row>
    <row r="1366" spans="1:14" x14ac:dyDescent="0.35">
      <c r="A1366">
        <v>1365</v>
      </c>
      <c r="B1366" s="1">
        <v>44983.833333333336</v>
      </c>
      <c r="C1366" s="2">
        <v>4.5138888888888888E-2</v>
      </c>
      <c r="D1366" s="3">
        <v>3889</v>
      </c>
      <c r="E1366" s="3">
        <v>409</v>
      </c>
      <c r="F1366" s="2">
        <v>33.25416666666667</v>
      </c>
      <c r="G1366" t="s">
        <v>2819</v>
      </c>
      <c r="H1366" t="s">
        <v>2822</v>
      </c>
      <c r="I1366" s="2">
        <v>1.9618055555555556</v>
      </c>
      <c r="J1366" s="4" t="str">
        <f>IF(Table1[[#This Row],[processing_time_hours]]&gt;1.5,"Slow", "Fast")</f>
        <v>Slow</v>
      </c>
      <c r="K1366" t="s">
        <v>2818</v>
      </c>
      <c r="L1366" s="3">
        <v>0</v>
      </c>
      <c r="M1366" t="str">
        <f>IF(Table1[[#This Row],[delayed]]=1,"Delayed","On Time")</f>
        <v>On Time</v>
      </c>
      <c r="N1366" t="str">
        <f>IF(AND(Table1[[#This Row],[delayed]]=1,Table1[[#This Row],[weather_condition]]="Storm"),"High Risk", IF(Table1[[#This Row],[delayed]]=1,"Medium Risk","Low Risk"))</f>
        <v>Low Risk</v>
      </c>
    </row>
    <row r="1367" spans="1:14" x14ac:dyDescent="0.35">
      <c r="A1367">
        <v>1366</v>
      </c>
      <c r="B1367" s="1">
        <v>44983.875</v>
      </c>
      <c r="C1367" s="2">
        <v>6.805555555555555E-2</v>
      </c>
      <c r="D1367" s="3">
        <v>293</v>
      </c>
      <c r="E1367" s="3">
        <v>124</v>
      </c>
      <c r="F1367" s="2">
        <v>38.166666666666664</v>
      </c>
      <c r="G1367" t="s">
        <v>2812</v>
      </c>
      <c r="H1367" t="s">
        <v>2813</v>
      </c>
      <c r="I1367" s="2">
        <v>2.5451388888888888</v>
      </c>
      <c r="J1367" s="4" t="str">
        <f>IF(Table1[[#This Row],[processing_time_hours]]&gt;1.5,"Slow", "Fast")</f>
        <v>Slow</v>
      </c>
      <c r="K1367" t="s">
        <v>2814</v>
      </c>
      <c r="L1367" s="3">
        <v>0</v>
      </c>
      <c r="M1367" t="str">
        <f>IF(Table1[[#This Row],[delayed]]=1,"Delayed","On Time")</f>
        <v>On Time</v>
      </c>
      <c r="N1367" t="str">
        <f>IF(AND(Table1[[#This Row],[delayed]]=1,Table1[[#This Row],[weather_condition]]="Storm"),"High Risk", IF(Table1[[#This Row],[delayed]]=1,"Medium Risk","Low Risk"))</f>
        <v>Low Risk</v>
      </c>
    </row>
    <row r="1368" spans="1:14" x14ac:dyDescent="0.35">
      <c r="A1368">
        <v>1367</v>
      </c>
      <c r="B1368" s="1">
        <v>44983.916666666664</v>
      </c>
      <c r="C1368" s="2">
        <v>5.3472222222222227E-2</v>
      </c>
      <c r="D1368" s="3">
        <v>4989</v>
      </c>
      <c r="E1368" s="3">
        <v>48</v>
      </c>
      <c r="F1368" s="2">
        <v>55.002083333333331</v>
      </c>
      <c r="G1368" t="s">
        <v>2812</v>
      </c>
      <c r="H1368" t="s">
        <v>2813</v>
      </c>
      <c r="I1368" s="2">
        <v>0.83611111111111114</v>
      </c>
      <c r="J1368" s="4" t="str">
        <f>IF(Table1[[#This Row],[processing_time_hours]]&gt;1.5,"Slow", "Fast")</f>
        <v>Fast</v>
      </c>
      <c r="K1368" t="s">
        <v>2818</v>
      </c>
      <c r="L1368" s="3">
        <v>0</v>
      </c>
      <c r="M1368" t="str">
        <f>IF(Table1[[#This Row],[delayed]]=1,"Delayed","On Time")</f>
        <v>On Time</v>
      </c>
      <c r="N1368" t="str">
        <f>IF(AND(Table1[[#This Row],[delayed]]=1,Table1[[#This Row],[weather_condition]]="Storm"),"High Risk", IF(Table1[[#This Row],[delayed]]=1,"Medium Risk","Low Risk"))</f>
        <v>Low Risk</v>
      </c>
    </row>
    <row r="1369" spans="1:14" x14ac:dyDescent="0.35">
      <c r="A1369">
        <v>1368</v>
      </c>
      <c r="B1369" s="1">
        <v>44983.958333333336</v>
      </c>
      <c r="C1369" s="2">
        <v>5.6250000000000001E-2</v>
      </c>
      <c r="D1369" s="3">
        <v>1175</v>
      </c>
      <c r="E1369" s="3">
        <v>287</v>
      </c>
      <c r="F1369" s="2">
        <v>69.547222222222231</v>
      </c>
      <c r="G1369" t="s">
        <v>2815</v>
      </c>
      <c r="H1369" t="s">
        <v>2820</v>
      </c>
      <c r="I1369" s="2">
        <v>2.504861111111111</v>
      </c>
      <c r="J1369" s="4" t="str">
        <f>IF(Table1[[#This Row],[processing_time_hours]]&gt;1.5,"Slow", "Fast")</f>
        <v>Slow</v>
      </c>
      <c r="K1369" t="s">
        <v>2818</v>
      </c>
      <c r="L1369" s="3">
        <v>0</v>
      </c>
      <c r="M1369" t="str">
        <f>IF(Table1[[#This Row],[delayed]]=1,"Delayed","On Time")</f>
        <v>On Time</v>
      </c>
      <c r="N1369" t="str">
        <f>IF(AND(Table1[[#This Row],[delayed]]=1,Table1[[#This Row],[weather_condition]]="Storm"),"High Risk", IF(Table1[[#This Row],[delayed]]=1,"Medium Risk","Low Risk"))</f>
        <v>Low Risk</v>
      </c>
    </row>
    <row r="1370" spans="1:14" x14ac:dyDescent="0.35">
      <c r="A1370">
        <v>1369</v>
      </c>
      <c r="B1370" s="1">
        <v>44984</v>
      </c>
      <c r="C1370" s="2">
        <v>5.4166666666666669E-2</v>
      </c>
      <c r="D1370" s="3">
        <v>1166</v>
      </c>
      <c r="E1370" s="3">
        <v>10</v>
      </c>
      <c r="F1370" s="2">
        <v>70.000694444444449</v>
      </c>
      <c r="G1370" t="s">
        <v>2812</v>
      </c>
      <c r="H1370" t="s">
        <v>2822</v>
      </c>
      <c r="I1370" s="2">
        <v>2.338888888888889</v>
      </c>
      <c r="J1370" s="4" t="str">
        <f>IF(Table1[[#This Row],[processing_time_hours]]&gt;1.5,"Slow", "Fast")</f>
        <v>Slow</v>
      </c>
      <c r="K1370" t="s">
        <v>2821</v>
      </c>
      <c r="L1370" s="3">
        <v>0</v>
      </c>
      <c r="M1370" t="str">
        <f>IF(Table1[[#This Row],[delayed]]=1,"Delayed","On Time")</f>
        <v>On Time</v>
      </c>
      <c r="N1370" t="str">
        <f>IF(AND(Table1[[#This Row],[delayed]]=1,Table1[[#This Row],[weather_condition]]="Storm"),"High Risk", IF(Table1[[#This Row],[delayed]]=1,"Medium Risk","Low Risk"))</f>
        <v>Low Risk</v>
      </c>
    </row>
    <row r="1371" spans="1:14" x14ac:dyDescent="0.35">
      <c r="A1371">
        <v>1370</v>
      </c>
      <c r="B1371" s="1">
        <v>44984.041666666664</v>
      </c>
      <c r="C1371" s="2">
        <v>6.458333333333334E-2</v>
      </c>
      <c r="D1371" s="3">
        <v>94</v>
      </c>
      <c r="E1371" s="3">
        <v>484</v>
      </c>
      <c r="F1371" s="2">
        <v>62.339583333333337</v>
      </c>
      <c r="G1371" t="s">
        <v>2819</v>
      </c>
      <c r="H1371" t="s">
        <v>2822</v>
      </c>
      <c r="I1371" s="2">
        <v>0.83611111111111114</v>
      </c>
      <c r="J1371" s="4" t="str">
        <f>IF(Table1[[#This Row],[processing_time_hours]]&gt;1.5,"Slow", "Fast")</f>
        <v>Fast</v>
      </c>
      <c r="K1371" t="s">
        <v>2818</v>
      </c>
      <c r="L1371" s="3">
        <v>0</v>
      </c>
      <c r="M1371" t="str">
        <f>IF(Table1[[#This Row],[delayed]]=1,"Delayed","On Time")</f>
        <v>On Time</v>
      </c>
      <c r="N1371" t="str">
        <f>IF(AND(Table1[[#This Row],[delayed]]=1,Table1[[#This Row],[weather_condition]]="Storm"),"High Risk", IF(Table1[[#This Row],[delayed]]=1,"Medium Risk","Low Risk"))</f>
        <v>Low Risk</v>
      </c>
    </row>
    <row r="1372" spans="1:14" x14ac:dyDescent="0.35">
      <c r="A1372">
        <v>1371</v>
      </c>
      <c r="B1372" s="1">
        <v>44984.083333333336</v>
      </c>
      <c r="C1372" s="2">
        <v>5.3472222222222227E-2</v>
      </c>
      <c r="D1372" s="3">
        <v>3377</v>
      </c>
      <c r="E1372" s="3">
        <v>123</v>
      </c>
      <c r="F1372" s="2">
        <v>82.167361111111106</v>
      </c>
      <c r="G1372" t="s">
        <v>2816</v>
      </c>
      <c r="H1372" t="s">
        <v>2820</v>
      </c>
      <c r="I1372" s="2">
        <v>0.75</v>
      </c>
      <c r="J1372" s="4" t="str">
        <f>IF(Table1[[#This Row],[processing_time_hours]]&gt;1.5,"Slow", "Fast")</f>
        <v>Fast</v>
      </c>
      <c r="K1372" t="s">
        <v>2814</v>
      </c>
      <c r="L1372" s="3">
        <v>0</v>
      </c>
      <c r="M1372" t="str">
        <f>IF(Table1[[#This Row],[delayed]]=1,"Delayed","On Time")</f>
        <v>On Time</v>
      </c>
      <c r="N1372" t="str">
        <f>IF(AND(Table1[[#This Row],[delayed]]=1,Table1[[#This Row],[weather_condition]]="Storm"),"High Risk", IF(Table1[[#This Row],[delayed]]=1,"Medium Risk","Low Risk"))</f>
        <v>Low Risk</v>
      </c>
    </row>
    <row r="1373" spans="1:14" x14ac:dyDescent="0.35">
      <c r="A1373">
        <v>1372</v>
      </c>
      <c r="B1373" s="1">
        <v>44984.125</v>
      </c>
      <c r="C1373" s="2">
        <v>6.2499999999999995E-3</v>
      </c>
      <c r="D1373" s="3">
        <v>2542</v>
      </c>
      <c r="E1373" s="3">
        <v>331</v>
      </c>
      <c r="F1373" s="2">
        <v>9.1277777777777782</v>
      </c>
      <c r="G1373" t="s">
        <v>2815</v>
      </c>
      <c r="H1373" t="s">
        <v>2813</v>
      </c>
      <c r="I1373" s="2">
        <v>0.41944444444444445</v>
      </c>
      <c r="J1373" s="4" t="str">
        <f>IF(Table1[[#This Row],[processing_time_hours]]&gt;1.5,"Slow", "Fast")</f>
        <v>Fast</v>
      </c>
      <c r="K1373" t="s">
        <v>2821</v>
      </c>
      <c r="L1373" s="3">
        <v>0</v>
      </c>
      <c r="M1373" t="str">
        <f>IF(Table1[[#This Row],[delayed]]=1,"Delayed","On Time")</f>
        <v>On Time</v>
      </c>
      <c r="N1373" t="str">
        <f>IF(AND(Table1[[#This Row],[delayed]]=1,Table1[[#This Row],[weather_condition]]="Storm"),"High Risk", IF(Table1[[#This Row],[delayed]]=1,"Medium Risk","Low Risk"))</f>
        <v>Low Risk</v>
      </c>
    </row>
    <row r="1374" spans="1:14" x14ac:dyDescent="0.35">
      <c r="A1374">
        <v>1373</v>
      </c>
      <c r="B1374" s="1">
        <v>44984.166666666664</v>
      </c>
      <c r="C1374" s="2">
        <v>5.6250000000000001E-2</v>
      </c>
      <c r="D1374" s="3">
        <v>3675</v>
      </c>
      <c r="E1374" s="3">
        <v>293</v>
      </c>
      <c r="F1374" s="2">
        <v>11.918750000000001</v>
      </c>
      <c r="G1374" t="s">
        <v>2819</v>
      </c>
      <c r="H1374" t="s">
        <v>2813</v>
      </c>
      <c r="I1374" s="2">
        <v>1.0840277777777778</v>
      </c>
      <c r="J1374" s="4" t="str">
        <f>IF(Table1[[#This Row],[processing_time_hours]]&gt;1.5,"Slow", "Fast")</f>
        <v>Fast</v>
      </c>
      <c r="K1374" t="s">
        <v>2818</v>
      </c>
      <c r="L1374" s="3">
        <v>0</v>
      </c>
      <c r="M1374" t="str">
        <f>IF(Table1[[#This Row],[delayed]]=1,"Delayed","On Time")</f>
        <v>On Time</v>
      </c>
      <c r="N1374" t="str">
        <f>IF(AND(Table1[[#This Row],[delayed]]=1,Table1[[#This Row],[weather_condition]]="Storm"),"High Risk", IF(Table1[[#This Row],[delayed]]=1,"Medium Risk","Low Risk"))</f>
        <v>Low Risk</v>
      </c>
    </row>
    <row r="1375" spans="1:14" x14ac:dyDescent="0.35">
      <c r="A1375">
        <v>1374</v>
      </c>
      <c r="B1375" s="1">
        <v>44984.208333333336</v>
      </c>
      <c r="C1375" s="2">
        <v>4.3750000000000004E-2</v>
      </c>
      <c r="D1375" s="3">
        <v>2815</v>
      </c>
      <c r="E1375" s="3">
        <v>14</v>
      </c>
      <c r="F1375" s="2">
        <v>78.672916666666666</v>
      </c>
      <c r="G1375" t="s">
        <v>2815</v>
      </c>
      <c r="H1375" t="s">
        <v>2813</v>
      </c>
      <c r="I1375" s="2">
        <v>1.4611111111111112</v>
      </c>
      <c r="J1375" s="4" t="str">
        <f>IF(Table1[[#This Row],[processing_time_hours]]&gt;1.5,"Slow", "Fast")</f>
        <v>Fast</v>
      </c>
      <c r="K1375" t="s">
        <v>2818</v>
      </c>
      <c r="L1375" s="3">
        <v>1</v>
      </c>
      <c r="M1375" t="str">
        <f>IF(Table1[[#This Row],[delayed]]=1,"Delayed","On Time")</f>
        <v>Delayed</v>
      </c>
      <c r="N1375" t="str">
        <f>IF(AND(Table1[[#This Row],[delayed]]=1,Table1[[#This Row],[weather_condition]]="Storm"),"High Risk", IF(Table1[[#This Row],[delayed]]=1,"Medium Risk","Low Risk"))</f>
        <v>Medium Risk</v>
      </c>
    </row>
    <row r="1376" spans="1:14" x14ac:dyDescent="0.35">
      <c r="A1376">
        <v>1375</v>
      </c>
      <c r="B1376" s="1">
        <v>44984.25</v>
      </c>
      <c r="C1376" s="2">
        <v>5.5555555555555558E-3</v>
      </c>
      <c r="D1376" s="3">
        <v>3611</v>
      </c>
      <c r="E1376" s="3">
        <v>288</v>
      </c>
      <c r="F1376" s="2">
        <v>46.131250000000001</v>
      </c>
      <c r="G1376" t="s">
        <v>2816</v>
      </c>
      <c r="H1376" t="s">
        <v>2813</v>
      </c>
      <c r="I1376" s="2">
        <v>2.2944444444444447</v>
      </c>
      <c r="J1376" s="4" t="str">
        <f>IF(Table1[[#This Row],[processing_time_hours]]&gt;1.5,"Slow", "Fast")</f>
        <v>Slow</v>
      </c>
      <c r="K1376" t="s">
        <v>2821</v>
      </c>
      <c r="L1376" s="3">
        <v>0</v>
      </c>
      <c r="M1376" t="str">
        <f>IF(Table1[[#This Row],[delayed]]=1,"Delayed","On Time")</f>
        <v>On Time</v>
      </c>
      <c r="N1376" t="str">
        <f>IF(AND(Table1[[#This Row],[delayed]]=1,Table1[[#This Row],[weather_condition]]="Storm"),"High Risk", IF(Table1[[#This Row],[delayed]]=1,"Medium Risk","Low Risk"))</f>
        <v>Low Risk</v>
      </c>
    </row>
    <row r="1377" spans="1:14" x14ac:dyDescent="0.35">
      <c r="A1377">
        <v>1376</v>
      </c>
      <c r="B1377" s="1">
        <v>44984.291666666664</v>
      </c>
      <c r="C1377" s="2">
        <v>6.5277777777777782E-2</v>
      </c>
      <c r="D1377" s="3">
        <v>3276</v>
      </c>
      <c r="E1377" s="3">
        <v>111</v>
      </c>
      <c r="F1377" s="2">
        <v>1.2125000000000001</v>
      </c>
      <c r="G1377" t="s">
        <v>2815</v>
      </c>
      <c r="H1377" t="s">
        <v>2817</v>
      </c>
      <c r="I1377" s="2">
        <v>2.3770833333333332</v>
      </c>
      <c r="J1377" s="4" t="str">
        <f>IF(Table1[[#This Row],[processing_time_hours]]&gt;1.5,"Slow", "Fast")</f>
        <v>Slow</v>
      </c>
      <c r="K1377" t="s">
        <v>2821</v>
      </c>
      <c r="L1377" s="3">
        <v>1</v>
      </c>
      <c r="M1377" t="str">
        <f>IF(Table1[[#This Row],[delayed]]=1,"Delayed","On Time")</f>
        <v>Delayed</v>
      </c>
      <c r="N1377" t="str">
        <f>IF(AND(Table1[[#This Row],[delayed]]=1,Table1[[#This Row],[weather_condition]]="Storm"),"High Risk", IF(Table1[[#This Row],[delayed]]=1,"Medium Risk","Low Risk"))</f>
        <v>High Risk</v>
      </c>
    </row>
    <row r="1378" spans="1:14" x14ac:dyDescent="0.35">
      <c r="A1378">
        <v>1377</v>
      </c>
      <c r="B1378" s="1">
        <v>44984.333333333336</v>
      </c>
      <c r="C1378" s="2">
        <v>5.6250000000000001E-2</v>
      </c>
      <c r="D1378" s="3">
        <v>1199</v>
      </c>
      <c r="E1378" s="3">
        <v>147</v>
      </c>
      <c r="F1378" s="2">
        <v>51.587499999999999</v>
      </c>
      <c r="G1378" t="s">
        <v>2816</v>
      </c>
      <c r="H1378" t="s">
        <v>2822</v>
      </c>
      <c r="I1378" s="2">
        <v>0.17152777777777775</v>
      </c>
      <c r="J1378" s="4" t="str">
        <f>IF(Table1[[#This Row],[processing_time_hours]]&gt;1.5,"Slow", "Fast")</f>
        <v>Fast</v>
      </c>
      <c r="K1378" t="s">
        <v>2821</v>
      </c>
      <c r="L1378" s="3">
        <v>0</v>
      </c>
      <c r="M1378" t="str">
        <f>IF(Table1[[#This Row],[delayed]]=1,"Delayed","On Time")</f>
        <v>On Time</v>
      </c>
      <c r="N1378" t="str">
        <f>IF(AND(Table1[[#This Row],[delayed]]=1,Table1[[#This Row],[weather_condition]]="Storm"),"High Risk", IF(Table1[[#This Row],[delayed]]=1,"Medium Risk","Low Risk"))</f>
        <v>Low Risk</v>
      </c>
    </row>
    <row r="1379" spans="1:14" x14ac:dyDescent="0.35">
      <c r="A1379">
        <v>1378</v>
      </c>
      <c r="B1379" s="1">
        <v>44984.375</v>
      </c>
      <c r="C1379" s="2">
        <v>5.2777777777777778E-2</v>
      </c>
      <c r="D1379" s="3">
        <v>3982</v>
      </c>
      <c r="E1379" s="3">
        <v>217</v>
      </c>
      <c r="F1379" s="2">
        <v>38.711805555555557</v>
      </c>
      <c r="G1379" t="s">
        <v>2815</v>
      </c>
      <c r="H1379" t="s">
        <v>2822</v>
      </c>
      <c r="I1379" s="2">
        <v>2.3374999999999999</v>
      </c>
      <c r="J1379" s="4" t="str">
        <f>IF(Table1[[#This Row],[processing_time_hours]]&gt;1.5,"Slow", "Fast")</f>
        <v>Slow</v>
      </c>
      <c r="K1379" t="s">
        <v>2818</v>
      </c>
      <c r="L1379" s="3">
        <v>0</v>
      </c>
      <c r="M1379" t="str">
        <f>IF(Table1[[#This Row],[delayed]]=1,"Delayed","On Time")</f>
        <v>On Time</v>
      </c>
      <c r="N1379" t="str">
        <f>IF(AND(Table1[[#This Row],[delayed]]=1,Table1[[#This Row],[weather_condition]]="Storm"),"High Risk", IF(Table1[[#This Row],[delayed]]=1,"Medium Risk","Low Risk"))</f>
        <v>Low Risk</v>
      </c>
    </row>
    <row r="1380" spans="1:14" x14ac:dyDescent="0.35">
      <c r="A1380">
        <v>1379</v>
      </c>
      <c r="B1380" s="1">
        <v>44984.416666666664</v>
      </c>
      <c r="C1380" s="2">
        <v>4.2361111111111106E-2</v>
      </c>
      <c r="D1380" s="3">
        <v>600</v>
      </c>
      <c r="E1380" s="3">
        <v>485</v>
      </c>
      <c r="F1380" s="2">
        <v>79.713888888888889</v>
      </c>
      <c r="G1380" t="s">
        <v>2812</v>
      </c>
      <c r="H1380" t="s">
        <v>2817</v>
      </c>
      <c r="I1380" s="2">
        <v>1.9229166666666666</v>
      </c>
      <c r="J1380" s="4" t="str">
        <f>IF(Table1[[#This Row],[processing_time_hours]]&gt;1.5,"Slow", "Fast")</f>
        <v>Slow</v>
      </c>
      <c r="K1380" t="s">
        <v>2821</v>
      </c>
      <c r="L1380" s="3">
        <v>0</v>
      </c>
      <c r="M1380" t="str">
        <f>IF(Table1[[#This Row],[delayed]]=1,"Delayed","On Time")</f>
        <v>On Time</v>
      </c>
      <c r="N1380" t="str">
        <f>IF(AND(Table1[[#This Row],[delayed]]=1,Table1[[#This Row],[weather_condition]]="Storm"),"High Risk", IF(Table1[[#This Row],[delayed]]=1,"Medium Risk","Low Risk"))</f>
        <v>Low Risk</v>
      </c>
    </row>
    <row r="1381" spans="1:14" x14ac:dyDescent="0.35">
      <c r="A1381">
        <v>1380</v>
      </c>
      <c r="B1381" s="1">
        <v>44984.458333333336</v>
      </c>
      <c r="C1381" s="2">
        <v>6.1111111111111109E-2</v>
      </c>
      <c r="D1381" s="3">
        <v>228</v>
      </c>
      <c r="E1381" s="3">
        <v>210</v>
      </c>
      <c r="F1381" s="2">
        <v>69.126388888888883</v>
      </c>
      <c r="G1381" t="s">
        <v>2815</v>
      </c>
      <c r="H1381" t="s">
        <v>2820</v>
      </c>
      <c r="I1381" s="2">
        <v>1.7506944444444443</v>
      </c>
      <c r="J1381" s="4" t="str">
        <f>IF(Table1[[#This Row],[processing_time_hours]]&gt;1.5,"Slow", "Fast")</f>
        <v>Slow</v>
      </c>
      <c r="K1381" t="s">
        <v>2814</v>
      </c>
      <c r="L1381" s="3">
        <v>0</v>
      </c>
      <c r="M1381" t="str">
        <f>IF(Table1[[#This Row],[delayed]]=1,"Delayed","On Time")</f>
        <v>On Time</v>
      </c>
      <c r="N1381" t="str">
        <f>IF(AND(Table1[[#This Row],[delayed]]=1,Table1[[#This Row],[weather_condition]]="Storm"),"High Risk", IF(Table1[[#This Row],[delayed]]=1,"Medium Risk","Low Risk"))</f>
        <v>Low Risk</v>
      </c>
    </row>
    <row r="1382" spans="1:14" x14ac:dyDescent="0.35">
      <c r="A1382">
        <v>1381</v>
      </c>
      <c r="B1382" s="1">
        <v>44984.5</v>
      </c>
      <c r="C1382" s="2">
        <v>5.2777777777777778E-2</v>
      </c>
      <c r="D1382" s="3">
        <v>1399</v>
      </c>
      <c r="E1382" s="3">
        <v>461</v>
      </c>
      <c r="F1382" s="2">
        <v>45.334722222222219</v>
      </c>
      <c r="G1382" t="s">
        <v>2816</v>
      </c>
      <c r="H1382" t="s">
        <v>2820</v>
      </c>
      <c r="I1382" s="2">
        <v>2.9222222222222225</v>
      </c>
      <c r="J1382" s="4" t="str">
        <f>IF(Table1[[#This Row],[processing_time_hours]]&gt;1.5,"Slow", "Fast")</f>
        <v>Slow</v>
      </c>
      <c r="K1382" t="s">
        <v>2814</v>
      </c>
      <c r="L1382" s="3">
        <v>1</v>
      </c>
      <c r="M1382" t="str">
        <f>IF(Table1[[#This Row],[delayed]]=1,"Delayed","On Time")</f>
        <v>Delayed</v>
      </c>
      <c r="N1382" t="str">
        <f>IF(AND(Table1[[#This Row],[delayed]]=1,Table1[[#This Row],[weather_condition]]="Storm"),"High Risk", IF(Table1[[#This Row],[delayed]]=1,"Medium Risk","Low Risk"))</f>
        <v>Medium Risk</v>
      </c>
    </row>
    <row r="1383" spans="1:14" x14ac:dyDescent="0.35">
      <c r="A1383">
        <v>1382</v>
      </c>
      <c r="B1383" s="1">
        <v>44984.541666666664</v>
      </c>
      <c r="C1383" s="2">
        <v>5.0694444444444438E-2</v>
      </c>
      <c r="D1383" s="3">
        <v>4213</v>
      </c>
      <c r="E1383" s="3">
        <v>73</v>
      </c>
      <c r="F1383" s="2">
        <v>70.797916666666666</v>
      </c>
      <c r="G1383" t="s">
        <v>2816</v>
      </c>
      <c r="H1383" t="s">
        <v>2820</v>
      </c>
      <c r="I1383" s="2">
        <v>1.2965277777777777</v>
      </c>
      <c r="J1383" s="4" t="str">
        <f>IF(Table1[[#This Row],[processing_time_hours]]&gt;1.5,"Slow", "Fast")</f>
        <v>Fast</v>
      </c>
      <c r="K1383" t="s">
        <v>2814</v>
      </c>
      <c r="L1383" s="3">
        <v>1</v>
      </c>
      <c r="M1383" t="str">
        <f>IF(Table1[[#This Row],[delayed]]=1,"Delayed","On Time")</f>
        <v>Delayed</v>
      </c>
      <c r="N1383" t="str">
        <f>IF(AND(Table1[[#This Row],[delayed]]=1,Table1[[#This Row],[weather_condition]]="Storm"),"High Risk", IF(Table1[[#This Row],[delayed]]=1,"Medium Risk","Low Risk"))</f>
        <v>Medium Risk</v>
      </c>
    </row>
    <row r="1384" spans="1:14" x14ac:dyDescent="0.35">
      <c r="A1384">
        <v>1383</v>
      </c>
      <c r="B1384" s="1">
        <v>44984.583333333336</v>
      </c>
      <c r="C1384" s="2">
        <v>5.2083333333333336E-2</v>
      </c>
      <c r="D1384" s="3">
        <v>4501</v>
      </c>
      <c r="E1384" s="3">
        <v>61</v>
      </c>
      <c r="F1384" s="2">
        <v>39.585416666666667</v>
      </c>
      <c r="G1384" t="s">
        <v>2816</v>
      </c>
      <c r="H1384" t="s">
        <v>2817</v>
      </c>
      <c r="I1384" s="2">
        <v>0.12638888888888888</v>
      </c>
      <c r="J1384" s="4" t="str">
        <f>IF(Table1[[#This Row],[processing_time_hours]]&gt;1.5,"Slow", "Fast")</f>
        <v>Fast</v>
      </c>
      <c r="K1384" t="s">
        <v>2821</v>
      </c>
      <c r="L1384" s="3">
        <v>0</v>
      </c>
      <c r="M1384" t="str">
        <f>IF(Table1[[#This Row],[delayed]]=1,"Delayed","On Time")</f>
        <v>On Time</v>
      </c>
      <c r="N1384" t="str">
        <f>IF(AND(Table1[[#This Row],[delayed]]=1,Table1[[#This Row],[weather_condition]]="Storm"),"High Risk", IF(Table1[[#This Row],[delayed]]=1,"Medium Risk","Low Risk"))</f>
        <v>Low Risk</v>
      </c>
    </row>
    <row r="1385" spans="1:14" x14ac:dyDescent="0.35">
      <c r="A1385">
        <v>1384</v>
      </c>
      <c r="B1385" s="1">
        <v>44984.625</v>
      </c>
      <c r="C1385" s="2">
        <v>5.3472222222222227E-2</v>
      </c>
      <c r="D1385" s="3">
        <v>4974</v>
      </c>
      <c r="E1385" s="3">
        <v>171</v>
      </c>
      <c r="F1385" s="2">
        <v>82.462499999999991</v>
      </c>
      <c r="G1385" t="s">
        <v>2815</v>
      </c>
      <c r="H1385" t="s">
        <v>2813</v>
      </c>
      <c r="I1385" s="2">
        <v>1.0479166666666666</v>
      </c>
      <c r="J1385" s="4" t="str">
        <f>IF(Table1[[#This Row],[processing_time_hours]]&gt;1.5,"Slow", "Fast")</f>
        <v>Fast</v>
      </c>
      <c r="K1385" t="s">
        <v>2821</v>
      </c>
      <c r="L1385" s="3">
        <v>0</v>
      </c>
      <c r="M1385" t="str">
        <f>IF(Table1[[#This Row],[delayed]]=1,"Delayed","On Time")</f>
        <v>On Time</v>
      </c>
      <c r="N1385" t="str">
        <f>IF(AND(Table1[[#This Row],[delayed]]=1,Table1[[#This Row],[weather_condition]]="Storm"),"High Risk", IF(Table1[[#This Row],[delayed]]=1,"Medium Risk","Low Risk"))</f>
        <v>Low Risk</v>
      </c>
    </row>
    <row r="1386" spans="1:14" x14ac:dyDescent="0.35">
      <c r="A1386">
        <v>1385</v>
      </c>
      <c r="B1386" s="1">
        <v>44984.666666666664</v>
      </c>
      <c r="C1386" s="2">
        <v>5.0694444444444438E-2</v>
      </c>
      <c r="D1386" s="3">
        <v>1389</v>
      </c>
      <c r="E1386" s="3">
        <v>484</v>
      </c>
      <c r="F1386" s="2">
        <v>71.46041666666666</v>
      </c>
      <c r="G1386" t="s">
        <v>2815</v>
      </c>
      <c r="H1386" t="s">
        <v>2820</v>
      </c>
      <c r="I1386" s="2">
        <v>2.4173611111111111</v>
      </c>
      <c r="J1386" s="4" t="str">
        <f>IF(Table1[[#This Row],[processing_time_hours]]&gt;1.5,"Slow", "Fast")</f>
        <v>Slow</v>
      </c>
      <c r="K1386" t="s">
        <v>2814</v>
      </c>
      <c r="L1386" s="3">
        <v>0</v>
      </c>
      <c r="M1386" t="str">
        <f>IF(Table1[[#This Row],[delayed]]=1,"Delayed","On Time")</f>
        <v>On Time</v>
      </c>
      <c r="N1386" t="str">
        <f>IF(AND(Table1[[#This Row],[delayed]]=1,Table1[[#This Row],[weather_condition]]="Storm"),"High Risk", IF(Table1[[#This Row],[delayed]]=1,"Medium Risk","Low Risk"))</f>
        <v>Low Risk</v>
      </c>
    </row>
    <row r="1387" spans="1:14" x14ac:dyDescent="0.35">
      <c r="A1387">
        <v>1386</v>
      </c>
      <c r="B1387" s="1">
        <v>44984.708333333336</v>
      </c>
      <c r="C1387" s="2">
        <v>4.9999999999999996E-2</v>
      </c>
      <c r="D1387" s="3">
        <v>3339</v>
      </c>
      <c r="E1387" s="3">
        <v>110</v>
      </c>
      <c r="F1387" s="2">
        <v>75.334027777777777</v>
      </c>
      <c r="G1387" t="s">
        <v>2816</v>
      </c>
      <c r="H1387" t="s">
        <v>2822</v>
      </c>
      <c r="I1387" s="2">
        <v>1.8347222222222221</v>
      </c>
      <c r="J1387" s="4" t="str">
        <f>IF(Table1[[#This Row],[processing_time_hours]]&gt;1.5,"Slow", "Fast")</f>
        <v>Slow</v>
      </c>
      <c r="K1387" t="s">
        <v>2818</v>
      </c>
      <c r="L1387" s="3">
        <v>0</v>
      </c>
      <c r="M1387" t="str">
        <f>IF(Table1[[#This Row],[delayed]]=1,"Delayed","On Time")</f>
        <v>On Time</v>
      </c>
      <c r="N1387" t="str">
        <f>IF(AND(Table1[[#This Row],[delayed]]=1,Table1[[#This Row],[weather_condition]]="Storm"),"High Risk", IF(Table1[[#This Row],[delayed]]=1,"Medium Risk","Low Risk"))</f>
        <v>Low Risk</v>
      </c>
    </row>
    <row r="1388" spans="1:14" x14ac:dyDescent="0.35">
      <c r="A1388">
        <v>1387</v>
      </c>
      <c r="B1388" s="1">
        <v>44984.75</v>
      </c>
      <c r="C1388" s="2">
        <v>5.4166666666666669E-2</v>
      </c>
      <c r="D1388" s="3">
        <v>2520</v>
      </c>
      <c r="E1388" s="3">
        <v>10</v>
      </c>
      <c r="F1388" s="2">
        <v>3.8791666666666664</v>
      </c>
      <c r="G1388" t="s">
        <v>2816</v>
      </c>
      <c r="H1388" t="s">
        <v>2817</v>
      </c>
      <c r="I1388" s="2">
        <v>0.87916666666666676</v>
      </c>
      <c r="J1388" s="4" t="str">
        <f>IF(Table1[[#This Row],[processing_time_hours]]&gt;1.5,"Slow", "Fast")</f>
        <v>Fast</v>
      </c>
      <c r="K1388" t="s">
        <v>2814</v>
      </c>
      <c r="L1388" s="3">
        <v>1</v>
      </c>
      <c r="M1388" t="str">
        <f>IF(Table1[[#This Row],[delayed]]=1,"Delayed","On Time")</f>
        <v>Delayed</v>
      </c>
      <c r="N1388" t="str">
        <f>IF(AND(Table1[[#This Row],[delayed]]=1,Table1[[#This Row],[weather_condition]]="Storm"),"High Risk", IF(Table1[[#This Row],[delayed]]=1,"Medium Risk","Low Risk"))</f>
        <v>High Risk</v>
      </c>
    </row>
    <row r="1389" spans="1:14" x14ac:dyDescent="0.35">
      <c r="A1389">
        <v>1388</v>
      </c>
      <c r="B1389" s="1">
        <v>44984.791666666664</v>
      </c>
      <c r="C1389" s="2">
        <v>4.3055555555555562E-2</v>
      </c>
      <c r="D1389" s="3">
        <v>2606</v>
      </c>
      <c r="E1389" s="3">
        <v>115</v>
      </c>
      <c r="F1389" s="2">
        <v>56.502083333333331</v>
      </c>
      <c r="G1389" t="s">
        <v>2816</v>
      </c>
      <c r="H1389" t="s">
        <v>2822</v>
      </c>
      <c r="I1389" s="2">
        <v>0.67291666666666661</v>
      </c>
      <c r="J1389" s="4" t="str">
        <f>IF(Table1[[#This Row],[processing_time_hours]]&gt;1.5,"Slow", "Fast")</f>
        <v>Fast</v>
      </c>
      <c r="K1389" t="s">
        <v>2814</v>
      </c>
      <c r="L1389" s="3">
        <v>0</v>
      </c>
      <c r="M1389" t="str">
        <f>IF(Table1[[#This Row],[delayed]]=1,"Delayed","On Time")</f>
        <v>On Time</v>
      </c>
      <c r="N1389" t="str">
        <f>IF(AND(Table1[[#This Row],[delayed]]=1,Table1[[#This Row],[weather_condition]]="Storm"),"High Risk", IF(Table1[[#This Row],[delayed]]=1,"Medium Risk","Low Risk"))</f>
        <v>Low Risk</v>
      </c>
    </row>
    <row r="1390" spans="1:14" x14ac:dyDescent="0.35">
      <c r="A1390">
        <v>1389</v>
      </c>
      <c r="B1390" s="1">
        <v>44984.833333333336</v>
      </c>
      <c r="C1390" s="2">
        <v>4.7916666666666663E-2</v>
      </c>
      <c r="D1390" s="3">
        <v>686</v>
      </c>
      <c r="E1390" s="3">
        <v>255</v>
      </c>
      <c r="F1390" s="2">
        <v>68.543055555555554</v>
      </c>
      <c r="G1390" t="s">
        <v>2816</v>
      </c>
      <c r="H1390" t="s">
        <v>2820</v>
      </c>
      <c r="I1390" s="2">
        <v>0.29305555555555557</v>
      </c>
      <c r="J1390" s="4" t="str">
        <f>IF(Table1[[#This Row],[processing_time_hours]]&gt;1.5,"Slow", "Fast")</f>
        <v>Fast</v>
      </c>
      <c r="K1390" t="s">
        <v>2814</v>
      </c>
      <c r="L1390" s="3">
        <v>1</v>
      </c>
      <c r="M1390" t="str">
        <f>IF(Table1[[#This Row],[delayed]]=1,"Delayed","On Time")</f>
        <v>Delayed</v>
      </c>
      <c r="N1390" t="str">
        <f>IF(AND(Table1[[#This Row],[delayed]]=1,Table1[[#This Row],[weather_condition]]="Storm"),"High Risk", IF(Table1[[#This Row],[delayed]]=1,"Medium Risk","Low Risk"))</f>
        <v>Medium Risk</v>
      </c>
    </row>
    <row r="1391" spans="1:14" x14ac:dyDescent="0.35">
      <c r="A1391">
        <v>1390</v>
      </c>
      <c r="B1391" s="1">
        <v>44984.875</v>
      </c>
      <c r="C1391" s="2">
        <v>5.4166666666666669E-2</v>
      </c>
      <c r="D1391" s="3">
        <v>1121</v>
      </c>
      <c r="E1391" s="3">
        <v>194</v>
      </c>
      <c r="F1391" s="2">
        <v>32.502083333333331</v>
      </c>
      <c r="G1391" t="s">
        <v>2812</v>
      </c>
      <c r="H1391" t="s">
        <v>2820</v>
      </c>
      <c r="I1391" s="2">
        <v>2.9208333333333329</v>
      </c>
      <c r="J1391" s="4" t="str">
        <f>IF(Table1[[#This Row],[processing_time_hours]]&gt;1.5,"Slow", "Fast")</f>
        <v>Slow</v>
      </c>
      <c r="K1391" t="s">
        <v>2821</v>
      </c>
      <c r="L1391" s="3">
        <v>0</v>
      </c>
      <c r="M1391" t="str">
        <f>IF(Table1[[#This Row],[delayed]]=1,"Delayed","On Time")</f>
        <v>On Time</v>
      </c>
      <c r="N1391" t="str">
        <f>IF(AND(Table1[[#This Row],[delayed]]=1,Table1[[#This Row],[weather_condition]]="Storm"),"High Risk", IF(Table1[[#This Row],[delayed]]=1,"Medium Risk","Low Risk"))</f>
        <v>Low Risk</v>
      </c>
    </row>
    <row r="1392" spans="1:14" x14ac:dyDescent="0.35">
      <c r="A1392">
        <v>1391</v>
      </c>
      <c r="B1392" s="1">
        <v>44984.916666666664</v>
      </c>
      <c r="C1392" s="2">
        <v>6.5972222222222224E-2</v>
      </c>
      <c r="D1392" s="3">
        <v>1080</v>
      </c>
      <c r="E1392" s="3">
        <v>476</v>
      </c>
      <c r="F1392" s="2">
        <v>35.375694444444441</v>
      </c>
      <c r="G1392" t="s">
        <v>2815</v>
      </c>
      <c r="H1392" t="s">
        <v>2817</v>
      </c>
      <c r="I1392" s="2">
        <v>2.9624999999999999</v>
      </c>
      <c r="J1392" s="4" t="str">
        <f>IF(Table1[[#This Row],[processing_time_hours]]&gt;1.5,"Slow", "Fast")</f>
        <v>Slow</v>
      </c>
      <c r="K1392" t="s">
        <v>2814</v>
      </c>
      <c r="L1392" s="3">
        <v>0</v>
      </c>
      <c r="M1392" t="str">
        <f>IF(Table1[[#This Row],[delayed]]=1,"Delayed","On Time")</f>
        <v>On Time</v>
      </c>
      <c r="N1392" t="str">
        <f>IF(AND(Table1[[#This Row],[delayed]]=1,Table1[[#This Row],[weather_condition]]="Storm"),"High Risk", IF(Table1[[#This Row],[delayed]]=1,"Medium Risk","Low Risk"))</f>
        <v>Low Risk</v>
      </c>
    </row>
    <row r="1393" spans="1:14" x14ac:dyDescent="0.35">
      <c r="A1393">
        <v>1392</v>
      </c>
      <c r="B1393" s="1">
        <v>44984.958333333336</v>
      </c>
      <c r="C1393" s="2">
        <v>5.3472222222222227E-2</v>
      </c>
      <c r="D1393" s="3">
        <v>4607</v>
      </c>
      <c r="E1393" s="3">
        <v>3</v>
      </c>
      <c r="F1393" s="2">
        <v>70.087499999999991</v>
      </c>
      <c r="G1393" t="s">
        <v>2816</v>
      </c>
      <c r="H1393" t="s">
        <v>2820</v>
      </c>
      <c r="I1393" s="2">
        <v>0.87986111111111109</v>
      </c>
      <c r="J1393" s="4" t="str">
        <f>IF(Table1[[#This Row],[processing_time_hours]]&gt;1.5,"Slow", "Fast")</f>
        <v>Fast</v>
      </c>
      <c r="K1393" t="s">
        <v>2818</v>
      </c>
      <c r="L1393" s="3">
        <v>0</v>
      </c>
      <c r="M1393" t="str">
        <f>IF(Table1[[#This Row],[delayed]]=1,"Delayed","On Time")</f>
        <v>On Time</v>
      </c>
      <c r="N1393" t="str">
        <f>IF(AND(Table1[[#This Row],[delayed]]=1,Table1[[#This Row],[weather_condition]]="Storm"),"High Risk", IF(Table1[[#This Row],[delayed]]=1,"Medium Risk","Low Risk"))</f>
        <v>Low Risk</v>
      </c>
    </row>
    <row r="1394" spans="1:14" x14ac:dyDescent="0.35">
      <c r="A1394">
        <v>1393</v>
      </c>
      <c r="B1394" s="1">
        <v>44985</v>
      </c>
      <c r="C1394" s="2">
        <v>5.6944444444444443E-2</v>
      </c>
      <c r="D1394" s="3">
        <v>275</v>
      </c>
      <c r="E1394" s="3">
        <v>449</v>
      </c>
      <c r="F1394" s="2">
        <v>28.004166666666666</v>
      </c>
      <c r="G1394" t="s">
        <v>2815</v>
      </c>
      <c r="H1394" t="s">
        <v>2817</v>
      </c>
      <c r="I1394" s="2">
        <v>0.33749999999999997</v>
      </c>
      <c r="J1394" s="4" t="str">
        <f>IF(Table1[[#This Row],[processing_time_hours]]&gt;1.5,"Slow", "Fast")</f>
        <v>Fast</v>
      </c>
      <c r="K1394" t="s">
        <v>2821</v>
      </c>
      <c r="L1394" s="3">
        <v>0</v>
      </c>
      <c r="M1394" t="str">
        <f>IF(Table1[[#This Row],[delayed]]=1,"Delayed","On Time")</f>
        <v>On Time</v>
      </c>
      <c r="N1394" t="str">
        <f>IF(AND(Table1[[#This Row],[delayed]]=1,Table1[[#This Row],[weather_condition]]="Storm"),"High Risk", IF(Table1[[#This Row],[delayed]]=1,"Medium Risk","Low Risk"))</f>
        <v>Low Risk</v>
      </c>
    </row>
    <row r="1395" spans="1:14" x14ac:dyDescent="0.35">
      <c r="A1395">
        <v>1394</v>
      </c>
      <c r="B1395" s="1">
        <v>44985.041666666664</v>
      </c>
      <c r="C1395" s="2">
        <v>6.6666666666666666E-2</v>
      </c>
      <c r="D1395" s="3">
        <v>2312</v>
      </c>
      <c r="E1395" s="3">
        <v>209</v>
      </c>
      <c r="F1395" s="2">
        <v>14.003472222222221</v>
      </c>
      <c r="G1395" t="s">
        <v>2819</v>
      </c>
      <c r="H1395" t="s">
        <v>2822</v>
      </c>
      <c r="I1395" s="2">
        <v>2.4611111111111112</v>
      </c>
      <c r="J1395" s="4" t="str">
        <f>IF(Table1[[#This Row],[processing_time_hours]]&gt;1.5,"Slow", "Fast")</f>
        <v>Slow</v>
      </c>
      <c r="K1395" t="s">
        <v>2821</v>
      </c>
      <c r="L1395" s="3">
        <v>0</v>
      </c>
      <c r="M1395" t="str">
        <f>IF(Table1[[#This Row],[delayed]]=1,"Delayed","On Time")</f>
        <v>On Time</v>
      </c>
      <c r="N1395" t="str">
        <f>IF(AND(Table1[[#This Row],[delayed]]=1,Table1[[#This Row],[weather_condition]]="Storm"),"High Risk", IF(Table1[[#This Row],[delayed]]=1,"Medium Risk","Low Risk"))</f>
        <v>Low Risk</v>
      </c>
    </row>
    <row r="1396" spans="1:14" x14ac:dyDescent="0.35">
      <c r="A1396">
        <v>1395</v>
      </c>
      <c r="B1396" s="1">
        <v>44985.083333333336</v>
      </c>
      <c r="C1396" s="2">
        <v>6.3888888888888898E-2</v>
      </c>
      <c r="D1396" s="3">
        <v>2984</v>
      </c>
      <c r="E1396" s="3">
        <v>350</v>
      </c>
      <c r="F1396" s="2">
        <v>70.08541666666666</v>
      </c>
      <c r="G1396" t="s">
        <v>2815</v>
      </c>
      <c r="H1396" t="s">
        <v>2817</v>
      </c>
      <c r="I1396" s="2">
        <v>0.87708333333333333</v>
      </c>
      <c r="J1396" s="4" t="str">
        <f>IF(Table1[[#This Row],[processing_time_hours]]&gt;1.5,"Slow", "Fast")</f>
        <v>Fast</v>
      </c>
      <c r="K1396" t="s">
        <v>2818</v>
      </c>
      <c r="L1396" s="3">
        <v>1</v>
      </c>
      <c r="M1396" t="str">
        <f>IF(Table1[[#This Row],[delayed]]=1,"Delayed","On Time")</f>
        <v>Delayed</v>
      </c>
      <c r="N1396" t="str">
        <f>IF(AND(Table1[[#This Row],[delayed]]=1,Table1[[#This Row],[weather_condition]]="Storm"),"High Risk", IF(Table1[[#This Row],[delayed]]=1,"Medium Risk","Low Risk"))</f>
        <v>High Risk</v>
      </c>
    </row>
    <row r="1397" spans="1:14" x14ac:dyDescent="0.35">
      <c r="A1397">
        <v>1396</v>
      </c>
      <c r="B1397" s="1">
        <v>44985.125</v>
      </c>
      <c r="C1397" s="2">
        <v>6.1111111111111109E-2</v>
      </c>
      <c r="D1397" s="3">
        <v>4149</v>
      </c>
      <c r="E1397" s="3">
        <v>486</v>
      </c>
      <c r="F1397" s="2">
        <v>23.545833333333334</v>
      </c>
      <c r="G1397" t="s">
        <v>2819</v>
      </c>
      <c r="H1397" t="s">
        <v>2820</v>
      </c>
      <c r="I1397" s="2">
        <v>1.8805555555555555</v>
      </c>
      <c r="J1397" s="4" t="str">
        <f>IF(Table1[[#This Row],[processing_time_hours]]&gt;1.5,"Slow", "Fast")</f>
        <v>Slow</v>
      </c>
      <c r="K1397" t="s">
        <v>2821</v>
      </c>
      <c r="L1397" s="3">
        <v>0</v>
      </c>
      <c r="M1397" t="str">
        <f>IF(Table1[[#This Row],[delayed]]=1,"Delayed","On Time")</f>
        <v>On Time</v>
      </c>
      <c r="N1397" t="str">
        <f>IF(AND(Table1[[#This Row],[delayed]]=1,Table1[[#This Row],[weather_condition]]="Storm"),"High Risk", IF(Table1[[#This Row],[delayed]]=1,"Medium Risk","Low Risk"))</f>
        <v>Low Risk</v>
      </c>
    </row>
    <row r="1398" spans="1:14" x14ac:dyDescent="0.35">
      <c r="A1398">
        <v>1397</v>
      </c>
      <c r="B1398" s="1">
        <v>44985.166666666664</v>
      </c>
      <c r="C1398" s="2">
        <v>5.9027777777777783E-2</v>
      </c>
      <c r="D1398" s="3">
        <v>1653</v>
      </c>
      <c r="E1398" s="3">
        <v>182</v>
      </c>
      <c r="F1398" s="2">
        <v>60.166666666666664</v>
      </c>
      <c r="G1398" t="s">
        <v>2815</v>
      </c>
      <c r="H1398" t="s">
        <v>2822</v>
      </c>
      <c r="I1398" s="2">
        <v>0.16666666666666666</v>
      </c>
      <c r="J1398" s="4" t="str">
        <f>IF(Table1[[#This Row],[processing_time_hours]]&gt;1.5,"Slow", "Fast")</f>
        <v>Fast</v>
      </c>
      <c r="K1398" t="s">
        <v>2814</v>
      </c>
      <c r="L1398" s="3">
        <v>0</v>
      </c>
      <c r="M1398" t="str">
        <f>IF(Table1[[#This Row],[delayed]]=1,"Delayed","On Time")</f>
        <v>On Time</v>
      </c>
      <c r="N1398" t="str">
        <f>IF(AND(Table1[[#This Row],[delayed]]=1,Table1[[#This Row],[weather_condition]]="Storm"),"High Risk", IF(Table1[[#This Row],[delayed]]=1,"Medium Risk","Low Risk"))</f>
        <v>Low Risk</v>
      </c>
    </row>
    <row r="1399" spans="1:14" x14ac:dyDescent="0.35">
      <c r="A1399">
        <v>1398</v>
      </c>
      <c r="B1399" s="1">
        <v>44985.208333333336</v>
      </c>
      <c r="C1399" s="2">
        <v>5.8333333333333327E-2</v>
      </c>
      <c r="D1399" s="3">
        <v>4330</v>
      </c>
      <c r="E1399" s="3">
        <v>98</v>
      </c>
      <c r="F1399" s="2">
        <v>3.0034722222222219</v>
      </c>
      <c r="G1399" t="s">
        <v>2816</v>
      </c>
      <c r="H1399" t="s">
        <v>2822</v>
      </c>
      <c r="I1399" s="2">
        <v>1.0416666666666667</v>
      </c>
      <c r="J1399" s="4" t="str">
        <f>IF(Table1[[#This Row],[processing_time_hours]]&gt;1.5,"Slow", "Fast")</f>
        <v>Fast</v>
      </c>
      <c r="K1399" t="s">
        <v>2818</v>
      </c>
      <c r="L1399" s="3">
        <v>1</v>
      </c>
      <c r="M1399" t="str">
        <f>IF(Table1[[#This Row],[delayed]]=1,"Delayed","On Time")</f>
        <v>Delayed</v>
      </c>
      <c r="N1399" t="str">
        <f>IF(AND(Table1[[#This Row],[delayed]]=1,Table1[[#This Row],[weather_condition]]="Storm"),"High Risk", IF(Table1[[#This Row],[delayed]]=1,"Medium Risk","Low Risk"))</f>
        <v>Medium Risk</v>
      </c>
    </row>
    <row r="1400" spans="1:14" x14ac:dyDescent="0.35">
      <c r="A1400">
        <v>1399</v>
      </c>
      <c r="B1400" s="1">
        <v>44985.25</v>
      </c>
      <c r="C1400" s="2">
        <v>4.7222222222222221E-2</v>
      </c>
      <c r="D1400" s="3">
        <v>1828</v>
      </c>
      <c r="E1400" s="3">
        <v>249</v>
      </c>
      <c r="F1400" s="2">
        <v>51.170833333333327</v>
      </c>
      <c r="G1400" t="s">
        <v>2816</v>
      </c>
      <c r="H1400" t="s">
        <v>2822</v>
      </c>
      <c r="I1400" s="2">
        <v>0.29444444444444445</v>
      </c>
      <c r="J1400" s="4" t="str">
        <f>IF(Table1[[#This Row],[processing_time_hours]]&gt;1.5,"Slow", "Fast")</f>
        <v>Fast</v>
      </c>
      <c r="K1400" t="s">
        <v>2818</v>
      </c>
      <c r="L1400" s="3">
        <v>1</v>
      </c>
      <c r="M1400" t="str">
        <f>IF(Table1[[#This Row],[delayed]]=1,"Delayed","On Time")</f>
        <v>Delayed</v>
      </c>
      <c r="N1400" t="str">
        <f>IF(AND(Table1[[#This Row],[delayed]]=1,Table1[[#This Row],[weather_condition]]="Storm"),"High Risk", IF(Table1[[#This Row],[delayed]]=1,"Medium Risk","Low Risk"))</f>
        <v>Medium Risk</v>
      </c>
    </row>
    <row r="1401" spans="1:14" x14ac:dyDescent="0.35">
      <c r="A1401">
        <v>1400</v>
      </c>
      <c r="B1401" s="1">
        <v>44985.291666666664</v>
      </c>
      <c r="C1401" s="2">
        <v>4.5138888888888888E-2</v>
      </c>
      <c r="D1401" s="3">
        <v>4750</v>
      </c>
      <c r="E1401" s="3">
        <v>292</v>
      </c>
      <c r="F1401" s="2">
        <v>82.125</v>
      </c>
      <c r="G1401" t="s">
        <v>2816</v>
      </c>
      <c r="H1401" t="s">
        <v>2817</v>
      </c>
      <c r="I1401" s="2">
        <v>4.7916666666666663E-2</v>
      </c>
      <c r="J1401" s="4" t="str">
        <f>IF(Table1[[#This Row],[processing_time_hours]]&gt;1.5,"Slow", "Fast")</f>
        <v>Fast</v>
      </c>
      <c r="K1401" t="s">
        <v>2818</v>
      </c>
      <c r="L1401" s="3">
        <v>0</v>
      </c>
      <c r="M1401" t="str">
        <f>IF(Table1[[#This Row],[delayed]]=1,"Delayed","On Time")</f>
        <v>On Time</v>
      </c>
      <c r="N1401" t="str">
        <f>IF(AND(Table1[[#This Row],[delayed]]=1,Table1[[#This Row],[weather_condition]]="Storm"),"High Risk", IF(Table1[[#This Row],[delayed]]=1,"Medium Risk","Low Risk"))</f>
        <v>Low Risk</v>
      </c>
    </row>
    <row r="1402" spans="1:14" x14ac:dyDescent="0.35">
      <c r="A1402">
        <v>1401</v>
      </c>
      <c r="B1402" s="1">
        <v>44985.333333333336</v>
      </c>
      <c r="C1402" s="2">
        <v>4.3055555555555562E-2</v>
      </c>
      <c r="D1402" s="3">
        <v>1586</v>
      </c>
      <c r="E1402" s="3">
        <v>409</v>
      </c>
      <c r="F1402" s="2">
        <v>81.796527777777769</v>
      </c>
      <c r="G1402" t="s">
        <v>2819</v>
      </c>
      <c r="H1402" t="s">
        <v>2817</v>
      </c>
      <c r="I1402" s="2">
        <v>2.2979166666666666</v>
      </c>
      <c r="J1402" s="4" t="str">
        <f>IF(Table1[[#This Row],[processing_time_hours]]&gt;1.5,"Slow", "Fast")</f>
        <v>Slow</v>
      </c>
      <c r="K1402" t="s">
        <v>2821</v>
      </c>
      <c r="L1402" s="3">
        <v>0</v>
      </c>
      <c r="M1402" t="str">
        <f>IF(Table1[[#This Row],[delayed]]=1,"Delayed","On Time")</f>
        <v>On Time</v>
      </c>
      <c r="N1402" t="str">
        <f>IF(AND(Table1[[#This Row],[delayed]]=1,Table1[[#This Row],[weather_condition]]="Storm"),"High Risk", IF(Table1[[#This Row],[delayed]]=1,"Medium Risk","Low Risk"))</f>
        <v>Low Risk</v>
      </c>
    </row>
    <row r="1403" spans="1:14" x14ac:dyDescent="0.35">
      <c r="A1403">
        <v>1402</v>
      </c>
      <c r="B1403" s="1">
        <v>44985.375</v>
      </c>
      <c r="C1403" s="2">
        <v>4.4444444444444446E-2</v>
      </c>
      <c r="D1403" s="3">
        <v>1470</v>
      </c>
      <c r="E1403" s="3">
        <v>267</v>
      </c>
      <c r="F1403" s="2">
        <v>33.416666666666664</v>
      </c>
      <c r="G1403" t="s">
        <v>2819</v>
      </c>
      <c r="H1403" t="s">
        <v>2820</v>
      </c>
      <c r="I1403" s="2">
        <v>0.41875000000000001</v>
      </c>
      <c r="J1403" s="4" t="str">
        <f>IF(Table1[[#This Row],[processing_time_hours]]&gt;1.5,"Slow", "Fast")</f>
        <v>Fast</v>
      </c>
      <c r="K1403" t="s">
        <v>2821</v>
      </c>
      <c r="L1403" s="3">
        <v>0</v>
      </c>
      <c r="M1403" t="str">
        <f>IF(Table1[[#This Row],[delayed]]=1,"Delayed","On Time")</f>
        <v>On Time</v>
      </c>
      <c r="N1403" t="str">
        <f>IF(AND(Table1[[#This Row],[delayed]]=1,Table1[[#This Row],[weather_condition]]="Storm"),"High Risk", IF(Table1[[#This Row],[delayed]]=1,"Medium Risk","Low Risk"))</f>
        <v>Low Risk</v>
      </c>
    </row>
    <row r="1404" spans="1:14" x14ac:dyDescent="0.35">
      <c r="A1404">
        <v>1403</v>
      </c>
      <c r="B1404" s="1">
        <v>44985.416666666664</v>
      </c>
      <c r="C1404" s="2">
        <v>5.9027777777777783E-2</v>
      </c>
      <c r="D1404" s="3">
        <v>3259</v>
      </c>
      <c r="E1404" s="3">
        <v>123</v>
      </c>
      <c r="F1404" s="2">
        <v>39.336805555555557</v>
      </c>
      <c r="G1404" t="s">
        <v>2819</v>
      </c>
      <c r="H1404" t="s">
        <v>2822</v>
      </c>
      <c r="I1404" s="2">
        <v>4.4444444444444446E-2</v>
      </c>
      <c r="J1404" s="4" t="str">
        <f>IF(Table1[[#This Row],[processing_time_hours]]&gt;1.5,"Slow", "Fast")</f>
        <v>Fast</v>
      </c>
      <c r="K1404" t="s">
        <v>2814</v>
      </c>
      <c r="L1404" s="3">
        <v>0</v>
      </c>
      <c r="M1404" t="str">
        <f>IF(Table1[[#This Row],[delayed]]=1,"Delayed","On Time")</f>
        <v>On Time</v>
      </c>
      <c r="N1404" t="str">
        <f>IF(AND(Table1[[#This Row],[delayed]]=1,Table1[[#This Row],[weather_condition]]="Storm"),"High Risk", IF(Table1[[#This Row],[delayed]]=1,"Medium Risk","Low Risk"))</f>
        <v>Low Risk</v>
      </c>
    </row>
    <row r="1405" spans="1:14" x14ac:dyDescent="0.35">
      <c r="A1405">
        <v>1404</v>
      </c>
      <c r="B1405" s="1">
        <v>44985.458333333336</v>
      </c>
      <c r="C1405" s="2">
        <v>5.8333333333333327E-2</v>
      </c>
      <c r="D1405" s="3">
        <v>1995</v>
      </c>
      <c r="E1405" s="3">
        <v>204</v>
      </c>
      <c r="F1405" s="2">
        <v>28.379166666666666</v>
      </c>
      <c r="G1405" t="s">
        <v>2815</v>
      </c>
      <c r="H1405" t="s">
        <v>2820</v>
      </c>
      <c r="I1405" s="2">
        <v>2.5895833333333331</v>
      </c>
      <c r="J1405" s="4" t="str">
        <f>IF(Table1[[#This Row],[processing_time_hours]]&gt;1.5,"Slow", "Fast")</f>
        <v>Slow</v>
      </c>
      <c r="K1405" t="s">
        <v>2818</v>
      </c>
      <c r="L1405" s="3">
        <v>0</v>
      </c>
      <c r="M1405" t="str">
        <f>IF(Table1[[#This Row],[delayed]]=1,"Delayed","On Time")</f>
        <v>On Time</v>
      </c>
      <c r="N1405" t="str">
        <f>IF(AND(Table1[[#This Row],[delayed]]=1,Table1[[#This Row],[weather_condition]]="Storm"),"High Risk", IF(Table1[[#This Row],[delayed]]=1,"Medium Risk","Low Risk"))</f>
        <v>Low Risk</v>
      </c>
    </row>
    <row r="1406" spans="1:14" x14ac:dyDescent="0.35">
      <c r="A1406">
        <v>1405</v>
      </c>
      <c r="B1406" s="1">
        <v>44985.5</v>
      </c>
      <c r="C1406" s="2">
        <v>4.2361111111111106E-2</v>
      </c>
      <c r="D1406" s="3">
        <v>2024</v>
      </c>
      <c r="E1406" s="3">
        <v>339</v>
      </c>
      <c r="F1406" s="2">
        <v>47.170833333333327</v>
      </c>
      <c r="G1406" t="s">
        <v>2819</v>
      </c>
      <c r="H1406" t="s">
        <v>2813</v>
      </c>
      <c r="I1406" s="2">
        <v>4.5833333333333337E-2</v>
      </c>
      <c r="J1406" s="4" t="str">
        <f>IF(Table1[[#This Row],[processing_time_hours]]&gt;1.5,"Slow", "Fast")</f>
        <v>Fast</v>
      </c>
      <c r="K1406" t="s">
        <v>2814</v>
      </c>
      <c r="L1406" s="3">
        <v>0</v>
      </c>
      <c r="M1406" t="str">
        <f>IF(Table1[[#This Row],[delayed]]=1,"Delayed","On Time")</f>
        <v>On Time</v>
      </c>
      <c r="N1406" t="str">
        <f>IF(AND(Table1[[#This Row],[delayed]]=1,Table1[[#This Row],[weather_condition]]="Storm"),"High Risk", IF(Table1[[#This Row],[delayed]]=1,"Medium Risk","Low Risk"))</f>
        <v>Low Risk</v>
      </c>
    </row>
    <row r="1407" spans="1:14" x14ac:dyDescent="0.35">
      <c r="A1407">
        <v>1406</v>
      </c>
      <c r="B1407" s="1">
        <v>44985.541666666664</v>
      </c>
      <c r="C1407" s="2">
        <v>6.5277777777777782E-2</v>
      </c>
      <c r="D1407" s="3">
        <v>2148</v>
      </c>
      <c r="E1407" s="3">
        <v>376</v>
      </c>
      <c r="F1407" s="2">
        <v>50.253472222222221</v>
      </c>
      <c r="G1407" t="s">
        <v>2812</v>
      </c>
      <c r="H1407" t="s">
        <v>2820</v>
      </c>
      <c r="I1407" s="2">
        <v>0.92152777777777783</v>
      </c>
      <c r="J1407" s="4" t="str">
        <f>IF(Table1[[#This Row],[processing_time_hours]]&gt;1.5,"Slow", "Fast")</f>
        <v>Fast</v>
      </c>
      <c r="K1407" t="s">
        <v>2814</v>
      </c>
      <c r="L1407" s="3">
        <v>0</v>
      </c>
      <c r="M1407" t="str">
        <f>IF(Table1[[#This Row],[delayed]]=1,"Delayed","On Time")</f>
        <v>On Time</v>
      </c>
      <c r="N1407" t="str">
        <f>IF(AND(Table1[[#This Row],[delayed]]=1,Table1[[#This Row],[weather_condition]]="Storm"),"High Risk", IF(Table1[[#This Row],[delayed]]=1,"Medium Risk","Low Risk"))</f>
        <v>Low Risk</v>
      </c>
    </row>
    <row r="1408" spans="1:14" x14ac:dyDescent="0.35">
      <c r="A1408">
        <v>1407</v>
      </c>
      <c r="B1408" s="1">
        <v>44985.583333333336</v>
      </c>
      <c r="C1408" s="2">
        <v>5.4166666666666669E-2</v>
      </c>
      <c r="D1408" s="3">
        <v>982</v>
      </c>
      <c r="E1408" s="3">
        <v>387</v>
      </c>
      <c r="F1408" s="2">
        <v>53.881250000000001</v>
      </c>
      <c r="G1408" t="s">
        <v>2815</v>
      </c>
      <c r="H1408" t="s">
        <v>2817</v>
      </c>
      <c r="I1408" s="2">
        <v>1.211111111111111</v>
      </c>
      <c r="J1408" s="4" t="str">
        <f>IF(Table1[[#This Row],[processing_time_hours]]&gt;1.5,"Slow", "Fast")</f>
        <v>Fast</v>
      </c>
      <c r="K1408" t="s">
        <v>2814</v>
      </c>
      <c r="L1408" s="3">
        <v>0</v>
      </c>
      <c r="M1408" t="str">
        <f>IF(Table1[[#This Row],[delayed]]=1,"Delayed","On Time")</f>
        <v>On Time</v>
      </c>
      <c r="N1408" t="str">
        <f>IF(AND(Table1[[#This Row],[delayed]]=1,Table1[[#This Row],[weather_condition]]="Storm"),"High Risk", IF(Table1[[#This Row],[delayed]]=1,"Medium Risk","Low Risk"))</f>
        <v>Low Risk</v>
      </c>
    </row>
    <row r="1409" spans="1:14" x14ac:dyDescent="0.35">
      <c r="A1409">
        <v>1408</v>
      </c>
      <c r="B1409" s="1">
        <v>44985.625</v>
      </c>
      <c r="C1409" s="2">
        <v>5.6944444444444443E-2</v>
      </c>
      <c r="D1409" s="3">
        <v>2028</v>
      </c>
      <c r="E1409" s="3">
        <v>307</v>
      </c>
      <c r="F1409" s="2">
        <v>81.506250000000009</v>
      </c>
      <c r="G1409" t="s">
        <v>2816</v>
      </c>
      <c r="H1409" t="s">
        <v>2817</v>
      </c>
      <c r="I1409" s="2">
        <v>2.7944444444444443</v>
      </c>
      <c r="J1409" s="4" t="str">
        <f>IF(Table1[[#This Row],[processing_time_hours]]&gt;1.5,"Slow", "Fast")</f>
        <v>Slow</v>
      </c>
      <c r="K1409" t="s">
        <v>2818</v>
      </c>
      <c r="L1409" s="3">
        <v>0</v>
      </c>
      <c r="M1409" t="str">
        <f>IF(Table1[[#This Row],[delayed]]=1,"Delayed","On Time")</f>
        <v>On Time</v>
      </c>
      <c r="N1409" t="str">
        <f>IF(AND(Table1[[#This Row],[delayed]]=1,Table1[[#This Row],[weather_condition]]="Storm"),"High Risk", IF(Table1[[#This Row],[delayed]]=1,"Medium Risk","Low Risk"))</f>
        <v>Low Risk</v>
      </c>
    </row>
    <row r="1410" spans="1:14" x14ac:dyDescent="0.35">
      <c r="A1410">
        <v>1409</v>
      </c>
      <c r="B1410" s="1">
        <v>44985.666666666664</v>
      </c>
      <c r="C1410" s="2">
        <v>4.3750000000000004E-2</v>
      </c>
      <c r="D1410" s="3">
        <v>3606</v>
      </c>
      <c r="E1410" s="3">
        <v>383</v>
      </c>
      <c r="F1410" s="2">
        <v>76.295138888888886</v>
      </c>
      <c r="G1410" t="s">
        <v>2815</v>
      </c>
      <c r="H1410" t="s">
        <v>2822</v>
      </c>
      <c r="I1410" s="2">
        <v>2.9166666666666665</v>
      </c>
      <c r="J1410" s="4" t="str">
        <f>IF(Table1[[#This Row],[processing_time_hours]]&gt;1.5,"Slow", "Fast")</f>
        <v>Slow</v>
      </c>
      <c r="K1410" t="s">
        <v>2814</v>
      </c>
      <c r="L1410" s="3">
        <v>1</v>
      </c>
      <c r="M1410" t="str">
        <f>IF(Table1[[#This Row],[delayed]]=1,"Delayed","On Time")</f>
        <v>Delayed</v>
      </c>
      <c r="N1410" t="str">
        <f>IF(AND(Table1[[#This Row],[delayed]]=1,Table1[[#This Row],[weather_condition]]="Storm"),"High Risk", IF(Table1[[#This Row],[delayed]]=1,"Medium Risk","Low Risk"))</f>
        <v>Medium Risk</v>
      </c>
    </row>
    <row r="1411" spans="1:14" x14ac:dyDescent="0.35">
      <c r="A1411">
        <v>1410</v>
      </c>
      <c r="B1411" s="1">
        <v>44985.708333333336</v>
      </c>
      <c r="C1411" s="2">
        <v>6.5277777777777782E-2</v>
      </c>
      <c r="D1411" s="3">
        <v>2288</v>
      </c>
      <c r="E1411" s="3">
        <v>11</v>
      </c>
      <c r="F1411" s="2">
        <v>74.586805555555557</v>
      </c>
      <c r="G1411" t="s">
        <v>2816</v>
      </c>
      <c r="H1411" t="s">
        <v>2813</v>
      </c>
      <c r="I1411" s="2">
        <v>2.8361111111111108</v>
      </c>
      <c r="J1411" s="4" t="str">
        <f>IF(Table1[[#This Row],[processing_time_hours]]&gt;1.5,"Slow", "Fast")</f>
        <v>Slow</v>
      </c>
      <c r="K1411" t="s">
        <v>2814</v>
      </c>
      <c r="L1411" s="3">
        <v>0</v>
      </c>
      <c r="M1411" t="str">
        <f>IF(Table1[[#This Row],[delayed]]=1,"Delayed","On Time")</f>
        <v>On Time</v>
      </c>
      <c r="N1411" t="str">
        <f>IF(AND(Table1[[#This Row],[delayed]]=1,Table1[[#This Row],[weather_condition]]="Storm"),"High Risk", IF(Table1[[#This Row],[delayed]]=1,"Medium Risk","Low Risk"))</f>
        <v>Low Risk</v>
      </c>
    </row>
    <row r="1412" spans="1:14" x14ac:dyDescent="0.35">
      <c r="A1412">
        <v>1411</v>
      </c>
      <c r="B1412" s="1">
        <v>44985.75</v>
      </c>
      <c r="C1412" s="2">
        <v>4.3750000000000004E-2</v>
      </c>
      <c r="D1412" s="3">
        <v>959</v>
      </c>
      <c r="E1412" s="3">
        <v>215</v>
      </c>
      <c r="F1412" s="2">
        <v>20.089583333333334</v>
      </c>
      <c r="G1412" t="s">
        <v>2815</v>
      </c>
      <c r="H1412" t="s">
        <v>2822</v>
      </c>
      <c r="I1412" s="2">
        <v>2.4173611111111111</v>
      </c>
      <c r="J1412" s="4" t="str">
        <f>IF(Table1[[#This Row],[processing_time_hours]]&gt;1.5,"Slow", "Fast")</f>
        <v>Slow</v>
      </c>
      <c r="K1412" t="s">
        <v>2818</v>
      </c>
      <c r="L1412" s="3">
        <v>1</v>
      </c>
      <c r="M1412" t="str">
        <f>IF(Table1[[#This Row],[delayed]]=1,"Delayed","On Time")</f>
        <v>Delayed</v>
      </c>
      <c r="N1412" t="str">
        <f>IF(AND(Table1[[#This Row],[delayed]]=1,Table1[[#This Row],[weather_condition]]="Storm"),"High Risk", IF(Table1[[#This Row],[delayed]]=1,"Medium Risk","Low Risk"))</f>
        <v>Medium Risk</v>
      </c>
    </row>
    <row r="1413" spans="1:14" x14ac:dyDescent="0.35">
      <c r="A1413">
        <v>1412</v>
      </c>
      <c r="B1413" s="1">
        <v>44985.791666666664</v>
      </c>
      <c r="C1413" s="2">
        <v>4.7222222222222221E-2</v>
      </c>
      <c r="D1413" s="3">
        <v>4014</v>
      </c>
      <c r="E1413" s="3">
        <v>298</v>
      </c>
      <c r="F1413" s="2">
        <v>46.713888888888896</v>
      </c>
      <c r="G1413" t="s">
        <v>2815</v>
      </c>
      <c r="H1413" t="s">
        <v>2813</v>
      </c>
      <c r="I1413" s="2">
        <v>2.1701388888888888</v>
      </c>
      <c r="J1413" s="4" t="str">
        <f>IF(Table1[[#This Row],[processing_time_hours]]&gt;1.5,"Slow", "Fast")</f>
        <v>Slow</v>
      </c>
      <c r="K1413" t="s">
        <v>2821</v>
      </c>
      <c r="L1413" s="3">
        <v>0</v>
      </c>
      <c r="M1413" t="str">
        <f>IF(Table1[[#This Row],[delayed]]=1,"Delayed","On Time")</f>
        <v>On Time</v>
      </c>
      <c r="N1413" t="str">
        <f>IF(AND(Table1[[#This Row],[delayed]]=1,Table1[[#This Row],[weather_condition]]="Storm"),"High Risk", IF(Table1[[#This Row],[delayed]]=1,"Medium Risk","Low Risk"))</f>
        <v>Low Risk</v>
      </c>
    </row>
    <row r="1414" spans="1:14" x14ac:dyDescent="0.35">
      <c r="A1414">
        <v>1413</v>
      </c>
      <c r="B1414" s="1">
        <v>44985.833333333336</v>
      </c>
      <c r="C1414" s="2">
        <v>5.486111111111111E-2</v>
      </c>
      <c r="D1414" s="3">
        <v>4254</v>
      </c>
      <c r="E1414" s="3">
        <v>18</v>
      </c>
      <c r="F1414" s="2">
        <v>18.586805555555554</v>
      </c>
      <c r="G1414" t="s">
        <v>2812</v>
      </c>
      <c r="H1414" t="s">
        <v>2820</v>
      </c>
      <c r="I1414" s="2">
        <v>2.9618055555555554</v>
      </c>
      <c r="J1414" s="4" t="str">
        <f>IF(Table1[[#This Row],[processing_time_hours]]&gt;1.5,"Slow", "Fast")</f>
        <v>Slow</v>
      </c>
      <c r="K1414" t="s">
        <v>2818</v>
      </c>
      <c r="L1414" s="3">
        <v>0</v>
      </c>
      <c r="M1414" t="str">
        <f>IF(Table1[[#This Row],[delayed]]=1,"Delayed","On Time")</f>
        <v>On Time</v>
      </c>
      <c r="N1414" t="str">
        <f>IF(AND(Table1[[#This Row],[delayed]]=1,Table1[[#This Row],[weather_condition]]="Storm"),"High Risk", IF(Table1[[#This Row],[delayed]]=1,"Medium Risk","Low Risk"))</f>
        <v>Low Risk</v>
      </c>
    </row>
    <row r="1415" spans="1:14" x14ac:dyDescent="0.35">
      <c r="A1415">
        <v>1414</v>
      </c>
      <c r="B1415" s="1">
        <v>44985.875</v>
      </c>
      <c r="C1415" s="2">
        <v>5.5555555555555558E-3</v>
      </c>
      <c r="D1415" s="3">
        <v>1738</v>
      </c>
      <c r="E1415" s="3">
        <v>482</v>
      </c>
      <c r="F1415" s="2">
        <v>47.919444444444444</v>
      </c>
      <c r="G1415" t="s">
        <v>2812</v>
      </c>
      <c r="H1415" t="s">
        <v>2820</v>
      </c>
      <c r="I1415" s="2">
        <v>1.1298611111111112</v>
      </c>
      <c r="J1415" s="4" t="str">
        <f>IF(Table1[[#This Row],[processing_time_hours]]&gt;1.5,"Slow", "Fast")</f>
        <v>Fast</v>
      </c>
      <c r="K1415" t="s">
        <v>2821</v>
      </c>
      <c r="L1415" s="3">
        <v>0</v>
      </c>
      <c r="M1415" t="str">
        <f>IF(Table1[[#This Row],[delayed]]=1,"Delayed","On Time")</f>
        <v>On Time</v>
      </c>
      <c r="N1415" t="str">
        <f>IF(AND(Table1[[#This Row],[delayed]]=1,Table1[[#This Row],[weather_condition]]="Storm"),"High Risk", IF(Table1[[#This Row],[delayed]]=1,"Medium Risk","Low Risk"))</f>
        <v>Low Risk</v>
      </c>
    </row>
    <row r="1416" spans="1:14" x14ac:dyDescent="0.35">
      <c r="A1416">
        <v>1415</v>
      </c>
      <c r="B1416" s="1">
        <v>44985.916666666664</v>
      </c>
      <c r="C1416" s="2">
        <v>5.6250000000000001E-2</v>
      </c>
      <c r="D1416" s="3">
        <v>3727</v>
      </c>
      <c r="E1416" s="3">
        <v>70</v>
      </c>
      <c r="F1416" s="2">
        <v>10.672916666666666</v>
      </c>
      <c r="G1416" t="s">
        <v>2815</v>
      </c>
      <c r="H1416" t="s">
        <v>2820</v>
      </c>
      <c r="I1416" s="2">
        <v>0.29236111111111113</v>
      </c>
      <c r="J1416" s="4" t="str">
        <f>IF(Table1[[#This Row],[processing_time_hours]]&gt;1.5,"Slow", "Fast")</f>
        <v>Fast</v>
      </c>
      <c r="K1416" t="s">
        <v>2818</v>
      </c>
      <c r="L1416" s="3">
        <v>0</v>
      </c>
      <c r="M1416" t="str">
        <f>IF(Table1[[#This Row],[delayed]]=1,"Delayed","On Time")</f>
        <v>On Time</v>
      </c>
      <c r="N1416" t="str">
        <f>IF(AND(Table1[[#This Row],[delayed]]=1,Table1[[#This Row],[weather_condition]]="Storm"),"High Risk", IF(Table1[[#This Row],[delayed]]=1,"Medium Risk","Low Risk"))</f>
        <v>Low Risk</v>
      </c>
    </row>
    <row r="1417" spans="1:14" x14ac:dyDescent="0.35">
      <c r="A1417">
        <v>1416</v>
      </c>
      <c r="B1417" s="1">
        <v>44985.958333333336</v>
      </c>
      <c r="C1417" s="2">
        <v>6.7361111111111108E-2</v>
      </c>
      <c r="D1417" s="3">
        <v>3494</v>
      </c>
      <c r="E1417" s="3">
        <v>301</v>
      </c>
      <c r="F1417" s="2">
        <v>45.087499999999999</v>
      </c>
      <c r="G1417" t="s">
        <v>2819</v>
      </c>
      <c r="H1417" t="s">
        <v>2813</v>
      </c>
      <c r="I1417" s="2">
        <v>1.1701388888888888</v>
      </c>
      <c r="J1417" s="4" t="str">
        <f>IF(Table1[[#This Row],[processing_time_hours]]&gt;1.5,"Slow", "Fast")</f>
        <v>Fast</v>
      </c>
      <c r="K1417" t="s">
        <v>2818</v>
      </c>
      <c r="L1417" s="3">
        <v>0</v>
      </c>
      <c r="M1417" t="str">
        <f>IF(Table1[[#This Row],[delayed]]=1,"Delayed","On Time")</f>
        <v>On Time</v>
      </c>
      <c r="N1417" t="str">
        <f>IF(AND(Table1[[#This Row],[delayed]]=1,Table1[[#This Row],[weather_condition]]="Storm"),"High Risk", IF(Table1[[#This Row],[delayed]]=1,"Medium Risk","Low Risk"))</f>
        <v>Low Risk</v>
      </c>
    </row>
    <row r="1418" spans="1:14" x14ac:dyDescent="0.35">
      <c r="A1418">
        <v>1417</v>
      </c>
      <c r="B1418" s="1">
        <v>44986</v>
      </c>
      <c r="C1418" s="2">
        <v>4.2361111111111106E-2</v>
      </c>
      <c r="D1418" s="3">
        <v>4319</v>
      </c>
      <c r="E1418" s="3">
        <v>393</v>
      </c>
      <c r="F1418" s="2">
        <v>62.422916666666673</v>
      </c>
      <c r="G1418" t="s">
        <v>2816</v>
      </c>
      <c r="H1418" t="s">
        <v>2813</v>
      </c>
      <c r="I1418" s="2">
        <v>4.5833333333333337E-2</v>
      </c>
      <c r="J1418" s="4" t="str">
        <f>IF(Table1[[#This Row],[processing_time_hours]]&gt;1.5,"Slow", "Fast")</f>
        <v>Fast</v>
      </c>
      <c r="K1418" t="s">
        <v>2814</v>
      </c>
      <c r="L1418" s="3">
        <v>0</v>
      </c>
      <c r="M1418" t="str">
        <f>IF(Table1[[#This Row],[delayed]]=1,"Delayed","On Time")</f>
        <v>On Time</v>
      </c>
      <c r="N1418" t="str">
        <f>IF(AND(Table1[[#This Row],[delayed]]=1,Table1[[#This Row],[weather_condition]]="Storm"),"High Risk", IF(Table1[[#This Row],[delayed]]=1,"Medium Risk","Low Risk"))</f>
        <v>Low Risk</v>
      </c>
    </row>
    <row r="1419" spans="1:14" x14ac:dyDescent="0.35">
      <c r="A1419">
        <v>1418</v>
      </c>
      <c r="B1419" s="1">
        <v>44986.041666666664</v>
      </c>
      <c r="C1419" s="2">
        <v>6.0416666666666667E-2</v>
      </c>
      <c r="D1419" s="3">
        <v>4195</v>
      </c>
      <c r="E1419" s="3">
        <v>60</v>
      </c>
      <c r="F1419" s="2">
        <v>63.713888888888896</v>
      </c>
      <c r="G1419" t="s">
        <v>2816</v>
      </c>
      <c r="H1419" t="s">
        <v>2817</v>
      </c>
      <c r="I1419" s="2">
        <v>1.0444444444444445</v>
      </c>
      <c r="J1419" s="4" t="str">
        <f>IF(Table1[[#This Row],[processing_time_hours]]&gt;1.5,"Slow", "Fast")</f>
        <v>Fast</v>
      </c>
      <c r="K1419" t="s">
        <v>2821</v>
      </c>
      <c r="L1419" s="3">
        <v>0</v>
      </c>
      <c r="M1419" t="str">
        <f>IF(Table1[[#This Row],[delayed]]=1,"Delayed","On Time")</f>
        <v>On Time</v>
      </c>
      <c r="N1419" t="str">
        <f>IF(AND(Table1[[#This Row],[delayed]]=1,Table1[[#This Row],[weather_condition]]="Storm"),"High Risk", IF(Table1[[#This Row],[delayed]]=1,"Medium Risk","Low Risk"))</f>
        <v>Low Risk</v>
      </c>
    </row>
    <row r="1420" spans="1:14" x14ac:dyDescent="0.35">
      <c r="A1420">
        <v>1419</v>
      </c>
      <c r="B1420" s="1">
        <v>44986.083333333336</v>
      </c>
      <c r="C1420" s="2">
        <v>5.3472222222222227E-2</v>
      </c>
      <c r="D1420" s="3">
        <v>4465</v>
      </c>
      <c r="E1420" s="3">
        <v>73</v>
      </c>
      <c r="F1420" s="2">
        <v>6.791666666666667</v>
      </c>
      <c r="G1420" t="s">
        <v>2819</v>
      </c>
      <c r="H1420" t="s">
        <v>2813</v>
      </c>
      <c r="I1420" s="2">
        <v>1.2513888888888889</v>
      </c>
      <c r="J1420" s="4" t="str">
        <f>IF(Table1[[#This Row],[processing_time_hours]]&gt;1.5,"Slow", "Fast")</f>
        <v>Fast</v>
      </c>
      <c r="K1420" t="s">
        <v>2821</v>
      </c>
      <c r="L1420" s="3">
        <v>1</v>
      </c>
      <c r="M1420" t="str">
        <f>IF(Table1[[#This Row],[delayed]]=1,"Delayed","On Time")</f>
        <v>Delayed</v>
      </c>
      <c r="N1420" t="str">
        <f>IF(AND(Table1[[#This Row],[delayed]]=1,Table1[[#This Row],[weather_condition]]="Storm"),"High Risk", IF(Table1[[#This Row],[delayed]]=1,"Medium Risk","Low Risk"))</f>
        <v>Medium Risk</v>
      </c>
    </row>
    <row r="1421" spans="1:14" x14ac:dyDescent="0.35">
      <c r="A1421">
        <v>1420</v>
      </c>
      <c r="B1421" s="1">
        <v>44986.125</v>
      </c>
      <c r="C1421" s="2">
        <v>6.3888888888888898E-2</v>
      </c>
      <c r="D1421" s="3">
        <v>570</v>
      </c>
      <c r="E1421" s="3">
        <v>260</v>
      </c>
      <c r="F1421" s="2">
        <v>41.167361111111113</v>
      </c>
      <c r="G1421" t="s">
        <v>2819</v>
      </c>
      <c r="H1421" t="s">
        <v>2822</v>
      </c>
      <c r="I1421" s="2">
        <v>0.92152777777777783</v>
      </c>
      <c r="J1421" s="4" t="str">
        <f>IF(Table1[[#This Row],[processing_time_hours]]&gt;1.5,"Slow", "Fast")</f>
        <v>Fast</v>
      </c>
      <c r="K1421" t="s">
        <v>2818</v>
      </c>
      <c r="L1421" s="3">
        <v>0</v>
      </c>
      <c r="M1421" t="str">
        <f>IF(Table1[[#This Row],[delayed]]=1,"Delayed","On Time")</f>
        <v>On Time</v>
      </c>
      <c r="N1421" t="str">
        <f>IF(AND(Table1[[#This Row],[delayed]]=1,Table1[[#This Row],[weather_condition]]="Storm"),"High Risk", IF(Table1[[#This Row],[delayed]]=1,"Medium Risk","Low Risk"))</f>
        <v>Low Risk</v>
      </c>
    </row>
    <row r="1422" spans="1:14" x14ac:dyDescent="0.35">
      <c r="A1422">
        <v>1421</v>
      </c>
      <c r="B1422" s="1">
        <v>44986.166666666664</v>
      </c>
      <c r="C1422" s="2">
        <v>6.0416666666666667E-2</v>
      </c>
      <c r="D1422" s="3">
        <v>4949</v>
      </c>
      <c r="E1422" s="3">
        <v>136</v>
      </c>
      <c r="F1422" s="2">
        <v>28.003472222222225</v>
      </c>
      <c r="G1422" t="s">
        <v>2819</v>
      </c>
      <c r="H1422" t="s">
        <v>2820</v>
      </c>
      <c r="I1422" s="2">
        <v>1.7958333333333334</v>
      </c>
      <c r="J1422" s="4" t="str">
        <f>IF(Table1[[#This Row],[processing_time_hours]]&gt;1.5,"Slow", "Fast")</f>
        <v>Slow</v>
      </c>
      <c r="K1422" t="s">
        <v>2821</v>
      </c>
      <c r="L1422" s="3">
        <v>0</v>
      </c>
      <c r="M1422" t="str">
        <f>IF(Table1[[#This Row],[delayed]]=1,"Delayed","On Time")</f>
        <v>On Time</v>
      </c>
      <c r="N1422" t="str">
        <f>IF(AND(Table1[[#This Row],[delayed]]=1,Table1[[#This Row],[weather_condition]]="Storm"),"High Risk", IF(Table1[[#This Row],[delayed]]=1,"Medium Risk","Low Risk"))</f>
        <v>Low Risk</v>
      </c>
    </row>
    <row r="1423" spans="1:14" x14ac:dyDescent="0.35">
      <c r="A1423">
        <v>1422</v>
      </c>
      <c r="B1423" s="1">
        <v>44986.208333333336</v>
      </c>
      <c r="C1423" s="2">
        <v>6.458333333333334E-2</v>
      </c>
      <c r="D1423" s="3">
        <v>4978</v>
      </c>
      <c r="E1423" s="3">
        <v>135</v>
      </c>
      <c r="F1423" s="2">
        <v>5.792361111111112</v>
      </c>
      <c r="G1423" t="s">
        <v>2816</v>
      </c>
      <c r="H1423" t="s">
        <v>2813</v>
      </c>
      <c r="I1423" s="2">
        <v>1.5006944444444443</v>
      </c>
      <c r="J1423" s="4" t="str">
        <f>IF(Table1[[#This Row],[processing_time_hours]]&gt;1.5,"Slow", "Fast")</f>
        <v>Slow</v>
      </c>
      <c r="K1423" t="s">
        <v>2821</v>
      </c>
      <c r="L1423" s="3">
        <v>1</v>
      </c>
      <c r="M1423" t="str">
        <f>IF(Table1[[#This Row],[delayed]]=1,"Delayed","On Time")</f>
        <v>Delayed</v>
      </c>
      <c r="N1423" t="str">
        <f>IF(AND(Table1[[#This Row],[delayed]]=1,Table1[[#This Row],[weather_condition]]="Storm"),"High Risk", IF(Table1[[#This Row],[delayed]]=1,"Medium Risk","Low Risk"))</f>
        <v>Medium Risk</v>
      </c>
    </row>
    <row r="1424" spans="1:14" x14ac:dyDescent="0.35">
      <c r="A1424">
        <v>1423</v>
      </c>
      <c r="B1424" s="1">
        <v>44986.25</v>
      </c>
      <c r="C1424" s="2">
        <v>6.5972222222222224E-2</v>
      </c>
      <c r="D1424" s="3">
        <v>1714</v>
      </c>
      <c r="E1424" s="3">
        <v>171</v>
      </c>
      <c r="F1424" s="2">
        <v>34.50138888888889</v>
      </c>
      <c r="G1424" t="s">
        <v>2816</v>
      </c>
      <c r="H1424" t="s">
        <v>2820</v>
      </c>
      <c r="I1424" s="2">
        <v>1.91875</v>
      </c>
      <c r="J1424" s="4" t="str">
        <f>IF(Table1[[#This Row],[processing_time_hours]]&gt;1.5,"Slow", "Fast")</f>
        <v>Slow</v>
      </c>
      <c r="K1424" t="s">
        <v>2818</v>
      </c>
      <c r="L1424" s="3">
        <v>0</v>
      </c>
      <c r="M1424" t="str">
        <f>IF(Table1[[#This Row],[delayed]]=1,"Delayed","On Time")</f>
        <v>On Time</v>
      </c>
      <c r="N1424" t="str">
        <f>IF(AND(Table1[[#This Row],[delayed]]=1,Table1[[#This Row],[weather_condition]]="Storm"),"High Risk", IF(Table1[[#This Row],[delayed]]=1,"Medium Risk","Low Risk"))</f>
        <v>Low Risk</v>
      </c>
    </row>
    <row r="1425" spans="1:14" x14ac:dyDescent="0.35">
      <c r="A1425">
        <v>1424</v>
      </c>
      <c r="B1425" s="1">
        <v>44986.291666666664</v>
      </c>
      <c r="C1425" s="2">
        <v>6.3194444444444442E-2</v>
      </c>
      <c r="D1425" s="3">
        <v>916</v>
      </c>
      <c r="E1425" s="3">
        <v>481</v>
      </c>
      <c r="F1425" s="2">
        <v>77.834722222222226</v>
      </c>
      <c r="G1425" t="s">
        <v>2819</v>
      </c>
      <c r="H1425" t="s">
        <v>2822</v>
      </c>
      <c r="I1425" s="2">
        <v>1.16875</v>
      </c>
      <c r="J1425" s="4" t="str">
        <f>IF(Table1[[#This Row],[processing_time_hours]]&gt;1.5,"Slow", "Fast")</f>
        <v>Fast</v>
      </c>
      <c r="K1425" t="s">
        <v>2814</v>
      </c>
      <c r="L1425" s="3">
        <v>0</v>
      </c>
      <c r="M1425" t="str">
        <f>IF(Table1[[#This Row],[delayed]]=1,"Delayed","On Time")</f>
        <v>On Time</v>
      </c>
      <c r="N1425" t="str">
        <f>IF(AND(Table1[[#This Row],[delayed]]=1,Table1[[#This Row],[weather_condition]]="Storm"),"High Risk", IF(Table1[[#This Row],[delayed]]=1,"Medium Risk","Low Risk"))</f>
        <v>Low Risk</v>
      </c>
    </row>
    <row r="1426" spans="1:14" x14ac:dyDescent="0.35">
      <c r="A1426">
        <v>1425</v>
      </c>
      <c r="B1426" s="1">
        <v>44986.333333333336</v>
      </c>
      <c r="C1426" s="2">
        <v>4.5138888888888888E-2</v>
      </c>
      <c r="D1426" s="3">
        <v>4226</v>
      </c>
      <c r="E1426" s="3">
        <v>218</v>
      </c>
      <c r="F1426" s="2">
        <v>6.1687500000000002</v>
      </c>
      <c r="G1426" t="s">
        <v>2815</v>
      </c>
      <c r="H1426" t="s">
        <v>2813</v>
      </c>
      <c r="I1426" s="2">
        <v>2.5013888888888887</v>
      </c>
      <c r="J1426" s="4" t="str">
        <f>IF(Table1[[#This Row],[processing_time_hours]]&gt;1.5,"Slow", "Fast")</f>
        <v>Slow</v>
      </c>
      <c r="K1426" t="s">
        <v>2814</v>
      </c>
      <c r="L1426" s="3">
        <v>0</v>
      </c>
      <c r="M1426" t="str">
        <f>IF(Table1[[#This Row],[delayed]]=1,"Delayed","On Time")</f>
        <v>On Time</v>
      </c>
      <c r="N1426" t="str">
        <f>IF(AND(Table1[[#This Row],[delayed]]=1,Table1[[#This Row],[weather_condition]]="Storm"),"High Risk", IF(Table1[[#This Row],[delayed]]=1,"Medium Risk","Low Risk"))</f>
        <v>Low Risk</v>
      </c>
    </row>
    <row r="1427" spans="1:14" x14ac:dyDescent="0.35">
      <c r="A1427">
        <v>1426</v>
      </c>
      <c r="B1427" s="1">
        <v>44986.375</v>
      </c>
      <c r="C1427" s="2">
        <v>5.6250000000000001E-2</v>
      </c>
      <c r="D1427" s="3">
        <v>4085</v>
      </c>
      <c r="E1427" s="3">
        <v>296</v>
      </c>
      <c r="F1427" s="2">
        <v>18.62638888888889</v>
      </c>
      <c r="G1427" t="s">
        <v>2819</v>
      </c>
      <c r="H1427" t="s">
        <v>2822</v>
      </c>
      <c r="I1427" s="2">
        <v>1.2541666666666667</v>
      </c>
      <c r="J1427" s="4" t="str">
        <f>IF(Table1[[#This Row],[processing_time_hours]]&gt;1.5,"Slow", "Fast")</f>
        <v>Fast</v>
      </c>
      <c r="K1427" t="s">
        <v>2814</v>
      </c>
      <c r="L1427" s="3">
        <v>0</v>
      </c>
      <c r="M1427" t="str">
        <f>IF(Table1[[#This Row],[delayed]]=1,"Delayed","On Time")</f>
        <v>On Time</v>
      </c>
      <c r="N1427" t="str">
        <f>IF(AND(Table1[[#This Row],[delayed]]=1,Table1[[#This Row],[weather_condition]]="Storm"),"High Risk", IF(Table1[[#This Row],[delayed]]=1,"Medium Risk","Low Risk"))</f>
        <v>Low Risk</v>
      </c>
    </row>
    <row r="1428" spans="1:14" x14ac:dyDescent="0.35">
      <c r="A1428">
        <v>1427</v>
      </c>
      <c r="B1428" s="1">
        <v>44986.416666666664</v>
      </c>
      <c r="C1428" s="2">
        <v>6.3194444444444442E-2</v>
      </c>
      <c r="D1428" s="3">
        <v>3987</v>
      </c>
      <c r="E1428" s="3">
        <v>196</v>
      </c>
      <c r="F1428" s="2">
        <v>50.753472222222221</v>
      </c>
      <c r="G1428" t="s">
        <v>2815</v>
      </c>
      <c r="H1428" t="s">
        <v>2813</v>
      </c>
      <c r="I1428" s="2">
        <v>0.12847222222222224</v>
      </c>
      <c r="J1428" s="4" t="str">
        <f>IF(Table1[[#This Row],[processing_time_hours]]&gt;1.5,"Slow", "Fast")</f>
        <v>Fast</v>
      </c>
      <c r="K1428" t="s">
        <v>2814</v>
      </c>
      <c r="L1428" s="3">
        <v>1</v>
      </c>
      <c r="M1428" t="str">
        <f>IF(Table1[[#This Row],[delayed]]=1,"Delayed","On Time")</f>
        <v>Delayed</v>
      </c>
      <c r="N1428" t="str">
        <f>IF(AND(Table1[[#This Row],[delayed]]=1,Table1[[#This Row],[weather_condition]]="Storm"),"High Risk", IF(Table1[[#This Row],[delayed]]=1,"Medium Risk","Low Risk"))</f>
        <v>Medium Risk</v>
      </c>
    </row>
    <row r="1429" spans="1:14" x14ac:dyDescent="0.35">
      <c r="A1429">
        <v>1428</v>
      </c>
      <c r="B1429" s="1">
        <v>44986.458333333336</v>
      </c>
      <c r="C1429" s="2">
        <v>6.3194444444444442E-2</v>
      </c>
      <c r="D1429" s="3">
        <v>4883</v>
      </c>
      <c r="E1429" s="3">
        <v>440</v>
      </c>
      <c r="F1429" s="2">
        <v>43.13055555555556</v>
      </c>
      <c r="G1429" t="s">
        <v>2819</v>
      </c>
      <c r="H1429" t="s">
        <v>2813</v>
      </c>
      <c r="I1429" s="2">
        <v>0.63055555555555554</v>
      </c>
      <c r="J1429" s="4" t="str">
        <f>IF(Table1[[#This Row],[processing_time_hours]]&gt;1.5,"Slow", "Fast")</f>
        <v>Fast</v>
      </c>
      <c r="K1429" t="s">
        <v>2818</v>
      </c>
      <c r="L1429" s="3">
        <v>0</v>
      </c>
      <c r="M1429" t="str">
        <f>IF(Table1[[#This Row],[delayed]]=1,"Delayed","On Time")</f>
        <v>On Time</v>
      </c>
      <c r="N1429" t="str">
        <f>IF(AND(Table1[[#This Row],[delayed]]=1,Table1[[#This Row],[weather_condition]]="Storm"),"High Risk", IF(Table1[[#This Row],[delayed]]=1,"Medium Risk","Low Risk"))</f>
        <v>Low Risk</v>
      </c>
    </row>
    <row r="1430" spans="1:14" x14ac:dyDescent="0.35">
      <c r="A1430">
        <v>1429</v>
      </c>
      <c r="B1430" s="1">
        <v>44986.5</v>
      </c>
      <c r="C1430" s="2">
        <v>6.7361111111111108E-2</v>
      </c>
      <c r="D1430" s="3">
        <v>4445</v>
      </c>
      <c r="E1430" s="3">
        <v>107</v>
      </c>
      <c r="F1430" s="2">
        <v>25.211111111111112</v>
      </c>
      <c r="G1430" t="s">
        <v>2815</v>
      </c>
      <c r="H1430" t="s">
        <v>2813</v>
      </c>
      <c r="I1430" s="2">
        <v>1.5868055555555556</v>
      </c>
      <c r="J1430" s="4" t="str">
        <f>IF(Table1[[#This Row],[processing_time_hours]]&gt;1.5,"Slow", "Fast")</f>
        <v>Slow</v>
      </c>
      <c r="K1430" t="s">
        <v>2814</v>
      </c>
      <c r="L1430" s="3">
        <v>1</v>
      </c>
      <c r="M1430" t="str">
        <f>IF(Table1[[#This Row],[delayed]]=1,"Delayed","On Time")</f>
        <v>Delayed</v>
      </c>
      <c r="N1430" t="str">
        <f>IF(AND(Table1[[#This Row],[delayed]]=1,Table1[[#This Row],[weather_condition]]="Storm"),"High Risk", IF(Table1[[#This Row],[delayed]]=1,"Medium Risk","Low Risk"))</f>
        <v>Medium Risk</v>
      </c>
    </row>
    <row r="1431" spans="1:14" x14ac:dyDescent="0.35">
      <c r="A1431">
        <v>1430</v>
      </c>
      <c r="B1431" s="1">
        <v>44986.541666666664</v>
      </c>
      <c r="C1431" s="2">
        <v>5.3472222222222227E-2</v>
      </c>
      <c r="D1431" s="3">
        <v>1785</v>
      </c>
      <c r="E1431" s="3">
        <v>217</v>
      </c>
      <c r="F1431" s="2">
        <v>48.629861111111104</v>
      </c>
      <c r="G1431" t="s">
        <v>2812</v>
      </c>
      <c r="H1431" t="s">
        <v>2820</v>
      </c>
      <c r="I1431" s="2">
        <v>2.0055555555555555</v>
      </c>
      <c r="J1431" s="4" t="str">
        <f>IF(Table1[[#This Row],[processing_time_hours]]&gt;1.5,"Slow", "Fast")</f>
        <v>Slow</v>
      </c>
      <c r="K1431" t="s">
        <v>2818</v>
      </c>
      <c r="L1431" s="3">
        <v>1</v>
      </c>
      <c r="M1431" t="str">
        <f>IF(Table1[[#This Row],[delayed]]=1,"Delayed","On Time")</f>
        <v>Delayed</v>
      </c>
      <c r="N1431" t="str">
        <f>IF(AND(Table1[[#This Row],[delayed]]=1,Table1[[#This Row],[weather_condition]]="Storm"),"High Risk", IF(Table1[[#This Row],[delayed]]=1,"Medium Risk","Low Risk"))</f>
        <v>Medium Risk</v>
      </c>
    </row>
    <row r="1432" spans="1:14" x14ac:dyDescent="0.35">
      <c r="A1432">
        <v>1431</v>
      </c>
      <c r="B1432" s="1">
        <v>44986.583333333336</v>
      </c>
      <c r="C1432" s="2">
        <v>4.1666666666666666E-3</v>
      </c>
      <c r="D1432" s="3">
        <v>1835</v>
      </c>
      <c r="E1432" s="3">
        <v>3</v>
      </c>
      <c r="F1432" s="2">
        <v>63.794444444444444</v>
      </c>
      <c r="G1432" t="s">
        <v>2812</v>
      </c>
      <c r="H1432" t="s">
        <v>2822</v>
      </c>
      <c r="I1432" s="2">
        <v>1.8812499999999999</v>
      </c>
      <c r="J1432" s="4" t="str">
        <f>IF(Table1[[#This Row],[processing_time_hours]]&gt;1.5,"Slow", "Fast")</f>
        <v>Slow</v>
      </c>
      <c r="K1432" t="s">
        <v>2814</v>
      </c>
      <c r="L1432" s="3">
        <v>1</v>
      </c>
      <c r="M1432" t="str">
        <f>IF(Table1[[#This Row],[delayed]]=1,"Delayed","On Time")</f>
        <v>Delayed</v>
      </c>
      <c r="N1432" t="str">
        <f>IF(AND(Table1[[#This Row],[delayed]]=1,Table1[[#This Row],[weather_condition]]="Storm"),"High Risk", IF(Table1[[#This Row],[delayed]]=1,"Medium Risk","Low Risk"))</f>
        <v>Medium Risk</v>
      </c>
    </row>
    <row r="1433" spans="1:14" x14ac:dyDescent="0.35">
      <c r="A1433">
        <v>1432</v>
      </c>
      <c r="B1433" s="1">
        <v>44986.625</v>
      </c>
      <c r="C1433" s="2">
        <v>6.1805555555555558E-2</v>
      </c>
      <c r="D1433" s="3">
        <v>187</v>
      </c>
      <c r="E1433" s="3">
        <v>226</v>
      </c>
      <c r="F1433" s="2">
        <v>44.670138888888886</v>
      </c>
      <c r="G1433" t="s">
        <v>2812</v>
      </c>
      <c r="H1433" t="s">
        <v>2822</v>
      </c>
      <c r="I1433" s="2">
        <v>1.3388888888888888</v>
      </c>
      <c r="J1433" s="4" t="str">
        <f>IF(Table1[[#This Row],[processing_time_hours]]&gt;1.5,"Slow", "Fast")</f>
        <v>Fast</v>
      </c>
      <c r="K1433" t="s">
        <v>2814</v>
      </c>
      <c r="L1433" s="3">
        <v>1</v>
      </c>
      <c r="M1433" t="str">
        <f>IF(Table1[[#This Row],[delayed]]=1,"Delayed","On Time")</f>
        <v>Delayed</v>
      </c>
      <c r="N1433" t="str">
        <f>IF(AND(Table1[[#This Row],[delayed]]=1,Table1[[#This Row],[weather_condition]]="Storm"),"High Risk", IF(Table1[[#This Row],[delayed]]=1,"Medium Risk","Low Risk"))</f>
        <v>Medium Risk</v>
      </c>
    </row>
    <row r="1434" spans="1:14" x14ac:dyDescent="0.35">
      <c r="A1434">
        <v>1433</v>
      </c>
      <c r="B1434" s="1">
        <v>44986.666666666664</v>
      </c>
      <c r="C1434" s="2">
        <v>4.9305555555555554E-2</v>
      </c>
      <c r="D1434" s="3">
        <v>707</v>
      </c>
      <c r="E1434" s="3">
        <v>463</v>
      </c>
      <c r="F1434" s="2">
        <v>41.00277777777778</v>
      </c>
      <c r="G1434" t="s">
        <v>2816</v>
      </c>
      <c r="H1434" t="s">
        <v>2820</v>
      </c>
      <c r="I1434" s="2">
        <v>2.6284722222222223</v>
      </c>
      <c r="J1434" s="4" t="str">
        <f>IF(Table1[[#This Row],[processing_time_hours]]&gt;1.5,"Slow", "Fast")</f>
        <v>Slow</v>
      </c>
      <c r="K1434" t="s">
        <v>2818</v>
      </c>
      <c r="L1434" s="3">
        <v>1</v>
      </c>
      <c r="M1434" t="str">
        <f>IF(Table1[[#This Row],[delayed]]=1,"Delayed","On Time")</f>
        <v>Delayed</v>
      </c>
      <c r="N1434" t="str">
        <f>IF(AND(Table1[[#This Row],[delayed]]=1,Table1[[#This Row],[weather_condition]]="Storm"),"High Risk", IF(Table1[[#This Row],[delayed]]=1,"Medium Risk","Low Risk"))</f>
        <v>Medium Risk</v>
      </c>
    </row>
    <row r="1435" spans="1:14" x14ac:dyDescent="0.35">
      <c r="A1435">
        <v>1434</v>
      </c>
      <c r="B1435" s="1">
        <v>44986.708333333336</v>
      </c>
      <c r="C1435" s="2">
        <v>5.9722222222222225E-2</v>
      </c>
      <c r="D1435" s="3">
        <v>4734</v>
      </c>
      <c r="E1435" s="3">
        <v>270</v>
      </c>
      <c r="F1435" s="2">
        <v>39.878472222222221</v>
      </c>
      <c r="G1435" t="s">
        <v>2812</v>
      </c>
      <c r="H1435" t="s">
        <v>2820</v>
      </c>
      <c r="I1435" s="2">
        <v>0.75347222222222221</v>
      </c>
      <c r="J1435" s="4" t="str">
        <f>IF(Table1[[#This Row],[processing_time_hours]]&gt;1.5,"Slow", "Fast")</f>
        <v>Fast</v>
      </c>
      <c r="K1435" t="s">
        <v>2818</v>
      </c>
      <c r="L1435" s="3">
        <v>1</v>
      </c>
      <c r="M1435" t="str">
        <f>IF(Table1[[#This Row],[delayed]]=1,"Delayed","On Time")</f>
        <v>Delayed</v>
      </c>
      <c r="N1435" t="str">
        <f>IF(AND(Table1[[#This Row],[delayed]]=1,Table1[[#This Row],[weather_condition]]="Storm"),"High Risk", IF(Table1[[#This Row],[delayed]]=1,"Medium Risk","Low Risk"))</f>
        <v>Medium Risk</v>
      </c>
    </row>
    <row r="1436" spans="1:14" x14ac:dyDescent="0.35">
      <c r="A1436">
        <v>1435</v>
      </c>
      <c r="B1436" s="1">
        <v>44986.75</v>
      </c>
      <c r="C1436" s="2">
        <v>4.3055555555555562E-2</v>
      </c>
      <c r="D1436" s="3">
        <v>2416</v>
      </c>
      <c r="E1436" s="3">
        <v>99</v>
      </c>
      <c r="F1436" s="2">
        <v>9.5840277777777789</v>
      </c>
      <c r="G1436" t="s">
        <v>2815</v>
      </c>
      <c r="H1436" t="s">
        <v>2820</v>
      </c>
      <c r="I1436" s="2">
        <v>1.2506944444444443</v>
      </c>
      <c r="J1436" s="4" t="str">
        <f>IF(Table1[[#This Row],[processing_time_hours]]&gt;1.5,"Slow", "Fast")</f>
        <v>Fast</v>
      </c>
      <c r="K1436" t="s">
        <v>2821</v>
      </c>
      <c r="L1436" s="3">
        <v>0</v>
      </c>
      <c r="M1436" t="str">
        <f>IF(Table1[[#This Row],[delayed]]=1,"Delayed","On Time")</f>
        <v>On Time</v>
      </c>
      <c r="N1436" t="str">
        <f>IF(AND(Table1[[#This Row],[delayed]]=1,Table1[[#This Row],[weather_condition]]="Storm"),"High Risk", IF(Table1[[#This Row],[delayed]]=1,"Medium Risk","Low Risk"))</f>
        <v>Low Risk</v>
      </c>
    </row>
    <row r="1437" spans="1:14" x14ac:dyDescent="0.35">
      <c r="A1437">
        <v>1436</v>
      </c>
      <c r="B1437" s="1">
        <v>44986.791666666664</v>
      </c>
      <c r="C1437" s="2">
        <v>5.1388888888888894E-2</v>
      </c>
      <c r="D1437" s="3">
        <v>4228</v>
      </c>
      <c r="E1437" s="3">
        <v>440</v>
      </c>
      <c r="F1437" s="2">
        <v>18.252777777777776</v>
      </c>
      <c r="G1437" t="s">
        <v>2819</v>
      </c>
      <c r="H1437" t="s">
        <v>2820</v>
      </c>
      <c r="I1437" s="2">
        <v>0.71250000000000002</v>
      </c>
      <c r="J1437" s="4" t="str">
        <f>IF(Table1[[#This Row],[processing_time_hours]]&gt;1.5,"Slow", "Fast")</f>
        <v>Fast</v>
      </c>
      <c r="K1437" t="s">
        <v>2821</v>
      </c>
      <c r="L1437" s="3">
        <v>1</v>
      </c>
      <c r="M1437" t="str">
        <f>IF(Table1[[#This Row],[delayed]]=1,"Delayed","On Time")</f>
        <v>Delayed</v>
      </c>
      <c r="N1437" t="str">
        <f>IF(AND(Table1[[#This Row],[delayed]]=1,Table1[[#This Row],[weather_condition]]="Storm"),"High Risk", IF(Table1[[#This Row],[delayed]]=1,"Medium Risk","Low Risk"))</f>
        <v>Medium Risk</v>
      </c>
    </row>
    <row r="1438" spans="1:14" x14ac:dyDescent="0.35">
      <c r="A1438">
        <v>1437</v>
      </c>
      <c r="B1438" s="1">
        <v>44986.833333333336</v>
      </c>
      <c r="C1438" s="2">
        <v>5.9027777777777783E-2</v>
      </c>
      <c r="D1438" s="3">
        <v>3262</v>
      </c>
      <c r="E1438" s="3">
        <v>244</v>
      </c>
      <c r="F1438" s="2">
        <v>57.047222222222224</v>
      </c>
      <c r="G1438" t="s">
        <v>2812</v>
      </c>
      <c r="H1438" t="s">
        <v>2813</v>
      </c>
      <c r="I1438" s="2">
        <v>2.2965277777777779</v>
      </c>
      <c r="J1438" s="4" t="str">
        <f>IF(Table1[[#This Row],[processing_time_hours]]&gt;1.5,"Slow", "Fast")</f>
        <v>Slow</v>
      </c>
      <c r="K1438" t="s">
        <v>2814</v>
      </c>
      <c r="L1438" s="3">
        <v>0</v>
      </c>
      <c r="M1438" t="str">
        <f>IF(Table1[[#This Row],[delayed]]=1,"Delayed","On Time")</f>
        <v>On Time</v>
      </c>
      <c r="N1438" t="str">
        <f>IF(AND(Table1[[#This Row],[delayed]]=1,Table1[[#This Row],[weather_condition]]="Storm"),"High Risk", IF(Table1[[#This Row],[delayed]]=1,"Medium Risk","Low Risk"))</f>
        <v>Low Risk</v>
      </c>
    </row>
    <row r="1439" spans="1:14" x14ac:dyDescent="0.35">
      <c r="A1439">
        <v>1438</v>
      </c>
      <c r="B1439" s="1">
        <v>44986.875</v>
      </c>
      <c r="C1439" s="2">
        <v>4.5138888888888888E-2</v>
      </c>
      <c r="D1439" s="3">
        <v>1802</v>
      </c>
      <c r="E1439" s="3">
        <v>488</v>
      </c>
      <c r="F1439" s="2">
        <v>13.667361111111111</v>
      </c>
      <c r="G1439" t="s">
        <v>2816</v>
      </c>
      <c r="H1439" t="s">
        <v>2820</v>
      </c>
      <c r="I1439" s="2">
        <v>1.9631944444444445</v>
      </c>
      <c r="J1439" s="4" t="str">
        <f>IF(Table1[[#This Row],[processing_time_hours]]&gt;1.5,"Slow", "Fast")</f>
        <v>Slow</v>
      </c>
      <c r="K1439" t="s">
        <v>2814</v>
      </c>
      <c r="L1439" s="3">
        <v>0</v>
      </c>
      <c r="M1439" t="str">
        <f>IF(Table1[[#This Row],[delayed]]=1,"Delayed","On Time")</f>
        <v>On Time</v>
      </c>
      <c r="N1439" t="str">
        <f>IF(AND(Table1[[#This Row],[delayed]]=1,Table1[[#This Row],[weather_condition]]="Storm"),"High Risk", IF(Table1[[#This Row],[delayed]]=1,"Medium Risk","Low Risk"))</f>
        <v>Low Risk</v>
      </c>
    </row>
    <row r="1440" spans="1:14" x14ac:dyDescent="0.35">
      <c r="A1440">
        <v>1439</v>
      </c>
      <c r="B1440" s="1">
        <v>44986.916666666664</v>
      </c>
      <c r="C1440" s="2">
        <v>5.0694444444444438E-2</v>
      </c>
      <c r="D1440" s="3">
        <v>1589</v>
      </c>
      <c r="E1440" s="3">
        <v>252</v>
      </c>
      <c r="F1440" s="2">
        <v>15.167361111111111</v>
      </c>
      <c r="G1440" t="s">
        <v>2819</v>
      </c>
      <c r="H1440" t="s">
        <v>2813</v>
      </c>
      <c r="I1440" s="2">
        <v>1.2923611111111111</v>
      </c>
      <c r="J1440" s="4" t="str">
        <f>IF(Table1[[#This Row],[processing_time_hours]]&gt;1.5,"Slow", "Fast")</f>
        <v>Fast</v>
      </c>
      <c r="K1440" t="s">
        <v>2821</v>
      </c>
      <c r="L1440" s="3">
        <v>1</v>
      </c>
      <c r="M1440" t="str">
        <f>IF(Table1[[#This Row],[delayed]]=1,"Delayed","On Time")</f>
        <v>Delayed</v>
      </c>
      <c r="N1440" t="str">
        <f>IF(AND(Table1[[#This Row],[delayed]]=1,Table1[[#This Row],[weather_condition]]="Storm"),"High Risk", IF(Table1[[#This Row],[delayed]]=1,"Medium Risk","Low Risk"))</f>
        <v>Medium Risk</v>
      </c>
    </row>
    <row r="1441" spans="1:14" x14ac:dyDescent="0.35">
      <c r="A1441">
        <v>1440</v>
      </c>
      <c r="B1441" s="1">
        <v>44986.958333333336</v>
      </c>
      <c r="C1441" s="2">
        <v>4.5833333333333337E-2</v>
      </c>
      <c r="D1441" s="3">
        <v>2261</v>
      </c>
      <c r="E1441" s="3">
        <v>236</v>
      </c>
      <c r="F1441" s="2">
        <v>30.381249999999998</v>
      </c>
      <c r="G1441" t="s">
        <v>2815</v>
      </c>
      <c r="H1441" t="s">
        <v>2820</v>
      </c>
      <c r="I1441" s="2">
        <v>0.8340277777777777</v>
      </c>
      <c r="J1441" s="4" t="str">
        <f>IF(Table1[[#This Row],[processing_time_hours]]&gt;1.5,"Slow", "Fast")</f>
        <v>Fast</v>
      </c>
      <c r="K1441" t="s">
        <v>2818</v>
      </c>
      <c r="L1441" s="3">
        <v>1</v>
      </c>
      <c r="M1441" t="str">
        <f>IF(Table1[[#This Row],[delayed]]=1,"Delayed","On Time")</f>
        <v>Delayed</v>
      </c>
      <c r="N1441" t="str">
        <f>IF(AND(Table1[[#This Row],[delayed]]=1,Table1[[#This Row],[weather_condition]]="Storm"),"High Risk", IF(Table1[[#This Row],[delayed]]=1,"Medium Risk","Low Risk"))</f>
        <v>Medium Risk</v>
      </c>
    </row>
    <row r="1442" spans="1:14" x14ac:dyDescent="0.35">
      <c r="A1442">
        <v>1441</v>
      </c>
      <c r="B1442" s="1">
        <v>44987</v>
      </c>
      <c r="C1442" s="2">
        <v>6.6666666666666666E-2</v>
      </c>
      <c r="D1442" s="3">
        <v>3108</v>
      </c>
      <c r="E1442" s="3">
        <v>257</v>
      </c>
      <c r="F1442" s="2">
        <v>70.045138888888886</v>
      </c>
      <c r="G1442" t="s">
        <v>2816</v>
      </c>
      <c r="H1442" t="s">
        <v>2817</v>
      </c>
      <c r="I1442" s="2">
        <v>2.1256944444444446</v>
      </c>
      <c r="J1442" s="4" t="str">
        <f>IF(Table1[[#This Row],[processing_time_hours]]&gt;1.5,"Slow", "Fast")</f>
        <v>Slow</v>
      </c>
      <c r="K1442" t="s">
        <v>2821</v>
      </c>
      <c r="L1442" s="3">
        <v>0</v>
      </c>
      <c r="M1442" t="str">
        <f>IF(Table1[[#This Row],[delayed]]=1,"Delayed","On Time")</f>
        <v>On Time</v>
      </c>
      <c r="N1442" t="str">
        <f>IF(AND(Table1[[#This Row],[delayed]]=1,Table1[[#This Row],[weather_condition]]="Storm"),"High Risk", IF(Table1[[#This Row],[delayed]]=1,"Medium Risk","Low Risk"))</f>
        <v>Low Risk</v>
      </c>
    </row>
    <row r="1443" spans="1:14" x14ac:dyDescent="0.35">
      <c r="A1443">
        <v>1442</v>
      </c>
      <c r="B1443" s="1">
        <v>44987.041666666664</v>
      </c>
      <c r="C1443" s="2">
        <v>6.3194444444444442E-2</v>
      </c>
      <c r="D1443" s="3">
        <v>3440</v>
      </c>
      <c r="E1443" s="3">
        <v>72</v>
      </c>
      <c r="F1443" s="2">
        <v>62.962499999999999</v>
      </c>
      <c r="G1443" t="s">
        <v>2819</v>
      </c>
      <c r="H1443" t="s">
        <v>2820</v>
      </c>
      <c r="I1443" s="2">
        <v>2.8374999999999999</v>
      </c>
      <c r="J1443" s="4" t="str">
        <f>IF(Table1[[#This Row],[processing_time_hours]]&gt;1.5,"Slow", "Fast")</f>
        <v>Slow</v>
      </c>
      <c r="K1443" t="s">
        <v>2818</v>
      </c>
      <c r="L1443" s="3">
        <v>0</v>
      </c>
      <c r="M1443" t="str">
        <f>IF(Table1[[#This Row],[delayed]]=1,"Delayed","On Time")</f>
        <v>On Time</v>
      </c>
      <c r="N1443" t="str">
        <f>IF(AND(Table1[[#This Row],[delayed]]=1,Table1[[#This Row],[weather_condition]]="Storm"),"High Risk", IF(Table1[[#This Row],[delayed]]=1,"Medium Risk","Low Risk"))</f>
        <v>Low Risk</v>
      </c>
    </row>
    <row r="1444" spans="1:14" x14ac:dyDescent="0.35">
      <c r="A1444">
        <v>1443</v>
      </c>
      <c r="B1444" s="1">
        <v>44987.083333333336</v>
      </c>
      <c r="C1444" s="2">
        <v>5.9722222222222225E-2</v>
      </c>
      <c r="D1444" s="3">
        <v>2972</v>
      </c>
      <c r="E1444" s="3">
        <v>221</v>
      </c>
      <c r="F1444" s="2">
        <v>35.838888888888889</v>
      </c>
      <c r="G1444" t="s">
        <v>2812</v>
      </c>
      <c r="H1444" t="s">
        <v>2813</v>
      </c>
      <c r="I1444" s="2">
        <v>2.6270833333333332</v>
      </c>
      <c r="J1444" s="4" t="str">
        <f>IF(Table1[[#This Row],[processing_time_hours]]&gt;1.5,"Slow", "Fast")</f>
        <v>Slow</v>
      </c>
      <c r="K1444" t="s">
        <v>2821</v>
      </c>
      <c r="L1444" s="3">
        <v>0</v>
      </c>
      <c r="M1444" t="str">
        <f>IF(Table1[[#This Row],[delayed]]=1,"Delayed","On Time")</f>
        <v>On Time</v>
      </c>
      <c r="N1444" t="str">
        <f>IF(AND(Table1[[#This Row],[delayed]]=1,Table1[[#This Row],[weather_condition]]="Storm"),"High Risk", IF(Table1[[#This Row],[delayed]]=1,"Medium Risk","Low Risk"))</f>
        <v>Low Risk</v>
      </c>
    </row>
    <row r="1445" spans="1:14" x14ac:dyDescent="0.35">
      <c r="A1445">
        <v>1444</v>
      </c>
      <c r="B1445" s="1">
        <v>44987.125</v>
      </c>
      <c r="C1445" s="2">
        <v>5.6250000000000001E-2</v>
      </c>
      <c r="D1445" s="3">
        <v>4262</v>
      </c>
      <c r="E1445" s="3">
        <v>35</v>
      </c>
      <c r="F1445" s="2">
        <v>72.170833333333334</v>
      </c>
      <c r="G1445" t="s">
        <v>2812</v>
      </c>
      <c r="H1445" t="s">
        <v>2820</v>
      </c>
      <c r="I1445" s="2">
        <v>0.87569444444444444</v>
      </c>
      <c r="J1445" s="4" t="str">
        <f>IF(Table1[[#This Row],[processing_time_hours]]&gt;1.5,"Slow", "Fast")</f>
        <v>Fast</v>
      </c>
      <c r="K1445" t="s">
        <v>2818</v>
      </c>
      <c r="L1445" s="3">
        <v>1</v>
      </c>
      <c r="M1445" t="str">
        <f>IF(Table1[[#This Row],[delayed]]=1,"Delayed","On Time")</f>
        <v>Delayed</v>
      </c>
      <c r="N1445" t="str">
        <f>IF(AND(Table1[[#This Row],[delayed]]=1,Table1[[#This Row],[weather_condition]]="Storm"),"High Risk", IF(Table1[[#This Row],[delayed]]=1,"Medium Risk","Low Risk"))</f>
        <v>Medium Risk</v>
      </c>
    </row>
    <row r="1446" spans="1:14" x14ac:dyDescent="0.35">
      <c r="A1446">
        <v>1445</v>
      </c>
      <c r="B1446" s="1">
        <v>44987.166666666664</v>
      </c>
      <c r="C1446" s="2">
        <v>6.8749999999999992E-2</v>
      </c>
      <c r="D1446" s="3">
        <v>3922</v>
      </c>
      <c r="E1446" s="3">
        <v>471</v>
      </c>
      <c r="F1446" s="2">
        <v>70.713888888888889</v>
      </c>
      <c r="G1446" t="s">
        <v>2812</v>
      </c>
      <c r="H1446" t="s">
        <v>2822</v>
      </c>
      <c r="I1446" s="2">
        <v>0.41875000000000001</v>
      </c>
      <c r="J1446" s="4" t="str">
        <f>IF(Table1[[#This Row],[processing_time_hours]]&gt;1.5,"Slow", "Fast")</f>
        <v>Fast</v>
      </c>
      <c r="K1446" t="s">
        <v>2814</v>
      </c>
      <c r="L1446" s="3">
        <v>0</v>
      </c>
      <c r="M1446" t="str">
        <f>IF(Table1[[#This Row],[delayed]]=1,"Delayed","On Time")</f>
        <v>On Time</v>
      </c>
      <c r="N1446" t="str">
        <f>IF(AND(Table1[[#This Row],[delayed]]=1,Table1[[#This Row],[weather_condition]]="Storm"),"High Risk", IF(Table1[[#This Row],[delayed]]=1,"Medium Risk","Low Risk"))</f>
        <v>Low Risk</v>
      </c>
    </row>
    <row r="1447" spans="1:14" x14ac:dyDescent="0.35">
      <c r="A1447">
        <v>1446</v>
      </c>
      <c r="B1447" s="1">
        <v>44987.208333333336</v>
      </c>
      <c r="C1447" s="2">
        <v>4.8611111111111112E-3</v>
      </c>
      <c r="D1447" s="3">
        <v>3326</v>
      </c>
      <c r="E1447" s="3">
        <v>136</v>
      </c>
      <c r="F1447" s="2">
        <v>67.50277777777778</v>
      </c>
      <c r="G1447" t="s">
        <v>2819</v>
      </c>
      <c r="H1447" t="s">
        <v>2817</v>
      </c>
      <c r="I1447" s="2">
        <v>8.3333333333333329E-2</v>
      </c>
      <c r="J1447" s="4" t="str">
        <f>IF(Table1[[#This Row],[processing_time_hours]]&gt;1.5,"Slow", "Fast")</f>
        <v>Fast</v>
      </c>
      <c r="K1447" t="s">
        <v>2818</v>
      </c>
      <c r="L1447" s="3">
        <v>0</v>
      </c>
      <c r="M1447" t="str">
        <f>IF(Table1[[#This Row],[delayed]]=1,"Delayed","On Time")</f>
        <v>On Time</v>
      </c>
      <c r="N1447" t="str">
        <f>IF(AND(Table1[[#This Row],[delayed]]=1,Table1[[#This Row],[weather_condition]]="Storm"),"High Risk", IF(Table1[[#This Row],[delayed]]=1,"Medium Risk","Low Risk"))</f>
        <v>Low Risk</v>
      </c>
    </row>
    <row r="1448" spans="1:14" x14ac:dyDescent="0.35">
      <c r="A1448">
        <v>1447</v>
      </c>
      <c r="B1448" s="1">
        <v>44987.25</v>
      </c>
      <c r="C1448" s="2">
        <v>6.1111111111111109E-2</v>
      </c>
      <c r="D1448" s="3">
        <v>1450</v>
      </c>
      <c r="E1448" s="3">
        <v>409</v>
      </c>
      <c r="F1448" s="2">
        <v>49.839583333333337</v>
      </c>
      <c r="G1448" t="s">
        <v>2812</v>
      </c>
      <c r="H1448" t="s">
        <v>2817</v>
      </c>
      <c r="I1448" s="2">
        <v>1.0416666666666667</v>
      </c>
      <c r="J1448" s="4" t="str">
        <f>IF(Table1[[#This Row],[processing_time_hours]]&gt;1.5,"Slow", "Fast")</f>
        <v>Fast</v>
      </c>
      <c r="K1448" t="s">
        <v>2818</v>
      </c>
      <c r="L1448" s="3">
        <v>0</v>
      </c>
      <c r="M1448" t="str">
        <f>IF(Table1[[#This Row],[delayed]]=1,"Delayed","On Time")</f>
        <v>On Time</v>
      </c>
      <c r="N1448" t="str">
        <f>IF(AND(Table1[[#This Row],[delayed]]=1,Table1[[#This Row],[weather_condition]]="Storm"),"High Risk", IF(Table1[[#This Row],[delayed]]=1,"Medium Risk","Low Risk"))</f>
        <v>Low Risk</v>
      </c>
    </row>
    <row r="1449" spans="1:14" x14ac:dyDescent="0.35">
      <c r="A1449">
        <v>1448</v>
      </c>
      <c r="B1449" s="1">
        <v>44987.291666666664</v>
      </c>
      <c r="C1449" s="2">
        <v>4.3750000000000004E-2</v>
      </c>
      <c r="D1449" s="3">
        <v>2107</v>
      </c>
      <c r="E1449" s="3">
        <v>433</v>
      </c>
      <c r="F1449" s="2">
        <v>16.253472222222221</v>
      </c>
      <c r="G1449" t="s">
        <v>2816</v>
      </c>
      <c r="H1449" t="s">
        <v>2820</v>
      </c>
      <c r="I1449" s="2">
        <v>2.7111111111111108</v>
      </c>
      <c r="J1449" s="4" t="str">
        <f>IF(Table1[[#This Row],[processing_time_hours]]&gt;1.5,"Slow", "Fast")</f>
        <v>Slow</v>
      </c>
      <c r="K1449" t="s">
        <v>2818</v>
      </c>
      <c r="L1449" s="3">
        <v>0</v>
      </c>
      <c r="M1449" t="str">
        <f>IF(Table1[[#This Row],[delayed]]=1,"Delayed","On Time")</f>
        <v>On Time</v>
      </c>
      <c r="N1449" t="str">
        <f>IF(AND(Table1[[#This Row],[delayed]]=1,Table1[[#This Row],[weather_condition]]="Storm"),"High Risk", IF(Table1[[#This Row],[delayed]]=1,"Medium Risk","Low Risk"))</f>
        <v>Low Risk</v>
      </c>
    </row>
    <row r="1450" spans="1:14" x14ac:dyDescent="0.35">
      <c r="A1450">
        <v>1449</v>
      </c>
      <c r="B1450" s="1">
        <v>44987.333333333336</v>
      </c>
      <c r="C1450" s="2">
        <v>5.9027777777777783E-2</v>
      </c>
      <c r="D1450" s="3">
        <v>3136</v>
      </c>
      <c r="E1450" s="3">
        <v>243</v>
      </c>
      <c r="F1450" s="2">
        <v>52.254166666666663</v>
      </c>
      <c r="G1450" t="s">
        <v>2815</v>
      </c>
      <c r="H1450" t="s">
        <v>2813</v>
      </c>
      <c r="I1450" s="2">
        <v>2.7520833333333332</v>
      </c>
      <c r="J1450" s="4" t="str">
        <f>IF(Table1[[#This Row],[processing_time_hours]]&gt;1.5,"Slow", "Fast")</f>
        <v>Slow</v>
      </c>
      <c r="K1450" t="s">
        <v>2821</v>
      </c>
      <c r="L1450" s="3">
        <v>0</v>
      </c>
      <c r="M1450" t="str">
        <f>IF(Table1[[#This Row],[delayed]]=1,"Delayed","On Time")</f>
        <v>On Time</v>
      </c>
      <c r="N1450" t="str">
        <f>IF(AND(Table1[[#This Row],[delayed]]=1,Table1[[#This Row],[weather_condition]]="Storm"),"High Risk", IF(Table1[[#This Row],[delayed]]=1,"Medium Risk","Low Risk"))</f>
        <v>Low Risk</v>
      </c>
    </row>
    <row r="1451" spans="1:14" x14ac:dyDescent="0.35">
      <c r="A1451">
        <v>1450</v>
      </c>
      <c r="B1451" s="1">
        <v>44987.375</v>
      </c>
      <c r="C1451" s="2">
        <v>4.7222222222222221E-2</v>
      </c>
      <c r="D1451" s="3">
        <v>4888</v>
      </c>
      <c r="E1451" s="3">
        <v>460</v>
      </c>
      <c r="F1451" s="2">
        <v>4.9638888888888895</v>
      </c>
      <c r="G1451" t="s">
        <v>2812</v>
      </c>
      <c r="H1451" t="s">
        <v>2822</v>
      </c>
      <c r="I1451" s="2">
        <v>2.629861111111111</v>
      </c>
      <c r="J1451" s="4" t="str">
        <f>IF(Table1[[#This Row],[processing_time_hours]]&gt;1.5,"Slow", "Fast")</f>
        <v>Slow</v>
      </c>
      <c r="K1451" t="s">
        <v>2818</v>
      </c>
      <c r="L1451" s="3">
        <v>1</v>
      </c>
      <c r="M1451" t="str">
        <f>IF(Table1[[#This Row],[delayed]]=1,"Delayed","On Time")</f>
        <v>Delayed</v>
      </c>
      <c r="N1451" t="str">
        <f>IF(AND(Table1[[#This Row],[delayed]]=1,Table1[[#This Row],[weather_condition]]="Storm"),"High Risk", IF(Table1[[#This Row],[delayed]]=1,"Medium Risk","Low Risk"))</f>
        <v>Medium Risk</v>
      </c>
    </row>
    <row r="1452" spans="1:14" x14ac:dyDescent="0.35">
      <c r="A1452">
        <v>1451</v>
      </c>
      <c r="B1452" s="1">
        <v>44987.416666666664</v>
      </c>
      <c r="C1452" s="2">
        <v>4.1666666666666666E-3</v>
      </c>
      <c r="D1452" s="3">
        <v>975</v>
      </c>
      <c r="E1452" s="3">
        <v>213</v>
      </c>
      <c r="F1452" s="2">
        <v>61.464583333333337</v>
      </c>
      <c r="G1452" t="s">
        <v>2812</v>
      </c>
      <c r="H1452" t="s">
        <v>2817</v>
      </c>
      <c r="I1452" s="2">
        <v>0.50208333333333333</v>
      </c>
      <c r="J1452" s="4" t="str">
        <f>IF(Table1[[#This Row],[processing_time_hours]]&gt;1.5,"Slow", "Fast")</f>
        <v>Fast</v>
      </c>
      <c r="K1452" t="s">
        <v>2818</v>
      </c>
      <c r="L1452" s="3">
        <v>0</v>
      </c>
      <c r="M1452" t="str">
        <f>IF(Table1[[#This Row],[delayed]]=1,"Delayed","On Time")</f>
        <v>On Time</v>
      </c>
      <c r="N1452" t="str">
        <f>IF(AND(Table1[[#This Row],[delayed]]=1,Table1[[#This Row],[weather_condition]]="Storm"),"High Risk", IF(Table1[[#This Row],[delayed]]=1,"Medium Risk","Low Risk"))</f>
        <v>Low Risk</v>
      </c>
    </row>
    <row r="1453" spans="1:14" x14ac:dyDescent="0.35">
      <c r="A1453">
        <v>1452</v>
      </c>
      <c r="B1453" s="1">
        <v>44987.458333333336</v>
      </c>
      <c r="C1453" s="2">
        <v>6.6666666666666666E-2</v>
      </c>
      <c r="D1453" s="3">
        <v>75</v>
      </c>
      <c r="E1453" s="3">
        <v>373</v>
      </c>
      <c r="F1453" s="2">
        <v>17.088888888888889</v>
      </c>
      <c r="G1453" t="s">
        <v>2812</v>
      </c>
      <c r="H1453" t="s">
        <v>2822</v>
      </c>
      <c r="I1453" s="2">
        <v>0.96180555555555547</v>
      </c>
      <c r="J1453" s="4" t="str">
        <f>IF(Table1[[#This Row],[processing_time_hours]]&gt;1.5,"Slow", "Fast")</f>
        <v>Fast</v>
      </c>
      <c r="K1453" t="s">
        <v>2818</v>
      </c>
      <c r="L1453" s="3">
        <v>1</v>
      </c>
      <c r="M1453" t="str">
        <f>IF(Table1[[#This Row],[delayed]]=1,"Delayed","On Time")</f>
        <v>Delayed</v>
      </c>
      <c r="N1453" t="str">
        <f>IF(AND(Table1[[#This Row],[delayed]]=1,Table1[[#This Row],[weather_condition]]="Storm"),"High Risk", IF(Table1[[#This Row],[delayed]]=1,"Medium Risk","Low Risk"))</f>
        <v>Medium Risk</v>
      </c>
    </row>
    <row r="1454" spans="1:14" x14ac:dyDescent="0.35">
      <c r="A1454">
        <v>1453</v>
      </c>
      <c r="B1454" s="1">
        <v>44987.5</v>
      </c>
      <c r="C1454" s="2">
        <v>4.9305555555555554E-2</v>
      </c>
      <c r="D1454" s="3">
        <v>4807</v>
      </c>
      <c r="E1454" s="3">
        <v>417</v>
      </c>
      <c r="F1454" s="2">
        <v>30.459027777777777</v>
      </c>
      <c r="G1454" t="s">
        <v>2819</v>
      </c>
      <c r="H1454" t="s">
        <v>2820</v>
      </c>
      <c r="I1454" s="2">
        <v>0.33680555555555558</v>
      </c>
      <c r="J1454" s="4" t="str">
        <f>IF(Table1[[#This Row],[processing_time_hours]]&gt;1.5,"Slow", "Fast")</f>
        <v>Fast</v>
      </c>
      <c r="K1454" t="s">
        <v>2821</v>
      </c>
      <c r="L1454" s="3">
        <v>0</v>
      </c>
      <c r="M1454" t="str">
        <f>IF(Table1[[#This Row],[delayed]]=1,"Delayed","On Time")</f>
        <v>On Time</v>
      </c>
      <c r="N1454" t="str">
        <f>IF(AND(Table1[[#This Row],[delayed]]=1,Table1[[#This Row],[weather_condition]]="Storm"),"High Risk", IF(Table1[[#This Row],[delayed]]=1,"Medium Risk","Low Risk"))</f>
        <v>Low Risk</v>
      </c>
    </row>
    <row r="1455" spans="1:14" x14ac:dyDescent="0.35">
      <c r="A1455">
        <v>1454</v>
      </c>
      <c r="B1455" s="1">
        <v>44987.541666666664</v>
      </c>
      <c r="C1455" s="2">
        <v>4.1666666666666664E-2</v>
      </c>
      <c r="D1455" s="3">
        <v>823</v>
      </c>
      <c r="E1455" s="3">
        <v>390</v>
      </c>
      <c r="F1455" s="2">
        <v>76.708333333333329</v>
      </c>
      <c r="G1455" t="s">
        <v>2815</v>
      </c>
      <c r="H1455" t="s">
        <v>2820</v>
      </c>
      <c r="I1455" s="2">
        <v>2.754861111111111</v>
      </c>
      <c r="J1455" s="4" t="str">
        <f>IF(Table1[[#This Row],[processing_time_hours]]&gt;1.5,"Slow", "Fast")</f>
        <v>Slow</v>
      </c>
      <c r="K1455" t="s">
        <v>2818</v>
      </c>
      <c r="L1455" s="3">
        <v>0</v>
      </c>
      <c r="M1455" t="str">
        <f>IF(Table1[[#This Row],[delayed]]=1,"Delayed","On Time")</f>
        <v>On Time</v>
      </c>
      <c r="N1455" t="str">
        <f>IF(AND(Table1[[#This Row],[delayed]]=1,Table1[[#This Row],[weather_condition]]="Storm"),"High Risk", IF(Table1[[#This Row],[delayed]]=1,"Medium Risk","Low Risk"))</f>
        <v>Low Risk</v>
      </c>
    </row>
    <row r="1456" spans="1:14" x14ac:dyDescent="0.35">
      <c r="A1456">
        <v>1455</v>
      </c>
      <c r="B1456" s="1">
        <v>44987.583333333336</v>
      </c>
      <c r="C1456" s="2">
        <v>6.0416666666666667E-2</v>
      </c>
      <c r="D1456" s="3">
        <v>410</v>
      </c>
      <c r="E1456" s="3">
        <v>196</v>
      </c>
      <c r="F1456" s="2">
        <v>34.25277777777778</v>
      </c>
      <c r="G1456" t="s">
        <v>2815</v>
      </c>
      <c r="H1456" t="s">
        <v>2813</v>
      </c>
      <c r="I1456" s="2">
        <v>2.0868055555555558</v>
      </c>
      <c r="J1456" s="4" t="str">
        <f>IF(Table1[[#This Row],[processing_time_hours]]&gt;1.5,"Slow", "Fast")</f>
        <v>Slow</v>
      </c>
      <c r="K1456" t="s">
        <v>2818</v>
      </c>
      <c r="L1456" s="3">
        <v>0</v>
      </c>
      <c r="M1456" t="str">
        <f>IF(Table1[[#This Row],[delayed]]=1,"Delayed","On Time")</f>
        <v>On Time</v>
      </c>
      <c r="N1456" t="str">
        <f>IF(AND(Table1[[#This Row],[delayed]]=1,Table1[[#This Row],[weather_condition]]="Storm"),"High Risk", IF(Table1[[#This Row],[delayed]]=1,"Medium Risk","Low Risk"))</f>
        <v>Low Risk</v>
      </c>
    </row>
    <row r="1457" spans="1:14" x14ac:dyDescent="0.35">
      <c r="A1457">
        <v>1456</v>
      </c>
      <c r="B1457" s="1">
        <v>44987.625</v>
      </c>
      <c r="C1457" s="2">
        <v>6.0416666666666667E-2</v>
      </c>
      <c r="D1457" s="3">
        <v>3809</v>
      </c>
      <c r="E1457" s="3">
        <v>445</v>
      </c>
      <c r="F1457" s="2">
        <v>45.96319444444444</v>
      </c>
      <c r="G1457" t="s">
        <v>2816</v>
      </c>
      <c r="H1457" t="s">
        <v>2820</v>
      </c>
      <c r="I1457" s="2">
        <v>1.7125000000000001</v>
      </c>
      <c r="J1457" s="4" t="str">
        <f>IF(Table1[[#This Row],[processing_time_hours]]&gt;1.5,"Slow", "Fast")</f>
        <v>Slow</v>
      </c>
      <c r="K1457" t="s">
        <v>2814</v>
      </c>
      <c r="L1457" s="3">
        <v>0</v>
      </c>
      <c r="M1457" t="str">
        <f>IF(Table1[[#This Row],[delayed]]=1,"Delayed","On Time")</f>
        <v>On Time</v>
      </c>
      <c r="N1457" t="str">
        <f>IF(AND(Table1[[#This Row],[delayed]]=1,Table1[[#This Row],[weather_condition]]="Storm"),"High Risk", IF(Table1[[#This Row],[delayed]]=1,"Medium Risk","Low Risk"))</f>
        <v>Low Risk</v>
      </c>
    </row>
    <row r="1458" spans="1:14" x14ac:dyDescent="0.35">
      <c r="A1458">
        <v>1457</v>
      </c>
      <c r="B1458" s="1">
        <v>44987.666666666664</v>
      </c>
      <c r="C1458" s="2">
        <v>6.0416666666666667E-2</v>
      </c>
      <c r="D1458" s="3">
        <v>4094</v>
      </c>
      <c r="E1458" s="3">
        <v>467</v>
      </c>
      <c r="F1458" s="2">
        <v>5.541666666666667</v>
      </c>
      <c r="G1458" t="s">
        <v>2815</v>
      </c>
      <c r="H1458" t="s">
        <v>2822</v>
      </c>
      <c r="I1458" s="2">
        <v>2.004861111111111</v>
      </c>
      <c r="J1458" s="4" t="str">
        <f>IF(Table1[[#This Row],[processing_time_hours]]&gt;1.5,"Slow", "Fast")</f>
        <v>Slow</v>
      </c>
      <c r="K1458" t="s">
        <v>2821</v>
      </c>
      <c r="L1458" s="3">
        <v>0</v>
      </c>
      <c r="M1458" t="str">
        <f>IF(Table1[[#This Row],[delayed]]=1,"Delayed","On Time")</f>
        <v>On Time</v>
      </c>
      <c r="N1458" t="str">
        <f>IF(AND(Table1[[#This Row],[delayed]]=1,Table1[[#This Row],[weather_condition]]="Storm"),"High Risk", IF(Table1[[#This Row],[delayed]]=1,"Medium Risk","Low Risk"))</f>
        <v>Low Risk</v>
      </c>
    </row>
    <row r="1459" spans="1:14" x14ac:dyDescent="0.35">
      <c r="A1459">
        <v>1458</v>
      </c>
      <c r="B1459" s="1">
        <v>44987.708333333336</v>
      </c>
      <c r="C1459" s="2">
        <v>4.1666666666666664E-2</v>
      </c>
      <c r="D1459" s="3">
        <v>2953</v>
      </c>
      <c r="E1459" s="3">
        <v>450</v>
      </c>
      <c r="F1459" s="2">
        <v>18.795138888888889</v>
      </c>
      <c r="G1459" t="s">
        <v>2815</v>
      </c>
      <c r="H1459" t="s">
        <v>2813</v>
      </c>
      <c r="I1459" s="2">
        <v>0.33749999999999997</v>
      </c>
      <c r="J1459" s="4" t="str">
        <f>IF(Table1[[#This Row],[processing_time_hours]]&gt;1.5,"Slow", "Fast")</f>
        <v>Fast</v>
      </c>
      <c r="K1459" t="s">
        <v>2818</v>
      </c>
      <c r="L1459" s="3">
        <v>0</v>
      </c>
      <c r="M1459" t="str">
        <f>IF(Table1[[#This Row],[delayed]]=1,"Delayed","On Time")</f>
        <v>On Time</v>
      </c>
      <c r="N1459" t="str">
        <f>IF(AND(Table1[[#This Row],[delayed]]=1,Table1[[#This Row],[weather_condition]]="Storm"),"High Risk", IF(Table1[[#This Row],[delayed]]=1,"Medium Risk","Low Risk"))</f>
        <v>Low Risk</v>
      </c>
    </row>
    <row r="1460" spans="1:14" x14ac:dyDescent="0.35">
      <c r="A1460">
        <v>1459</v>
      </c>
      <c r="B1460" s="1">
        <v>44987.75</v>
      </c>
      <c r="C1460" s="2">
        <v>4.7916666666666663E-2</v>
      </c>
      <c r="D1460" s="3">
        <v>2404</v>
      </c>
      <c r="E1460" s="3">
        <v>366</v>
      </c>
      <c r="F1460" s="2">
        <v>80.213888888888889</v>
      </c>
      <c r="G1460" t="s">
        <v>2815</v>
      </c>
      <c r="H1460" t="s">
        <v>2820</v>
      </c>
      <c r="I1460" s="2">
        <v>0.25486111111111109</v>
      </c>
      <c r="J1460" s="4" t="str">
        <f>IF(Table1[[#This Row],[processing_time_hours]]&gt;1.5,"Slow", "Fast")</f>
        <v>Fast</v>
      </c>
      <c r="K1460" t="s">
        <v>2814</v>
      </c>
      <c r="L1460" s="3">
        <v>0</v>
      </c>
      <c r="M1460" t="str">
        <f>IF(Table1[[#This Row],[delayed]]=1,"Delayed","On Time")</f>
        <v>On Time</v>
      </c>
      <c r="N1460" t="str">
        <f>IF(AND(Table1[[#This Row],[delayed]]=1,Table1[[#This Row],[weather_condition]]="Storm"),"High Risk", IF(Table1[[#This Row],[delayed]]=1,"Medium Risk","Low Risk"))</f>
        <v>Low Risk</v>
      </c>
    </row>
    <row r="1461" spans="1:14" x14ac:dyDescent="0.35">
      <c r="A1461">
        <v>1460</v>
      </c>
      <c r="B1461" s="1">
        <v>44987.791666666664</v>
      </c>
      <c r="C1461" s="2">
        <v>4.1666666666666664E-2</v>
      </c>
      <c r="D1461" s="3">
        <v>4578</v>
      </c>
      <c r="E1461" s="3">
        <v>292</v>
      </c>
      <c r="F1461" s="2">
        <v>65.589583333333337</v>
      </c>
      <c r="G1461" t="s">
        <v>2815</v>
      </c>
      <c r="H1461" t="s">
        <v>2817</v>
      </c>
      <c r="I1461" s="2">
        <v>2.0430555555555556</v>
      </c>
      <c r="J1461" s="4" t="str">
        <f>IF(Table1[[#This Row],[processing_time_hours]]&gt;1.5,"Slow", "Fast")</f>
        <v>Slow</v>
      </c>
      <c r="K1461" t="s">
        <v>2818</v>
      </c>
      <c r="L1461" s="3">
        <v>1</v>
      </c>
      <c r="M1461" t="str">
        <f>IF(Table1[[#This Row],[delayed]]=1,"Delayed","On Time")</f>
        <v>Delayed</v>
      </c>
      <c r="N1461" t="str">
        <f>IF(AND(Table1[[#This Row],[delayed]]=1,Table1[[#This Row],[weather_condition]]="Storm"),"High Risk", IF(Table1[[#This Row],[delayed]]=1,"Medium Risk","Low Risk"))</f>
        <v>High Risk</v>
      </c>
    </row>
    <row r="1462" spans="1:14" x14ac:dyDescent="0.35">
      <c r="A1462">
        <v>1461</v>
      </c>
      <c r="B1462" s="1">
        <v>44987.833333333336</v>
      </c>
      <c r="C1462" s="2">
        <v>5.0694444444444438E-2</v>
      </c>
      <c r="D1462" s="3">
        <v>4271</v>
      </c>
      <c r="E1462" s="3">
        <v>275</v>
      </c>
      <c r="F1462" s="2">
        <v>69.334027777777777</v>
      </c>
      <c r="G1462" t="s">
        <v>2812</v>
      </c>
      <c r="H1462" t="s">
        <v>2820</v>
      </c>
      <c r="I1462" s="2">
        <v>0.41944444444444445</v>
      </c>
      <c r="J1462" s="4" t="str">
        <f>IF(Table1[[#This Row],[processing_time_hours]]&gt;1.5,"Slow", "Fast")</f>
        <v>Fast</v>
      </c>
      <c r="K1462" t="s">
        <v>2814</v>
      </c>
      <c r="L1462" s="3">
        <v>0</v>
      </c>
      <c r="M1462" t="str">
        <f>IF(Table1[[#This Row],[delayed]]=1,"Delayed","On Time")</f>
        <v>On Time</v>
      </c>
      <c r="N1462" t="str">
        <f>IF(AND(Table1[[#This Row],[delayed]]=1,Table1[[#This Row],[weather_condition]]="Storm"),"High Risk", IF(Table1[[#This Row],[delayed]]=1,"Medium Risk","Low Risk"))</f>
        <v>Low Risk</v>
      </c>
    </row>
    <row r="1463" spans="1:14" x14ac:dyDescent="0.35">
      <c r="A1463">
        <v>1462</v>
      </c>
      <c r="B1463" s="1">
        <v>44987.875</v>
      </c>
      <c r="C1463" s="2">
        <v>4.4444444444444446E-2</v>
      </c>
      <c r="D1463" s="3">
        <v>3675</v>
      </c>
      <c r="E1463" s="3">
        <v>167</v>
      </c>
      <c r="F1463" s="2">
        <v>6.4645833333333336</v>
      </c>
      <c r="G1463" t="s">
        <v>2812</v>
      </c>
      <c r="H1463" t="s">
        <v>2817</v>
      </c>
      <c r="I1463" s="2">
        <v>0.8340277777777777</v>
      </c>
      <c r="J1463" s="4" t="str">
        <f>IF(Table1[[#This Row],[processing_time_hours]]&gt;1.5,"Slow", "Fast")</f>
        <v>Fast</v>
      </c>
      <c r="K1463" t="s">
        <v>2814</v>
      </c>
      <c r="L1463" s="3">
        <v>0</v>
      </c>
      <c r="M1463" t="str">
        <f>IF(Table1[[#This Row],[delayed]]=1,"Delayed","On Time")</f>
        <v>On Time</v>
      </c>
      <c r="N1463" t="str">
        <f>IF(AND(Table1[[#This Row],[delayed]]=1,Table1[[#This Row],[weather_condition]]="Storm"),"High Risk", IF(Table1[[#This Row],[delayed]]=1,"Medium Risk","Low Risk"))</f>
        <v>Low Risk</v>
      </c>
    </row>
    <row r="1464" spans="1:14" x14ac:dyDescent="0.35">
      <c r="A1464">
        <v>1463</v>
      </c>
      <c r="B1464" s="1">
        <v>44987.916666666664</v>
      </c>
      <c r="C1464" s="2">
        <v>6.7361111111111108E-2</v>
      </c>
      <c r="D1464" s="3">
        <v>4044</v>
      </c>
      <c r="E1464" s="3">
        <v>270</v>
      </c>
      <c r="F1464" s="2">
        <v>77.418055555555554</v>
      </c>
      <c r="G1464" t="s">
        <v>2812</v>
      </c>
      <c r="H1464" t="s">
        <v>2817</v>
      </c>
      <c r="I1464" s="2">
        <v>1.3361111111111112</v>
      </c>
      <c r="J1464" s="4" t="str">
        <f>IF(Table1[[#This Row],[processing_time_hours]]&gt;1.5,"Slow", "Fast")</f>
        <v>Fast</v>
      </c>
      <c r="K1464" t="s">
        <v>2814</v>
      </c>
      <c r="L1464" s="3">
        <v>0</v>
      </c>
      <c r="M1464" t="str">
        <f>IF(Table1[[#This Row],[delayed]]=1,"Delayed","On Time")</f>
        <v>On Time</v>
      </c>
      <c r="N1464" t="str">
        <f>IF(AND(Table1[[#This Row],[delayed]]=1,Table1[[#This Row],[weather_condition]]="Storm"),"High Risk", IF(Table1[[#This Row],[delayed]]=1,"Medium Risk","Low Risk"))</f>
        <v>Low Risk</v>
      </c>
    </row>
    <row r="1465" spans="1:14" x14ac:dyDescent="0.35">
      <c r="A1465">
        <v>1464</v>
      </c>
      <c r="B1465" s="1">
        <v>44987.958333333336</v>
      </c>
      <c r="C1465" s="2">
        <v>4.4444444444444446E-2</v>
      </c>
      <c r="D1465" s="3">
        <v>3086</v>
      </c>
      <c r="E1465" s="3">
        <v>288</v>
      </c>
      <c r="F1465" s="2">
        <v>82.837499999999991</v>
      </c>
      <c r="G1465" t="s">
        <v>2815</v>
      </c>
      <c r="H1465" t="s">
        <v>2822</v>
      </c>
      <c r="I1465" s="2">
        <v>2.0444444444444447</v>
      </c>
      <c r="J1465" s="4" t="str">
        <f>IF(Table1[[#This Row],[processing_time_hours]]&gt;1.5,"Slow", "Fast")</f>
        <v>Slow</v>
      </c>
      <c r="K1465" t="s">
        <v>2814</v>
      </c>
      <c r="L1465" s="3">
        <v>1</v>
      </c>
      <c r="M1465" t="str">
        <f>IF(Table1[[#This Row],[delayed]]=1,"Delayed","On Time")</f>
        <v>Delayed</v>
      </c>
      <c r="N1465" t="str">
        <f>IF(AND(Table1[[#This Row],[delayed]]=1,Table1[[#This Row],[weather_condition]]="Storm"),"High Risk", IF(Table1[[#This Row],[delayed]]=1,"Medium Risk","Low Risk"))</f>
        <v>Medium Risk</v>
      </c>
    </row>
    <row r="1466" spans="1:14" x14ac:dyDescent="0.35">
      <c r="A1466">
        <v>1465</v>
      </c>
      <c r="B1466" s="1">
        <v>44988</v>
      </c>
      <c r="C1466" s="2">
        <v>5.486111111111111E-2</v>
      </c>
      <c r="D1466" s="3">
        <v>822</v>
      </c>
      <c r="E1466" s="3">
        <v>411</v>
      </c>
      <c r="F1466" s="2">
        <v>34.543055555555554</v>
      </c>
      <c r="G1466" t="s">
        <v>2816</v>
      </c>
      <c r="H1466" t="s">
        <v>2822</v>
      </c>
      <c r="I1466" s="2">
        <v>2.0861111111111112</v>
      </c>
      <c r="J1466" s="4" t="str">
        <f>IF(Table1[[#This Row],[processing_time_hours]]&gt;1.5,"Slow", "Fast")</f>
        <v>Slow</v>
      </c>
      <c r="K1466" t="s">
        <v>2821</v>
      </c>
      <c r="L1466" s="3">
        <v>0</v>
      </c>
      <c r="M1466" t="str">
        <f>IF(Table1[[#This Row],[delayed]]=1,"Delayed","On Time")</f>
        <v>On Time</v>
      </c>
      <c r="N1466" t="str">
        <f>IF(AND(Table1[[#This Row],[delayed]]=1,Table1[[#This Row],[weather_condition]]="Storm"),"High Risk", IF(Table1[[#This Row],[delayed]]=1,"Medium Risk","Low Risk"))</f>
        <v>Low Risk</v>
      </c>
    </row>
    <row r="1467" spans="1:14" x14ac:dyDescent="0.35">
      <c r="A1467">
        <v>1466</v>
      </c>
      <c r="B1467" s="1">
        <v>44988.041666666664</v>
      </c>
      <c r="C1467" s="2">
        <v>6.458333333333334E-2</v>
      </c>
      <c r="D1467" s="3">
        <v>4401</v>
      </c>
      <c r="E1467" s="3">
        <v>329</v>
      </c>
      <c r="F1467" s="2">
        <v>21.419444444444448</v>
      </c>
      <c r="G1467" t="s">
        <v>2819</v>
      </c>
      <c r="H1467" t="s">
        <v>2813</v>
      </c>
      <c r="I1467" s="2">
        <v>0.75</v>
      </c>
      <c r="J1467" s="4" t="str">
        <f>IF(Table1[[#This Row],[processing_time_hours]]&gt;1.5,"Slow", "Fast")</f>
        <v>Fast</v>
      </c>
      <c r="K1467" t="s">
        <v>2821</v>
      </c>
      <c r="L1467" s="3">
        <v>0</v>
      </c>
      <c r="M1467" t="str">
        <f>IF(Table1[[#This Row],[delayed]]=1,"Delayed","On Time")</f>
        <v>On Time</v>
      </c>
      <c r="N1467" t="str">
        <f>IF(AND(Table1[[#This Row],[delayed]]=1,Table1[[#This Row],[weather_condition]]="Storm"),"High Risk", IF(Table1[[#This Row],[delayed]]=1,"Medium Risk","Low Risk"))</f>
        <v>Low Risk</v>
      </c>
    </row>
    <row r="1468" spans="1:14" x14ac:dyDescent="0.35">
      <c r="A1468">
        <v>1467</v>
      </c>
      <c r="B1468" s="1">
        <v>44988.083333333336</v>
      </c>
      <c r="C1468" s="2">
        <v>4.9305555555555554E-2</v>
      </c>
      <c r="D1468" s="3">
        <v>2798</v>
      </c>
      <c r="E1468" s="3">
        <v>72</v>
      </c>
      <c r="F1468" s="2">
        <v>16.419444444444444</v>
      </c>
      <c r="G1468" t="s">
        <v>2812</v>
      </c>
      <c r="H1468" t="s">
        <v>2820</v>
      </c>
      <c r="I1468" s="2">
        <v>2.5868055555555558</v>
      </c>
      <c r="J1468" s="4" t="str">
        <f>IF(Table1[[#This Row],[processing_time_hours]]&gt;1.5,"Slow", "Fast")</f>
        <v>Slow</v>
      </c>
      <c r="K1468" t="s">
        <v>2818</v>
      </c>
      <c r="L1468" s="3">
        <v>1</v>
      </c>
      <c r="M1468" t="str">
        <f>IF(Table1[[#This Row],[delayed]]=1,"Delayed","On Time")</f>
        <v>Delayed</v>
      </c>
      <c r="N1468" t="str">
        <f>IF(AND(Table1[[#This Row],[delayed]]=1,Table1[[#This Row],[weather_condition]]="Storm"),"High Risk", IF(Table1[[#This Row],[delayed]]=1,"Medium Risk","Low Risk"))</f>
        <v>Medium Risk</v>
      </c>
    </row>
    <row r="1469" spans="1:14" x14ac:dyDescent="0.35">
      <c r="A1469">
        <v>1468</v>
      </c>
      <c r="B1469" s="1">
        <v>44988.125</v>
      </c>
      <c r="C1469" s="2">
        <v>6.1805555555555558E-2</v>
      </c>
      <c r="D1469" s="3">
        <v>4855</v>
      </c>
      <c r="E1469" s="3">
        <v>211</v>
      </c>
      <c r="F1469" s="2">
        <v>45.417361111111113</v>
      </c>
      <c r="G1469" t="s">
        <v>2819</v>
      </c>
      <c r="H1469" t="s">
        <v>2822</v>
      </c>
      <c r="I1469" s="2">
        <v>1.3763888888888889</v>
      </c>
      <c r="J1469" s="4" t="str">
        <f>IF(Table1[[#This Row],[processing_time_hours]]&gt;1.5,"Slow", "Fast")</f>
        <v>Fast</v>
      </c>
      <c r="K1469" t="s">
        <v>2814</v>
      </c>
      <c r="L1469" s="3">
        <v>1</v>
      </c>
      <c r="M1469" t="str">
        <f>IF(Table1[[#This Row],[delayed]]=1,"Delayed","On Time")</f>
        <v>Delayed</v>
      </c>
      <c r="N1469" t="str">
        <f>IF(AND(Table1[[#This Row],[delayed]]=1,Table1[[#This Row],[weather_condition]]="Storm"),"High Risk", IF(Table1[[#This Row],[delayed]]=1,"Medium Risk","Low Risk"))</f>
        <v>Medium Risk</v>
      </c>
    </row>
    <row r="1470" spans="1:14" x14ac:dyDescent="0.35">
      <c r="A1470">
        <v>1469</v>
      </c>
      <c r="B1470" s="1">
        <v>44988.166666666664</v>
      </c>
      <c r="C1470" s="2">
        <v>5.9722222222222225E-2</v>
      </c>
      <c r="D1470" s="3">
        <v>1894</v>
      </c>
      <c r="E1470" s="3">
        <v>271</v>
      </c>
      <c r="F1470" s="2">
        <v>53.837499999999999</v>
      </c>
      <c r="G1470" t="s">
        <v>2819</v>
      </c>
      <c r="H1470" t="s">
        <v>2822</v>
      </c>
      <c r="I1470" s="2">
        <v>1.2138888888888888</v>
      </c>
      <c r="J1470" s="4" t="str">
        <f>IF(Table1[[#This Row],[processing_time_hours]]&gt;1.5,"Slow", "Fast")</f>
        <v>Fast</v>
      </c>
      <c r="K1470" t="s">
        <v>2814</v>
      </c>
      <c r="L1470" s="3">
        <v>1</v>
      </c>
      <c r="M1470" t="str">
        <f>IF(Table1[[#This Row],[delayed]]=1,"Delayed","On Time")</f>
        <v>Delayed</v>
      </c>
      <c r="N1470" t="str">
        <f>IF(AND(Table1[[#This Row],[delayed]]=1,Table1[[#This Row],[weather_condition]]="Storm"),"High Risk", IF(Table1[[#This Row],[delayed]]=1,"Medium Risk","Low Risk"))</f>
        <v>Medium Risk</v>
      </c>
    </row>
    <row r="1471" spans="1:14" x14ac:dyDescent="0.35">
      <c r="A1471">
        <v>1470</v>
      </c>
      <c r="B1471" s="1">
        <v>44988.208333333336</v>
      </c>
      <c r="C1471" s="2">
        <v>6.1111111111111109E-2</v>
      </c>
      <c r="D1471" s="3">
        <v>3514</v>
      </c>
      <c r="E1471" s="3">
        <v>118</v>
      </c>
      <c r="F1471" s="2">
        <v>65.625694444444449</v>
      </c>
      <c r="G1471" t="s">
        <v>2812</v>
      </c>
      <c r="H1471" t="s">
        <v>2817</v>
      </c>
      <c r="I1471" s="2">
        <v>0.71458333333333324</v>
      </c>
      <c r="J1471" s="4" t="str">
        <f>IF(Table1[[#This Row],[processing_time_hours]]&gt;1.5,"Slow", "Fast")</f>
        <v>Fast</v>
      </c>
      <c r="K1471" t="s">
        <v>2818</v>
      </c>
      <c r="L1471" s="3">
        <v>0</v>
      </c>
      <c r="M1471" t="str">
        <f>IF(Table1[[#This Row],[delayed]]=1,"Delayed","On Time")</f>
        <v>On Time</v>
      </c>
      <c r="N1471" t="str">
        <f>IF(AND(Table1[[#This Row],[delayed]]=1,Table1[[#This Row],[weather_condition]]="Storm"),"High Risk", IF(Table1[[#This Row],[delayed]]=1,"Medium Risk","Low Risk"))</f>
        <v>Low Risk</v>
      </c>
    </row>
    <row r="1472" spans="1:14" x14ac:dyDescent="0.35">
      <c r="A1472">
        <v>1471</v>
      </c>
      <c r="B1472" s="1">
        <v>44988.25</v>
      </c>
      <c r="C1472" s="2">
        <v>4.5833333333333337E-2</v>
      </c>
      <c r="D1472" s="3">
        <v>3665</v>
      </c>
      <c r="E1472" s="3">
        <v>76</v>
      </c>
      <c r="F1472" s="2">
        <v>35.084722222222219</v>
      </c>
      <c r="G1472" t="s">
        <v>2815</v>
      </c>
      <c r="H1472" t="s">
        <v>2822</v>
      </c>
      <c r="I1472" s="2">
        <v>1.0034722222222221</v>
      </c>
      <c r="J1472" s="4" t="str">
        <f>IF(Table1[[#This Row],[processing_time_hours]]&gt;1.5,"Slow", "Fast")</f>
        <v>Fast</v>
      </c>
      <c r="K1472" t="s">
        <v>2814</v>
      </c>
      <c r="L1472" s="3">
        <v>1</v>
      </c>
      <c r="M1472" t="str">
        <f>IF(Table1[[#This Row],[delayed]]=1,"Delayed","On Time")</f>
        <v>Delayed</v>
      </c>
      <c r="N1472" t="str">
        <f>IF(AND(Table1[[#This Row],[delayed]]=1,Table1[[#This Row],[weather_condition]]="Storm"),"High Risk", IF(Table1[[#This Row],[delayed]]=1,"Medium Risk","Low Risk"))</f>
        <v>Medium Risk</v>
      </c>
    </row>
    <row r="1473" spans="1:14" x14ac:dyDescent="0.35">
      <c r="A1473">
        <v>1472</v>
      </c>
      <c r="B1473" s="1">
        <v>44988.291666666664</v>
      </c>
      <c r="C1473" s="2">
        <v>6.1111111111111109E-2</v>
      </c>
      <c r="D1473" s="3">
        <v>1262</v>
      </c>
      <c r="E1473" s="3">
        <v>151</v>
      </c>
      <c r="F1473" s="2">
        <v>77.88055555555556</v>
      </c>
      <c r="G1473" t="s">
        <v>2816</v>
      </c>
      <c r="H1473" t="s">
        <v>2820</v>
      </c>
      <c r="I1473" s="2">
        <v>1.5847222222222221</v>
      </c>
      <c r="J1473" s="4" t="str">
        <f>IF(Table1[[#This Row],[processing_time_hours]]&gt;1.5,"Slow", "Fast")</f>
        <v>Slow</v>
      </c>
      <c r="K1473" t="s">
        <v>2821</v>
      </c>
      <c r="L1473" s="3">
        <v>0</v>
      </c>
      <c r="M1473" t="str">
        <f>IF(Table1[[#This Row],[delayed]]=1,"Delayed","On Time")</f>
        <v>On Time</v>
      </c>
      <c r="N1473" t="str">
        <f>IF(AND(Table1[[#This Row],[delayed]]=1,Table1[[#This Row],[weather_condition]]="Storm"),"High Risk", IF(Table1[[#This Row],[delayed]]=1,"Medium Risk","Low Risk"))</f>
        <v>Low Risk</v>
      </c>
    </row>
    <row r="1474" spans="1:14" x14ac:dyDescent="0.35">
      <c r="A1474">
        <v>1473</v>
      </c>
      <c r="B1474" s="1">
        <v>44988.333333333336</v>
      </c>
      <c r="C1474" s="2">
        <v>6.5277777777777782E-2</v>
      </c>
      <c r="D1474" s="3">
        <v>868</v>
      </c>
      <c r="E1474" s="3">
        <v>382</v>
      </c>
      <c r="F1474" s="2">
        <v>27.047222222222221</v>
      </c>
      <c r="G1474" t="s">
        <v>2812</v>
      </c>
      <c r="H1474" t="s">
        <v>2817</v>
      </c>
      <c r="I1474" s="2">
        <v>0.66666666666666663</v>
      </c>
      <c r="J1474" s="4" t="str">
        <f>IF(Table1[[#This Row],[processing_time_hours]]&gt;1.5,"Slow", "Fast")</f>
        <v>Fast</v>
      </c>
      <c r="K1474" t="s">
        <v>2814</v>
      </c>
      <c r="L1474" s="3">
        <v>0</v>
      </c>
      <c r="M1474" t="str">
        <f>IF(Table1[[#This Row],[delayed]]=1,"Delayed","On Time")</f>
        <v>On Time</v>
      </c>
      <c r="N1474" t="str">
        <f>IF(AND(Table1[[#This Row],[delayed]]=1,Table1[[#This Row],[weather_condition]]="Storm"),"High Risk", IF(Table1[[#This Row],[delayed]]=1,"Medium Risk","Low Risk"))</f>
        <v>Low Risk</v>
      </c>
    </row>
    <row r="1475" spans="1:14" x14ac:dyDescent="0.35">
      <c r="A1475">
        <v>1474</v>
      </c>
      <c r="B1475" s="1">
        <v>44988.375</v>
      </c>
      <c r="C1475" s="2">
        <v>4.5833333333333337E-2</v>
      </c>
      <c r="D1475" s="3">
        <v>699</v>
      </c>
      <c r="E1475" s="3">
        <v>148</v>
      </c>
      <c r="F1475" s="2">
        <v>29.001388888888886</v>
      </c>
      <c r="G1475" t="s">
        <v>2812</v>
      </c>
      <c r="H1475" t="s">
        <v>2822</v>
      </c>
      <c r="I1475" s="2">
        <v>1.8756944444444443</v>
      </c>
      <c r="J1475" s="4" t="str">
        <f>IF(Table1[[#This Row],[processing_time_hours]]&gt;1.5,"Slow", "Fast")</f>
        <v>Slow</v>
      </c>
      <c r="K1475" t="s">
        <v>2818</v>
      </c>
      <c r="L1475" s="3">
        <v>1</v>
      </c>
      <c r="M1475" t="str">
        <f>IF(Table1[[#This Row],[delayed]]=1,"Delayed","On Time")</f>
        <v>Delayed</v>
      </c>
      <c r="N1475" t="str">
        <f>IF(AND(Table1[[#This Row],[delayed]]=1,Table1[[#This Row],[weather_condition]]="Storm"),"High Risk", IF(Table1[[#This Row],[delayed]]=1,"Medium Risk","Low Risk"))</f>
        <v>Medium Risk</v>
      </c>
    </row>
    <row r="1476" spans="1:14" x14ac:dyDescent="0.35">
      <c r="A1476">
        <v>1475</v>
      </c>
      <c r="B1476" s="1">
        <v>44988.416666666664</v>
      </c>
      <c r="C1476" s="2">
        <v>6.805555555555555E-2</v>
      </c>
      <c r="D1476" s="3">
        <v>310</v>
      </c>
      <c r="E1476" s="3">
        <v>172</v>
      </c>
      <c r="F1476" s="2">
        <v>61.170833333333327</v>
      </c>
      <c r="G1476" t="s">
        <v>2816</v>
      </c>
      <c r="H1476" t="s">
        <v>2820</v>
      </c>
      <c r="I1476" s="2">
        <v>1.2965277777777777</v>
      </c>
      <c r="J1476" s="4" t="str">
        <f>IF(Table1[[#This Row],[processing_time_hours]]&gt;1.5,"Slow", "Fast")</f>
        <v>Fast</v>
      </c>
      <c r="K1476" t="s">
        <v>2821</v>
      </c>
      <c r="L1476" s="3">
        <v>0</v>
      </c>
      <c r="M1476" t="str">
        <f>IF(Table1[[#This Row],[delayed]]=1,"Delayed","On Time")</f>
        <v>On Time</v>
      </c>
      <c r="N1476" t="str">
        <f>IF(AND(Table1[[#This Row],[delayed]]=1,Table1[[#This Row],[weather_condition]]="Storm"),"High Risk", IF(Table1[[#This Row],[delayed]]=1,"Medium Risk","Low Risk"))</f>
        <v>Low Risk</v>
      </c>
    </row>
    <row r="1477" spans="1:14" x14ac:dyDescent="0.35">
      <c r="A1477">
        <v>1476</v>
      </c>
      <c r="B1477" s="1">
        <v>44988.458333333336</v>
      </c>
      <c r="C1477" s="2">
        <v>6.805555555555555E-2</v>
      </c>
      <c r="D1477" s="3">
        <v>1865</v>
      </c>
      <c r="E1477" s="3">
        <v>396</v>
      </c>
      <c r="F1477" s="2">
        <v>15.127777777777778</v>
      </c>
      <c r="G1477" t="s">
        <v>2815</v>
      </c>
      <c r="H1477" t="s">
        <v>2822</v>
      </c>
      <c r="I1477" s="2">
        <v>2.0062500000000001</v>
      </c>
      <c r="J1477" s="4" t="str">
        <f>IF(Table1[[#This Row],[processing_time_hours]]&gt;1.5,"Slow", "Fast")</f>
        <v>Slow</v>
      </c>
      <c r="K1477" t="s">
        <v>2821</v>
      </c>
      <c r="L1477" s="3">
        <v>0</v>
      </c>
      <c r="M1477" t="str">
        <f>IF(Table1[[#This Row],[delayed]]=1,"Delayed","On Time")</f>
        <v>On Time</v>
      </c>
      <c r="N1477" t="str">
        <f>IF(AND(Table1[[#This Row],[delayed]]=1,Table1[[#This Row],[weather_condition]]="Storm"),"High Risk", IF(Table1[[#This Row],[delayed]]=1,"Medium Risk","Low Risk"))</f>
        <v>Low Risk</v>
      </c>
    </row>
    <row r="1478" spans="1:14" x14ac:dyDescent="0.35">
      <c r="A1478">
        <v>1477</v>
      </c>
      <c r="B1478" s="1">
        <v>44988.5</v>
      </c>
      <c r="C1478" s="2">
        <v>5.0694444444444438E-2</v>
      </c>
      <c r="D1478" s="3">
        <v>3619</v>
      </c>
      <c r="E1478" s="3">
        <v>328</v>
      </c>
      <c r="F1478" s="2">
        <v>38.502083333333331</v>
      </c>
      <c r="G1478" t="s">
        <v>2815</v>
      </c>
      <c r="H1478" t="s">
        <v>2822</v>
      </c>
      <c r="I1478" s="2">
        <v>2.9194444444444443</v>
      </c>
      <c r="J1478" s="4" t="str">
        <f>IF(Table1[[#This Row],[processing_time_hours]]&gt;1.5,"Slow", "Fast")</f>
        <v>Slow</v>
      </c>
      <c r="K1478" t="s">
        <v>2814</v>
      </c>
      <c r="L1478" s="3">
        <v>0</v>
      </c>
      <c r="M1478" t="str">
        <f>IF(Table1[[#This Row],[delayed]]=1,"Delayed","On Time")</f>
        <v>On Time</v>
      </c>
      <c r="N1478" t="str">
        <f>IF(AND(Table1[[#This Row],[delayed]]=1,Table1[[#This Row],[weather_condition]]="Storm"),"High Risk", IF(Table1[[#This Row],[delayed]]=1,"Medium Risk","Low Risk"))</f>
        <v>Low Risk</v>
      </c>
    </row>
    <row r="1479" spans="1:14" x14ac:dyDescent="0.35">
      <c r="A1479">
        <v>1478</v>
      </c>
      <c r="B1479" s="1">
        <v>44988.541666666664</v>
      </c>
      <c r="C1479" s="2">
        <v>6.805555555555555E-2</v>
      </c>
      <c r="D1479" s="3">
        <v>1360</v>
      </c>
      <c r="E1479" s="3">
        <v>73</v>
      </c>
      <c r="F1479" s="2">
        <v>33.12916666666667</v>
      </c>
      <c r="G1479" t="s">
        <v>2816</v>
      </c>
      <c r="H1479" t="s">
        <v>2822</v>
      </c>
      <c r="I1479" s="2">
        <v>2.5465277777777779</v>
      </c>
      <c r="J1479" s="4" t="str">
        <f>IF(Table1[[#This Row],[processing_time_hours]]&gt;1.5,"Slow", "Fast")</f>
        <v>Slow</v>
      </c>
      <c r="K1479" t="s">
        <v>2814</v>
      </c>
      <c r="L1479" s="3">
        <v>0</v>
      </c>
      <c r="M1479" t="str">
        <f>IF(Table1[[#This Row],[delayed]]=1,"Delayed","On Time")</f>
        <v>On Time</v>
      </c>
      <c r="N1479" t="str">
        <f>IF(AND(Table1[[#This Row],[delayed]]=1,Table1[[#This Row],[weather_condition]]="Storm"),"High Risk", IF(Table1[[#This Row],[delayed]]=1,"Medium Risk","Low Risk"))</f>
        <v>Low Risk</v>
      </c>
    </row>
    <row r="1480" spans="1:14" x14ac:dyDescent="0.35">
      <c r="A1480">
        <v>1479</v>
      </c>
      <c r="B1480" s="1">
        <v>44988.583333333336</v>
      </c>
      <c r="C1480" s="2">
        <v>6.805555555555555E-2</v>
      </c>
      <c r="D1480" s="3">
        <v>785</v>
      </c>
      <c r="E1480" s="3">
        <v>390</v>
      </c>
      <c r="F1480" s="2">
        <v>44.088888888888896</v>
      </c>
      <c r="G1480" t="s">
        <v>2815</v>
      </c>
      <c r="H1480" t="s">
        <v>2817</v>
      </c>
      <c r="I1480" s="2">
        <v>1.8784722222222223</v>
      </c>
      <c r="J1480" s="4" t="str">
        <f>IF(Table1[[#This Row],[processing_time_hours]]&gt;1.5,"Slow", "Fast")</f>
        <v>Slow</v>
      </c>
      <c r="K1480" t="s">
        <v>2814</v>
      </c>
      <c r="L1480" s="3">
        <v>0</v>
      </c>
      <c r="M1480" t="str">
        <f>IF(Table1[[#This Row],[delayed]]=1,"Delayed","On Time")</f>
        <v>On Time</v>
      </c>
      <c r="N1480" t="str">
        <f>IF(AND(Table1[[#This Row],[delayed]]=1,Table1[[#This Row],[weather_condition]]="Storm"),"High Risk", IF(Table1[[#This Row],[delayed]]=1,"Medium Risk","Low Risk"))</f>
        <v>Low Risk</v>
      </c>
    </row>
    <row r="1481" spans="1:14" x14ac:dyDescent="0.35">
      <c r="A1481">
        <v>1480</v>
      </c>
      <c r="B1481" s="1">
        <v>44988.625</v>
      </c>
      <c r="C1481" s="2">
        <v>4.5138888888888888E-2</v>
      </c>
      <c r="D1481" s="3">
        <v>542</v>
      </c>
      <c r="E1481" s="3">
        <v>30</v>
      </c>
      <c r="F1481" s="2">
        <v>54.712499999999999</v>
      </c>
      <c r="G1481" t="s">
        <v>2819</v>
      </c>
      <c r="H1481" t="s">
        <v>2817</v>
      </c>
      <c r="I1481" s="2">
        <v>2.9222222222222225</v>
      </c>
      <c r="J1481" s="4" t="str">
        <f>IF(Table1[[#This Row],[processing_time_hours]]&gt;1.5,"Slow", "Fast")</f>
        <v>Slow</v>
      </c>
      <c r="K1481" t="s">
        <v>2821</v>
      </c>
      <c r="L1481" s="3">
        <v>0</v>
      </c>
      <c r="M1481" t="str">
        <f>IF(Table1[[#This Row],[delayed]]=1,"Delayed","On Time")</f>
        <v>On Time</v>
      </c>
      <c r="N1481" t="str">
        <f>IF(AND(Table1[[#This Row],[delayed]]=1,Table1[[#This Row],[weather_condition]]="Storm"),"High Risk", IF(Table1[[#This Row],[delayed]]=1,"Medium Risk","Low Risk"))</f>
        <v>Low Risk</v>
      </c>
    </row>
    <row r="1482" spans="1:14" x14ac:dyDescent="0.35">
      <c r="A1482">
        <v>1481</v>
      </c>
      <c r="B1482" s="1">
        <v>44988.666666666664</v>
      </c>
      <c r="C1482" s="2">
        <v>6.2499999999999995E-3</v>
      </c>
      <c r="D1482" s="3">
        <v>4131</v>
      </c>
      <c r="E1482" s="3">
        <v>471</v>
      </c>
      <c r="F1482" s="2">
        <v>18.964583333333334</v>
      </c>
      <c r="G1482" t="s">
        <v>2816</v>
      </c>
      <c r="H1482" t="s">
        <v>2813</v>
      </c>
      <c r="I1482" s="2">
        <v>0.33749999999999997</v>
      </c>
      <c r="J1482" s="4" t="str">
        <f>IF(Table1[[#This Row],[processing_time_hours]]&gt;1.5,"Slow", "Fast")</f>
        <v>Fast</v>
      </c>
      <c r="K1482" t="s">
        <v>2821</v>
      </c>
      <c r="L1482" s="3">
        <v>0</v>
      </c>
      <c r="M1482" t="str">
        <f>IF(Table1[[#This Row],[delayed]]=1,"Delayed","On Time")</f>
        <v>On Time</v>
      </c>
      <c r="N1482" t="str">
        <f>IF(AND(Table1[[#This Row],[delayed]]=1,Table1[[#This Row],[weather_condition]]="Storm"),"High Risk", IF(Table1[[#This Row],[delayed]]=1,"Medium Risk","Low Risk"))</f>
        <v>Low Risk</v>
      </c>
    </row>
    <row r="1483" spans="1:14" x14ac:dyDescent="0.35">
      <c r="A1483">
        <v>1482</v>
      </c>
      <c r="B1483" s="1">
        <v>44988.708333333336</v>
      </c>
      <c r="C1483" s="2">
        <v>6.805555555555555E-2</v>
      </c>
      <c r="D1483" s="3">
        <v>2777</v>
      </c>
      <c r="E1483" s="3">
        <v>382</v>
      </c>
      <c r="F1483" s="2">
        <v>38.837499999999999</v>
      </c>
      <c r="G1483" t="s">
        <v>2815</v>
      </c>
      <c r="H1483" t="s">
        <v>2813</v>
      </c>
      <c r="I1483" s="2">
        <v>0.29236111111111113</v>
      </c>
      <c r="J1483" s="4" t="str">
        <f>IF(Table1[[#This Row],[processing_time_hours]]&gt;1.5,"Slow", "Fast")</f>
        <v>Fast</v>
      </c>
      <c r="K1483" t="s">
        <v>2818</v>
      </c>
      <c r="L1483" s="3">
        <v>1</v>
      </c>
      <c r="M1483" t="str">
        <f>IF(Table1[[#This Row],[delayed]]=1,"Delayed","On Time")</f>
        <v>Delayed</v>
      </c>
      <c r="N1483" t="str">
        <f>IF(AND(Table1[[#This Row],[delayed]]=1,Table1[[#This Row],[weather_condition]]="Storm"),"High Risk", IF(Table1[[#This Row],[delayed]]=1,"Medium Risk","Low Risk"))</f>
        <v>Medium Risk</v>
      </c>
    </row>
    <row r="1484" spans="1:14" x14ac:dyDescent="0.35">
      <c r="A1484">
        <v>1483</v>
      </c>
      <c r="B1484" s="1">
        <v>44988.75</v>
      </c>
      <c r="C1484" s="2">
        <v>6.458333333333334E-2</v>
      </c>
      <c r="D1484" s="3">
        <v>4466</v>
      </c>
      <c r="E1484" s="3">
        <v>296</v>
      </c>
      <c r="F1484" s="2">
        <v>30.962500000000002</v>
      </c>
      <c r="G1484" t="s">
        <v>2812</v>
      </c>
      <c r="H1484" t="s">
        <v>2822</v>
      </c>
      <c r="I1484" s="2">
        <v>2.0423611111111111</v>
      </c>
      <c r="J1484" s="4" t="str">
        <f>IF(Table1[[#This Row],[processing_time_hours]]&gt;1.5,"Slow", "Fast")</f>
        <v>Slow</v>
      </c>
      <c r="K1484" t="s">
        <v>2821</v>
      </c>
      <c r="L1484" s="3">
        <v>0</v>
      </c>
      <c r="M1484" t="str">
        <f>IF(Table1[[#This Row],[delayed]]=1,"Delayed","On Time")</f>
        <v>On Time</v>
      </c>
      <c r="N1484" t="str">
        <f>IF(AND(Table1[[#This Row],[delayed]]=1,Table1[[#This Row],[weather_condition]]="Storm"),"High Risk", IF(Table1[[#This Row],[delayed]]=1,"Medium Risk","Low Risk"))</f>
        <v>Low Risk</v>
      </c>
    </row>
    <row r="1485" spans="1:14" x14ac:dyDescent="0.35">
      <c r="A1485">
        <v>1484</v>
      </c>
      <c r="B1485" s="1">
        <v>44988.791666666664</v>
      </c>
      <c r="C1485" s="2">
        <v>4.5138888888888888E-2</v>
      </c>
      <c r="D1485" s="3">
        <v>875</v>
      </c>
      <c r="E1485" s="3">
        <v>321</v>
      </c>
      <c r="F1485" s="2">
        <v>45.629166666666663</v>
      </c>
      <c r="G1485" t="s">
        <v>2816</v>
      </c>
      <c r="H1485" t="s">
        <v>2813</v>
      </c>
      <c r="I1485" s="2">
        <v>1.7916666666666667</v>
      </c>
      <c r="J1485" s="4" t="str">
        <f>IF(Table1[[#This Row],[processing_time_hours]]&gt;1.5,"Slow", "Fast")</f>
        <v>Slow</v>
      </c>
      <c r="K1485" t="s">
        <v>2814</v>
      </c>
      <c r="L1485" s="3">
        <v>0</v>
      </c>
      <c r="M1485" t="str">
        <f>IF(Table1[[#This Row],[delayed]]=1,"Delayed","On Time")</f>
        <v>On Time</v>
      </c>
      <c r="N1485" t="str">
        <f>IF(AND(Table1[[#This Row],[delayed]]=1,Table1[[#This Row],[weather_condition]]="Storm"),"High Risk", IF(Table1[[#This Row],[delayed]]=1,"Medium Risk","Low Risk"))</f>
        <v>Low Risk</v>
      </c>
    </row>
    <row r="1486" spans="1:14" x14ac:dyDescent="0.35">
      <c r="A1486">
        <v>1485</v>
      </c>
      <c r="B1486" s="1">
        <v>44988.833333333336</v>
      </c>
      <c r="C1486" s="2">
        <v>5.2777777777777778E-2</v>
      </c>
      <c r="D1486" s="3">
        <v>4537</v>
      </c>
      <c r="E1486" s="3">
        <v>280</v>
      </c>
      <c r="F1486" s="2">
        <v>20.293055555555558</v>
      </c>
      <c r="G1486" t="s">
        <v>2816</v>
      </c>
      <c r="H1486" t="s">
        <v>2813</v>
      </c>
      <c r="I1486" s="2">
        <v>0.79166666666666663</v>
      </c>
      <c r="J1486" s="4" t="str">
        <f>IF(Table1[[#This Row],[processing_time_hours]]&gt;1.5,"Slow", "Fast")</f>
        <v>Fast</v>
      </c>
      <c r="K1486" t="s">
        <v>2814</v>
      </c>
      <c r="L1486" s="3">
        <v>1</v>
      </c>
      <c r="M1486" t="str">
        <f>IF(Table1[[#This Row],[delayed]]=1,"Delayed","On Time")</f>
        <v>Delayed</v>
      </c>
      <c r="N1486" t="str">
        <f>IF(AND(Table1[[#This Row],[delayed]]=1,Table1[[#This Row],[weather_condition]]="Storm"),"High Risk", IF(Table1[[#This Row],[delayed]]=1,"Medium Risk","Low Risk"))</f>
        <v>Medium Risk</v>
      </c>
    </row>
    <row r="1487" spans="1:14" x14ac:dyDescent="0.35">
      <c r="A1487">
        <v>1486</v>
      </c>
      <c r="B1487" s="1">
        <v>44988.875</v>
      </c>
      <c r="C1487" s="2">
        <v>5.7638888888888885E-2</v>
      </c>
      <c r="D1487" s="3">
        <v>4684</v>
      </c>
      <c r="E1487" s="3">
        <v>227</v>
      </c>
      <c r="F1487" s="2">
        <v>76.752083333333331</v>
      </c>
      <c r="G1487" t="s">
        <v>2815</v>
      </c>
      <c r="H1487" t="s">
        <v>2820</v>
      </c>
      <c r="I1487" s="2">
        <v>2.7562500000000001</v>
      </c>
      <c r="J1487" s="4" t="str">
        <f>IF(Table1[[#This Row],[processing_time_hours]]&gt;1.5,"Slow", "Fast")</f>
        <v>Slow</v>
      </c>
      <c r="K1487" t="s">
        <v>2818</v>
      </c>
      <c r="L1487" s="3">
        <v>0</v>
      </c>
      <c r="M1487" t="str">
        <f>IF(Table1[[#This Row],[delayed]]=1,"Delayed","On Time")</f>
        <v>On Time</v>
      </c>
      <c r="N1487" t="str">
        <f>IF(AND(Table1[[#This Row],[delayed]]=1,Table1[[#This Row],[weather_condition]]="Storm"),"High Risk", IF(Table1[[#This Row],[delayed]]=1,"Medium Risk","Low Risk"))</f>
        <v>Low Risk</v>
      </c>
    </row>
    <row r="1488" spans="1:14" x14ac:dyDescent="0.35">
      <c r="A1488">
        <v>1487</v>
      </c>
      <c r="B1488" s="1">
        <v>44988.916666666664</v>
      </c>
      <c r="C1488" s="2">
        <v>5.2083333333333336E-2</v>
      </c>
      <c r="D1488" s="3">
        <v>1539</v>
      </c>
      <c r="E1488" s="3">
        <v>240</v>
      </c>
      <c r="F1488" s="2">
        <v>65.919444444444437</v>
      </c>
      <c r="G1488" t="s">
        <v>2815</v>
      </c>
      <c r="H1488" t="s">
        <v>2822</v>
      </c>
      <c r="I1488" s="2">
        <v>0.71250000000000002</v>
      </c>
      <c r="J1488" s="4" t="str">
        <f>IF(Table1[[#This Row],[processing_time_hours]]&gt;1.5,"Slow", "Fast")</f>
        <v>Fast</v>
      </c>
      <c r="K1488" t="s">
        <v>2821</v>
      </c>
      <c r="L1488" s="3">
        <v>0</v>
      </c>
      <c r="M1488" t="str">
        <f>IF(Table1[[#This Row],[delayed]]=1,"Delayed","On Time")</f>
        <v>On Time</v>
      </c>
      <c r="N1488" t="str">
        <f>IF(AND(Table1[[#This Row],[delayed]]=1,Table1[[#This Row],[weather_condition]]="Storm"),"High Risk", IF(Table1[[#This Row],[delayed]]=1,"Medium Risk","Low Risk"))</f>
        <v>Low Risk</v>
      </c>
    </row>
    <row r="1489" spans="1:14" x14ac:dyDescent="0.35">
      <c r="A1489">
        <v>1488</v>
      </c>
      <c r="B1489" s="1">
        <v>44988.958333333336</v>
      </c>
      <c r="C1489" s="2">
        <v>5.2083333333333336E-2</v>
      </c>
      <c r="D1489" s="3">
        <v>123</v>
      </c>
      <c r="E1489" s="3">
        <v>358</v>
      </c>
      <c r="F1489" s="2">
        <v>64.334722222222226</v>
      </c>
      <c r="G1489" t="s">
        <v>2815</v>
      </c>
      <c r="H1489" t="s">
        <v>2817</v>
      </c>
      <c r="I1489" s="2">
        <v>2.088888888888889</v>
      </c>
      <c r="J1489" s="4" t="str">
        <f>IF(Table1[[#This Row],[processing_time_hours]]&gt;1.5,"Slow", "Fast")</f>
        <v>Slow</v>
      </c>
      <c r="K1489" t="s">
        <v>2821</v>
      </c>
      <c r="L1489" s="3">
        <v>0</v>
      </c>
      <c r="M1489" t="str">
        <f>IF(Table1[[#This Row],[delayed]]=1,"Delayed","On Time")</f>
        <v>On Time</v>
      </c>
      <c r="N1489" t="str">
        <f>IF(AND(Table1[[#This Row],[delayed]]=1,Table1[[#This Row],[weather_condition]]="Storm"),"High Risk", IF(Table1[[#This Row],[delayed]]=1,"Medium Risk","Low Risk"))</f>
        <v>Low Risk</v>
      </c>
    </row>
    <row r="1490" spans="1:14" x14ac:dyDescent="0.35">
      <c r="A1490">
        <v>1489</v>
      </c>
      <c r="B1490" s="1">
        <v>44989</v>
      </c>
      <c r="C1490" s="2">
        <v>4.4444444444444446E-2</v>
      </c>
      <c r="D1490" s="3">
        <v>2268</v>
      </c>
      <c r="E1490" s="3">
        <v>198</v>
      </c>
      <c r="F1490" s="2">
        <v>60.587499999999999</v>
      </c>
      <c r="G1490" t="s">
        <v>2816</v>
      </c>
      <c r="H1490" t="s">
        <v>2820</v>
      </c>
      <c r="I1490" s="2">
        <v>1.7979166666666666</v>
      </c>
      <c r="J1490" s="4" t="str">
        <f>IF(Table1[[#This Row],[processing_time_hours]]&gt;1.5,"Slow", "Fast")</f>
        <v>Slow</v>
      </c>
      <c r="K1490" t="s">
        <v>2818</v>
      </c>
      <c r="L1490" s="3">
        <v>0</v>
      </c>
      <c r="M1490" t="str">
        <f>IF(Table1[[#This Row],[delayed]]=1,"Delayed","On Time")</f>
        <v>On Time</v>
      </c>
      <c r="N1490" t="str">
        <f>IF(AND(Table1[[#This Row],[delayed]]=1,Table1[[#This Row],[weather_condition]]="Storm"),"High Risk", IF(Table1[[#This Row],[delayed]]=1,"Medium Risk","Low Risk"))</f>
        <v>Low Risk</v>
      </c>
    </row>
    <row r="1491" spans="1:14" x14ac:dyDescent="0.35">
      <c r="A1491">
        <v>1490</v>
      </c>
      <c r="B1491" s="1">
        <v>44989.041666666664</v>
      </c>
      <c r="C1491" s="2">
        <v>4.1666666666666666E-3</v>
      </c>
      <c r="D1491" s="3">
        <v>3454</v>
      </c>
      <c r="E1491" s="3">
        <v>98</v>
      </c>
      <c r="F1491" s="2">
        <v>27.170833333333334</v>
      </c>
      <c r="G1491" t="s">
        <v>2812</v>
      </c>
      <c r="H1491" t="s">
        <v>2817</v>
      </c>
      <c r="I1491" s="2">
        <v>0.25486111111111109</v>
      </c>
      <c r="J1491" s="4" t="str">
        <f>IF(Table1[[#This Row],[processing_time_hours]]&gt;1.5,"Slow", "Fast")</f>
        <v>Fast</v>
      </c>
      <c r="K1491" t="s">
        <v>2814</v>
      </c>
      <c r="L1491" s="3">
        <v>0</v>
      </c>
      <c r="M1491" t="str">
        <f>IF(Table1[[#This Row],[delayed]]=1,"Delayed","On Time")</f>
        <v>On Time</v>
      </c>
      <c r="N1491" t="str">
        <f>IF(AND(Table1[[#This Row],[delayed]]=1,Table1[[#This Row],[weather_condition]]="Storm"),"High Risk", IF(Table1[[#This Row],[delayed]]=1,"Medium Risk","Low Risk"))</f>
        <v>Low Risk</v>
      </c>
    </row>
    <row r="1492" spans="1:14" x14ac:dyDescent="0.35">
      <c r="A1492">
        <v>1491</v>
      </c>
      <c r="B1492" s="1">
        <v>44989.083333333336</v>
      </c>
      <c r="C1492" s="2">
        <v>4.9999999999999996E-2</v>
      </c>
      <c r="D1492" s="3">
        <v>2882</v>
      </c>
      <c r="E1492" s="3">
        <v>11</v>
      </c>
      <c r="F1492" s="2">
        <v>8.4201388888888893</v>
      </c>
      <c r="G1492" t="s">
        <v>2816</v>
      </c>
      <c r="H1492" t="s">
        <v>2817</v>
      </c>
      <c r="I1492" s="2">
        <v>2.2513888888888887</v>
      </c>
      <c r="J1492" s="4" t="str">
        <f>IF(Table1[[#This Row],[processing_time_hours]]&gt;1.5,"Slow", "Fast")</f>
        <v>Slow</v>
      </c>
      <c r="K1492" t="s">
        <v>2821</v>
      </c>
      <c r="L1492" s="3">
        <v>1</v>
      </c>
      <c r="M1492" t="str">
        <f>IF(Table1[[#This Row],[delayed]]=1,"Delayed","On Time")</f>
        <v>Delayed</v>
      </c>
      <c r="N1492" t="str">
        <f>IF(AND(Table1[[#This Row],[delayed]]=1,Table1[[#This Row],[weather_condition]]="Storm"),"High Risk", IF(Table1[[#This Row],[delayed]]=1,"Medium Risk","Low Risk"))</f>
        <v>High Risk</v>
      </c>
    </row>
    <row r="1493" spans="1:14" x14ac:dyDescent="0.35">
      <c r="A1493">
        <v>1492</v>
      </c>
      <c r="B1493" s="1">
        <v>44989.125</v>
      </c>
      <c r="C1493" s="2">
        <v>5.3472222222222227E-2</v>
      </c>
      <c r="D1493" s="3">
        <v>2100</v>
      </c>
      <c r="E1493" s="3">
        <v>32</v>
      </c>
      <c r="F1493" s="2">
        <v>14.043750000000001</v>
      </c>
      <c r="G1493" t="s">
        <v>2819</v>
      </c>
      <c r="H1493" t="s">
        <v>2820</v>
      </c>
      <c r="I1493" s="2">
        <v>2.1673611111111111</v>
      </c>
      <c r="J1493" s="4" t="str">
        <f>IF(Table1[[#This Row],[processing_time_hours]]&gt;1.5,"Slow", "Fast")</f>
        <v>Slow</v>
      </c>
      <c r="K1493" t="s">
        <v>2821</v>
      </c>
      <c r="L1493" s="3">
        <v>0</v>
      </c>
      <c r="M1493" t="str">
        <f>IF(Table1[[#This Row],[delayed]]=1,"Delayed","On Time")</f>
        <v>On Time</v>
      </c>
      <c r="N1493" t="str">
        <f>IF(AND(Table1[[#This Row],[delayed]]=1,Table1[[#This Row],[weather_condition]]="Storm"),"High Risk", IF(Table1[[#This Row],[delayed]]=1,"Medium Risk","Low Risk"))</f>
        <v>Low Risk</v>
      </c>
    </row>
    <row r="1494" spans="1:14" x14ac:dyDescent="0.35">
      <c r="A1494">
        <v>1493</v>
      </c>
      <c r="B1494" s="1">
        <v>44989.166666666664</v>
      </c>
      <c r="C1494" s="2">
        <v>5.7638888888888885E-2</v>
      </c>
      <c r="D1494" s="3">
        <v>416</v>
      </c>
      <c r="E1494" s="3">
        <v>368</v>
      </c>
      <c r="F1494" s="2">
        <v>12.125</v>
      </c>
      <c r="G1494" t="s">
        <v>2816</v>
      </c>
      <c r="H1494" t="s">
        <v>2822</v>
      </c>
      <c r="I1494" s="2">
        <v>0.67152777777777783</v>
      </c>
      <c r="J1494" s="4" t="str">
        <f>IF(Table1[[#This Row],[processing_time_hours]]&gt;1.5,"Slow", "Fast")</f>
        <v>Fast</v>
      </c>
      <c r="K1494" t="s">
        <v>2818</v>
      </c>
      <c r="L1494" s="3">
        <v>1</v>
      </c>
      <c r="M1494" t="str">
        <f>IF(Table1[[#This Row],[delayed]]=1,"Delayed","On Time")</f>
        <v>Delayed</v>
      </c>
      <c r="N1494" t="str">
        <f>IF(AND(Table1[[#This Row],[delayed]]=1,Table1[[#This Row],[weather_condition]]="Storm"),"High Risk", IF(Table1[[#This Row],[delayed]]=1,"Medium Risk","Low Risk"))</f>
        <v>Medium Risk</v>
      </c>
    </row>
    <row r="1495" spans="1:14" x14ac:dyDescent="0.35">
      <c r="A1495">
        <v>1494</v>
      </c>
      <c r="B1495" s="1">
        <v>44989.208333333336</v>
      </c>
      <c r="C1495" s="2">
        <v>6.805555555555555E-2</v>
      </c>
      <c r="D1495" s="3">
        <v>1392</v>
      </c>
      <c r="E1495" s="3">
        <v>223</v>
      </c>
      <c r="F1495" s="2">
        <v>19.836805555555554</v>
      </c>
      <c r="G1495" t="s">
        <v>2815</v>
      </c>
      <c r="H1495" t="s">
        <v>2813</v>
      </c>
      <c r="I1495" s="2">
        <v>0.62638888888888888</v>
      </c>
      <c r="J1495" s="4" t="str">
        <f>IF(Table1[[#This Row],[processing_time_hours]]&gt;1.5,"Slow", "Fast")</f>
        <v>Fast</v>
      </c>
      <c r="K1495" t="s">
        <v>2821</v>
      </c>
      <c r="L1495" s="3">
        <v>0</v>
      </c>
      <c r="M1495" t="str">
        <f>IF(Table1[[#This Row],[delayed]]=1,"Delayed","On Time")</f>
        <v>On Time</v>
      </c>
      <c r="N1495" t="str">
        <f>IF(AND(Table1[[#This Row],[delayed]]=1,Table1[[#This Row],[weather_condition]]="Storm"),"High Risk", IF(Table1[[#This Row],[delayed]]=1,"Medium Risk","Low Risk"))</f>
        <v>Low Risk</v>
      </c>
    </row>
    <row r="1496" spans="1:14" x14ac:dyDescent="0.35">
      <c r="A1496">
        <v>1495</v>
      </c>
      <c r="B1496" s="1">
        <v>44989.25</v>
      </c>
      <c r="C1496" s="2">
        <v>4.4444444444444446E-2</v>
      </c>
      <c r="D1496" s="3">
        <v>842</v>
      </c>
      <c r="E1496" s="3">
        <v>303</v>
      </c>
      <c r="F1496" s="2">
        <v>68.752083333333331</v>
      </c>
      <c r="G1496" t="s">
        <v>2819</v>
      </c>
      <c r="H1496" t="s">
        <v>2822</v>
      </c>
      <c r="I1496" s="2">
        <v>1.4638888888888888</v>
      </c>
      <c r="J1496" s="4" t="str">
        <f>IF(Table1[[#This Row],[processing_time_hours]]&gt;1.5,"Slow", "Fast")</f>
        <v>Fast</v>
      </c>
      <c r="K1496" t="s">
        <v>2814</v>
      </c>
      <c r="L1496" s="3">
        <v>0</v>
      </c>
      <c r="M1496" t="str">
        <f>IF(Table1[[#This Row],[delayed]]=1,"Delayed","On Time")</f>
        <v>On Time</v>
      </c>
      <c r="N1496" t="str">
        <f>IF(AND(Table1[[#This Row],[delayed]]=1,Table1[[#This Row],[weather_condition]]="Storm"),"High Risk", IF(Table1[[#This Row],[delayed]]=1,"Medium Risk","Low Risk"))</f>
        <v>Low Risk</v>
      </c>
    </row>
    <row r="1497" spans="1:14" x14ac:dyDescent="0.35">
      <c r="A1497">
        <v>1496</v>
      </c>
      <c r="B1497" s="1">
        <v>44989.291666666664</v>
      </c>
      <c r="C1497" s="2">
        <v>5.1388888888888894E-2</v>
      </c>
      <c r="D1497" s="3">
        <v>75</v>
      </c>
      <c r="E1497" s="3">
        <v>112</v>
      </c>
      <c r="F1497" s="2">
        <v>78.751388888888883</v>
      </c>
      <c r="G1497" t="s">
        <v>2819</v>
      </c>
      <c r="H1497" t="s">
        <v>2820</v>
      </c>
      <c r="I1497" s="2">
        <v>0.96111111111111114</v>
      </c>
      <c r="J1497" s="4" t="str">
        <f>IF(Table1[[#This Row],[processing_time_hours]]&gt;1.5,"Slow", "Fast")</f>
        <v>Fast</v>
      </c>
      <c r="K1497" t="s">
        <v>2818</v>
      </c>
      <c r="L1497" s="3">
        <v>0</v>
      </c>
      <c r="M1497" t="str">
        <f>IF(Table1[[#This Row],[delayed]]=1,"Delayed","On Time")</f>
        <v>On Time</v>
      </c>
      <c r="N1497" t="str">
        <f>IF(AND(Table1[[#This Row],[delayed]]=1,Table1[[#This Row],[weather_condition]]="Storm"),"High Risk", IF(Table1[[#This Row],[delayed]]=1,"Medium Risk","Low Risk"))</f>
        <v>Low Risk</v>
      </c>
    </row>
    <row r="1498" spans="1:14" x14ac:dyDescent="0.35">
      <c r="A1498">
        <v>1497</v>
      </c>
      <c r="B1498" s="1">
        <v>44989.333333333336</v>
      </c>
      <c r="C1498" s="2">
        <v>6.5972222222222224E-2</v>
      </c>
      <c r="D1498" s="3">
        <v>4991</v>
      </c>
      <c r="E1498" s="3">
        <v>159</v>
      </c>
      <c r="F1498" s="2">
        <v>81.75555555555556</v>
      </c>
      <c r="G1498" t="s">
        <v>2816</v>
      </c>
      <c r="H1498" t="s">
        <v>2817</v>
      </c>
      <c r="I1498" s="2">
        <v>1.9222222222222223</v>
      </c>
      <c r="J1498" s="4" t="str">
        <f>IF(Table1[[#This Row],[processing_time_hours]]&gt;1.5,"Slow", "Fast")</f>
        <v>Slow</v>
      </c>
      <c r="K1498" t="s">
        <v>2821</v>
      </c>
      <c r="L1498" s="3">
        <v>1</v>
      </c>
      <c r="M1498" t="str">
        <f>IF(Table1[[#This Row],[delayed]]=1,"Delayed","On Time")</f>
        <v>Delayed</v>
      </c>
      <c r="N1498" t="str">
        <f>IF(AND(Table1[[#This Row],[delayed]]=1,Table1[[#This Row],[weather_condition]]="Storm"),"High Risk", IF(Table1[[#This Row],[delayed]]=1,"Medium Risk","Low Risk"))</f>
        <v>High Risk</v>
      </c>
    </row>
    <row r="1499" spans="1:14" x14ac:dyDescent="0.35">
      <c r="A1499">
        <v>1498</v>
      </c>
      <c r="B1499" s="1">
        <v>44989.375</v>
      </c>
      <c r="C1499" s="2">
        <v>6.458333333333334E-2</v>
      </c>
      <c r="D1499" s="3">
        <v>4659</v>
      </c>
      <c r="E1499" s="3">
        <v>414</v>
      </c>
      <c r="F1499" s="2">
        <v>0.58958333333333335</v>
      </c>
      <c r="G1499" t="s">
        <v>2815</v>
      </c>
      <c r="H1499" t="s">
        <v>2817</v>
      </c>
      <c r="I1499" s="2">
        <v>8.7500000000000008E-2</v>
      </c>
      <c r="J1499" s="4" t="str">
        <f>IF(Table1[[#This Row],[processing_time_hours]]&gt;1.5,"Slow", "Fast")</f>
        <v>Fast</v>
      </c>
      <c r="K1499" t="s">
        <v>2814</v>
      </c>
      <c r="L1499" s="3">
        <v>0</v>
      </c>
      <c r="M1499" t="str">
        <f>IF(Table1[[#This Row],[delayed]]=1,"Delayed","On Time")</f>
        <v>On Time</v>
      </c>
      <c r="N1499" t="str">
        <f>IF(AND(Table1[[#This Row],[delayed]]=1,Table1[[#This Row],[weather_condition]]="Storm"),"High Risk", IF(Table1[[#This Row],[delayed]]=1,"Medium Risk","Low Risk"))</f>
        <v>Low Risk</v>
      </c>
    </row>
    <row r="1500" spans="1:14" x14ac:dyDescent="0.35">
      <c r="A1500">
        <v>1499</v>
      </c>
      <c r="B1500" s="1">
        <v>44989.416666666664</v>
      </c>
      <c r="C1500" s="2">
        <v>4.4444444444444446E-2</v>
      </c>
      <c r="D1500" s="3">
        <v>3869</v>
      </c>
      <c r="E1500" s="3">
        <v>347</v>
      </c>
      <c r="F1500" s="2">
        <v>81.129861111111111</v>
      </c>
      <c r="G1500" t="s">
        <v>2815</v>
      </c>
      <c r="H1500" t="s">
        <v>2820</v>
      </c>
      <c r="I1500" s="2">
        <v>0.25486111111111109</v>
      </c>
      <c r="J1500" s="4" t="str">
        <f>IF(Table1[[#This Row],[processing_time_hours]]&gt;1.5,"Slow", "Fast")</f>
        <v>Fast</v>
      </c>
      <c r="K1500" t="s">
        <v>2814</v>
      </c>
      <c r="L1500" s="3">
        <v>0</v>
      </c>
      <c r="M1500" t="str">
        <f>IF(Table1[[#This Row],[delayed]]=1,"Delayed","On Time")</f>
        <v>On Time</v>
      </c>
      <c r="N1500" t="str">
        <f>IF(AND(Table1[[#This Row],[delayed]]=1,Table1[[#This Row],[weather_condition]]="Storm"),"High Risk", IF(Table1[[#This Row],[delayed]]=1,"Medium Risk","Low Risk"))</f>
        <v>Low Risk</v>
      </c>
    </row>
    <row r="1501" spans="1:14" x14ac:dyDescent="0.35">
      <c r="A1501">
        <v>1500</v>
      </c>
      <c r="B1501" s="1">
        <v>44989.458333333336</v>
      </c>
      <c r="C1501" s="2">
        <v>6.0416666666666667E-2</v>
      </c>
      <c r="D1501" s="3">
        <v>3716</v>
      </c>
      <c r="E1501" s="3">
        <v>413</v>
      </c>
      <c r="F1501" s="2">
        <v>49.458333333333336</v>
      </c>
      <c r="G1501" t="s">
        <v>2819</v>
      </c>
      <c r="H1501" t="s">
        <v>2813</v>
      </c>
      <c r="I1501" s="2">
        <v>0.29166666666666669</v>
      </c>
      <c r="J1501" s="4" t="str">
        <f>IF(Table1[[#This Row],[processing_time_hours]]&gt;1.5,"Slow", "Fast")</f>
        <v>Fast</v>
      </c>
      <c r="K1501" t="s">
        <v>2818</v>
      </c>
      <c r="L1501" s="3">
        <v>0</v>
      </c>
      <c r="M1501" t="str">
        <f>IF(Table1[[#This Row],[delayed]]=1,"Delayed","On Time")</f>
        <v>On Time</v>
      </c>
      <c r="N1501" t="str">
        <f>IF(AND(Table1[[#This Row],[delayed]]=1,Table1[[#This Row],[weather_condition]]="Storm"),"High Risk", IF(Table1[[#This Row],[delayed]]=1,"Medium Risk","Low Risk"))</f>
        <v>Low Risk</v>
      </c>
    </row>
    <row r="1502" spans="1:14" x14ac:dyDescent="0.35">
      <c r="A1502">
        <v>1501</v>
      </c>
      <c r="B1502" s="1">
        <v>44989.5</v>
      </c>
      <c r="C1502" s="2">
        <v>4.4444444444444446E-2</v>
      </c>
      <c r="D1502" s="3">
        <v>1669</v>
      </c>
      <c r="E1502" s="3">
        <v>418</v>
      </c>
      <c r="F1502" s="2">
        <v>3.0451388888888888</v>
      </c>
      <c r="G1502" t="s">
        <v>2812</v>
      </c>
      <c r="H1502" t="s">
        <v>2813</v>
      </c>
      <c r="I1502" s="2">
        <v>0.83680555555555547</v>
      </c>
      <c r="J1502" s="4" t="str">
        <f>IF(Table1[[#This Row],[processing_time_hours]]&gt;1.5,"Slow", "Fast")</f>
        <v>Fast</v>
      </c>
      <c r="K1502" t="s">
        <v>2818</v>
      </c>
      <c r="L1502" s="3">
        <v>0</v>
      </c>
      <c r="M1502" t="str">
        <f>IF(Table1[[#This Row],[delayed]]=1,"Delayed","On Time")</f>
        <v>On Time</v>
      </c>
      <c r="N1502" t="str">
        <f>IF(AND(Table1[[#This Row],[delayed]]=1,Table1[[#This Row],[weather_condition]]="Storm"),"High Risk", IF(Table1[[#This Row],[delayed]]=1,"Medium Risk","Low Risk"))</f>
        <v>Low Risk</v>
      </c>
    </row>
    <row r="1503" spans="1:14" x14ac:dyDescent="0.35">
      <c r="A1503">
        <v>1502</v>
      </c>
      <c r="B1503" s="1">
        <v>44989.541666666664</v>
      </c>
      <c r="C1503" s="2">
        <v>6.805555555555555E-2</v>
      </c>
      <c r="D1503" s="3">
        <v>1108</v>
      </c>
      <c r="E1503" s="3">
        <v>218</v>
      </c>
      <c r="F1503" s="2">
        <v>75.709027777777777</v>
      </c>
      <c r="G1503" t="s">
        <v>2815</v>
      </c>
      <c r="H1503" t="s">
        <v>2822</v>
      </c>
      <c r="I1503" s="2">
        <v>1.7138888888888888</v>
      </c>
      <c r="J1503" s="4" t="str">
        <f>IF(Table1[[#This Row],[processing_time_hours]]&gt;1.5,"Slow", "Fast")</f>
        <v>Slow</v>
      </c>
      <c r="K1503" t="s">
        <v>2821</v>
      </c>
      <c r="L1503" s="3">
        <v>1</v>
      </c>
      <c r="M1503" t="str">
        <f>IF(Table1[[#This Row],[delayed]]=1,"Delayed","On Time")</f>
        <v>Delayed</v>
      </c>
      <c r="N1503" t="str">
        <f>IF(AND(Table1[[#This Row],[delayed]]=1,Table1[[#This Row],[weather_condition]]="Storm"),"High Risk", IF(Table1[[#This Row],[delayed]]=1,"Medium Risk","Low Risk"))</f>
        <v>Medium Risk</v>
      </c>
    </row>
    <row r="1504" spans="1:14" x14ac:dyDescent="0.35">
      <c r="A1504">
        <v>1503</v>
      </c>
      <c r="B1504" s="1">
        <v>44989.583333333336</v>
      </c>
      <c r="C1504" s="2">
        <v>4.8611111111111112E-3</v>
      </c>
      <c r="D1504" s="3">
        <v>3687</v>
      </c>
      <c r="E1504" s="3">
        <v>357</v>
      </c>
      <c r="F1504" s="2">
        <v>76.166666666666671</v>
      </c>
      <c r="G1504" t="s">
        <v>2815</v>
      </c>
      <c r="H1504" t="s">
        <v>2817</v>
      </c>
      <c r="I1504" s="2">
        <v>2.9229166666666671</v>
      </c>
      <c r="J1504" s="4" t="str">
        <f>IF(Table1[[#This Row],[processing_time_hours]]&gt;1.5,"Slow", "Fast")</f>
        <v>Slow</v>
      </c>
      <c r="K1504" t="s">
        <v>2818</v>
      </c>
      <c r="L1504" s="3">
        <v>0</v>
      </c>
      <c r="M1504" t="str">
        <f>IF(Table1[[#This Row],[delayed]]=1,"Delayed","On Time")</f>
        <v>On Time</v>
      </c>
      <c r="N1504" t="str">
        <f>IF(AND(Table1[[#This Row],[delayed]]=1,Table1[[#This Row],[weather_condition]]="Storm"),"High Risk", IF(Table1[[#This Row],[delayed]]=1,"Medium Risk","Low Risk"))</f>
        <v>Low Risk</v>
      </c>
    </row>
    <row r="1505" spans="1:14" x14ac:dyDescent="0.35">
      <c r="A1505">
        <v>1504</v>
      </c>
      <c r="B1505" s="1">
        <v>44989.625</v>
      </c>
      <c r="C1505" s="2">
        <v>5.8333333333333327E-2</v>
      </c>
      <c r="D1505" s="3">
        <v>2862</v>
      </c>
      <c r="E1505" s="3">
        <v>365</v>
      </c>
      <c r="F1505" s="2">
        <v>69.211805555555557</v>
      </c>
      <c r="G1505" t="s">
        <v>2816</v>
      </c>
      <c r="H1505" t="s">
        <v>2817</v>
      </c>
      <c r="I1505" s="2">
        <v>0.4201388888888889</v>
      </c>
      <c r="J1505" s="4" t="str">
        <f>IF(Table1[[#This Row],[processing_time_hours]]&gt;1.5,"Slow", "Fast")</f>
        <v>Fast</v>
      </c>
      <c r="K1505" t="s">
        <v>2821</v>
      </c>
      <c r="L1505" s="3">
        <v>0</v>
      </c>
      <c r="M1505" t="str">
        <f>IF(Table1[[#This Row],[delayed]]=1,"Delayed","On Time")</f>
        <v>On Time</v>
      </c>
      <c r="N1505" t="str">
        <f>IF(AND(Table1[[#This Row],[delayed]]=1,Table1[[#This Row],[weather_condition]]="Storm"),"High Risk", IF(Table1[[#This Row],[delayed]]=1,"Medium Risk","Low Risk"))</f>
        <v>Low Risk</v>
      </c>
    </row>
    <row r="1506" spans="1:14" x14ac:dyDescent="0.35">
      <c r="A1506">
        <v>1505</v>
      </c>
      <c r="B1506" s="1">
        <v>44989.666666666664</v>
      </c>
      <c r="C1506" s="2">
        <v>5.486111111111111E-2</v>
      </c>
      <c r="D1506" s="3">
        <v>3231</v>
      </c>
      <c r="E1506" s="3">
        <v>105</v>
      </c>
      <c r="F1506" s="2">
        <v>6.0479166666666666</v>
      </c>
      <c r="G1506" t="s">
        <v>2812</v>
      </c>
      <c r="H1506" t="s">
        <v>2813</v>
      </c>
      <c r="I1506" s="2">
        <v>2.2944444444444447</v>
      </c>
      <c r="J1506" s="4" t="str">
        <f>IF(Table1[[#This Row],[processing_time_hours]]&gt;1.5,"Slow", "Fast")</f>
        <v>Slow</v>
      </c>
      <c r="K1506" t="s">
        <v>2821</v>
      </c>
      <c r="L1506" s="3">
        <v>0</v>
      </c>
      <c r="M1506" t="str">
        <f>IF(Table1[[#This Row],[delayed]]=1,"Delayed","On Time")</f>
        <v>On Time</v>
      </c>
      <c r="N1506" t="str">
        <f>IF(AND(Table1[[#This Row],[delayed]]=1,Table1[[#This Row],[weather_condition]]="Storm"),"High Risk", IF(Table1[[#This Row],[delayed]]=1,"Medium Risk","Low Risk"))</f>
        <v>Low Risk</v>
      </c>
    </row>
    <row r="1507" spans="1:14" x14ac:dyDescent="0.35">
      <c r="A1507">
        <v>1506</v>
      </c>
      <c r="B1507" s="1">
        <v>44989.708333333336</v>
      </c>
      <c r="C1507" s="2">
        <v>5.5555555555555558E-3</v>
      </c>
      <c r="D1507" s="3">
        <v>2272</v>
      </c>
      <c r="E1507" s="3">
        <v>316</v>
      </c>
      <c r="F1507" s="2">
        <v>77.083333333333329</v>
      </c>
      <c r="G1507" t="s">
        <v>2816</v>
      </c>
      <c r="H1507" t="s">
        <v>2820</v>
      </c>
      <c r="I1507" s="2">
        <v>0.38055555555555554</v>
      </c>
      <c r="J1507" s="4" t="str">
        <f>IF(Table1[[#This Row],[processing_time_hours]]&gt;1.5,"Slow", "Fast")</f>
        <v>Fast</v>
      </c>
      <c r="K1507" t="s">
        <v>2821</v>
      </c>
      <c r="L1507" s="3">
        <v>0</v>
      </c>
      <c r="M1507" t="str">
        <f>IF(Table1[[#This Row],[delayed]]=1,"Delayed","On Time")</f>
        <v>On Time</v>
      </c>
      <c r="N1507" t="str">
        <f>IF(AND(Table1[[#This Row],[delayed]]=1,Table1[[#This Row],[weather_condition]]="Storm"),"High Risk", IF(Table1[[#This Row],[delayed]]=1,"Medium Risk","Low Risk"))</f>
        <v>Low Risk</v>
      </c>
    </row>
    <row r="1508" spans="1:14" x14ac:dyDescent="0.35">
      <c r="A1508">
        <v>1507</v>
      </c>
      <c r="B1508" s="1">
        <v>44989.75</v>
      </c>
      <c r="C1508" s="2">
        <v>4.7916666666666663E-2</v>
      </c>
      <c r="D1508" s="3">
        <v>2932</v>
      </c>
      <c r="E1508" s="3">
        <v>42</v>
      </c>
      <c r="F1508" s="2">
        <v>56.546527777777776</v>
      </c>
      <c r="G1508" t="s">
        <v>2815</v>
      </c>
      <c r="H1508" t="s">
        <v>2813</v>
      </c>
      <c r="I1508" s="2">
        <v>2.3763888888888887</v>
      </c>
      <c r="J1508" s="4" t="str">
        <f>IF(Table1[[#This Row],[processing_time_hours]]&gt;1.5,"Slow", "Fast")</f>
        <v>Slow</v>
      </c>
      <c r="K1508" t="s">
        <v>2818</v>
      </c>
      <c r="L1508" s="3">
        <v>0</v>
      </c>
      <c r="M1508" t="str">
        <f>IF(Table1[[#This Row],[delayed]]=1,"Delayed","On Time")</f>
        <v>On Time</v>
      </c>
      <c r="N1508" t="str">
        <f>IF(AND(Table1[[#This Row],[delayed]]=1,Table1[[#This Row],[weather_condition]]="Storm"),"High Risk", IF(Table1[[#This Row],[delayed]]=1,"Medium Risk","Low Risk"))</f>
        <v>Low Risk</v>
      </c>
    </row>
    <row r="1509" spans="1:14" x14ac:dyDescent="0.35">
      <c r="A1509">
        <v>1508</v>
      </c>
      <c r="B1509" s="1">
        <v>44989.791666666664</v>
      </c>
      <c r="C1509" s="2">
        <v>5.1388888888888894E-2</v>
      </c>
      <c r="D1509" s="3">
        <v>1602</v>
      </c>
      <c r="E1509" s="3">
        <v>451</v>
      </c>
      <c r="F1509" s="2">
        <v>70.750694444444449</v>
      </c>
      <c r="G1509" t="s">
        <v>2812</v>
      </c>
      <c r="H1509" t="s">
        <v>2822</v>
      </c>
      <c r="I1509" s="2">
        <v>0.50624999999999998</v>
      </c>
      <c r="J1509" s="4" t="str">
        <f>IF(Table1[[#This Row],[processing_time_hours]]&gt;1.5,"Slow", "Fast")</f>
        <v>Fast</v>
      </c>
      <c r="K1509" t="s">
        <v>2818</v>
      </c>
      <c r="L1509" s="3">
        <v>1</v>
      </c>
      <c r="M1509" t="str">
        <f>IF(Table1[[#This Row],[delayed]]=1,"Delayed","On Time")</f>
        <v>Delayed</v>
      </c>
      <c r="N1509" t="str">
        <f>IF(AND(Table1[[#This Row],[delayed]]=1,Table1[[#This Row],[weather_condition]]="Storm"),"High Risk", IF(Table1[[#This Row],[delayed]]=1,"Medium Risk","Low Risk"))</f>
        <v>Medium Risk</v>
      </c>
    </row>
    <row r="1510" spans="1:14" x14ac:dyDescent="0.35">
      <c r="A1510">
        <v>1509</v>
      </c>
      <c r="B1510" s="1">
        <v>44989.833333333336</v>
      </c>
      <c r="C1510" s="2">
        <v>4.9305555555555554E-2</v>
      </c>
      <c r="D1510" s="3">
        <v>1851</v>
      </c>
      <c r="E1510" s="3">
        <v>364</v>
      </c>
      <c r="F1510" s="2">
        <v>52.588888888888896</v>
      </c>
      <c r="G1510" t="s">
        <v>2816</v>
      </c>
      <c r="H1510" t="s">
        <v>2822</v>
      </c>
      <c r="I1510" s="2">
        <v>0.33819444444444446</v>
      </c>
      <c r="J1510" s="4" t="str">
        <f>IF(Table1[[#This Row],[processing_time_hours]]&gt;1.5,"Slow", "Fast")</f>
        <v>Fast</v>
      </c>
      <c r="K1510" t="s">
        <v>2818</v>
      </c>
      <c r="L1510" s="3">
        <v>1</v>
      </c>
      <c r="M1510" t="str">
        <f>IF(Table1[[#This Row],[delayed]]=1,"Delayed","On Time")</f>
        <v>Delayed</v>
      </c>
      <c r="N1510" t="str">
        <f>IF(AND(Table1[[#This Row],[delayed]]=1,Table1[[#This Row],[weather_condition]]="Storm"),"High Risk", IF(Table1[[#This Row],[delayed]]=1,"Medium Risk","Low Risk"))</f>
        <v>Medium Risk</v>
      </c>
    </row>
    <row r="1511" spans="1:14" x14ac:dyDescent="0.35">
      <c r="A1511">
        <v>1510</v>
      </c>
      <c r="B1511" s="1">
        <v>44989.875</v>
      </c>
      <c r="C1511" s="2">
        <v>5.9027777777777783E-2</v>
      </c>
      <c r="D1511" s="3">
        <v>339</v>
      </c>
      <c r="E1511" s="3">
        <v>91</v>
      </c>
      <c r="F1511" s="2">
        <v>7.5465277777777784</v>
      </c>
      <c r="G1511" t="s">
        <v>2812</v>
      </c>
      <c r="H1511" t="s">
        <v>2822</v>
      </c>
      <c r="I1511" s="2">
        <v>0.25069444444444444</v>
      </c>
      <c r="J1511" s="4" t="str">
        <f>IF(Table1[[#This Row],[processing_time_hours]]&gt;1.5,"Slow", "Fast")</f>
        <v>Fast</v>
      </c>
      <c r="K1511" t="s">
        <v>2821</v>
      </c>
      <c r="L1511" s="3">
        <v>1</v>
      </c>
      <c r="M1511" t="str">
        <f>IF(Table1[[#This Row],[delayed]]=1,"Delayed","On Time")</f>
        <v>Delayed</v>
      </c>
      <c r="N1511" t="str">
        <f>IF(AND(Table1[[#This Row],[delayed]]=1,Table1[[#This Row],[weather_condition]]="Storm"),"High Risk", IF(Table1[[#This Row],[delayed]]=1,"Medium Risk","Low Risk"))</f>
        <v>Medium Risk</v>
      </c>
    </row>
    <row r="1512" spans="1:14" x14ac:dyDescent="0.35">
      <c r="A1512">
        <v>1511</v>
      </c>
      <c r="B1512" s="1">
        <v>44989.916666666664</v>
      </c>
      <c r="C1512" s="2">
        <v>5.3472222222222227E-2</v>
      </c>
      <c r="D1512" s="3">
        <v>3022</v>
      </c>
      <c r="E1512" s="3">
        <v>7</v>
      </c>
      <c r="F1512" s="2">
        <v>53.088888888888896</v>
      </c>
      <c r="G1512" t="s">
        <v>2812</v>
      </c>
      <c r="H1512" t="s">
        <v>2820</v>
      </c>
      <c r="I1512" s="2">
        <v>1.7513888888888889</v>
      </c>
      <c r="J1512" s="4" t="str">
        <f>IF(Table1[[#This Row],[processing_time_hours]]&gt;1.5,"Slow", "Fast")</f>
        <v>Slow</v>
      </c>
      <c r="K1512" t="s">
        <v>2821</v>
      </c>
      <c r="L1512" s="3">
        <v>0</v>
      </c>
      <c r="M1512" t="str">
        <f>IF(Table1[[#This Row],[delayed]]=1,"Delayed","On Time")</f>
        <v>On Time</v>
      </c>
      <c r="N1512" t="str">
        <f>IF(AND(Table1[[#This Row],[delayed]]=1,Table1[[#This Row],[weather_condition]]="Storm"),"High Risk", IF(Table1[[#This Row],[delayed]]=1,"Medium Risk","Low Risk"))</f>
        <v>Low Risk</v>
      </c>
    </row>
    <row r="1513" spans="1:14" x14ac:dyDescent="0.35">
      <c r="A1513">
        <v>1512</v>
      </c>
      <c r="B1513" s="1">
        <v>44989.958333333336</v>
      </c>
      <c r="C1513" s="2">
        <v>5.8333333333333327E-2</v>
      </c>
      <c r="D1513" s="3">
        <v>4462</v>
      </c>
      <c r="E1513" s="3">
        <v>478</v>
      </c>
      <c r="F1513" s="2">
        <v>35.500694444444441</v>
      </c>
      <c r="G1513" t="s">
        <v>2819</v>
      </c>
      <c r="H1513" t="s">
        <v>2813</v>
      </c>
      <c r="I1513" s="2">
        <v>1.1715277777777777</v>
      </c>
      <c r="J1513" s="4" t="str">
        <f>IF(Table1[[#This Row],[processing_time_hours]]&gt;1.5,"Slow", "Fast")</f>
        <v>Fast</v>
      </c>
      <c r="K1513" t="s">
        <v>2821</v>
      </c>
      <c r="L1513" s="3">
        <v>0</v>
      </c>
      <c r="M1513" t="str">
        <f>IF(Table1[[#This Row],[delayed]]=1,"Delayed","On Time")</f>
        <v>On Time</v>
      </c>
      <c r="N1513" t="str">
        <f>IF(AND(Table1[[#This Row],[delayed]]=1,Table1[[#This Row],[weather_condition]]="Storm"),"High Risk", IF(Table1[[#This Row],[delayed]]=1,"Medium Risk","Low Risk"))</f>
        <v>Low Risk</v>
      </c>
    </row>
    <row r="1514" spans="1:14" x14ac:dyDescent="0.35">
      <c r="A1514">
        <v>1513</v>
      </c>
      <c r="B1514" s="1">
        <v>44990</v>
      </c>
      <c r="C1514" s="2">
        <v>5.6250000000000001E-2</v>
      </c>
      <c r="D1514" s="3">
        <v>1598</v>
      </c>
      <c r="E1514" s="3">
        <v>158</v>
      </c>
      <c r="F1514" s="2">
        <v>38.003472222222221</v>
      </c>
      <c r="G1514" t="s">
        <v>2816</v>
      </c>
      <c r="H1514" t="s">
        <v>2822</v>
      </c>
      <c r="I1514" s="2">
        <v>0.71388888888888891</v>
      </c>
      <c r="J1514" s="4" t="str">
        <f>IF(Table1[[#This Row],[processing_time_hours]]&gt;1.5,"Slow", "Fast")</f>
        <v>Fast</v>
      </c>
      <c r="K1514" t="s">
        <v>2821</v>
      </c>
      <c r="L1514" s="3">
        <v>0</v>
      </c>
      <c r="M1514" t="str">
        <f>IF(Table1[[#This Row],[delayed]]=1,"Delayed","On Time")</f>
        <v>On Time</v>
      </c>
      <c r="N1514" t="str">
        <f>IF(AND(Table1[[#This Row],[delayed]]=1,Table1[[#This Row],[weather_condition]]="Storm"),"High Risk", IF(Table1[[#This Row],[delayed]]=1,"Medium Risk","Low Risk"))</f>
        <v>Low Risk</v>
      </c>
    </row>
    <row r="1515" spans="1:14" x14ac:dyDescent="0.35">
      <c r="A1515">
        <v>1514</v>
      </c>
      <c r="B1515" s="1">
        <v>44990.041666666664</v>
      </c>
      <c r="C1515" s="2">
        <v>6.0416666666666667E-2</v>
      </c>
      <c r="D1515" s="3">
        <v>127</v>
      </c>
      <c r="E1515" s="3">
        <v>115</v>
      </c>
      <c r="F1515" s="2">
        <v>27.881249999999998</v>
      </c>
      <c r="G1515" t="s">
        <v>2812</v>
      </c>
      <c r="H1515" t="s">
        <v>2817</v>
      </c>
      <c r="I1515" s="2">
        <v>2.375</v>
      </c>
      <c r="J1515" s="4" t="str">
        <f>IF(Table1[[#This Row],[processing_time_hours]]&gt;1.5,"Slow", "Fast")</f>
        <v>Slow</v>
      </c>
      <c r="K1515" t="s">
        <v>2814</v>
      </c>
      <c r="L1515" s="3">
        <v>0</v>
      </c>
      <c r="M1515" t="str">
        <f>IF(Table1[[#This Row],[delayed]]=1,"Delayed","On Time")</f>
        <v>On Time</v>
      </c>
      <c r="N1515" t="str">
        <f>IF(AND(Table1[[#This Row],[delayed]]=1,Table1[[#This Row],[weather_condition]]="Storm"),"High Risk", IF(Table1[[#This Row],[delayed]]=1,"Medium Risk","Low Risk"))</f>
        <v>Low Risk</v>
      </c>
    </row>
    <row r="1516" spans="1:14" x14ac:dyDescent="0.35">
      <c r="A1516">
        <v>1515</v>
      </c>
      <c r="B1516" s="1">
        <v>44990.083333333336</v>
      </c>
      <c r="C1516" s="2">
        <v>6.8749999999999992E-2</v>
      </c>
      <c r="D1516" s="3">
        <v>2944</v>
      </c>
      <c r="E1516" s="3">
        <v>8</v>
      </c>
      <c r="F1516" s="2">
        <v>57.584722222222219</v>
      </c>
      <c r="G1516" t="s">
        <v>2816</v>
      </c>
      <c r="H1516" t="s">
        <v>2817</v>
      </c>
      <c r="I1516" s="2">
        <v>1.2506944444444443</v>
      </c>
      <c r="J1516" s="4" t="str">
        <f>IF(Table1[[#This Row],[processing_time_hours]]&gt;1.5,"Slow", "Fast")</f>
        <v>Fast</v>
      </c>
      <c r="K1516" t="s">
        <v>2818</v>
      </c>
      <c r="L1516" s="3">
        <v>0</v>
      </c>
      <c r="M1516" t="str">
        <f>IF(Table1[[#This Row],[delayed]]=1,"Delayed","On Time")</f>
        <v>On Time</v>
      </c>
      <c r="N1516" t="str">
        <f>IF(AND(Table1[[#This Row],[delayed]]=1,Table1[[#This Row],[weather_condition]]="Storm"),"High Risk", IF(Table1[[#This Row],[delayed]]=1,"Medium Risk","Low Risk"))</f>
        <v>Low Risk</v>
      </c>
    </row>
    <row r="1517" spans="1:14" x14ac:dyDescent="0.35">
      <c r="A1517">
        <v>1516</v>
      </c>
      <c r="B1517" s="1">
        <v>44990.125</v>
      </c>
      <c r="C1517" s="2">
        <v>5.6250000000000001E-2</v>
      </c>
      <c r="D1517" s="3">
        <v>2472</v>
      </c>
      <c r="E1517" s="3">
        <v>101</v>
      </c>
      <c r="F1517" s="2">
        <v>46.381250000000001</v>
      </c>
      <c r="G1517" t="s">
        <v>2816</v>
      </c>
      <c r="H1517" t="s">
        <v>2817</v>
      </c>
      <c r="I1517" s="2">
        <v>1.0840277777777778</v>
      </c>
      <c r="J1517" s="4" t="str">
        <f>IF(Table1[[#This Row],[processing_time_hours]]&gt;1.5,"Slow", "Fast")</f>
        <v>Fast</v>
      </c>
      <c r="K1517" t="s">
        <v>2821</v>
      </c>
      <c r="L1517" s="3">
        <v>1</v>
      </c>
      <c r="M1517" t="str">
        <f>IF(Table1[[#This Row],[delayed]]=1,"Delayed","On Time")</f>
        <v>Delayed</v>
      </c>
      <c r="N1517" t="str">
        <f>IF(AND(Table1[[#This Row],[delayed]]=1,Table1[[#This Row],[weather_condition]]="Storm"),"High Risk", IF(Table1[[#This Row],[delayed]]=1,"Medium Risk","Low Risk"))</f>
        <v>High Risk</v>
      </c>
    </row>
    <row r="1518" spans="1:14" x14ac:dyDescent="0.35">
      <c r="A1518">
        <v>1517</v>
      </c>
      <c r="B1518" s="1">
        <v>44990.166666666664</v>
      </c>
      <c r="C1518" s="2">
        <v>5.6944444444444443E-2</v>
      </c>
      <c r="D1518" s="3">
        <v>2544</v>
      </c>
      <c r="E1518" s="3">
        <v>293</v>
      </c>
      <c r="F1518" s="2">
        <v>28.756249999999998</v>
      </c>
      <c r="G1518" t="s">
        <v>2819</v>
      </c>
      <c r="H1518" t="s">
        <v>2822</v>
      </c>
      <c r="I1518" s="2">
        <v>1.7534722222222223</v>
      </c>
      <c r="J1518" s="4" t="str">
        <f>IF(Table1[[#This Row],[processing_time_hours]]&gt;1.5,"Slow", "Fast")</f>
        <v>Slow</v>
      </c>
      <c r="K1518" t="s">
        <v>2814</v>
      </c>
      <c r="L1518" s="3">
        <v>0</v>
      </c>
      <c r="M1518" t="str">
        <f>IF(Table1[[#This Row],[delayed]]=1,"Delayed","On Time")</f>
        <v>On Time</v>
      </c>
      <c r="N1518" t="str">
        <f>IF(AND(Table1[[#This Row],[delayed]]=1,Table1[[#This Row],[weather_condition]]="Storm"),"High Risk", IF(Table1[[#This Row],[delayed]]=1,"Medium Risk","Low Risk"))</f>
        <v>Low Risk</v>
      </c>
    </row>
    <row r="1519" spans="1:14" x14ac:dyDescent="0.35">
      <c r="A1519">
        <v>1518</v>
      </c>
      <c r="B1519" s="1">
        <v>44990.208333333336</v>
      </c>
      <c r="C1519" s="2">
        <v>5.9027777777777783E-2</v>
      </c>
      <c r="D1519" s="3">
        <v>633</v>
      </c>
      <c r="E1519" s="3">
        <v>204</v>
      </c>
      <c r="F1519" s="2">
        <v>1.7944444444444445</v>
      </c>
      <c r="G1519" t="s">
        <v>2816</v>
      </c>
      <c r="H1519" t="s">
        <v>2817</v>
      </c>
      <c r="I1519" s="2">
        <v>2.588888888888889</v>
      </c>
      <c r="J1519" s="4" t="str">
        <f>IF(Table1[[#This Row],[processing_time_hours]]&gt;1.5,"Slow", "Fast")</f>
        <v>Slow</v>
      </c>
      <c r="K1519" t="s">
        <v>2818</v>
      </c>
      <c r="L1519" s="3">
        <v>1</v>
      </c>
      <c r="M1519" t="str">
        <f>IF(Table1[[#This Row],[delayed]]=1,"Delayed","On Time")</f>
        <v>Delayed</v>
      </c>
      <c r="N1519" t="str">
        <f>IF(AND(Table1[[#This Row],[delayed]]=1,Table1[[#This Row],[weather_condition]]="Storm"),"High Risk", IF(Table1[[#This Row],[delayed]]=1,"Medium Risk","Low Risk"))</f>
        <v>High Risk</v>
      </c>
    </row>
    <row r="1520" spans="1:14" x14ac:dyDescent="0.35">
      <c r="A1520">
        <v>1519</v>
      </c>
      <c r="B1520" s="1">
        <v>44990.25</v>
      </c>
      <c r="C1520" s="2">
        <v>5.6944444444444443E-2</v>
      </c>
      <c r="D1520" s="3">
        <v>1032</v>
      </c>
      <c r="E1520" s="3">
        <v>236</v>
      </c>
      <c r="F1520" s="2">
        <v>52.084722222222219</v>
      </c>
      <c r="G1520" t="s">
        <v>2816</v>
      </c>
      <c r="H1520" t="s">
        <v>2813</v>
      </c>
      <c r="I1520" s="2">
        <v>0.63124999999999998</v>
      </c>
      <c r="J1520" s="4" t="str">
        <f>IF(Table1[[#This Row],[processing_time_hours]]&gt;1.5,"Slow", "Fast")</f>
        <v>Fast</v>
      </c>
      <c r="K1520" t="s">
        <v>2821</v>
      </c>
      <c r="L1520" s="3">
        <v>1</v>
      </c>
      <c r="M1520" t="str">
        <f>IF(Table1[[#This Row],[delayed]]=1,"Delayed","On Time")</f>
        <v>Delayed</v>
      </c>
      <c r="N1520" t="str">
        <f>IF(AND(Table1[[#This Row],[delayed]]=1,Table1[[#This Row],[weather_condition]]="Storm"),"High Risk", IF(Table1[[#This Row],[delayed]]=1,"Medium Risk","Low Risk"))</f>
        <v>Medium Risk</v>
      </c>
    </row>
    <row r="1521" spans="1:14" x14ac:dyDescent="0.35">
      <c r="A1521">
        <v>1520</v>
      </c>
      <c r="B1521" s="1">
        <v>44990.291666666664</v>
      </c>
      <c r="C1521" s="2">
        <v>5.2777777777777778E-2</v>
      </c>
      <c r="D1521" s="3">
        <v>1936</v>
      </c>
      <c r="E1521" s="3">
        <v>138</v>
      </c>
      <c r="F1521" s="2">
        <v>21.544444444444448</v>
      </c>
      <c r="G1521" t="s">
        <v>2816</v>
      </c>
      <c r="H1521" t="s">
        <v>2822</v>
      </c>
      <c r="I1521" s="2">
        <v>2.0861111111111112</v>
      </c>
      <c r="J1521" s="4" t="str">
        <f>IF(Table1[[#This Row],[processing_time_hours]]&gt;1.5,"Slow", "Fast")</f>
        <v>Slow</v>
      </c>
      <c r="K1521" t="s">
        <v>2818</v>
      </c>
      <c r="L1521" s="3">
        <v>0</v>
      </c>
      <c r="M1521" t="str">
        <f>IF(Table1[[#This Row],[delayed]]=1,"Delayed","On Time")</f>
        <v>On Time</v>
      </c>
      <c r="N1521" t="str">
        <f>IF(AND(Table1[[#This Row],[delayed]]=1,Table1[[#This Row],[weather_condition]]="Storm"),"High Risk", IF(Table1[[#This Row],[delayed]]=1,"Medium Risk","Low Risk"))</f>
        <v>Low Risk</v>
      </c>
    </row>
    <row r="1522" spans="1:14" x14ac:dyDescent="0.35">
      <c r="A1522">
        <v>1521</v>
      </c>
      <c r="B1522" s="1">
        <v>44990.333333333336</v>
      </c>
      <c r="C1522" s="2">
        <v>4.8611111111111112E-3</v>
      </c>
      <c r="D1522" s="3">
        <v>1432</v>
      </c>
      <c r="E1522" s="3">
        <v>22</v>
      </c>
      <c r="F1522" s="2">
        <v>79.587499999999991</v>
      </c>
      <c r="G1522" t="s">
        <v>2819</v>
      </c>
      <c r="H1522" t="s">
        <v>2822</v>
      </c>
      <c r="I1522" s="2">
        <v>1.5055555555555555</v>
      </c>
      <c r="J1522" s="4" t="str">
        <f>IF(Table1[[#This Row],[processing_time_hours]]&gt;1.5,"Slow", "Fast")</f>
        <v>Slow</v>
      </c>
      <c r="K1522" t="s">
        <v>2821</v>
      </c>
      <c r="L1522" s="3">
        <v>0</v>
      </c>
      <c r="M1522" t="str">
        <f>IF(Table1[[#This Row],[delayed]]=1,"Delayed","On Time")</f>
        <v>On Time</v>
      </c>
      <c r="N1522" t="str">
        <f>IF(AND(Table1[[#This Row],[delayed]]=1,Table1[[#This Row],[weather_condition]]="Storm"),"High Risk", IF(Table1[[#This Row],[delayed]]=1,"Medium Risk","Low Risk"))</f>
        <v>Low Risk</v>
      </c>
    </row>
    <row r="1523" spans="1:14" x14ac:dyDescent="0.35">
      <c r="A1523">
        <v>1522</v>
      </c>
      <c r="B1523" s="1">
        <v>44990.375</v>
      </c>
      <c r="C1523" s="2">
        <v>5.6250000000000001E-2</v>
      </c>
      <c r="D1523" s="3">
        <v>248</v>
      </c>
      <c r="E1523" s="3">
        <v>250</v>
      </c>
      <c r="F1523" s="2">
        <v>43.919444444444444</v>
      </c>
      <c r="G1523" t="s">
        <v>2812</v>
      </c>
      <c r="H1523" t="s">
        <v>2817</v>
      </c>
      <c r="I1523" s="2">
        <v>1.3805555555555555</v>
      </c>
      <c r="J1523" s="4" t="str">
        <f>IF(Table1[[#This Row],[processing_time_hours]]&gt;1.5,"Slow", "Fast")</f>
        <v>Fast</v>
      </c>
      <c r="K1523" t="s">
        <v>2818</v>
      </c>
      <c r="L1523" s="3">
        <v>0</v>
      </c>
      <c r="M1523" t="str">
        <f>IF(Table1[[#This Row],[delayed]]=1,"Delayed","On Time")</f>
        <v>On Time</v>
      </c>
      <c r="N1523" t="str">
        <f>IF(AND(Table1[[#This Row],[delayed]]=1,Table1[[#This Row],[weather_condition]]="Storm"),"High Risk", IF(Table1[[#This Row],[delayed]]=1,"Medium Risk","Low Risk"))</f>
        <v>Low Risk</v>
      </c>
    </row>
    <row r="1524" spans="1:14" x14ac:dyDescent="0.35">
      <c r="A1524">
        <v>1523</v>
      </c>
      <c r="B1524" s="1">
        <v>44990.416666666664</v>
      </c>
      <c r="C1524" s="2">
        <v>4.8611111111111112E-3</v>
      </c>
      <c r="D1524" s="3">
        <v>1142</v>
      </c>
      <c r="E1524" s="3">
        <v>140</v>
      </c>
      <c r="F1524" s="2">
        <v>18.297916666666666</v>
      </c>
      <c r="G1524" t="s">
        <v>2815</v>
      </c>
      <c r="H1524" t="s">
        <v>2820</v>
      </c>
      <c r="I1524" s="2">
        <v>2.6284722222222223</v>
      </c>
      <c r="J1524" s="4" t="str">
        <f>IF(Table1[[#This Row],[processing_time_hours]]&gt;1.5,"Slow", "Fast")</f>
        <v>Slow</v>
      </c>
      <c r="K1524" t="s">
        <v>2818</v>
      </c>
      <c r="L1524" s="3">
        <v>1</v>
      </c>
      <c r="M1524" t="str">
        <f>IF(Table1[[#This Row],[delayed]]=1,"Delayed","On Time")</f>
        <v>Delayed</v>
      </c>
      <c r="N1524" t="str">
        <f>IF(AND(Table1[[#This Row],[delayed]]=1,Table1[[#This Row],[weather_condition]]="Storm"),"High Risk", IF(Table1[[#This Row],[delayed]]=1,"Medium Risk","Low Risk"))</f>
        <v>Medium Risk</v>
      </c>
    </row>
    <row r="1525" spans="1:14" x14ac:dyDescent="0.35">
      <c r="A1525">
        <v>1524</v>
      </c>
      <c r="B1525" s="1">
        <v>44990.458333333336</v>
      </c>
      <c r="C1525" s="2">
        <v>5.9722222222222225E-2</v>
      </c>
      <c r="D1525" s="3">
        <v>4511</v>
      </c>
      <c r="E1525" s="3">
        <v>29</v>
      </c>
      <c r="F1525" s="2">
        <v>65.879861111111111</v>
      </c>
      <c r="G1525" t="s">
        <v>2815</v>
      </c>
      <c r="H1525" t="s">
        <v>2817</v>
      </c>
      <c r="I1525" s="2">
        <v>1.5861111111111112</v>
      </c>
      <c r="J1525" s="4" t="str">
        <f>IF(Table1[[#This Row],[processing_time_hours]]&gt;1.5,"Slow", "Fast")</f>
        <v>Slow</v>
      </c>
      <c r="K1525" t="s">
        <v>2814</v>
      </c>
      <c r="L1525" s="3">
        <v>1</v>
      </c>
      <c r="M1525" t="str">
        <f>IF(Table1[[#This Row],[delayed]]=1,"Delayed","On Time")</f>
        <v>Delayed</v>
      </c>
      <c r="N1525" t="str">
        <f>IF(AND(Table1[[#This Row],[delayed]]=1,Table1[[#This Row],[weather_condition]]="Storm"),"High Risk", IF(Table1[[#This Row],[delayed]]=1,"Medium Risk","Low Risk"))</f>
        <v>High Risk</v>
      </c>
    </row>
    <row r="1526" spans="1:14" x14ac:dyDescent="0.35">
      <c r="A1526">
        <v>1525</v>
      </c>
      <c r="B1526" s="1">
        <v>44990.5</v>
      </c>
      <c r="C1526" s="2">
        <v>6.5972222222222224E-2</v>
      </c>
      <c r="D1526" s="3">
        <v>1353</v>
      </c>
      <c r="E1526" s="3">
        <v>301</v>
      </c>
      <c r="F1526" s="2">
        <v>54.338888888888896</v>
      </c>
      <c r="G1526" t="s">
        <v>2816</v>
      </c>
      <c r="H1526" t="s">
        <v>2822</v>
      </c>
      <c r="I1526" s="2">
        <v>0.75555555555555554</v>
      </c>
      <c r="J1526" s="4" t="str">
        <f>IF(Table1[[#This Row],[processing_time_hours]]&gt;1.5,"Slow", "Fast")</f>
        <v>Fast</v>
      </c>
      <c r="K1526" t="s">
        <v>2818</v>
      </c>
      <c r="L1526" s="3">
        <v>1</v>
      </c>
      <c r="M1526" t="str">
        <f>IF(Table1[[#This Row],[delayed]]=1,"Delayed","On Time")</f>
        <v>Delayed</v>
      </c>
      <c r="N1526" t="str">
        <f>IF(AND(Table1[[#This Row],[delayed]]=1,Table1[[#This Row],[weather_condition]]="Storm"),"High Risk", IF(Table1[[#This Row],[delayed]]=1,"Medium Risk","Low Risk"))</f>
        <v>Medium Risk</v>
      </c>
    </row>
    <row r="1527" spans="1:14" x14ac:dyDescent="0.35">
      <c r="A1527">
        <v>1526</v>
      </c>
      <c r="B1527" s="1">
        <v>44990.541666666664</v>
      </c>
      <c r="C1527" s="2">
        <v>6.3888888888888898E-2</v>
      </c>
      <c r="D1527" s="3">
        <v>796</v>
      </c>
      <c r="E1527" s="3">
        <v>136</v>
      </c>
      <c r="F1527" s="2">
        <v>23.088194444444444</v>
      </c>
      <c r="G1527" t="s">
        <v>2815</v>
      </c>
      <c r="H1527" t="s">
        <v>2820</v>
      </c>
      <c r="I1527" s="2">
        <v>0.12916666666666668</v>
      </c>
      <c r="J1527" s="4" t="str">
        <f>IF(Table1[[#This Row],[processing_time_hours]]&gt;1.5,"Slow", "Fast")</f>
        <v>Fast</v>
      </c>
      <c r="K1527" t="s">
        <v>2814</v>
      </c>
      <c r="L1527" s="3">
        <v>1</v>
      </c>
      <c r="M1527" t="str">
        <f>IF(Table1[[#This Row],[delayed]]=1,"Delayed","On Time")</f>
        <v>Delayed</v>
      </c>
      <c r="N1527" t="str">
        <f>IF(AND(Table1[[#This Row],[delayed]]=1,Table1[[#This Row],[weather_condition]]="Storm"),"High Risk", IF(Table1[[#This Row],[delayed]]=1,"Medium Risk","Low Risk"))</f>
        <v>Medium Risk</v>
      </c>
    </row>
    <row r="1528" spans="1:14" x14ac:dyDescent="0.35">
      <c r="A1528">
        <v>1527</v>
      </c>
      <c r="B1528" s="1">
        <v>44990.583333333336</v>
      </c>
      <c r="C1528" s="2">
        <v>6.3194444444444442E-2</v>
      </c>
      <c r="D1528" s="3">
        <v>1358</v>
      </c>
      <c r="E1528" s="3">
        <v>80</v>
      </c>
      <c r="F1528" s="2">
        <v>67.338888888888889</v>
      </c>
      <c r="G1528" t="s">
        <v>2812</v>
      </c>
      <c r="H1528" t="s">
        <v>2813</v>
      </c>
      <c r="I1528" s="2">
        <v>2.0465277777777779</v>
      </c>
      <c r="J1528" s="4" t="str">
        <f>IF(Table1[[#This Row],[processing_time_hours]]&gt;1.5,"Slow", "Fast")</f>
        <v>Slow</v>
      </c>
      <c r="K1528" t="s">
        <v>2821</v>
      </c>
      <c r="L1528" s="3">
        <v>0</v>
      </c>
      <c r="M1528" t="str">
        <f>IF(Table1[[#This Row],[delayed]]=1,"Delayed","On Time")</f>
        <v>On Time</v>
      </c>
      <c r="N1528" t="str">
        <f>IF(AND(Table1[[#This Row],[delayed]]=1,Table1[[#This Row],[weather_condition]]="Storm"),"High Risk", IF(Table1[[#This Row],[delayed]]=1,"Medium Risk","Low Risk"))</f>
        <v>Low Risk</v>
      </c>
    </row>
    <row r="1529" spans="1:14" x14ac:dyDescent="0.35">
      <c r="A1529">
        <v>1528</v>
      </c>
      <c r="B1529" s="1">
        <v>44990.625</v>
      </c>
      <c r="C1529" s="2">
        <v>4.7916666666666663E-2</v>
      </c>
      <c r="D1529" s="3">
        <v>1559</v>
      </c>
      <c r="E1529" s="3">
        <v>66</v>
      </c>
      <c r="F1529" s="2">
        <v>55.37638888888889</v>
      </c>
      <c r="G1529" t="s">
        <v>2815</v>
      </c>
      <c r="H1529" t="s">
        <v>2820</v>
      </c>
      <c r="I1529" s="2">
        <v>0.8354166666666667</v>
      </c>
      <c r="J1529" s="4" t="str">
        <f>IF(Table1[[#This Row],[processing_time_hours]]&gt;1.5,"Slow", "Fast")</f>
        <v>Fast</v>
      </c>
      <c r="K1529" t="s">
        <v>2814</v>
      </c>
      <c r="L1529" s="3">
        <v>0</v>
      </c>
      <c r="M1529" t="str">
        <f>IF(Table1[[#This Row],[delayed]]=1,"Delayed","On Time")</f>
        <v>On Time</v>
      </c>
      <c r="N1529" t="str">
        <f>IF(AND(Table1[[#This Row],[delayed]]=1,Table1[[#This Row],[weather_condition]]="Storm"),"High Risk", IF(Table1[[#This Row],[delayed]]=1,"Medium Risk","Low Risk"))</f>
        <v>Low Risk</v>
      </c>
    </row>
    <row r="1530" spans="1:14" x14ac:dyDescent="0.35">
      <c r="A1530">
        <v>1529</v>
      </c>
      <c r="B1530" s="1">
        <v>44990.666666666664</v>
      </c>
      <c r="C1530" s="2">
        <v>4.2361111111111106E-2</v>
      </c>
      <c r="D1530" s="3">
        <v>4482</v>
      </c>
      <c r="E1530" s="3">
        <v>376</v>
      </c>
      <c r="F1530" s="2">
        <v>64.166666666666671</v>
      </c>
      <c r="G1530" t="s">
        <v>2816</v>
      </c>
      <c r="H1530" t="s">
        <v>2817</v>
      </c>
      <c r="I1530" s="2">
        <v>1.7145833333333333</v>
      </c>
      <c r="J1530" s="4" t="str">
        <f>IF(Table1[[#This Row],[processing_time_hours]]&gt;1.5,"Slow", "Fast")</f>
        <v>Slow</v>
      </c>
      <c r="K1530" t="s">
        <v>2814</v>
      </c>
      <c r="L1530" s="3">
        <v>0</v>
      </c>
      <c r="M1530" t="str">
        <f>IF(Table1[[#This Row],[delayed]]=1,"Delayed","On Time")</f>
        <v>On Time</v>
      </c>
      <c r="N1530" t="str">
        <f>IF(AND(Table1[[#This Row],[delayed]]=1,Table1[[#This Row],[weather_condition]]="Storm"),"High Risk", IF(Table1[[#This Row],[delayed]]=1,"Medium Risk","Low Risk"))</f>
        <v>Low Risk</v>
      </c>
    </row>
    <row r="1531" spans="1:14" x14ac:dyDescent="0.35">
      <c r="A1531">
        <v>1530</v>
      </c>
      <c r="B1531" s="1">
        <v>44990.708333333336</v>
      </c>
      <c r="C1531" s="2">
        <v>4.7222222222222221E-2</v>
      </c>
      <c r="D1531" s="3">
        <v>2194</v>
      </c>
      <c r="E1531" s="3">
        <v>438</v>
      </c>
      <c r="F1531" s="2">
        <v>63.006250000000001</v>
      </c>
      <c r="G1531" t="s">
        <v>2812</v>
      </c>
      <c r="H1531" t="s">
        <v>2813</v>
      </c>
      <c r="I1531" s="2">
        <v>1.0895833333333333</v>
      </c>
      <c r="J1531" s="4" t="str">
        <f>IF(Table1[[#This Row],[processing_time_hours]]&gt;1.5,"Slow", "Fast")</f>
        <v>Fast</v>
      </c>
      <c r="K1531" t="s">
        <v>2821</v>
      </c>
      <c r="L1531" s="3">
        <v>1</v>
      </c>
      <c r="M1531" t="str">
        <f>IF(Table1[[#This Row],[delayed]]=1,"Delayed","On Time")</f>
        <v>Delayed</v>
      </c>
      <c r="N1531" t="str">
        <f>IF(AND(Table1[[#This Row],[delayed]]=1,Table1[[#This Row],[weather_condition]]="Storm"),"High Risk", IF(Table1[[#This Row],[delayed]]=1,"Medium Risk","Low Risk"))</f>
        <v>Medium Risk</v>
      </c>
    </row>
    <row r="1532" spans="1:14" x14ac:dyDescent="0.35">
      <c r="A1532">
        <v>1531</v>
      </c>
      <c r="B1532" s="1">
        <v>44990.75</v>
      </c>
      <c r="C1532" s="2">
        <v>5.7638888888888885E-2</v>
      </c>
      <c r="D1532" s="3">
        <v>288</v>
      </c>
      <c r="E1532" s="3">
        <v>236</v>
      </c>
      <c r="F1532" s="2">
        <v>38</v>
      </c>
      <c r="G1532" t="s">
        <v>2816</v>
      </c>
      <c r="H1532" t="s">
        <v>2817</v>
      </c>
      <c r="I1532" s="2">
        <v>0.79583333333333339</v>
      </c>
      <c r="J1532" s="4" t="str">
        <f>IF(Table1[[#This Row],[processing_time_hours]]&gt;1.5,"Slow", "Fast")</f>
        <v>Fast</v>
      </c>
      <c r="K1532" t="s">
        <v>2821</v>
      </c>
      <c r="L1532" s="3">
        <v>0</v>
      </c>
      <c r="M1532" t="str">
        <f>IF(Table1[[#This Row],[delayed]]=1,"Delayed","On Time")</f>
        <v>On Time</v>
      </c>
      <c r="N1532" t="str">
        <f>IF(AND(Table1[[#This Row],[delayed]]=1,Table1[[#This Row],[weather_condition]]="Storm"),"High Risk", IF(Table1[[#This Row],[delayed]]=1,"Medium Risk","Low Risk"))</f>
        <v>Low Risk</v>
      </c>
    </row>
    <row r="1533" spans="1:14" x14ac:dyDescent="0.35">
      <c r="A1533">
        <v>1532</v>
      </c>
      <c r="B1533" s="1">
        <v>44990.791666666664</v>
      </c>
      <c r="C1533" s="2">
        <v>4.5138888888888888E-2</v>
      </c>
      <c r="D1533" s="3">
        <v>266</v>
      </c>
      <c r="E1533" s="3">
        <v>473</v>
      </c>
      <c r="F1533" s="2">
        <v>37.625</v>
      </c>
      <c r="G1533" t="s">
        <v>2815</v>
      </c>
      <c r="H1533" t="s">
        <v>2813</v>
      </c>
      <c r="I1533" s="2">
        <v>0.38125000000000003</v>
      </c>
      <c r="J1533" s="4" t="str">
        <f>IF(Table1[[#This Row],[processing_time_hours]]&gt;1.5,"Slow", "Fast")</f>
        <v>Fast</v>
      </c>
      <c r="K1533" t="s">
        <v>2821</v>
      </c>
      <c r="L1533" s="3">
        <v>0</v>
      </c>
      <c r="M1533" t="str">
        <f>IF(Table1[[#This Row],[delayed]]=1,"Delayed","On Time")</f>
        <v>On Time</v>
      </c>
      <c r="N1533" t="str">
        <f>IF(AND(Table1[[#This Row],[delayed]]=1,Table1[[#This Row],[weather_condition]]="Storm"),"High Risk", IF(Table1[[#This Row],[delayed]]=1,"Medium Risk","Low Risk"))</f>
        <v>Low Risk</v>
      </c>
    </row>
    <row r="1534" spans="1:14" x14ac:dyDescent="0.35">
      <c r="A1534">
        <v>1533</v>
      </c>
      <c r="B1534" s="1">
        <v>44990.833333333336</v>
      </c>
      <c r="C1534" s="2">
        <v>4.4444444444444446E-2</v>
      </c>
      <c r="D1534" s="3">
        <v>4713</v>
      </c>
      <c r="E1534" s="3">
        <v>347</v>
      </c>
      <c r="F1534" s="2">
        <v>70.754166666666663</v>
      </c>
      <c r="G1534" t="s">
        <v>2819</v>
      </c>
      <c r="H1534" t="s">
        <v>2817</v>
      </c>
      <c r="I1534" s="2">
        <v>1.1729166666666666</v>
      </c>
      <c r="J1534" s="4" t="str">
        <f>IF(Table1[[#This Row],[processing_time_hours]]&gt;1.5,"Slow", "Fast")</f>
        <v>Fast</v>
      </c>
      <c r="K1534" t="s">
        <v>2818</v>
      </c>
      <c r="L1534" s="3">
        <v>1</v>
      </c>
      <c r="M1534" t="str">
        <f>IF(Table1[[#This Row],[delayed]]=1,"Delayed","On Time")</f>
        <v>Delayed</v>
      </c>
      <c r="N1534" t="str">
        <f>IF(AND(Table1[[#This Row],[delayed]]=1,Table1[[#This Row],[weather_condition]]="Storm"),"High Risk", IF(Table1[[#This Row],[delayed]]=1,"Medium Risk","Low Risk"))</f>
        <v>High Risk</v>
      </c>
    </row>
    <row r="1535" spans="1:14" x14ac:dyDescent="0.35">
      <c r="A1535">
        <v>1534</v>
      </c>
      <c r="B1535" s="1">
        <v>44990.875</v>
      </c>
      <c r="C1535" s="2">
        <v>4.1666666666666664E-2</v>
      </c>
      <c r="D1535" s="3">
        <v>4804</v>
      </c>
      <c r="E1535" s="3">
        <v>307</v>
      </c>
      <c r="F1535" s="2">
        <v>8.5041666666666664</v>
      </c>
      <c r="G1535" t="s">
        <v>2819</v>
      </c>
      <c r="H1535" t="s">
        <v>2817</v>
      </c>
      <c r="I1535" s="2">
        <v>1.9215277777777777</v>
      </c>
      <c r="J1535" s="4" t="str">
        <f>IF(Table1[[#This Row],[processing_time_hours]]&gt;1.5,"Slow", "Fast")</f>
        <v>Slow</v>
      </c>
      <c r="K1535" t="s">
        <v>2821</v>
      </c>
      <c r="L1535" s="3">
        <v>1</v>
      </c>
      <c r="M1535" t="str">
        <f>IF(Table1[[#This Row],[delayed]]=1,"Delayed","On Time")</f>
        <v>Delayed</v>
      </c>
      <c r="N1535" t="str">
        <f>IF(AND(Table1[[#This Row],[delayed]]=1,Table1[[#This Row],[weather_condition]]="Storm"),"High Risk", IF(Table1[[#This Row],[delayed]]=1,"Medium Risk","Low Risk"))</f>
        <v>High Risk</v>
      </c>
    </row>
    <row r="1536" spans="1:14" x14ac:dyDescent="0.35">
      <c r="A1536">
        <v>1535</v>
      </c>
      <c r="B1536" s="1">
        <v>44990.916666666664</v>
      </c>
      <c r="C1536" s="2">
        <v>5.1388888888888894E-2</v>
      </c>
      <c r="D1536" s="3">
        <v>3988</v>
      </c>
      <c r="E1536" s="3">
        <v>219</v>
      </c>
      <c r="F1536" s="2">
        <v>63.378472222222221</v>
      </c>
      <c r="G1536" t="s">
        <v>2819</v>
      </c>
      <c r="H1536" t="s">
        <v>2813</v>
      </c>
      <c r="I1536" s="2">
        <v>2.9590277777777776</v>
      </c>
      <c r="J1536" s="4" t="str">
        <f>IF(Table1[[#This Row],[processing_time_hours]]&gt;1.5,"Slow", "Fast")</f>
        <v>Slow</v>
      </c>
      <c r="K1536" t="s">
        <v>2814</v>
      </c>
      <c r="L1536" s="3">
        <v>0</v>
      </c>
      <c r="M1536" t="str">
        <f>IF(Table1[[#This Row],[delayed]]=1,"Delayed","On Time")</f>
        <v>On Time</v>
      </c>
      <c r="N1536" t="str">
        <f>IF(AND(Table1[[#This Row],[delayed]]=1,Table1[[#This Row],[weather_condition]]="Storm"),"High Risk", IF(Table1[[#This Row],[delayed]]=1,"Medium Risk","Low Risk"))</f>
        <v>Low Risk</v>
      </c>
    </row>
    <row r="1537" spans="1:14" x14ac:dyDescent="0.35">
      <c r="A1537">
        <v>1536</v>
      </c>
      <c r="B1537" s="1">
        <v>44990.958333333336</v>
      </c>
      <c r="C1537" s="2">
        <v>4.3750000000000004E-2</v>
      </c>
      <c r="D1537" s="3">
        <v>2223</v>
      </c>
      <c r="E1537" s="3">
        <v>171</v>
      </c>
      <c r="F1537" s="2">
        <v>49.879861111111104</v>
      </c>
      <c r="G1537" t="s">
        <v>2819</v>
      </c>
      <c r="H1537" t="s">
        <v>2820</v>
      </c>
      <c r="I1537" s="2">
        <v>1.5</v>
      </c>
      <c r="J1537" s="4" t="str">
        <f>IF(Table1[[#This Row],[processing_time_hours]]&gt;1.5,"Slow", "Fast")</f>
        <v>Fast</v>
      </c>
      <c r="K1537" t="s">
        <v>2818</v>
      </c>
      <c r="L1537" s="3">
        <v>0</v>
      </c>
      <c r="M1537" t="str">
        <f>IF(Table1[[#This Row],[delayed]]=1,"Delayed","On Time")</f>
        <v>On Time</v>
      </c>
      <c r="N1537" t="str">
        <f>IF(AND(Table1[[#This Row],[delayed]]=1,Table1[[#This Row],[weather_condition]]="Storm"),"High Risk", IF(Table1[[#This Row],[delayed]]=1,"Medium Risk","Low Risk"))</f>
        <v>Low Risk</v>
      </c>
    </row>
    <row r="1538" spans="1:14" x14ac:dyDescent="0.35">
      <c r="A1538">
        <v>1537</v>
      </c>
      <c r="B1538" s="1">
        <v>44991</v>
      </c>
      <c r="C1538" s="2">
        <v>5.5555555555555558E-3</v>
      </c>
      <c r="D1538" s="3">
        <v>582</v>
      </c>
      <c r="E1538" s="3">
        <v>418</v>
      </c>
      <c r="F1538" s="2">
        <v>65.959027777777777</v>
      </c>
      <c r="G1538" t="s">
        <v>2819</v>
      </c>
      <c r="H1538" t="s">
        <v>2820</v>
      </c>
      <c r="I1538" s="2">
        <v>2.6722222222222225</v>
      </c>
      <c r="J1538" s="4" t="str">
        <f>IF(Table1[[#This Row],[processing_time_hours]]&gt;1.5,"Slow", "Fast")</f>
        <v>Slow</v>
      </c>
      <c r="K1538" t="s">
        <v>2814</v>
      </c>
      <c r="L1538" s="3">
        <v>0</v>
      </c>
      <c r="M1538" t="str">
        <f>IF(Table1[[#This Row],[delayed]]=1,"Delayed","On Time")</f>
        <v>On Time</v>
      </c>
      <c r="N1538" t="str">
        <f>IF(AND(Table1[[#This Row],[delayed]]=1,Table1[[#This Row],[weather_condition]]="Storm"),"High Risk", IF(Table1[[#This Row],[delayed]]=1,"Medium Risk","Low Risk"))</f>
        <v>Low Risk</v>
      </c>
    </row>
    <row r="1539" spans="1:14" x14ac:dyDescent="0.35">
      <c r="A1539">
        <v>1538</v>
      </c>
      <c r="B1539" s="1">
        <v>44991.041666666664</v>
      </c>
      <c r="C1539" s="2">
        <v>6.1111111111111109E-2</v>
      </c>
      <c r="D1539" s="3">
        <v>2186</v>
      </c>
      <c r="E1539" s="3">
        <v>425</v>
      </c>
      <c r="F1539" s="2">
        <v>56.047222222222224</v>
      </c>
      <c r="G1539" t="s">
        <v>2816</v>
      </c>
      <c r="H1539" t="s">
        <v>2813</v>
      </c>
      <c r="I1539" s="2">
        <v>1.1256944444444443</v>
      </c>
      <c r="J1539" s="4" t="str">
        <f>IF(Table1[[#This Row],[processing_time_hours]]&gt;1.5,"Slow", "Fast")</f>
        <v>Fast</v>
      </c>
      <c r="K1539" t="s">
        <v>2821</v>
      </c>
      <c r="L1539" s="3">
        <v>1</v>
      </c>
      <c r="M1539" t="str">
        <f>IF(Table1[[#This Row],[delayed]]=1,"Delayed","On Time")</f>
        <v>Delayed</v>
      </c>
      <c r="N1539" t="str">
        <f>IF(AND(Table1[[#This Row],[delayed]]=1,Table1[[#This Row],[weather_condition]]="Storm"),"High Risk", IF(Table1[[#This Row],[delayed]]=1,"Medium Risk","Low Risk"))</f>
        <v>Medium Risk</v>
      </c>
    </row>
    <row r="1540" spans="1:14" x14ac:dyDescent="0.35">
      <c r="A1540">
        <v>1539</v>
      </c>
      <c r="B1540" s="1">
        <v>44991.083333333336</v>
      </c>
      <c r="C1540" s="2">
        <v>5.4166666666666669E-2</v>
      </c>
      <c r="D1540" s="3">
        <v>2665</v>
      </c>
      <c r="E1540" s="3">
        <v>214</v>
      </c>
      <c r="F1540" s="2">
        <v>35.667361111111113</v>
      </c>
      <c r="G1540" t="s">
        <v>2816</v>
      </c>
      <c r="H1540" t="s">
        <v>2817</v>
      </c>
      <c r="I1540" s="2">
        <v>2.2118055555555558</v>
      </c>
      <c r="J1540" s="4" t="str">
        <f>IF(Table1[[#This Row],[processing_time_hours]]&gt;1.5,"Slow", "Fast")</f>
        <v>Slow</v>
      </c>
      <c r="K1540" t="s">
        <v>2818</v>
      </c>
      <c r="L1540" s="3">
        <v>0</v>
      </c>
      <c r="M1540" t="str">
        <f>IF(Table1[[#This Row],[delayed]]=1,"Delayed","On Time")</f>
        <v>On Time</v>
      </c>
      <c r="N1540" t="str">
        <f>IF(AND(Table1[[#This Row],[delayed]]=1,Table1[[#This Row],[weather_condition]]="Storm"),"High Risk", IF(Table1[[#This Row],[delayed]]=1,"Medium Risk","Low Risk"))</f>
        <v>Low Risk</v>
      </c>
    </row>
    <row r="1541" spans="1:14" x14ac:dyDescent="0.35">
      <c r="A1541">
        <v>1540</v>
      </c>
      <c r="B1541" s="1">
        <v>44991.125</v>
      </c>
      <c r="C1541" s="2">
        <v>4.5138888888888888E-2</v>
      </c>
      <c r="D1541" s="3">
        <v>2306</v>
      </c>
      <c r="E1541" s="3">
        <v>60</v>
      </c>
      <c r="F1541" s="2">
        <v>33.83958333333333</v>
      </c>
      <c r="G1541" t="s">
        <v>2815</v>
      </c>
      <c r="H1541" t="s">
        <v>2820</v>
      </c>
      <c r="I1541" s="2">
        <v>0.96458333333333324</v>
      </c>
      <c r="J1541" s="4" t="str">
        <f>IF(Table1[[#This Row],[processing_time_hours]]&gt;1.5,"Slow", "Fast")</f>
        <v>Fast</v>
      </c>
      <c r="K1541" t="s">
        <v>2814</v>
      </c>
      <c r="L1541" s="3">
        <v>0</v>
      </c>
      <c r="M1541" t="str">
        <f>IF(Table1[[#This Row],[delayed]]=1,"Delayed","On Time")</f>
        <v>On Time</v>
      </c>
      <c r="N1541" t="str">
        <f>IF(AND(Table1[[#This Row],[delayed]]=1,Table1[[#This Row],[weather_condition]]="Storm"),"High Risk", IF(Table1[[#This Row],[delayed]]=1,"Medium Risk","Low Risk"))</f>
        <v>Low Risk</v>
      </c>
    </row>
    <row r="1542" spans="1:14" x14ac:dyDescent="0.35">
      <c r="A1542">
        <v>1541</v>
      </c>
      <c r="B1542" s="1">
        <v>44991.166666666664</v>
      </c>
      <c r="C1542" s="2">
        <v>5.6250000000000001E-2</v>
      </c>
      <c r="D1542" s="3">
        <v>264</v>
      </c>
      <c r="E1542" s="3">
        <v>299</v>
      </c>
      <c r="F1542" s="2">
        <v>80.668055555555554</v>
      </c>
      <c r="G1542" t="s">
        <v>2819</v>
      </c>
      <c r="H1542" t="s">
        <v>2817</v>
      </c>
      <c r="I1542" s="2">
        <v>1.1708333333333334</v>
      </c>
      <c r="J1542" s="4" t="str">
        <f>IF(Table1[[#This Row],[processing_time_hours]]&gt;1.5,"Slow", "Fast")</f>
        <v>Fast</v>
      </c>
      <c r="K1542" t="s">
        <v>2818</v>
      </c>
      <c r="L1542" s="3">
        <v>1</v>
      </c>
      <c r="M1542" t="str">
        <f>IF(Table1[[#This Row],[delayed]]=1,"Delayed","On Time")</f>
        <v>Delayed</v>
      </c>
      <c r="N1542" t="str">
        <f>IF(AND(Table1[[#This Row],[delayed]]=1,Table1[[#This Row],[weather_condition]]="Storm"),"High Risk", IF(Table1[[#This Row],[delayed]]=1,"Medium Risk","Low Risk"))</f>
        <v>High Risk</v>
      </c>
    </row>
    <row r="1543" spans="1:14" x14ac:dyDescent="0.35">
      <c r="A1543">
        <v>1542</v>
      </c>
      <c r="B1543" s="1">
        <v>44991.208333333336</v>
      </c>
      <c r="C1543" s="2">
        <v>4.3750000000000004E-2</v>
      </c>
      <c r="D1543" s="3">
        <v>824</v>
      </c>
      <c r="E1543" s="3">
        <v>64</v>
      </c>
      <c r="F1543" s="2">
        <v>28.463194444444444</v>
      </c>
      <c r="G1543" t="s">
        <v>2819</v>
      </c>
      <c r="H1543" t="s">
        <v>2817</v>
      </c>
      <c r="I1543" s="2">
        <v>1.8812499999999999</v>
      </c>
      <c r="J1543" s="4" t="str">
        <f>IF(Table1[[#This Row],[processing_time_hours]]&gt;1.5,"Slow", "Fast")</f>
        <v>Slow</v>
      </c>
      <c r="K1543" t="s">
        <v>2818</v>
      </c>
      <c r="L1543" s="3">
        <v>0</v>
      </c>
      <c r="M1543" t="str">
        <f>IF(Table1[[#This Row],[delayed]]=1,"Delayed","On Time")</f>
        <v>On Time</v>
      </c>
      <c r="N1543" t="str">
        <f>IF(AND(Table1[[#This Row],[delayed]]=1,Table1[[#This Row],[weather_condition]]="Storm"),"High Risk", IF(Table1[[#This Row],[delayed]]=1,"Medium Risk","Low Risk"))</f>
        <v>Low Risk</v>
      </c>
    </row>
    <row r="1544" spans="1:14" x14ac:dyDescent="0.35">
      <c r="A1544">
        <v>1543</v>
      </c>
      <c r="B1544" s="1">
        <v>44991.25</v>
      </c>
      <c r="C1544" s="2">
        <v>6.1805555555555558E-2</v>
      </c>
      <c r="D1544" s="3">
        <v>2700</v>
      </c>
      <c r="E1544" s="3">
        <v>156</v>
      </c>
      <c r="F1544" s="2">
        <v>0.46319444444444446</v>
      </c>
      <c r="G1544" t="s">
        <v>2812</v>
      </c>
      <c r="H1544" t="s">
        <v>2817</v>
      </c>
      <c r="I1544" s="2">
        <v>1.8784722222222223</v>
      </c>
      <c r="J1544" s="4" t="str">
        <f>IF(Table1[[#This Row],[processing_time_hours]]&gt;1.5,"Slow", "Fast")</f>
        <v>Slow</v>
      </c>
      <c r="K1544" t="s">
        <v>2818</v>
      </c>
      <c r="L1544" s="3">
        <v>0</v>
      </c>
      <c r="M1544" t="str">
        <f>IF(Table1[[#This Row],[delayed]]=1,"Delayed","On Time")</f>
        <v>On Time</v>
      </c>
      <c r="N1544" t="str">
        <f>IF(AND(Table1[[#This Row],[delayed]]=1,Table1[[#This Row],[weather_condition]]="Storm"),"High Risk", IF(Table1[[#This Row],[delayed]]=1,"Medium Risk","Low Risk"))</f>
        <v>Low Risk</v>
      </c>
    </row>
    <row r="1545" spans="1:14" x14ac:dyDescent="0.35">
      <c r="A1545">
        <v>1544</v>
      </c>
      <c r="B1545" s="1">
        <v>44991.291666666664</v>
      </c>
      <c r="C1545" s="2">
        <v>6.805555555555555E-2</v>
      </c>
      <c r="D1545" s="3">
        <v>3174</v>
      </c>
      <c r="E1545" s="3">
        <v>257</v>
      </c>
      <c r="F1545" s="2">
        <v>19.083333333333332</v>
      </c>
      <c r="G1545" t="s">
        <v>2812</v>
      </c>
      <c r="H1545" t="s">
        <v>2822</v>
      </c>
      <c r="I1545" s="2">
        <v>2.4229166666666666</v>
      </c>
      <c r="J1545" s="4" t="str">
        <f>IF(Table1[[#This Row],[processing_time_hours]]&gt;1.5,"Slow", "Fast")</f>
        <v>Slow</v>
      </c>
      <c r="K1545" t="s">
        <v>2818</v>
      </c>
      <c r="L1545" s="3">
        <v>1</v>
      </c>
      <c r="M1545" t="str">
        <f>IF(Table1[[#This Row],[delayed]]=1,"Delayed","On Time")</f>
        <v>Delayed</v>
      </c>
      <c r="N1545" t="str">
        <f>IF(AND(Table1[[#This Row],[delayed]]=1,Table1[[#This Row],[weather_condition]]="Storm"),"High Risk", IF(Table1[[#This Row],[delayed]]=1,"Medium Risk","Low Risk"))</f>
        <v>Medium Risk</v>
      </c>
    </row>
    <row r="1546" spans="1:14" x14ac:dyDescent="0.35">
      <c r="A1546">
        <v>1545</v>
      </c>
      <c r="B1546" s="1">
        <v>44991.333333333336</v>
      </c>
      <c r="C1546" s="2">
        <v>4.3055555555555562E-2</v>
      </c>
      <c r="D1546" s="3">
        <v>365</v>
      </c>
      <c r="E1546" s="3">
        <v>83</v>
      </c>
      <c r="F1546" s="2">
        <v>26.380555555555556</v>
      </c>
      <c r="G1546" t="s">
        <v>2819</v>
      </c>
      <c r="H1546" t="s">
        <v>2817</v>
      </c>
      <c r="I1546" s="2">
        <v>1.377777777777778</v>
      </c>
      <c r="J1546" s="4" t="str">
        <f>IF(Table1[[#This Row],[processing_time_hours]]&gt;1.5,"Slow", "Fast")</f>
        <v>Fast</v>
      </c>
      <c r="K1546" t="s">
        <v>2821</v>
      </c>
      <c r="L1546" s="3">
        <v>1</v>
      </c>
      <c r="M1546" t="str">
        <f>IF(Table1[[#This Row],[delayed]]=1,"Delayed","On Time")</f>
        <v>Delayed</v>
      </c>
      <c r="N1546" t="str">
        <f>IF(AND(Table1[[#This Row],[delayed]]=1,Table1[[#This Row],[weather_condition]]="Storm"),"High Risk", IF(Table1[[#This Row],[delayed]]=1,"Medium Risk","Low Risk"))</f>
        <v>High Risk</v>
      </c>
    </row>
    <row r="1547" spans="1:14" x14ac:dyDescent="0.35">
      <c r="A1547">
        <v>1546</v>
      </c>
      <c r="B1547" s="1">
        <v>44991.375</v>
      </c>
      <c r="C1547" s="2">
        <v>5.7638888888888885E-2</v>
      </c>
      <c r="D1547" s="3">
        <v>805</v>
      </c>
      <c r="E1547" s="3">
        <v>335</v>
      </c>
      <c r="F1547" s="2">
        <v>33.047222222222224</v>
      </c>
      <c r="G1547" t="s">
        <v>2812</v>
      </c>
      <c r="H1547" t="s">
        <v>2820</v>
      </c>
      <c r="I1547" s="2">
        <v>0.4604166666666667</v>
      </c>
      <c r="J1547" s="4" t="str">
        <f>IF(Table1[[#This Row],[processing_time_hours]]&gt;1.5,"Slow", "Fast")</f>
        <v>Fast</v>
      </c>
      <c r="K1547" t="s">
        <v>2821</v>
      </c>
      <c r="L1547" s="3">
        <v>0</v>
      </c>
      <c r="M1547" t="str">
        <f>IF(Table1[[#This Row],[delayed]]=1,"Delayed","On Time")</f>
        <v>On Time</v>
      </c>
      <c r="N1547" t="str">
        <f>IF(AND(Table1[[#This Row],[delayed]]=1,Table1[[#This Row],[weather_condition]]="Storm"),"High Risk", IF(Table1[[#This Row],[delayed]]=1,"Medium Risk","Low Risk"))</f>
        <v>Low Risk</v>
      </c>
    </row>
    <row r="1548" spans="1:14" x14ac:dyDescent="0.35">
      <c r="A1548">
        <v>1547</v>
      </c>
      <c r="B1548" s="1">
        <v>44991.416666666664</v>
      </c>
      <c r="C1548" s="2">
        <v>6.458333333333334E-2</v>
      </c>
      <c r="D1548" s="3">
        <v>3076</v>
      </c>
      <c r="E1548" s="3">
        <v>452</v>
      </c>
      <c r="F1548" s="2">
        <v>78.672916666666666</v>
      </c>
      <c r="G1548" t="s">
        <v>2819</v>
      </c>
      <c r="H1548" t="s">
        <v>2820</v>
      </c>
      <c r="I1548" s="2">
        <v>1.6708333333333334</v>
      </c>
      <c r="J1548" s="4" t="str">
        <f>IF(Table1[[#This Row],[processing_time_hours]]&gt;1.5,"Slow", "Fast")</f>
        <v>Slow</v>
      </c>
      <c r="K1548" t="s">
        <v>2814</v>
      </c>
      <c r="L1548" s="3">
        <v>0</v>
      </c>
      <c r="M1548" t="str">
        <f>IF(Table1[[#This Row],[delayed]]=1,"Delayed","On Time")</f>
        <v>On Time</v>
      </c>
      <c r="N1548" t="str">
        <f>IF(AND(Table1[[#This Row],[delayed]]=1,Table1[[#This Row],[weather_condition]]="Storm"),"High Risk", IF(Table1[[#This Row],[delayed]]=1,"Medium Risk","Low Risk"))</f>
        <v>Low Risk</v>
      </c>
    </row>
    <row r="1549" spans="1:14" x14ac:dyDescent="0.35">
      <c r="A1549">
        <v>1548</v>
      </c>
      <c r="B1549" s="1">
        <v>44991.458333333336</v>
      </c>
      <c r="C1549" s="2">
        <v>5.9722222222222225E-2</v>
      </c>
      <c r="D1549" s="3">
        <v>3187</v>
      </c>
      <c r="E1549" s="3">
        <v>271</v>
      </c>
      <c r="F1549" s="2">
        <v>29.963194444444444</v>
      </c>
      <c r="G1549" t="s">
        <v>2819</v>
      </c>
      <c r="H1549" t="s">
        <v>2820</v>
      </c>
      <c r="I1549" s="2">
        <v>1.0020833333333334</v>
      </c>
      <c r="J1549" s="4" t="str">
        <f>IF(Table1[[#This Row],[processing_time_hours]]&gt;1.5,"Slow", "Fast")</f>
        <v>Fast</v>
      </c>
      <c r="K1549" t="s">
        <v>2821</v>
      </c>
      <c r="L1549" s="3">
        <v>1</v>
      </c>
      <c r="M1549" t="str">
        <f>IF(Table1[[#This Row],[delayed]]=1,"Delayed","On Time")</f>
        <v>Delayed</v>
      </c>
      <c r="N1549" t="str">
        <f>IF(AND(Table1[[#This Row],[delayed]]=1,Table1[[#This Row],[weather_condition]]="Storm"),"High Risk", IF(Table1[[#This Row],[delayed]]=1,"Medium Risk","Low Risk"))</f>
        <v>Medium Risk</v>
      </c>
    </row>
    <row r="1550" spans="1:14" x14ac:dyDescent="0.35">
      <c r="A1550">
        <v>1549</v>
      </c>
      <c r="B1550" s="1">
        <v>44991.5</v>
      </c>
      <c r="C1550" s="2">
        <v>4.5833333333333337E-2</v>
      </c>
      <c r="D1550" s="3">
        <v>3258</v>
      </c>
      <c r="E1550" s="3">
        <v>76</v>
      </c>
      <c r="F1550" s="2">
        <v>45.421527777777776</v>
      </c>
      <c r="G1550" t="s">
        <v>2815</v>
      </c>
      <c r="H1550" t="s">
        <v>2813</v>
      </c>
      <c r="I1550" s="2">
        <v>1.4625000000000001</v>
      </c>
      <c r="J1550" s="4" t="str">
        <f>IF(Table1[[#This Row],[processing_time_hours]]&gt;1.5,"Slow", "Fast")</f>
        <v>Fast</v>
      </c>
      <c r="K1550" t="s">
        <v>2814</v>
      </c>
      <c r="L1550" s="3">
        <v>0</v>
      </c>
      <c r="M1550" t="str">
        <f>IF(Table1[[#This Row],[delayed]]=1,"Delayed","On Time")</f>
        <v>On Time</v>
      </c>
      <c r="N1550" t="str">
        <f>IF(AND(Table1[[#This Row],[delayed]]=1,Table1[[#This Row],[weather_condition]]="Storm"),"High Risk", IF(Table1[[#This Row],[delayed]]=1,"Medium Risk","Low Risk"))</f>
        <v>Low Risk</v>
      </c>
    </row>
    <row r="1551" spans="1:14" x14ac:dyDescent="0.35">
      <c r="A1551">
        <v>1550</v>
      </c>
      <c r="B1551" s="1">
        <v>44991.541666666664</v>
      </c>
      <c r="C1551" s="2">
        <v>4.3750000000000004E-2</v>
      </c>
      <c r="D1551" s="3">
        <v>319</v>
      </c>
      <c r="E1551" s="3">
        <v>189</v>
      </c>
      <c r="F1551" s="2">
        <v>4.7555555555555555</v>
      </c>
      <c r="G1551" t="s">
        <v>2815</v>
      </c>
      <c r="H1551" t="s">
        <v>2820</v>
      </c>
      <c r="I1551" s="2">
        <v>1.4173611111111111</v>
      </c>
      <c r="J1551" s="4" t="str">
        <f>IF(Table1[[#This Row],[processing_time_hours]]&gt;1.5,"Slow", "Fast")</f>
        <v>Fast</v>
      </c>
      <c r="K1551" t="s">
        <v>2814</v>
      </c>
      <c r="L1551" s="3">
        <v>0</v>
      </c>
      <c r="M1551" t="str">
        <f>IF(Table1[[#This Row],[delayed]]=1,"Delayed","On Time")</f>
        <v>On Time</v>
      </c>
      <c r="N1551" t="str">
        <f>IF(AND(Table1[[#This Row],[delayed]]=1,Table1[[#This Row],[weather_condition]]="Storm"),"High Risk", IF(Table1[[#This Row],[delayed]]=1,"Medium Risk","Low Risk"))</f>
        <v>Low Risk</v>
      </c>
    </row>
    <row r="1552" spans="1:14" x14ac:dyDescent="0.35">
      <c r="A1552">
        <v>1551</v>
      </c>
      <c r="B1552" s="1">
        <v>44991.583333333336</v>
      </c>
      <c r="C1552" s="2">
        <v>5.4166666666666669E-2</v>
      </c>
      <c r="D1552" s="3">
        <v>3693</v>
      </c>
      <c r="E1552" s="3">
        <v>82</v>
      </c>
      <c r="F1552" s="2">
        <v>40.542361111111113</v>
      </c>
      <c r="G1552" t="s">
        <v>2812</v>
      </c>
      <c r="H1552" t="s">
        <v>2822</v>
      </c>
      <c r="I1552" s="2">
        <v>2.125</v>
      </c>
      <c r="J1552" s="4" t="str">
        <f>IF(Table1[[#This Row],[processing_time_hours]]&gt;1.5,"Slow", "Fast")</f>
        <v>Slow</v>
      </c>
      <c r="K1552" t="s">
        <v>2821</v>
      </c>
      <c r="L1552" s="3">
        <v>1</v>
      </c>
      <c r="M1552" t="str">
        <f>IF(Table1[[#This Row],[delayed]]=1,"Delayed","On Time")</f>
        <v>Delayed</v>
      </c>
      <c r="N1552" t="str">
        <f>IF(AND(Table1[[#This Row],[delayed]]=1,Table1[[#This Row],[weather_condition]]="Storm"),"High Risk", IF(Table1[[#This Row],[delayed]]=1,"Medium Risk","Low Risk"))</f>
        <v>Medium Risk</v>
      </c>
    </row>
    <row r="1553" spans="1:14" x14ac:dyDescent="0.35">
      <c r="A1553">
        <v>1552</v>
      </c>
      <c r="B1553" s="1">
        <v>44991.625</v>
      </c>
      <c r="C1553" s="2">
        <v>4.3055555555555562E-2</v>
      </c>
      <c r="D1553" s="3">
        <v>1155</v>
      </c>
      <c r="E1553" s="3">
        <v>109</v>
      </c>
      <c r="F1553" s="2">
        <v>54.129861111111104</v>
      </c>
      <c r="G1553" t="s">
        <v>2815</v>
      </c>
      <c r="H1553" t="s">
        <v>2817</v>
      </c>
      <c r="I1553" s="2">
        <v>0.16805555555555554</v>
      </c>
      <c r="J1553" s="4" t="str">
        <f>IF(Table1[[#This Row],[processing_time_hours]]&gt;1.5,"Slow", "Fast")</f>
        <v>Fast</v>
      </c>
      <c r="K1553" t="s">
        <v>2818</v>
      </c>
      <c r="L1553" s="3">
        <v>0</v>
      </c>
      <c r="M1553" t="str">
        <f>IF(Table1[[#This Row],[delayed]]=1,"Delayed","On Time")</f>
        <v>On Time</v>
      </c>
      <c r="N1553" t="str">
        <f>IF(AND(Table1[[#This Row],[delayed]]=1,Table1[[#This Row],[weather_condition]]="Storm"),"High Risk", IF(Table1[[#This Row],[delayed]]=1,"Medium Risk","Low Risk"))</f>
        <v>Low Risk</v>
      </c>
    </row>
    <row r="1554" spans="1:14" x14ac:dyDescent="0.35">
      <c r="A1554">
        <v>1553</v>
      </c>
      <c r="B1554" s="1">
        <v>44991.666666666664</v>
      </c>
      <c r="C1554" s="2">
        <v>6.458333333333334E-2</v>
      </c>
      <c r="D1554" s="3">
        <v>3024</v>
      </c>
      <c r="E1554" s="3">
        <v>369</v>
      </c>
      <c r="F1554" s="2">
        <v>64.043055555555554</v>
      </c>
      <c r="G1554" t="s">
        <v>2815</v>
      </c>
      <c r="H1554" t="s">
        <v>2820</v>
      </c>
      <c r="I1554" s="2">
        <v>1.2131944444444445</v>
      </c>
      <c r="J1554" s="4" t="str">
        <f>IF(Table1[[#This Row],[processing_time_hours]]&gt;1.5,"Slow", "Fast")</f>
        <v>Fast</v>
      </c>
      <c r="K1554" t="s">
        <v>2818</v>
      </c>
      <c r="L1554" s="3">
        <v>0</v>
      </c>
      <c r="M1554" t="str">
        <f>IF(Table1[[#This Row],[delayed]]=1,"Delayed","On Time")</f>
        <v>On Time</v>
      </c>
      <c r="N1554" t="str">
        <f>IF(AND(Table1[[#This Row],[delayed]]=1,Table1[[#This Row],[weather_condition]]="Storm"),"High Risk", IF(Table1[[#This Row],[delayed]]=1,"Medium Risk","Low Risk"))</f>
        <v>Low Risk</v>
      </c>
    </row>
    <row r="1555" spans="1:14" x14ac:dyDescent="0.35">
      <c r="A1555">
        <v>1554</v>
      </c>
      <c r="B1555" s="1">
        <v>44991.708333333336</v>
      </c>
      <c r="C1555" s="2">
        <v>5.6250000000000001E-2</v>
      </c>
      <c r="D1555" s="3">
        <v>3290</v>
      </c>
      <c r="E1555" s="3">
        <v>107</v>
      </c>
      <c r="F1555" s="2">
        <v>43.794444444444444</v>
      </c>
      <c r="G1555" t="s">
        <v>2816</v>
      </c>
      <c r="H1555" t="s">
        <v>2822</v>
      </c>
      <c r="I1555" s="2">
        <v>1.0444444444444445</v>
      </c>
      <c r="J1555" s="4" t="str">
        <f>IF(Table1[[#This Row],[processing_time_hours]]&gt;1.5,"Slow", "Fast")</f>
        <v>Fast</v>
      </c>
      <c r="K1555" t="s">
        <v>2814</v>
      </c>
      <c r="L1555" s="3">
        <v>1</v>
      </c>
      <c r="M1555" t="str">
        <f>IF(Table1[[#This Row],[delayed]]=1,"Delayed","On Time")</f>
        <v>Delayed</v>
      </c>
      <c r="N1555" t="str">
        <f>IF(AND(Table1[[#This Row],[delayed]]=1,Table1[[#This Row],[weather_condition]]="Storm"),"High Risk", IF(Table1[[#This Row],[delayed]]=1,"Medium Risk","Low Risk"))</f>
        <v>Medium Risk</v>
      </c>
    </row>
    <row r="1556" spans="1:14" x14ac:dyDescent="0.35">
      <c r="A1556">
        <v>1555</v>
      </c>
      <c r="B1556" s="1">
        <v>44991.75</v>
      </c>
      <c r="C1556" s="2">
        <v>5.0694444444444438E-2</v>
      </c>
      <c r="D1556" s="3">
        <v>2814</v>
      </c>
      <c r="E1556" s="3">
        <v>469</v>
      </c>
      <c r="F1556" s="2">
        <v>12.37638888888889</v>
      </c>
      <c r="G1556" t="s">
        <v>2812</v>
      </c>
      <c r="H1556" t="s">
        <v>2817</v>
      </c>
      <c r="I1556" s="2">
        <v>2.129861111111111</v>
      </c>
      <c r="J1556" s="4" t="str">
        <f>IF(Table1[[#This Row],[processing_time_hours]]&gt;1.5,"Slow", "Fast")</f>
        <v>Slow</v>
      </c>
      <c r="K1556" t="s">
        <v>2818</v>
      </c>
      <c r="L1556" s="3">
        <v>0</v>
      </c>
      <c r="M1556" t="str">
        <f>IF(Table1[[#This Row],[delayed]]=1,"Delayed","On Time")</f>
        <v>On Time</v>
      </c>
      <c r="N1556" t="str">
        <f>IF(AND(Table1[[#This Row],[delayed]]=1,Table1[[#This Row],[weather_condition]]="Storm"),"High Risk", IF(Table1[[#This Row],[delayed]]=1,"Medium Risk","Low Risk"))</f>
        <v>Low Risk</v>
      </c>
    </row>
    <row r="1557" spans="1:14" x14ac:dyDescent="0.35">
      <c r="A1557">
        <v>1556</v>
      </c>
      <c r="B1557" s="1">
        <v>44991.791666666664</v>
      </c>
      <c r="C1557" s="2">
        <v>6.3194444444444442E-2</v>
      </c>
      <c r="D1557" s="3">
        <v>958</v>
      </c>
      <c r="E1557" s="3">
        <v>11</v>
      </c>
      <c r="F1557" s="2">
        <v>31.251388888888886</v>
      </c>
      <c r="G1557" t="s">
        <v>2812</v>
      </c>
      <c r="H1557" t="s">
        <v>2813</v>
      </c>
      <c r="I1557" s="2">
        <v>2.8361111111111108</v>
      </c>
      <c r="J1557" s="4" t="str">
        <f>IF(Table1[[#This Row],[processing_time_hours]]&gt;1.5,"Slow", "Fast")</f>
        <v>Slow</v>
      </c>
      <c r="K1557" t="s">
        <v>2818</v>
      </c>
      <c r="L1557" s="3">
        <v>0</v>
      </c>
      <c r="M1557" t="str">
        <f>IF(Table1[[#This Row],[delayed]]=1,"Delayed","On Time")</f>
        <v>On Time</v>
      </c>
      <c r="N1557" t="str">
        <f>IF(AND(Table1[[#This Row],[delayed]]=1,Table1[[#This Row],[weather_condition]]="Storm"),"High Risk", IF(Table1[[#This Row],[delayed]]=1,"Medium Risk","Low Risk"))</f>
        <v>Low Risk</v>
      </c>
    </row>
    <row r="1558" spans="1:14" x14ac:dyDescent="0.35">
      <c r="A1558">
        <v>1557</v>
      </c>
      <c r="B1558" s="1">
        <v>44991.833333333336</v>
      </c>
      <c r="C1558" s="2">
        <v>4.7916666666666663E-2</v>
      </c>
      <c r="D1558" s="3">
        <v>3035</v>
      </c>
      <c r="E1558" s="3">
        <v>260</v>
      </c>
      <c r="F1558" s="2">
        <v>81.586805555555557</v>
      </c>
      <c r="G1558" t="s">
        <v>2815</v>
      </c>
      <c r="H1558" t="s">
        <v>2822</v>
      </c>
      <c r="I1558" s="2">
        <v>1.8368055555555556</v>
      </c>
      <c r="J1558" s="4" t="str">
        <f>IF(Table1[[#This Row],[processing_time_hours]]&gt;1.5,"Slow", "Fast")</f>
        <v>Slow</v>
      </c>
      <c r="K1558" t="s">
        <v>2814</v>
      </c>
      <c r="L1558" s="3">
        <v>0</v>
      </c>
      <c r="M1558" t="str">
        <f>IF(Table1[[#This Row],[delayed]]=1,"Delayed","On Time")</f>
        <v>On Time</v>
      </c>
      <c r="N1558" t="str">
        <f>IF(AND(Table1[[#This Row],[delayed]]=1,Table1[[#This Row],[weather_condition]]="Storm"),"High Risk", IF(Table1[[#This Row],[delayed]]=1,"Medium Risk","Low Risk"))</f>
        <v>Low Risk</v>
      </c>
    </row>
    <row r="1559" spans="1:14" x14ac:dyDescent="0.35">
      <c r="A1559">
        <v>1558</v>
      </c>
      <c r="B1559" s="1">
        <v>44991.875</v>
      </c>
      <c r="C1559" s="2">
        <v>5.6250000000000001E-2</v>
      </c>
      <c r="D1559" s="3">
        <v>2555</v>
      </c>
      <c r="E1559" s="3">
        <v>298</v>
      </c>
      <c r="F1559" s="2">
        <v>41.125694444444441</v>
      </c>
      <c r="G1559" t="s">
        <v>2816</v>
      </c>
      <c r="H1559" t="s">
        <v>2820</v>
      </c>
      <c r="I1559" s="2">
        <v>1.4201388888888891</v>
      </c>
      <c r="J1559" s="4" t="str">
        <f>IF(Table1[[#This Row],[processing_time_hours]]&gt;1.5,"Slow", "Fast")</f>
        <v>Fast</v>
      </c>
      <c r="K1559" t="s">
        <v>2814</v>
      </c>
      <c r="L1559" s="3">
        <v>0</v>
      </c>
      <c r="M1559" t="str">
        <f>IF(Table1[[#This Row],[delayed]]=1,"Delayed","On Time")</f>
        <v>On Time</v>
      </c>
      <c r="N1559" t="str">
        <f>IF(AND(Table1[[#This Row],[delayed]]=1,Table1[[#This Row],[weather_condition]]="Storm"),"High Risk", IF(Table1[[#This Row],[delayed]]=1,"Medium Risk","Low Risk"))</f>
        <v>Low Risk</v>
      </c>
    </row>
    <row r="1560" spans="1:14" x14ac:dyDescent="0.35">
      <c r="A1560">
        <v>1559</v>
      </c>
      <c r="B1560" s="1">
        <v>44991.916666666664</v>
      </c>
      <c r="C1560" s="2">
        <v>5.5555555555555558E-3</v>
      </c>
      <c r="D1560" s="3">
        <v>3638</v>
      </c>
      <c r="E1560" s="3">
        <v>243</v>
      </c>
      <c r="F1560" s="2">
        <v>83.21319444444444</v>
      </c>
      <c r="G1560" t="s">
        <v>2812</v>
      </c>
      <c r="H1560" t="s">
        <v>2820</v>
      </c>
      <c r="I1560" s="2">
        <v>2.3381944444444445</v>
      </c>
      <c r="J1560" s="4" t="str">
        <f>IF(Table1[[#This Row],[processing_time_hours]]&gt;1.5,"Slow", "Fast")</f>
        <v>Slow</v>
      </c>
      <c r="K1560" t="s">
        <v>2814</v>
      </c>
      <c r="L1560" s="3">
        <v>0</v>
      </c>
      <c r="M1560" t="str">
        <f>IF(Table1[[#This Row],[delayed]]=1,"Delayed","On Time")</f>
        <v>On Time</v>
      </c>
      <c r="N1560" t="str">
        <f>IF(AND(Table1[[#This Row],[delayed]]=1,Table1[[#This Row],[weather_condition]]="Storm"),"High Risk", IF(Table1[[#This Row],[delayed]]=1,"Medium Risk","Low Risk"))</f>
        <v>Low Risk</v>
      </c>
    </row>
    <row r="1561" spans="1:14" x14ac:dyDescent="0.35">
      <c r="A1561">
        <v>1560</v>
      </c>
      <c r="B1561" s="1">
        <v>44991.958333333336</v>
      </c>
      <c r="C1561" s="2">
        <v>4.4444444444444446E-2</v>
      </c>
      <c r="D1561" s="3">
        <v>373</v>
      </c>
      <c r="E1561" s="3">
        <v>110</v>
      </c>
      <c r="F1561" s="2">
        <v>11.464583333333332</v>
      </c>
      <c r="G1561" t="s">
        <v>2816</v>
      </c>
      <c r="H1561" t="s">
        <v>2817</v>
      </c>
      <c r="I1561" s="2">
        <v>2.963888888888889</v>
      </c>
      <c r="J1561" s="4" t="str">
        <f>IF(Table1[[#This Row],[processing_time_hours]]&gt;1.5,"Slow", "Fast")</f>
        <v>Slow</v>
      </c>
      <c r="K1561" t="s">
        <v>2821</v>
      </c>
      <c r="L1561" s="3">
        <v>1</v>
      </c>
      <c r="M1561" t="str">
        <f>IF(Table1[[#This Row],[delayed]]=1,"Delayed","On Time")</f>
        <v>Delayed</v>
      </c>
      <c r="N1561" t="str">
        <f>IF(AND(Table1[[#This Row],[delayed]]=1,Table1[[#This Row],[weather_condition]]="Storm"),"High Risk", IF(Table1[[#This Row],[delayed]]=1,"Medium Risk","Low Risk"))</f>
        <v>High Risk</v>
      </c>
    </row>
    <row r="1562" spans="1:14" x14ac:dyDescent="0.35">
      <c r="A1562">
        <v>1561</v>
      </c>
      <c r="B1562" s="1">
        <v>44992</v>
      </c>
      <c r="C1562" s="2">
        <v>6.3888888888888898E-2</v>
      </c>
      <c r="D1562" s="3">
        <v>2212</v>
      </c>
      <c r="E1562" s="3">
        <v>119</v>
      </c>
      <c r="F1562" s="2">
        <v>49.797222222222224</v>
      </c>
      <c r="G1562" t="s">
        <v>2816</v>
      </c>
      <c r="H1562" t="s">
        <v>2813</v>
      </c>
      <c r="I1562" s="2">
        <v>2.9187499999999997</v>
      </c>
      <c r="J1562" s="4" t="str">
        <f>IF(Table1[[#This Row],[processing_time_hours]]&gt;1.5,"Slow", "Fast")</f>
        <v>Slow</v>
      </c>
      <c r="K1562" t="s">
        <v>2814</v>
      </c>
      <c r="L1562" s="3">
        <v>0</v>
      </c>
      <c r="M1562" t="str">
        <f>IF(Table1[[#This Row],[delayed]]=1,"Delayed","On Time")</f>
        <v>On Time</v>
      </c>
      <c r="N1562" t="str">
        <f>IF(AND(Table1[[#This Row],[delayed]]=1,Table1[[#This Row],[weather_condition]]="Storm"),"High Risk", IF(Table1[[#This Row],[delayed]]=1,"Medium Risk","Low Risk"))</f>
        <v>Low Risk</v>
      </c>
    </row>
    <row r="1563" spans="1:14" x14ac:dyDescent="0.35">
      <c r="A1563">
        <v>1562</v>
      </c>
      <c r="B1563" s="1">
        <v>44992.041666666664</v>
      </c>
      <c r="C1563" s="2">
        <v>6.1111111111111109E-2</v>
      </c>
      <c r="D1563" s="3">
        <v>975</v>
      </c>
      <c r="E1563" s="3">
        <v>273</v>
      </c>
      <c r="F1563" s="2">
        <v>75.922222222222231</v>
      </c>
      <c r="G1563" t="s">
        <v>2819</v>
      </c>
      <c r="H1563" t="s">
        <v>2822</v>
      </c>
      <c r="I1563" s="2">
        <v>0.41944444444444445</v>
      </c>
      <c r="J1563" s="4" t="str">
        <f>IF(Table1[[#This Row],[processing_time_hours]]&gt;1.5,"Slow", "Fast")</f>
        <v>Fast</v>
      </c>
      <c r="K1563" t="s">
        <v>2814</v>
      </c>
      <c r="L1563" s="3">
        <v>0</v>
      </c>
      <c r="M1563" t="str">
        <f>IF(Table1[[#This Row],[delayed]]=1,"Delayed","On Time")</f>
        <v>On Time</v>
      </c>
      <c r="N1563" t="str">
        <f>IF(AND(Table1[[#This Row],[delayed]]=1,Table1[[#This Row],[weather_condition]]="Storm"),"High Risk", IF(Table1[[#This Row],[delayed]]=1,"Medium Risk","Low Risk"))</f>
        <v>Low Risk</v>
      </c>
    </row>
    <row r="1564" spans="1:14" x14ac:dyDescent="0.35">
      <c r="A1564">
        <v>1563</v>
      </c>
      <c r="B1564" s="1">
        <v>44992.083333333336</v>
      </c>
      <c r="C1564" s="2">
        <v>4.7222222222222221E-2</v>
      </c>
      <c r="D1564" s="3">
        <v>1884</v>
      </c>
      <c r="E1564" s="3">
        <v>8</v>
      </c>
      <c r="F1564" s="2">
        <v>21.464583333333334</v>
      </c>
      <c r="G1564" t="s">
        <v>2816</v>
      </c>
      <c r="H1564" t="s">
        <v>2822</v>
      </c>
      <c r="I1564" s="2">
        <v>4.3750000000000004E-2</v>
      </c>
      <c r="J1564" s="4" t="str">
        <f>IF(Table1[[#This Row],[processing_time_hours]]&gt;1.5,"Slow", "Fast")</f>
        <v>Fast</v>
      </c>
      <c r="K1564" t="s">
        <v>2814</v>
      </c>
      <c r="L1564" s="3">
        <v>0</v>
      </c>
      <c r="M1564" t="str">
        <f>IF(Table1[[#This Row],[delayed]]=1,"Delayed","On Time")</f>
        <v>On Time</v>
      </c>
      <c r="N1564" t="str">
        <f>IF(AND(Table1[[#This Row],[delayed]]=1,Table1[[#This Row],[weather_condition]]="Storm"),"High Risk", IF(Table1[[#This Row],[delayed]]=1,"Medium Risk","Low Risk"))</f>
        <v>Low Risk</v>
      </c>
    </row>
    <row r="1565" spans="1:14" x14ac:dyDescent="0.35">
      <c r="A1565">
        <v>1564</v>
      </c>
      <c r="B1565" s="1">
        <v>44992.125</v>
      </c>
      <c r="C1565" s="2">
        <v>5.3472222222222227E-2</v>
      </c>
      <c r="D1565" s="3">
        <v>2800</v>
      </c>
      <c r="E1565" s="3">
        <v>100</v>
      </c>
      <c r="F1565" s="2">
        <v>78.797916666666666</v>
      </c>
      <c r="G1565" t="s">
        <v>2816</v>
      </c>
      <c r="H1565" t="s">
        <v>2813</v>
      </c>
      <c r="I1565" s="2">
        <v>1.7104166666666665</v>
      </c>
      <c r="J1565" s="4" t="str">
        <f>IF(Table1[[#This Row],[processing_time_hours]]&gt;1.5,"Slow", "Fast")</f>
        <v>Slow</v>
      </c>
      <c r="K1565" t="s">
        <v>2814</v>
      </c>
      <c r="L1565" s="3">
        <v>0</v>
      </c>
      <c r="M1565" t="str">
        <f>IF(Table1[[#This Row],[delayed]]=1,"Delayed","On Time")</f>
        <v>On Time</v>
      </c>
      <c r="N1565" t="str">
        <f>IF(AND(Table1[[#This Row],[delayed]]=1,Table1[[#This Row],[weather_condition]]="Storm"),"High Risk", IF(Table1[[#This Row],[delayed]]=1,"Medium Risk","Low Risk"))</f>
        <v>Low Risk</v>
      </c>
    </row>
    <row r="1566" spans="1:14" x14ac:dyDescent="0.35">
      <c r="A1566">
        <v>1565</v>
      </c>
      <c r="B1566" s="1">
        <v>44992.166666666664</v>
      </c>
      <c r="C1566" s="2">
        <v>4.9999999999999996E-2</v>
      </c>
      <c r="D1566" s="3">
        <v>1635</v>
      </c>
      <c r="E1566" s="3">
        <v>63</v>
      </c>
      <c r="F1566" s="2">
        <v>36.337499999999999</v>
      </c>
      <c r="G1566" t="s">
        <v>2816</v>
      </c>
      <c r="H1566" t="s">
        <v>2820</v>
      </c>
      <c r="I1566" s="2">
        <v>1.3361111111111112</v>
      </c>
      <c r="J1566" s="4" t="str">
        <f>IF(Table1[[#This Row],[processing_time_hours]]&gt;1.5,"Slow", "Fast")</f>
        <v>Fast</v>
      </c>
      <c r="K1566" t="s">
        <v>2821</v>
      </c>
      <c r="L1566" s="3">
        <v>0</v>
      </c>
      <c r="M1566" t="str">
        <f>IF(Table1[[#This Row],[delayed]]=1,"Delayed","On Time")</f>
        <v>On Time</v>
      </c>
      <c r="N1566" t="str">
        <f>IF(AND(Table1[[#This Row],[delayed]]=1,Table1[[#This Row],[weather_condition]]="Storm"),"High Risk", IF(Table1[[#This Row],[delayed]]=1,"Medium Risk","Low Risk"))</f>
        <v>Low Risk</v>
      </c>
    </row>
    <row r="1567" spans="1:14" x14ac:dyDescent="0.35">
      <c r="A1567">
        <v>1566</v>
      </c>
      <c r="B1567" s="1">
        <v>44992.208333333336</v>
      </c>
      <c r="C1567" s="2">
        <v>6.7361111111111108E-2</v>
      </c>
      <c r="D1567" s="3">
        <v>2262</v>
      </c>
      <c r="E1567" s="3">
        <v>122</v>
      </c>
      <c r="F1567" s="2">
        <v>68.422222222222231</v>
      </c>
      <c r="G1567" t="s">
        <v>2816</v>
      </c>
      <c r="H1567" t="s">
        <v>2820</v>
      </c>
      <c r="I1567" s="2">
        <v>1.5048611111111112</v>
      </c>
      <c r="J1567" s="4" t="str">
        <f>IF(Table1[[#This Row],[processing_time_hours]]&gt;1.5,"Slow", "Fast")</f>
        <v>Slow</v>
      </c>
      <c r="K1567" t="s">
        <v>2818</v>
      </c>
      <c r="L1567" s="3">
        <v>0</v>
      </c>
      <c r="M1567" t="str">
        <f>IF(Table1[[#This Row],[delayed]]=1,"Delayed","On Time")</f>
        <v>On Time</v>
      </c>
      <c r="N1567" t="str">
        <f>IF(AND(Table1[[#This Row],[delayed]]=1,Table1[[#This Row],[weather_condition]]="Storm"),"High Risk", IF(Table1[[#This Row],[delayed]]=1,"Medium Risk","Low Risk"))</f>
        <v>Low Risk</v>
      </c>
    </row>
    <row r="1568" spans="1:14" x14ac:dyDescent="0.35">
      <c r="A1568">
        <v>1567</v>
      </c>
      <c r="B1568" s="1">
        <v>44992.25</v>
      </c>
      <c r="C1568" s="2">
        <v>6.0416666666666667E-2</v>
      </c>
      <c r="D1568" s="3">
        <v>772</v>
      </c>
      <c r="E1568" s="3">
        <v>21</v>
      </c>
      <c r="F1568" s="2">
        <v>22.422916666666666</v>
      </c>
      <c r="G1568" t="s">
        <v>2819</v>
      </c>
      <c r="H1568" t="s">
        <v>2817</v>
      </c>
      <c r="I1568" s="2">
        <v>2.2506944444444446</v>
      </c>
      <c r="J1568" s="4" t="str">
        <f>IF(Table1[[#This Row],[processing_time_hours]]&gt;1.5,"Slow", "Fast")</f>
        <v>Slow</v>
      </c>
      <c r="K1568" t="s">
        <v>2818</v>
      </c>
      <c r="L1568" s="3">
        <v>0</v>
      </c>
      <c r="M1568" t="str">
        <f>IF(Table1[[#This Row],[delayed]]=1,"Delayed","On Time")</f>
        <v>On Time</v>
      </c>
      <c r="N1568" t="str">
        <f>IF(AND(Table1[[#This Row],[delayed]]=1,Table1[[#This Row],[weather_condition]]="Storm"),"High Risk", IF(Table1[[#This Row],[delayed]]=1,"Medium Risk","Low Risk"))</f>
        <v>Low Risk</v>
      </c>
    </row>
    <row r="1569" spans="1:14" x14ac:dyDescent="0.35">
      <c r="A1569">
        <v>1568</v>
      </c>
      <c r="B1569" s="1">
        <v>44992.291666666664</v>
      </c>
      <c r="C1569" s="2">
        <v>6.805555555555555E-2</v>
      </c>
      <c r="D1569" s="3">
        <v>3580</v>
      </c>
      <c r="E1569" s="3">
        <v>416</v>
      </c>
      <c r="F1569" s="2">
        <v>75.834027777777777</v>
      </c>
      <c r="G1569" t="s">
        <v>2816</v>
      </c>
      <c r="H1569" t="s">
        <v>2822</v>
      </c>
      <c r="I1569" s="2">
        <v>0.2951388888888889</v>
      </c>
      <c r="J1569" s="4" t="str">
        <f>IF(Table1[[#This Row],[processing_time_hours]]&gt;1.5,"Slow", "Fast")</f>
        <v>Fast</v>
      </c>
      <c r="K1569" t="s">
        <v>2818</v>
      </c>
      <c r="L1569" s="3">
        <v>0</v>
      </c>
      <c r="M1569" t="str">
        <f>IF(Table1[[#This Row],[delayed]]=1,"Delayed","On Time")</f>
        <v>On Time</v>
      </c>
      <c r="N1569" t="str">
        <f>IF(AND(Table1[[#This Row],[delayed]]=1,Table1[[#This Row],[weather_condition]]="Storm"),"High Risk", IF(Table1[[#This Row],[delayed]]=1,"Medium Risk","Low Risk"))</f>
        <v>Low Risk</v>
      </c>
    </row>
    <row r="1570" spans="1:14" x14ac:dyDescent="0.35">
      <c r="A1570">
        <v>1569</v>
      </c>
      <c r="B1570" s="1">
        <v>44992.333333333336</v>
      </c>
      <c r="C1570" s="2">
        <v>6.3194444444444442E-2</v>
      </c>
      <c r="D1570" s="3">
        <v>2647</v>
      </c>
      <c r="E1570" s="3">
        <v>5</v>
      </c>
      <c r="F1570" s="2">
        <v>64.670833333333334</v>
      </c>
      <c r="G1570" t="s">
        <v>2815</v>
      </c>
      <c r="H1570" t="s">
        <v>2813</v>
      </c>
      <c r="I1570" s="2">
        <v>0.42083333333333334</v>
      </c>
      <c r="J1570" s="4" t="str">
        <f>IF(Table1[[#This Row],[processing_time_hours]]&gt;1.5,"Slow", "Fast")</f>
        <v>Fast</v>
      </c>
      <c r="K1570" t="s">
        <v>2818</v>
      </c>
      <c r="L1570" s="3">
        <v>1</v>
      </c>
      <c r="M1570" t="str">
        <f>IF(Table1[[#This Row],[delayed]]=1,"Delayed","On Time")</f>
        <v>Delayed</v>
      </c>
      <c r="N1570" t="str">
        <f>IF(AND(Table1[[#This Row],[delayed]]=1,Table1[[#This Row],[weather_condition]]="Storm"),"High Risk", IF(Table1[[#This Row],[delayed]]=1,"Medium Risk","Low Risk"))</f>
        <v>Medium Risk</v>
      </c>
    </row>
    <row r="1571" spans="1:14" x14ac:dyDescent="0.35">
      <c r="A1571">
        <v>1570</v>
      </c>
      <c r="B1571" s="1">
        <v>44992.375</v>
      </c>
      <c r="C1571" s="2">
        <v>6.3888888888888898E-2</v>
      </c>
      <c r="D1571" s="3">
        <v>4245</v>
      </c>
      <c r="E1571" s="3">
        <v>105</v>
      </c>
      <c r="F1571" s="2">
        <v>14.338194444444445</v>
      </c>
      <c r="G1571" t="s">
        <v>2815</v>
      </c>
      <c r="H1571" t="s">
        <v>2822</v>
      </c>
      <c r="I1571" s="2">
        <v>2.1270833333333332</v>
      </c>
      <c r="J1571" s="4" t="str">
        <f>IF(Table1[[#This Row],[processing_time_hours]]&gt;1.5,"Slow", "Fast")</f>
        <v>Slow</v>
      </c>
      <c r="K1571" t="s">
        <v>2818</v>
      </c>
      <c r="L1571" s="3">
        <v>0</v>
      </c>
      <c r="M1571" t="str">
        <f>IF(Table1[[#This Row],[delayed]]=1,"Delayed","On Time")</f>
        <v>On Time</v>
      </c>
      <c r="N1571" t="str">
        <f>IF(AND(Table1[[#This Row],[delayed]]=1,Table1[[#This Row],[weather_condition]]="Storm"),"High Risk", IF(Table1[[#This Row],[delayed]]=1,"Medium Risk","Low Risk"))</f>
        <v>Low Risk</v>
      </c>
    </row>
    <row r="1572" spans="1:14" x14ac:dyDescent="0.35">
      <c r="A1572">
        <v>1571</v>
      </c>
      <c r="B1572" s="1">
        <v>44992.416666666664</v>
      </c>
      <c r="C1572" s="2">
        <v>4.9999999999999996E-2</v>
      </c>
      <c r="D1572" s="3">
        <v>4507</v>
      </c>
      <c r="E1572" s="3">
        <v>215</v>
      </c>
      <c r="F1572" s="2">
        <v>38.96458333333333</v>
      </c>
      <c r="G1572" t="s">
        <v>2815</v>
      </c>
      <c r="H1572" t="s">
        <v>2813</v>
      </c>
      <c r="I1572" s="2">
        <v>2.9222222222222225</v>
      </c>
      <c r="J1572" s="4" t="str">
        <f>IF(Table1[[#This Row],[processing_time_hours]]&gt;1.5,"Slow", "Fast")</f>
        <v>Slow</v>
      </c>
      <c r="K1572" t="s">
        <v>2821</v>
      </c>
      <c r="L1572" s="3">
        <v>1</v>
      </c>
      <c r="M1572" t="str">
        <f>IF(Table1[[#This Row],[delayed]]=1,"Delayed","On Time")</f>
        <v>Delayed</v>
      </c>
      <c r="N1572" t="str">
        <f>IF(AND(Table1[[#This Row],[delayed]]=1,Table1[[#This Row],[weather_condition]]="Storm"),"High Risk", IF(Table1[[#This Row],[delayed]]=1,"Medium Risk","Low Risk"))</f>
        <v>Medium Risk</v>
      </c>
    </row>
    <row r="1573" spans="1:14" x14ac:dyDescent="0.35">
      <c r="A1573">
        <v>1572</v>
      </c>
      <c r="B1573" s="1">
        <v>44992.458333333336</v>
      </c>
      <c r="C1573" s="2">
        <v>6.5277777777777782E-2</v>
      </c>
      <c r="D1573" s="3">
        <v>1749</v>
      </c>
      <c r="E1573" s="3">
        <v>330</v>
      </c>
      <c r="F1573" s="2">
        <v>46.922222222222224</v>
      </c>
      <c r="G1573" t="s">
        <v>2819</v>
      </c>
      <c r="H1573" t="s">
        <v>2813</v>
      </c>
      <c r="I1573" s="2">
        <v>2.0020833333333332</v>
      </c>
      <c r="J1573" s="4" t="str">
        <f>IF(Table1[[#This Row],[processing_time_hours]]&gt;1.5,"Slow", "Fast")</f>
        <v>Slow</v>
      </c>
      <c r="K1573" t="s">
        <v>2814</v>
      </c>
      <c r="L1573" s="3">
        <v>0</v>
      </c>
      <c r="M1573" t="str">
        <f>IF(Table1[[#This Row],[delayed]]=1,"Delayed","On Time")</f>
        <v>On Time</v>
      </c>
      <c r="N1573" t="str">
        <f>IF(AND(Table1[[#This Row],[delayed]]=1,Table1[[#This Row],[weather_condition]]="Storm"),"High Risk", IF(Table1[[#This Row],[delayed]]=1,"Medium Risk","Low Risk"))</f>
        <v>Low Risk</v>
      </c>
    </row>
    <row r="1574" spans="1:14" x14ac:dyDescent="0.35">
      <c r="A1574">
        <v>1573</v>
      </c>
      <c r="B1574" s="1">
        <v>44992.5</v>
      </c>
      <c r="C1574" s="2">
        <v>5.0694444444444438E-2</v>
      </c>
      <c r="D1574" s="3">
        <v>3727</v>
      </c>
      <c r="E1574" s="3">
        <v>190</v>
      </c>
      <c r="F1574" s="2">
        <v>19.043749999999999</v>
      </c>
      <c r="G1574" t="s">
        <v>2816</v>
      </c>
      <c r="H1574" t="s">
        <v>2822</v>
      </c>
      <c r="I1574" s="2">
        <v>0.17291666666666669</v>
      </c>
      <c r="J1574" s="4" t="str">
        <f>IF(Table1[[#This Row],[processing_time_hours]]&gt;1.5,"Slow", "Fast")</f>
        <v>Fast</v>
      </c>
      <c r="K1574" t="s">
        <v>2818</v>
      </c>
      <c r="L1574" s="3">
        <v>0</v>
      </c>
      <c r="M1574" t="str">
        <f>IF(Table1[[#This Row],[delayed]]=1,"Delayed","On Time")</f>
        <v>On Time</v>
      </c>
      <c r="N1574" t="str">
        <f>IF(AND(Table1[[#This Row],[delayed]]=1,Table1[[#This Row],[weather_condition]]="Storm"),"High Risk", IF(Table1[[#This Row],[delayed]]=1,"Medium Risk","Low Risk"))</f>
        <v>Low Risk</v>
      </c>
    </row>
    <row r="1575" spans="1:14" x14ac:dyDescent="0.35">
      <c r="A1575">
        <v>1574</v>
      </c>
      <c r="B1575" s="1">
        <v>44992.541666666664</v>
      </c>
      <c r="C1575" s="2">
        <v>6.458333333333334E-2</v>
      </c>
      <c r="D1575" s="3">
        <v>4023</v>
      </c>
      <c r="E1575" s="3">
        <v>277</v>
      </c>
      <c r="F1575" s="2">
        <v>44.045138888888886</v>
      </c>
      <c r="G1575" t="s">
        <v>2819</v>
      </c>
      <c r="H1575" t="s">
        <v>2817</v>
      </c>
      <c r="I1575" s="2">
        <v>0.54652777777777783</v>
      </c>
      <c r="J1575" s="4" t="str">
        <f>IF(Table1[[#This Row],[processing_time_hours]]&gt;1.5,"Slow", "Fast")</f>
        <v>Fast</v>
      </c>
      <c r="K1575" t="s">
        <v>2814</v>
      </c>
      <c r="L1575" s="3">
        <v>0</v>
      </c>
      <c r="M1575" t="str">
        <f>IF(Table1[[#This Row],[delayed]]=1,"Delayed","On Time")</f>
        <v>On Time</v>
      </c>
      <c r="N1575" t="str">
        <f>IF(AND(Table1[[#This Row],[delayed]]=1,Table1[[#This Row],[weather_condition]]="Storm"),"High Risk", IF(Table1[[#This Row],[delayed]]=1,"Medium Risk","Low Risk"))</f>
        <v>Low Risk</v>
      </c>
    </row>
    <row r="1576" spans="1:14" x14ac:dyDescent="0.35">
      <c r="A1576">
        <v>1575</v>
      </c>
      <c r="B1576" s="1">
        <v>44992.583333333336</v>
      </c>
      <c r="C1576" s="2">
        <v>6.1111111111111109E-2</v>
      </c>
      <c r="D1576" s="3">
        <v>2546</v>
      </c>
      <c r="E1576" s="3">
        <v>463</v>
      </c>
      <c r="F1576" s="2">
        <v>8.3347222222222221</v>
      </c>
      <c r="G1576" t="s">
        <v>2819</v>
      </c>
      <c r="H1576" t="s">
        <v>2817</v>
      </c>
      <c r="I1576" s="2">
        <v>2.9215277777777775</v>
      </c>
      <c r="J1576" s="4" t="str">
        <f>IF(Table1[[#This Row],[processing_time_hours]]&gt;1.5,"Slow", "Fast")</f>
        <v>Slow</v>
      </c>
      <c r="K1576" t="s">
        <v>2814</v>
      </c>
      <c r="L1576" s="3">
        <v>0</v>
      </c>
      <c r="M1576" t="str">
        <f>IF(Table1[[#This Row],[delayed]]=1,"Delayed","On Time")</f>
        <v>On Time</v>
      </c>
      <c r="N1576" t="str">
        <f>IF(AND(Table1[[#This Row],[delayed]]=1,Table1[[#This Row],[weather_condition]]="Storm"),"High Risk", IF(Table1[[#This Row],[delayed]]=1,"Medium Risk","Low Risk"))</f>
        <v>Low Risk</v>
      </c>
    </row>
    <row r="1577" spans="1:14" x14ac:dyDescent="0.35">
      <c r="A1577">
        <v>1576</v>
      </c>
      <c r="B1577" s="1">
        <v>44992.625</v>
      </c>
      <c r="C1577" s="2">
        <v>5.5555555555555558E-3</v>
      </c>
      <c r="D1577" s="3">
        <v>795</v>
      </c>
      <c r="E1577" s="3">
        <v>78</v>
      </c>
      <c r="F1577" s="2">
        <v>66.463888888888889</v>
      </c>
      <c r="G1577" t="s">
        <v>2812</v>
      </c>
      <c r="H1577" t="s">
        <v>2822</v>
      </c>
      <c r="I1577" s="2">
        <v>2.9229166666666671</v>
      </c>
      <c r="J1577" s="4" t="str">
        <f>IF(Table1[[#This Row],[processing_time_hours]]&gt;1.5,"Slow", "Fast")</f>
        <v>Slow</v>
      </c>
      <c r="K1577" t="s">
        <v>2814</v>
      </c>
      <c r="L1577" s="3">
        <v>0</v>
      </c>
      <c r="M1577" t="str">
        <f>IF(Table1[[#This Row],[delayed]]=1,"Delayed","On Time")</f>
        <v>On Time</v>
      </c>
      <c r="N1577" t="str">
        <f>IF(AND(Table1[[#This Row],[delayed]]=1,Table1[[#This Row],[weather_condition]]="Storm"),"High Risk", IF(Table1[[#This Row],[delayed]]=1,"Medium Risk","Low Risk"))</f>
        <v>Low Risk</v>
      </c>
    </row>
    <row r="1578" spans="1:14" x14ac:dyDescent="0.35">
      <c r="A1578">
        <v>1577</v>
      </c>
      <c r="B1578" s="1">
        <v>44992.666666666664</v>
      </c>
      <c r="C1578" s="2">
        <v>4.6527777777777779E-2</v>
      </c>
      <c r="D1578" s="3">
        <v>917</v>
      </c>
      <c r="E1578" s="3">
        <v>173</v>
      </c>
      <c r="F1578" s="2">
        <v>27.336111111111112</v>
      </c>
      <c r="G1578" t="s">
        <v>2815</v>
      </c>
      <c r="H1578" t="s">
        <v>2817</v>
      </c>
      <c r="I1578" s="2">
        <v>0.1277777777777778</v>
      </c>
      <c r="J1578" s="4" t="str">
        <f>IF(Table1[[#This Row],[processing_time_hours]]&gt;1.5,"Slow", "Fast")</f>
        <v>Fast</v>
      </c>
      <c r="K1578" t="s">
        <v>2818</v>
      </c>
      <c r="L1578" s="3">
        <v>0</v>
      </c>
      <c r="M1578" t="str">
        <f>IF(Table1[[#This Row],[delayed]]=1,"Delayed","On Time")</f>
        <v>On Time</v>
      </c>
      <c r="N1578" t="str">
        <f>IF(AND(Table1[[#This Row],[delayed]]=1,Table1[[#This Row],[weather_condition]]="Storm"),"High Risk", IF(Table1[[#This Row],[delayed]]=1,"Medium Risk","Low Risk"))</f>
        <v>Low Risk</v>
      </c>
    </row>
    <row r="1579" spans="1:14" x14ac:dyDescent="0.35">
      <c r="A1579">
        <v>1578</v>
      </c>
      <c r="B1579" s="1">
        <v>44992.708333333336</v>
      </c>
      <c r="C1579" s="2">
        <v>5.8333333333333327E-2</v>
      </c>
      <c r="D1579" s="3">
        <v>4219</v>
      </c>
      <c r="E1579" s="3">
        <v>324</v>
      </c>
      <c r="F1579" s="2">
        <v>4.5437500000000002</v>
      </c>
      <c r="G1579" t="s">
        <v>2819</v>
      </c>
      <c r="H1579" t="s">
        <v>2817</v>
      </c>
      <c r="I1579" s="2">
        <v>8.9583333333333334E-2</v>
      </c>
      <c r="J1579" s="4" t="str">
        <f>IF(Table1[[#This Row],[processing_time_hours]]&gt;1.5,"Slow", "Fast")</f>
        <v>Fast</v>
      </c>
      <c r="K1579" t="s">
        <v>2818</v>
      </c>
      <c r="L1579" s="3">
        <v>1</v>
      </c>
      <c r="M1579" t="str">
        <f>IF(Table1[[#This Row],[delayed]]=1,"Delayed","On Time")</f>
        <v>Delayed</v>
      </c>
      <c r="N1579" t="str">
        <f>IF(AND(Table1[[#This Row],[delayed]]=1,Table1[[#This Row],[weather_condition]]="Storm"),"High Risk", IF(Table1[[#This Row],[delayed]]=1,"Medium Risk","Low Risk"))</f>
        <v>High Risk</v>
      </c>
    </row>
    <row r="1580" spans="1:14" x14ac:dyDescent="0.35">
      <c r="A1580">
        <v>1579</v>
      </c>
      <c r="B1580" s="1">
        <v>44992.75</v>
      </c>
      <c r="C1580" s="2">
        <v>5.9027777777777783E-2</v>
      </c>
      <c r="D1580" s="3">
        <v>2008</v>
      </c>
      <c r="E1580" s="3">
        <v>196</v>
      </c>
      <c r="F1580" s="2">
        <v>54.794444444444444</v>
      </c>
      <c r="G1580" t="s">
        <v>2816</v>
      </c>
      <c r="H1580" t="s">
        <v>2820</v>
      </c>
      <c r="I1580" s="2">
        <v>1.0868055555555556</v>
      </c>
      <c r="J1580" s="4" t="str">
        <f>IF(Table1[[#This Row],[processing_time_hours]]&gt;1.5,"Slow", "Fast")</f>
        <v>Fast</v>
      </c>
      <c r="K1580" t="s">
        <v>2821</v>
      </c>
      <c r="L1580" s="3">
        <v>0</v>
      </c>
      <c r="M1580" t="str">
        <f>IF(Table1[[#This Row],[delayed]]=1,"Delayed","On Time")</f>
        <v>On Time</v>
      </c>
      <c r="N1580" t="str">
        <f>IF(AND(Table1[[#This Row],[delayed]]=1,Table1[[#This Row],[weather_condition]]="Storm"),"High Risk", IF(Table1[[#This Row],[delayed]]=1,"Medium Risk","Low Risk"))</f>
        <v>Low Risk</v>
      </c>
    </row>
    <row r="1581" spans="1:14" x14ac:dyDescent="0.35">
      <c r="A1581">
        <v>1580</v>
      </c>
      <c r="B1581" s="1">
        <v>44992.791666666664</v>
      </c>
      <c r="C1581" s="2">
        <v>6.0416666666666667E-2</v>
      </c>
      <c r="D1581" s="3">
        <v>2393</v>
      </c>
      <c r="E1581" s="3">
        <v>433</v>
      </c>
      <c r="F1581" s="2">
        <v>9.8381944444444454</v>
      </c>
      <c r="G1581" t="s">
        <v>2816</v>
      </c>
      <c r="H1581" t="s">
        <v>2822</v>
      </c>
      <c r="I1581" s="2">
        <v>1.8770833333333332</v>
      </c>
      <c r="J1581" s="4" t="str">
        <f>IF(Table1[[#This Row],[processing_time_hours]]&gt;1.5,"Slow", "Fast")</f>
        <v>Slow</v>
      </c>
      <c r="K1581" t="s">
        <v>2814</v>
      </c>
      <c r="L1581" s="3">
        <v>0</v>
      </c>
      <c r="M1581" t="str">
        <f>IF(Table1[[#This Row],[delayed]]=1,"Delayed","On Time")</f>
        <v>On Time</v>
      </c>
      <c r="N1581" t="str">
        <f>IF(AND(Table1[[#This Row],[delayed]]=1,Table1[[#This Row],[weather_condition]]="Storm"),"High Risk", IF(Table1[[#This Row],[delayed]]=1,"Medium Risk","Low Risk"))</f>
        <v>Low Risk</v>
      </c>
    </row>
    <row r="1582" spans="1:14" x14ac:dyDescent="0.35">
      <c r="A1582">
        <v>1581</v>
      </c>
      <c r="B1582" s="1">
        <v>44992.833333333336</v>
      </c>
      <c r="C1582" s="2">
        <v>4.3750000000000004E-2</v>
      </c>
      <c r="D1582" s="3">
        <v>1212</v>
      </c>
      <c r="E1582" s="3">
        <v>461</v>
      </c>
      <c r="F1582" s="2">
        <v>76.629861111111111</v>
      </c>
      <c r="G1582" t="s">
        <v>2819</v>
      </c>
      <c r="H1582" t="s">
        <v>2813</v>
      </c>
      <c r="I1582" s="2">
        <v>2.5465277777777779</v>
      </c>
      <c r="J1582" s="4" t="str">
        <f>IF(Table1[[#This Row],[processing_time_hours]]&gt;1.5,"Slow", "Fast")</f>
        <v>Slow</v>
      </c>
      <c r="K1582" t="s">
        <v>2818</v>
      </c>
      <c r="L1582" s="3">
        <v>0</v>
      </c>
      <c r="M1582" t="str">
        <f>IF(Table1[[#This Row],[delayed]]=1,"Delayed","On Time")</f>
        <v>On Time</v>
      </c>
      <c r="N1582" t="str">
        <f>IF(AND(Table1[[#This Row],[delayed]]=1,Table1[[#This Row],[weather_condition]]="Storm"),"High Risk", IF(Table1[[#This Row],[delayed]]=1,"Medium Risk","Low Risk"))</f>
        <v>Low Risk</v>
      </c>
    </row>
    <row r="1583" spans="1:14" x14ac:dyDescent="0.35">
      <c r="A1583">
        <v>1582</v>
      </c>
      <c r="B1583" s="1">
        <v>44992.875</v>
      </c>
      <c r="C1583" s="2">
        <v>4.8611111111111112E-3</v>
      </c>
      <c r="D1583" s="3">
        <v>2744</v>
      </c>
      <c r="E1583" s="3">
        <v>466</v>
      </c>
      <c r="F1583" s="2">
        <v>70.002083333333331</v>
      </c>
      <c r="G1583" t="s">
        <v>2815</v>
      </c>
      <c r="H1583" t="s">
        <v>2813</v>
      </c>
      <c r="I1583" s="2">
        <v>0.95833333333333337</v>
      </c>
      <c r="J1583" s="4" t="str">
        <f>IF(Table1[[#This Row],[processing_time_hours]]&gt;1.5,"Slow", "Fast")</f>
        <v>Fast</v>
      </c>
      <c r="K1583" t="s">
        <v>2814</v>
      </c>
      <c r="L1583" s="3">
        <v>0</v>
      </c>
      <c r="M1583" t="str">
        <f>IF(Table1[[#This Row],[delayed]]=1,"Delayed","On Time")</f>
        <v>On Time</v>
      </c>
      <c r="N1583" t="str">
        <f>IF(AND(Table1[[#This Row],[delayed]]=1,Table1[[#This Row],[weather_condition]]="Storm"),"High Risk", IF(Table1[[#This Row],[delayed]]=1,"Medium Risk","Low Risk"))</f>
        <v>Low Risk</v>
      </c>
    </row>
    <row r="1584" spans="1:14" x14ac:dyDescent="0.35">
      <c r="A1584">
        <v>1583</v>
      </c>
      <c r="B1584" s="1">
        <v>44992.916666666664</v>
      </c>
      <c r="C1584" s="2">
        <v>5.6944444444444443E-2</v>
      </c>
      <c r="D1584" s="3">
        <v>2434</v>
      </c>
      <c r="E1584" s="3">
        <v>325</v>
      </c>
      <c r="F1584" s="2">
        <v>32.37916666666667</v>
      </c>
      <c r="G1584" t="s">
        <v>2815</v>
      </c>
      <c r="H1584" t="s">
        <v>2822</v>
      </c>
      <c r="I1584" s="2">
        <v>2.8763888888888887</v>
      </c>
      <c r="J1584" s="4" t="str">
        <f>IF(Table1[[#This Row],[processing_time_hours]]&gt;1.5,"Slow", "Fast")</f>
        <v>Slow</v>
      </c>
      <c r="K1584" t="s">
        <v>2821</v>
      </c>
      <c r="L1584" s="3">
        <v>0</v>
      </c>
      <c r="M1584" t="str">
        <f>IF(Table1[[#This Row],[delayed]]=1,"Delayed","On Time")</f>
        <v>On Time</v>
      </c>
      <c r="N1584" t="str">
        <f>IF(AND(Table1[[#This Row],[delayed]]=1,Table1[[#This Row],[weather_condition]]="Storm"),"High Risk", IF(Table1[[#This Row],[delayed]]=1,"Medium Risk","Low Risk"))</f>
        <v>Low Risk</v>
      </c>
    </row>
    <row r="1585" spans="1:14" x14ac:dyDescent="0.35">
      <c r="A1585">
        <v>1584</v>
      </c>
      <c r="B1585" s="1">
        <v>44992.958333333336</v>
      </c>
      <c r="C1585" s="2">
        <v>6.5277777777777782E-2</v>
      </c>
      <c r="D1585" s="3">
        <v>217</v>
      </c>
      <c r="E1585" s="3">
        <v>324</v>
      </c>
      <c r="F1585" s="2">
        <v>67.542361111111106</v>
      </c>
      <c r="G1585" t="s">
        <v>2812</v>
      </c>
      <c r="H1585" t="s">
        <v>2817</v>
      </c>
      <c r="I1585" s="2">
        <v>2.0013888888888887</v>
      </c>
      <c r="J1585" s="4" t="str">
        <f>IF(Table1[[#This Row],[processing_time_hours]]&gt;1.5,"Slow", "Fast")</f>
        <v>Slow</v>
      </c>
      <c r="K1585" t="s">
        <v>2821</v>
      </c>
      <c r="L1585" s="3">
        <v>1</v>
      </c>
      <c r="M1585" t="str">
        <f>IF(Table1[[#This Row],[delayed]]=1,"Delayed","On Time")</f>
        <v>Delayed</v>
      </c>
      <c r="N1585" t="str">
        <f>IF(AND(Table1[[#This Row],[delayed]]=1,Table1[[#This Row],[weather_condition]]="Storm"),"High Risk", IF(Table1[[#This Row],[delayed]]=1,"Medium Risk","Low Risk"))</f>
        <v>High Risk</v>
      </c>
    </row>
    <row r="1586" spans="1:14" x14ac:dyDescent="0.35">
      <c r="A1586">
        <v>1585</v>
      </c>
      <c r="B1586" s="1">
        <v>44993</v>
      </c>
      <c r="C1586" s="2">
        <v>4.7916666666666663E-2</v>
      </c>
      <c r="D1586" s="3">
        <v>4423</v>
      </c>
      <c r="E1586" s="3">
        <v>145</v>
      </c>
      <c r="F1586" s="2">
        <v>76.881250000000009</v>
      </c>
      <c r="G1586" t="s">
        <v>2819</v>
      </c>
      <c r="H1586" t="s">
        <v>2822</v>
      </c>
      <c r="I1586" s="2">
        <v>0.50277777777777777</v>
      </c>
      <c r="J1586" s="4" t="str">
        <f>IF(Table1[[#This Row],[processing_time_hours]]&gt;1.5,"Slow", "Fast")</f>
        <v>Fast</v>
      </c>
      <c r="K1586" t="s">
        <v>2818</v>
      </c>
      <c r="L1586" s="3">
        <v>0</v>
      </c>
      <c r="M1586" t="str">
        <f>IF(Table1[[#This Row],[delayed]]=1,"Delayed","On Time")</f>
        <v>On Time</v>
      </c>
      <c r="N1586" t="str">
        <f>IF(AND(Table1[[#This Row],[delayed]]=1,Table1[[#This Row],[weather_condition]]="Storm"),"High Risk", IF(Table1[[#This Row],[delayed]]=1,"Medium Risk","Low Risk"))</f>
        <v>Low Risk</v>
      </c>
    </row>
    <row r="1587" spans="1:14" x14ac:dyDescent="0.35">
      <c r="A1587">
        <v>1586</v>
      </c>
      <c r="B1587" s="1">
        <v>44993.041666666664</v>
      </c>
      <c r="C1587" s="2">
        <v>6.6666666666666666E-2</v>
      </c>
      <c r="D1587" s="3">
        <v>2654</v>
      </c>
      <c r="E1587" s="3">
        <v>370</v>
      </c>
      <c r="F1587" s="2">
        <v>79.753472222222214</v>
      </c>
      <c r="G1587" t="s">
        <v>2812</v>
      </c>
      <c r="H1587" t="s">
        <v>2813</v>
      </c>
      <c r="I1587" s="2">
        <v>1.4625000000000001</v>
      </c>
      <c r="J1587" s="4" t="str">
        <f>IF(Table1[[#This Row],[processing_time_hours]]&gt;1.5,"Slow", "Fast")</f>
        <v>Fast</v>
      </c>
      <c r="K1587" t="s">
        <v>2814</v>
      </c>
      <c r="L1587" s="3">
        <v>0</v>
      </c>
      <c r="M1587" t="str">
        <f>IF(Table1[[#This Row],[delayed]]=1,"Delayed","On Time")</f>
        <v>On Time</v>
      </c>
      <c r="N1587" t="str">
        <f>IF(AND(Table1[[#This Row],[delayed]]=1,Table1[[#This Row],[weather_condition]]="Storm"),"High Risk", IF(Table1[[#This Row],[delayed]]=1,"Medium Risk","Low Risk"))</f>
        <v>Low Risk</v>
      </c>
    </row>
    <row r="1588" spans="1:14" x14ac:dyDescent="0.35">
      <c r="A1588">
        <v>1587</v>
      </c>
      <c r="B1588" s="1">
        <v>44993.083333333336</v>
      </c>
      <c r="C1588" s="2">
        <v>6.8749999999999992E-2</v>
      </c>
      <c r="D1588" s="3">
        <v>1430</v>
      </c>
      <c r="E1588" s="3">
        <v>109</v>
      </c>
      <c r="F1588" s="2">
        <v>27.088194444444444</v>
      </c>
      <c r="G1588" t="s">
        <v>2819</v>
      </c>
      <c r="H1588" t="s">
        <v>2820</v>
      </c>
      <c r="I1588" s="2">
        <v>1.5013888888888889</v>
      </c>
      <c r="J1588" s="4" t="str">
        <f>IF(Table1[[#This Row],[processing_time_hours]]&gt;1.5,"Slow", "Fast")</f>
        <v>Slow</v>
      </c>
      <c r="K1588" t="s">
        <v>2818</v>
      </c>
      <c r="L1588" s="3">
        <v>1</v>
      </c>
      <c r="M1588" t="str">
        <f>IF(Table1[[#This Row],[delayed]]=1,"Delayed","On Time")</f>
        <v>Delayed</v>
      </c>
      <c r="N1588" t="str">
        <f>IF(AND(Table1[[#This Row],[delayed]]=1,Table1[[#This Row],[weather_condition]]="Storm"),"High Risk", IF(Table1[[#This Row],[delayed]]=1,"Medium Risk","Low Risk"))</f>
        <v>Medium Risk</v>
      </c>
    </row>
    <row r="1589" spans="1:14" x14ac:dyDescent="0.35">
      <c r="A1589">
        <v>1588</v>
      </c>
      <c r="B1589" s="1">
        <v>44993.125</v>
      </c>
      <c r="C1589" s="2">
        <v>4.4444444444444446E-2</v>
      </c>
      <c r="D1589" s="3">
        <v>4111</v>
      </c>
      <c r="E1589" s="3">
        <v>136</v>
      </c>
      <c r="F1589" s="2">
        <v>14.211805555555555</v>
      </c>
      <c r="G1589" t="s">
        <v>2819</v>
      </c>
      <c r="H1589" t="s">
        <v>2820</v>
      </c>
      <c r="I1589" s="2">
        <v>0.54166666666666663</v>
      </c>
      <c r="J1589" s="4" t="str">
        <f>IF(Table1[[#This Row],[processing_time_hours]]&gt;1.5,"Slow", "Fast")</f>
        <v>Fast</v>
      </c>
      <c r="K1589" t="s">
        <v>2821</v>
      </c>
      <c r="L1589" s="3">
        <v>1</v>
      </c>
      <c r="M1589" t="str">
        <f>IF(Table1[[#This Row],[delayed]]=1,"Delayed","On Time")</f>
        <v>Delayed</v>
      </c>
      <c r="N1589" t="str">
        <f>IF(AND(Table1[[#This Row],[delayed]]=1,Table1[[#This Row],[weather_condition]]="Storm"),"High Risk", IF(Table1[[#This Row],[delayed]]=1,"Medium Risk","Low Risk"))</f>
        <v>Medium Risk</v>
      </c>
    </row>
    <row r="1590" spans="1:14" x14ac:dyDescent="0.35">
      <c r="A1590">
        <v>1589</v>
      </c>
      <c r="B1590" s="1">
        <v>44993.166666666664</v>
      </c>
      <c r="C1590" s="2">
        <v>6.1805555555555558E-2</v>
      </c>
      <c r="D1590" s="3">
        <v>2239</v>
      </c>
      <c r="E1590" s="3">
        <v>408</v>
      </c>
      <c r="F1590" s="2">
        <v>0.79791666666666661</v>
      </c>
      <c r="G1590" t="s">
        <v>2815</v>
      </c>
      <c r="H1590" t="s">
        <v>2820</v>
      </c>
      <c r="I1590" s="2">
        <v>0.54375000000000007</v>
      </c>
      <c r="J1590" s="4" t="str">
        <f>IF(Table1[[#This Row],[processing_time_hours]]&gt;1.5,"Slow", "Fast")</f>
        <v>Fast</v>
      </c>
      <c r="K1590" t="s">
        <v>2814</v>
      </c>
      <c r="L1590" s="3">
        <v>1</v>
      </c>
      <c r="M1590" t="str">
        <f>IF(Table1[[#This Row],[delayed]]=1,"Delayed","On Time")</f>
        <v>Delayed</v>
      </c>
      <c r="N1590" t="str">
        <f>IF(AND(Table1[[#This Row],[delayed]]=1,Table1[[#This Row],[weather_condition]]="Storm"),"High Risk", IF(Table1[[#This Row],[delayed]]=1,"Medium Risk","Low Risk"))</f>
        <v>Medium Risk</v>
      </c>
    </row>
    <row r="1591" spans="1:14" x14ac:dyDescent="0.35">
      <c r="A1591">
        <v>1590</v>
      </c>
      <c r="B1591" s="1">
        <v>44993.208333333336</v>
      </c>
      <c r="C1591" s="2">
        <v>5.2777777777777778E-2</v>
      </c>
      <c r="D1591" s="3">
        <v>540</v>
      </c>
      <c r="E1591" s="3">
        <v>376</v>
      </c>
      <c r="F1591" s="2">
        <v>32.172222222222224</v>
      </c>
      <c r="G1591" t="s">
        <v>2815</v>
      </c>
      <c r="H1591" t="s">
        <v>2822</v>
      </c>
      <c r="I1591" s="2">
        <v>2.7520833333333332</v>
      </c>
      <c r="J1591" s="4" t="str">
        <f>IF(Table1[[#This Row],[processing_time_hours]]&gt;1.5,"Slow", "Fast")</f>
        <v>Slow</v>
      </c>
      <c r="K1591" t="s">
        <v>2818</v>
      </c>
      <c r="L1591" s="3">
        <v>0</v>
      </c>
      <c r="M1591" t="str">
        <f>IF(Table1[[#This Row],[delayed]]=1,"Delayed","On Time")</f>
        <v>On Time</v>
      </c>
      <c r="N1591" t="str">
        <f>IF(AND(Table1[[#This Row],[delayed]]=1,Table1[[#This Row],[weather_condition]]="Storm"),"High Risk", IF(Table1[[#This Row],[delayed]]=1,"Medium Risk","Low Risk"))</f>
        <v>Low Risk</v>
      </c>
    </row>
    <row r="1592" spans="1:14" x14ac:dyDescent="0.35">
      <c r="A1592">
        <v>1591</v>
      </c>
      <c r="B1592" s="1">
        <v>44993.25</v>
      </c>
      <c r="C1592" s="2">
        <v>4.5833333333333337E-2</v>
      </c>
      <c r="D1592" s="3">
        <v>378</v>
      </c>
      <c r="E1592" s="3">
        <v>271</v>
      </c>
      <c r="F1592" s="2">
        <v>10.920138888888888</v>
      </c>
      <c r="G1592" t="s">
        <v>2816</v>
      </c>
      <c r="H1592" t="s">
        <v>2822</v>
      </c>
      <c r="I1592" s="2">
        <v>0.21458333333333335</v>
      </c>
      <c r="J1592" s="4" t="str">
        <f>IF(Table1[[#This Row],[processing_time_hours]]&gt;1.5,"Slow", "Fast")</f>
        <v>Fast</v>
      </c>
      <c r="K1592" t="s">
        <v>2821</v>
      </c>
      <c r="L1592" s="3">
        <v>0</v>
      </c>
      <c r="M1592" t="str">
        <f>IF(Table1[[#This Row],[delayed]]=1,"Delayed","On Time")</f>
        <v>On Time</v>
      </c>
      <c r="N1592" t="str">
        <f>IF(AND(Table1[[#This Row],[delayed]]=1,Table1[[#This Row],[weather_condition]]="Storm"),"High Risk", IF(Table1[[#This Row],[delayed]]=1,"Medium Risk","Low Risk"))</f>
        <v>Low Risk</v>
      </c>
    </row>
    <row r="1593" spans="1:14" x14ac:dyDescent="0.35">
      <c r="A1593">
        <v>1592</v>
      </c>
      <c r="B1593" s="1">
        <v>44993.291666666664</v>
      </c>
      <c r="C1593" s="2">
        <v>4.7916666666666663E-2</v>
      </c>
      <c r="D1593" s="3">
        <v>2542</v>
      </c>
      <c r="E1593" s="3">
        <v>308</v>
      </c>
      <c r="F1593" s="2">
        <v>48.667361111111113</v>
      </c>
      <c r="G1593" t="s">
        <v>2816</v>
      </c>
      <c r="H1593" t="s">
        <v>2822</v>
      </c>
      <c r="I1593" s="2">
        <v>1.1256944444444443</v>
      </c>
      <c r="J1593" s="4" t="str">
        <f>IF(Table1[[#This Row],[processing_time_hours]]&gt;1.5,"Slow", "Fast")</f>
        <v>Fast</v>
      </c>
      <c r="K1593" t="s">
        <v>2814</v>
      </c>
      <c r="L1593" s="3">
        <v>0</v>
      </c>
      <c r="M1593" t="str">
        <f>IF(Table1[[#This Row],[delayed]]=1,"Delayed","On Time")</f>
        <v>On Time</v>
      </c>
      <c r="N1593" t="str">
        <f>IF(AND(Table1[[#This Row],[delayed]]=1,Table1[[#This Row],[weather_condition]]="Storm"),"High Risk", IF(Table1[[#This Row],[delayed]]=1,"Medium Risk","Low Risk"))</f>
        <v>Low Risk</v>
      </c>
    </row>
    <row r="1594" spans="1:14" x14ac:dyDescent="0.35">
      <c r="A1594">
        <v>1593</v>
      </c>
      <c r="B1594" s="1">
        <v>44993.333333333336</v>
      </c>
      <c r="C1594" s="2">
        <v>5.1388888888888894E-2</v>
      </c>
      <c r="D1594" s="3">
        <v>411</v>
      </c>
      <c r="E1594" s="3">
        <v>413</v>
      </c>
      <c r="F1594" s="2">
        <v>72.836111111111109</v>
      </c>
      <c r="G1594" t="s">
        <v>2816</v>
      </c>
      <c r="H1594" t="s">
        <v>2813</v>
      </c>
      <c r="I1594" s="2">
        <v>0.92222222222222217</v>
      </c>
      <c r="J1594" s="4" t="str">
        <f>IF(Table1[[#This Row],[processing_time_hours]]&gt;1.5,"Slow", "Fast")</f>
        <v>Fast</v>
      </c>
      <c r="K1594" t="s">
        <v>2814</v>
      </c>
      <c r="L1594" s="3">
        <v>1</v>
      </c>
      <c r="M1594" t="str">
        <f>IF(Table1[[#This Row],[delayed]]=1,"Delayed","On Time")</f>
        <v>Delayed</v>
      </c>
      <c r="N1594" t="str">
        <f>IF(AND(Table1[[#This Row],[delayed]]=1,Table1[[#This Row],[weather_condition]]="Storm"),"High Risk", IF(Table1[[#This Row],[delayed]]=1,"Medium Risk","Low Risk"))</f>
        <v>Medium Risk</v>
      </c>
    </row>
    <row r="1595" spans="1:14" x14ac:dyDescent="0.35">
      <c r="A1595">
        <v>1594</v>
      </c>
      <c r="B1595" s="1">
        <v>44993.375</v>
      </c>
      <c r="C1595" s="2">
        <v>4.2361111111111106E-2</v>
      </c>
      <c r="D1595" s="3">
        <v>4517</v>
      </c>
      <c r="E1595" s="3">
        <v>275</v>
      </c>
      <c r="F1595" s="2">
        <v>26.714583333333334</v>
      </c>
      <c r="G1595" t="s">
        <v>2815</v>
      </c>
      <c r="H1595" t="s">
        <v>2822</v>
      </c>
      <c r="I1595" s="2">
        <v>2.1687499999999997</v>
      </c>
      <c r="J1595" s="4" t="str">
        <f>IF(Table1[[#This Row],[processing_time_hours]]&gt;1.5,"Slow", "Fast")</f>
        <v>Slow</v>
      </c>
      <c r="K1595" t="s">
        <v>2814</v>
      </c>
      <c r="L1595" s="3">
        <v>0</v>
      </c>
      <c r="M1595" t="str">
        <f>IF(Table1[[#This Row],[delayed]]=1,"Delayed","On Time")</f>
        <v>On Time</v>
      </c>
      <c r="N1595" t="str">
        <f>IF(AND(Table1[[#This Row],[delayed]]=1,Table1[[#This Row],[weather_condition]]="Storm"),"High Risk", IF(Table1[[#This Row],[delayed]]=1,"Medium Risk","Low Risk"))</f>
        <v>Low Risk</v>
      </c>
    </row>
    <row r="1596" spans="1:14" x14ac:dyDescent="0.35">
      <c r="A1596">
        <v>1595</v>
      </c>
      <c r="B1596" s="1">
        <v>44993.416666666664</v>
      </c>
      <c r="C1596" s="2">
        <v>6.1111111111111109E-2</v>
      </c>
      <c r="D1596" s="3">
        <v>182</v>
      </c>
      <c r="E1596" s="3">
        <v>431</v>
      </c>
      <c r="F1596" s="2">
        <v>60.213888888888896</v>
      </c>
      <c r="G1596" t="s">
        <v>2812</v>
      </c>
      <c r="H1596" t="s">
        <v>2813</v>
      </c>
      <c r="I1596" s="2">
        <v>0.50208333333333333</v>
      </c>
      <c r="J1596" s="4" t="str">
        <f>IF(Table1[[#This Row],[processing_time_hours]]&gt;1.5,"Slow", "Fast")</f>
        <v>Fast</v>
      </c>
      <c r="K1596" t="s">
        <v>2814</v>
      </c>
      <c r="L1596" s="3">
        <v>0</v>
      </c>
      <c r="M1596" t="str">
        <f>IF(Table1[[#This Row],[delayed]]=1,"Delayed","On Time")</f>
        <v>On Time</v>
      </c>
      <c r="N1596" t="str">
        <f>IF(AND(Table1[[#This Row],[delayed]]=1,Table1[[#This Row],[weather_condition]]="Storm"),"High Risk", IF(Table1[[#This Row],[delayed]]=1,"Medium Risk","Low Risk"))</f>
        <v>Low Risk</v>
      </c>
    </row>
    <row r="1597" spans="1:14" x14ac:dyDescent="0.35">
      <c r="A1597">
        <v>1596</v>
      </c>
      <c r="B1597" s="1">
        <v>44993.458333333336</v>
      </c>
      <c r="C1597" s="2">
        <v>5.4166666666666669E-2</v>
      </c>
      <c r="D1597" s="3">
        <v>3870</v>
      </c>
      <c r="E1597" s="3">
        <v>237</v>
      </c>
      <c r="F1597" s="2">
        <v>43.87638888888889</v>
      </c>
      <c r="G1597" t="s">
        <v>2812</v>
      </c>
      <c r="H1597" t="s">
        <v>2817</v>
      </c>
      <c r="I1597" s="2">
        <v>0.17152777777777775</v>
      </c>
      <c r="J1597" s="4" t="str">
        <f>IF(Table1[[#This Row],[processing_time_hours]]&gt;1.5,"Slow", "Fast")</f>
        <v>Fast</v>
      </c>
      <c r="K1597" t="s">
        <v>2814</v>
      </c>
      <c r="L1597" s="3">
        <v>0</v>
      </c>
      <c r="M1597" t="str">
        <f>IF(Table1[[#This Row],[delayed]]=1,"Delayed","On Time")</f>
        <v>On Time</v>
      </c>
      <c r="N1597" t="str">
        <f>IF(AND(Table1[[#This Row],[delayed]]=1,Table1[[#This Row],[weather_condition]]="Storm"),"High Risk", IF(Table1[[#This Row],[delayed]]=1,"Medium Risk","Low Risk"))</f>
        <v>Low Risk</v>
      </c>
    </row>
    <row r="1598" spans="1:14" x14ac:dyDescent="0.35">
      <c r="A1598">
        <v>1597</v>
      </c>
      <c r="B1598" s="1">
        <v>44993.5</v>
      </c>
      <c r="C1598" s="2">
        <v>5.1388888888888894E-2</v>
      </c>
      <c r="D1598" s="3">
        <v>1496</v>
      </c>
      <c r="E1598" s="3">
        <v>101</v>
      </c>
      <c r="F1598" s="2">
        <v>18.795138888888889</v>
      </c>
      <c r="G1598" t="s">
        <v>2812</v>
      </c>
      <c r="H1598" t="s">
        <v>2820</v>
      </c>
      <c r="I1598" s="2">
        <v>1.0479166666666666</v>
      </c>
      <c r="J1598" s="4" t="str">
        <f>IF(Table1[[#This Row],[processing_time_hours]]&gt;1.5,"Slow", "Fast")</f>
        <v>Fast</v>
      </c>
      <c r="K1598" t="s">
        <v>2821</v>
      </c>
      <c r="L1598" s="3">
        <v>0</v>
      </c>
      <c r="M1598" t="str">
        <f>IF(Table1[[#This Row],[delayed]]=1,"Delayed","On Time")</f>
        <v>On Time</v>
      </c>
      <c r="N1598" t="str">
        <f>IF(AND(Table1[[#This Row],[delayed]]=1,Table1[[#This Row],[weather_condition]]="Storm"),"High Risk", IF(Table1[[#This Row],[delayed]]=1,"Medium Risk","Low Risk"))</f>
        <v>Low Risk</v>
      </c>
    </row>
    <row r="1599" spans="1:14" x14ac:dyDescent="0.35">
      <c r="A1599">
        <v>1598</v>
      </c>
      <c r="B1599" s="1">
        <v>44993.541666666664</v>
      </c>
      <c r="C1599" s="2">
        <v>6.5972222222222224E-2</v>
      </c>
      <c r="D1599" s="3">
        <v>1197</v>
      </c>
      <c r="E1599" s="3">
        <v>439</v>
      </c>
      <c r="F1599" s="2">
        <v>1.0875000000000001</v>
      </c>
      <c r="G1599" t="s">
        <v>2815</v>
      </c>
      <c r="H1599" t="s">
        <v>2813</v>
      </c>
      <c r="I1599" s="2">
        <v>1.1270833333333334</v>
      </c>
      <c r="J1599" s="4" t="str">
        <f>IF(Table1[[#This Row],[processing_time_hours]]&gt;1.5,"Slow", "Fast")</f>
        <v>Fast</v>
      </c>
      <c r="K1599" t="s">
        <v>2821</v>
      </c>
      <c r="L1599" s="3">
        <v>0</v>
      </c>
      <c r="M1599" t="str">
        <f>IF(Table1[[#This Row],[delayed]]=1,"Delayed","On Time")</f>
        <v>On Time</v>
      </c>
      <c r="N1599" t="str">
        <f>IF(AND(Table1[[#This Row],[delayed]]=1,Table1[[#This Row],[weather_condition]]="Storm"),"High Risk", IF(Table1[[#This Row],[delayed]]=1,"Medium Risk","Low Risk"))</f>
        <v>Low Risk</v>
      </c>
    </row>
    <row r="1600" spans="1:14" x14ac:dyDescent="0.35">
      <c r="A1600">
        <v>1599</v>
      </c>
      <c r="B1600" s="1">
        <v>44993.583333333336</v>
      </c>
      <c r="C1600" s="2">
        <v>6.8749999999999992E-2</v>
      </c>
      <c r="D1600" s="3">
        <v>2685</v>
      </c>
      <c r="E1600" s="3">
        <v>205</v>
      </c>
      <c r="F1600" s="2">
        <v>67.422222222222231</v>
      </c>
      <c r="G1600" t="s">
        <v>2815</v>
      </c>
      <c r="H1600" t="s">
        <v>2820</v>
      </c>
      <c r="I1600" s="2">
        <v>1.4215277777777777</v>
      </c>
      <c r="J1600" s="4" t="str">
        <f>IF(Table1[[#This Row],[processing_time_hours]]&gt;1.5,"Slow", "Fast")</f>
        <v>Fast</v>
      </c>
      <c r="K1600" t="s">
        <v>2821</v>
      </c>
      <c r="L1600" s="3">
        <v>0</v>
      </c>
      <c r="M1600" t="str">
        <f>IF(Table1[[#This Row],[delayed]]=1,"Delayed","On Time")</f>
        <v>On Time</v>
      </c>
      <c r="N1600" t="str">
        <f>IF(AND(Table1[[#This Row],[delayed]]=1,Table1[[#This Row],[weather_condition]]="Storm"),"High Risk", IF(Table1[[#This Row],[delayed]]=1,"Medium Risk","Low Risk"))</f>
        <v>Low Risk</v>
      </c>
    </row>
    <row r="1601" spans="1:14" x14ac:dyDescent="0.35">
      <c r="A1601">
        <v>1600</v>
      </c>
      <c r="B1601" s="1">
        <v>44993.625</v>
      </c>
      <c r="C1601" s="2">
        <v>5.4166666666666669E-2</v>
      </c>
      <c r="D1601" s="3">
        <v>3047</v>
      </c>
      <c r="E1601" s="3">
        <v>449</v>
      </c>
      <c r="F1601" s="2">
        <v>52.047222222222224</v>
      </c>
      <c r="G1601" t="s">
        <v>2812</v>
      </c>
      <c r="H1601" t="s">
        <v>2813</v>
      </c>
      <c r="I1601" s="2">
        <v>2.0006944444444446</v>
      </c>
      <c r="J1601" s="4" t="str">
        <f>IF(Table1[[#This Row],[processing_time_hours]]&gt;1.5,"Slow", "Fast")</f>
        <v>Slow</v>
      </c>
      <c r="K1601" t="s">
        <v>2818</v>
      </c>
      <c r="L1601" s="3">
        <v>0</v>
      </c>
      <c r="M1601" t="str">
        <f>IF(Table1[[#This Row],[delayed]]=1,"Delayed","On Time")</f>
        <v>On Time</v>
      </c>
      <c r="N1601" t="str">
        <f>IF(AND(Table1[[#This Row],[delayed]]=1,Table1[[#This Row],[weather_condition]]="Storm"),"High Risk", IF(Table1[[#This Row],[delayed]]=1,"Medium Risk","Low Risk"))</f>
        <v>Low Risk</v>
      </c>
    </row>
    <row r="1602" spans="1:14" x14ac:dyDescent="0.35">
      <c r="A1602">
        <v>1601</v>
      </c>
      <c r="B1602" s="1">
        <v>44993.666666666664</v>
      </c>
      <c r="C1602" s="2">
        <v>4.9999999999999996E-2</v>
      </c>
      <c r="D1602" s="3">
        <v>259</v>
      </c>
      <c r="E1602" s="3">
        <v>120</v>
      </c>
      <c r="F1602" s="2">
        <v>70.504861111111111</v>
      </c>
      <c r="G1602" t="s">
        <v>2812</v>
      </c>
      <c r="H1602" t="s">
        <v>2820</v>
      </c>
      <c r="I1602" s="2">
        <v>2.2118055555555558</v>
      </c>
      <c r="J1602" s="4" t="str">
        <f>IF(Table1[[#This Row],[processing_time_hours]]&gt;1.5,"Slow", "Fast")</f>
        <v>Slow</v>
      </c>
      <c r="K1602" t="s">
        <v>2814</v>
      </c>
      <c r="L1602" s="3">
        <v>1</v>
      </c>
      <c r="M1602" t="str">
        <f>IF(Table1[[#This Row],[delayed]]=1,"Delayed","On Time")</f>
        <v>Delayed</v>
      </c>
      <c r="N1602" t="str">
        <f>IF(AND(Table1[[#This Row],[delayed]]=1,Table1[[#This Row],[weather_condition]]="Storm"),"High Risk", IF(Table1[[#This Row],[delayed]]=1,"Medium Risk","Low Risk"))</f>
        <v>Medium Risk</v>
      </c>
    </row>
    <row r="1603" spans="1:14" x14ac:dyDescent="0.35">
      <c r="A1603">
        <v>1602</v>
      </c>
      <c r="B1603" s="1">
        <v>44993.708333333336</v>
      </c>
      <c r="C1603" s="2">
        <v>5.8333333333333327E-2</v>
      </c>
      <c r="D1603" s="3">
        <v>1203</v>
      </c>
      <c r="E1603" s="3">
        <v>304</v>
      </c>
      <c r="F1603" s="2">
        <v>5.2951388888888884</v>
      </c>
      <c r="G1603" t="s">
        <v>2815</v>
      </c>
      <c r="H1603" t="s">
        <v>2822</v>
      </c>
      <c r="I1603" s="2">
        <v>1.1263888888888889</v>
      </c>
      <c r="J1603" s="4" t="str">
        <f>IF(Table1[[#This Row],[processing_time_hours]]&gt;1.5,"Slow", "Fast")</f>
        <v>Fast</v>
      </c>
      <c r="K1603" t="s">
        <v>2818</v>
      </c>
      <c r="L1603" s="3">
        <v>0</v>
      </c>
      <c r="M1603" t="str">
        <f>IF(Table1[[#This Row],[delayed]]=1,"Delayed","On Time")</f>
        <v>On Time</v>
      </c>
      <c r="N1603" t="str">
        <f>IF(AND(Table1[[#This Row],[delayed]]=1,Table1[[#This Row],[weather_condition]]="Storm"),"High Risk", IF(Table1[[#This Row],[delayed]]=1,"Medium Risk","Low Risk"))</f>
        <v>Low Risk</v>
      </c>
    </row>
    <row r="1604" spans="1:14" x14ac:dyDescent="0.35">
      <c r="A1604">
        <v>1603</v>
      </c>
      <c r="B1604" s="1">
        <v>44993.75</v>
      </c>
      <c r="C1604" s="2">
        <v>5.2777777777777778E-2</v>
      </c>
      <c r="D1604" s="3">
        <v>1671</v>
      </c>
      <c r="E1604" s="3">
        <v>440</v>
      </c>
      <c r="F1604" s="2">
        <v>27.129166666666666</v>
      </c>
      <c r="G1604" t="s">
        <v>2819</v>
      </c>
      <c r="H1604" t="s">
        <v>2820</v>
      </c>
      <c r="I1604" s="2">
        <v>1.91875</v>
      </c>
      <c r="J1604" s="4" t="str">
        <f>IF(Table1[[#This Row],[processing_time_hours]]&gt;1.5,"Slow", "Fast")</f>
        <v>Slow</v>
      </c>
      <c r="K1604" t="s">
        <v>2821</v>
      </c>
      <c r="L1604" s="3">
        <v>0</v>
      </c>
      <c r="M1604" t="str">
        <f>IF(Table1[[#This Row],[delayed]]=1,"Delayed","On Time")</f>
        <v>On Time</v>
      </c>
      <c r="N1604" t="str">
        <f>IF(AND(Table1[[#This Row],[delayed]]=1,Table1[[#This Row],[weather_condition]]="Storm"),"High Risk", IF(Table1[[#This Row],[delayed]]=1,"Medium Risk","Low Risk"))</f>
        <v>Low Risk</v>
      </c>
    </row>
    <row r="1605" spans="1:14" x14ac:dyDescent="0.35">
      <c r="A1605">
        <v>1604</v>
      </c>
      <c r="B1605" s="1">
        <v>44993.791666666664</v>
      </c>
      <c r="C1605" s="2">
        <v>6.6666666666666666E-2</v>
      </c>
      <c r="D1605" s="3">
        <v>2547</v>
      </c>
      <c r="E1605" s="3">
        <v>258</v>
      </c>
      <c r="F1605" s="2">
        <v>20.500694444444445</v>
      </c>
      <c r="G1605" t="s">
        <v>2815</v>
      </c>
      <c r="H1605" t="s">
        <v>2822</v>
      </c>
      <c r="I1605" s="2">
        <v>1.4625000000000001</v>
      </c>
      <c r="J1605" s="4" t="str">
        <f>IF(Table1[[#This Row],[processing_time_hours]]&gt;1.5,"Slow", "Fast")</f>
        <v>Fast</v>
      </c>
      <c r="K1605" t="s">
        <v>2821</v>
      </c>
      <c r="L1605" s="3">
        <v>0</v>
      </c>
      <c r="M1605" t="str">
        <f>IF(Table1[[#This Row],[delayed]]=1,"Delayed","On Time")</f>
        <v>On Time</v>
      </c>
      <c r="N1605" t="str">
        <f>IF(AND(Table1[[#This Row],[delayed]]=1,Table1[[#This Row],[weather_condition]]="Storm"),"High Risk", IF(Table1[[#This Row],[delayed]]=1,"Medium Risk","Low Risk"))</f>
        <v>Low Risk</v>
      </c>
    </row>
    <row r="1606" spans="1:14" x14ac:dyDescent="0.35">
      <c r="A1606">
        <v>1605</v>
      </c>
      <c r="B1606" s="1">
        <v>44993.833333333336</v>
      </c>
      <c r="C1606" s="2">
        <v>4.9999999999999996E-2</v>
      </c>
      <c r="D1606" s="3">
        <v>848</v>
      </c>
      <c r="E1606" s="3">
        <v>392</v>
      </c>
      <c r="F1606" s="2">
        <v>6.2951388888888893</v>
      </c>
      <c r="G1606" t="s">
        <v>2815</v>
      </c>
      <c r="H1606" t="s">
        <v>2813</v>
      </c>
      <c r="I1606" s="2">
        <v>4.6527777777777779E-2</v>
      </c>
      <c r="J1606" s="4" t="str">
        <f>IF(Table1[[#This Row],[processing_time_hours]]&gt;1.5,"Slow", "Fast")</f>
        <v>Fast</v>
      </c>
      <c r="K1606" t="s">
        <v>2821</v>
      </c>
      <c r="L1606" s="3">
        <v>0</v>
      </c>
      <c r="M1606" t="str">
        <f>IF(Table1[[#This Row],[delayed]]=1,"Delayed","On Time")</f>
        <v>On Time</v>
      </c>
      <c r="N1606" t="str">
        <f>IF(AND(Table1[[#This Row],[delayed]]=1,Table1[[#This Row],[weather_condition]]="Storm"),"High Risk", IF(Table1[[#This Row],[delayed]]=1,"Medium Risk","Low Risk"))</f>
        <v>Low Risk</v>
      </c>
    </row>
    <row r="1607" spans="1:14" x14ac:dyDescent="0.35">
      <c r="A1607">
        <v>1606</v>
      </c>
      <c r="B1607" s="1">
        <v>44993.875</v>
      </c>
      <c r="C1607" s="2">
        <v>4.5138888888888888E-2</v>
      </c>
      <c r="D1607" s="3">
        <v>454</v>
      </c>
      <c r="E1607" s="3">
        <v>11</v>
      </c>
      <c r="F1607" s="2">
        <v>17.755555555555556</v>
      </c>
      <c r="G1607" t="s">
        <v>2816</v>
      </c>
      <c r="H1607" t="s">
        <v>2820</v>
      </c>
      <c r="I1607" s="2">
        <v>2.6291666666666669</v>
      </c>
      <c r="J1607" s="4" t="str">
        <f>IF(Table1[[#This Row],[processing_time_hours]]&gt;1.5,"Slow", "Fast")</f>
        <v>Slow</v>
      </c>
      <c r="K1607" t="s">
        <v>2821</v>
      </c>
      <c r="L1607" s="3">
        <v>0</v>
      </c>
      <c r="M1607" t="str">
        <f>IF(Table1[[#This Row],[delayed]]=1,"Delayed","On Time")</f>
        <v>On Time</v>
      </c>
      <c r="N1607" t="str">
        <f>IF(AND(Table1[[#This Row],[delayed]]=1,Table1[[#This Row],[weather_condition]]="Storm"),"High Risk", IF(Table1[[#This Row],[delayed]]=1,"Medium Risk","Low Risk"))</f>
        <v>Low Risk</v>
      </c>
    </row>
    <row r="1608" spans="1:14" x14ac:dyDescent="0.35">
      <c r="A1608">
        <v>1607</v>
      </c>
      <c r="B1608" s="1">
        <v>44993.916666666664</v>
      </c>
      <c r="C1608" s="2">
        <v>4.2361111111111106E-2</v>
      </c>
      <c r="D1608" s="3">
        <v>2584</v>
      </c>
      <c r="E1608" s="3">
        <v>145</v>
      </c>
      <c r="F1608" s="2">
        <v>33.461111111111116</v>
      </c>
      <c r="G1608" t="s">
        <v>2819</v>
      </c>
      <c r="H1608" t="s">
        <v>2813</v>
      </c>
      <c r="I1608" s="2">
        <v>1.7131944444444445</v>
      </c>
      <c r="J1608" s="4" t="str">
        <f>IF(Table1[[#This Row],[processing_time_hours]]&gt;1.5,"Slow", "Fast")</f>
        <v>Slow</v>
      </c>
      <c r="K1608" t="s">
        <v>2821</v>
      </c>
      <c r="L1608" s="3">
        <v>0</v>
      </c>
      <c r="M1608" t="str">
        <f>IF(Table1[[#This Row],[delayed]]=1,"Delayed","On Time")</f>
        <v>On Time</v>
      </c>
      <c r="N1608" t="str">
        <f>IF(AND(Table1[[#This Row],[delayed]]=1,Table1[[#This Row],[weather_condition]]="Storm"),"High Risk", IF(Table1[[#This Row],[delayed]]=1,"Medium Risk","Low Risk"))</f>
        <v>Low Risk</v>
      </c>
    </row>
    <row r="1609" spans="1:14" x14ac:dyDescent="0.35">
      <c r="A1609">
        <v>1608</v>
      </c>
      <c r="B1609" s="1">
        <v>44993.958333333336</v>
      </c>
      <c r="C1609" s="2">
        <v>4.6527777777777779E-2</v>
      </c>
      <c r="D1609" s="3">
        <v>2280</v>
      </c>
      <c r="E1609" s="3">
        <v>322</v>
      </c>
      <c r="F1609" s="2">
        <v>31.714583333333334</v>
      </c>
      <c r="G1609" t="s">
        <v>2816</v>
      </c>
      <c r="H1609" t="s">
        <v>2822</v>
      </c>
      <c r="I1609" s="2">
        <v>1.3333333333333333</v>
      </c>
      <c r="J1609" s="4" t="str">
        <f>IF(Table1[[#This Row],[processing_time_hours]]&gt;1.5,"Slow", "Fast")</f>
        <v>Fast</v>
      </c>
      <c r="K1609" t="s">
        <v>2814</v>
      </c>
      <c r="L1609" s="3">
        <v>0</v>
      </c>
      <c r="M1609" t="str">
        <f>IF(Table1[[#This Row],[delayed]]=1,"Delayed","On Time")</f>
        <v>On Time</v>
      </c>
      <c r="N1609" t="str">
        <f>IF(AND(Table1[[#This Row],[delayed]]=1,Table1[[#This Row],[weather_condition]]="Storm"),"High Risk", IF(Table1[[#This Row],[delayed]]=1,"Medium Risk","Low Risk"))</f>
        <v>Low Risk</v>
      </c>
    </row>
    <row r="1610" spans="1:14" x14ac:dyDescent="0.35">
      <c r="A1610">
        <v>1609</v>
      </c>
      <c r="B1610" s="1">
        <v>44994</v>
      </c>
      <c r="C1610" s="2">
        <v>4.4444444444444446E-2</v>
      </c>
      <c r="D1610" s="3">
        <v>303</v>
      </c>
      <c r="E1610" s="3">
        <v>22</v>
      </c>
      <c r="F1610" s="2">
        <v>48.585416666666667</v>
      </c>
      <c r="G1610" t="s">
        <v>2816</v>
      </c>
      <c r="H1610" t="s">
        <v>2822</v>
      </c>
      <c r="I1610" s="2">
        <v>1.3361111111111112</v>
      </c>
      <c r="J1610" s="4" t="str">
        <f>IF(Table1[[#This Row],[processing_time_hours]]&gt;1.5,"Slow", "Fast")</f>
        <v>Fast</v>
      </c>
      <c r="K1610" t="s">
        <v>2821</v>
      </c>
      <c r="L1610" s="3">
        <v>1</v>
      </c>
      <c r="M1610" t="str">
        <f>IF(Table1[[#This Row],[delayed]]=1,"Delayed","On Time")</f>
        <v>Delayed</v>
      </c>
      <c r="N1610" t="str">
        <f>IF(AND(Table1[[#This Row],[delayed]]=1,Table1[[#This Row],[weather_condition]]="Storm"),"High Risk", IF(Table1[[#This Row],[delayed]]=1,"Medium Risk","Low Risk"))</f>
        <v>Medium Risk</v>
      </c>
    </row>
    <row r="1611" spans="1:14" x14ac:dyDescent="0.35">
      <c r="A1611">
        <v>1610</v>
      </c>
      <c r="B1611" s="1">
        <v>44994.041666666664</v>
      </c>
      <c r="C1611" s="2">
        <v>6.6666666666666666E-2</v>
      </c>
      <c r="D1611" s="3">
        <v>1821</v>
      </c>
      <c r="E1611" s="3">
        <v>377</v>
      </c>
      <c r="F1611" s="2">
        <v>4.7104166666666663</v>
      </c>
      <c r="G1611" t="s">
        <v>2812</v>
      </c>
      <c r="H1611" t="s">
        <v>2813</v>
      </c>
      <c r="I1611" s="2">
        <v>1.3798611111111112</v>
      </c>
      <c r="J1611" s="4" t="str">
        <f>IF(Table1[[#This Row],[processing_time_hours]]&gt;1.5,"Slow", "Fast")</f>
        <v>Fast</v>
      </c>
      <c r="K1611" t="s">
        <v>2821</v>
      </c>
      <c r="L1611" s="3">
        <v>1</v>
      </c>
      <c r="M1611" t="str">
        <f>IF(Table1[[#This Row],[delayed]]=1,"Delayed","On Time")</f>
        <v>Delayed</v>
      </c>
      <c r="N1611" t="str">
        <f>IF(AND(Table1[[#This Row],[delayed]]=1,Table1[[#This Row],[weather_condition]]="Storm"),"High Risk", IF(Table1[[#This Row],[delayed]]=1,"Medium Risk","Low Risk"))</f>
        <v>Medium Risk</v>
      </c>
    </row>
    <row r="1612" spans="1:14" x14ac:dyDescent="0.35">
      <c r="A1612">
        <v>1611</v>
      </c>
      <c r="B1612" s="1">
        <v>44994.083333333336</v>
      </c>
      <c r="C1612" s="2">
        <v>6.0416666666666667E-2</v>
      </c>
      <c r="D1612" s="3">
        <v>2987</v>
      </c>
      <c r="E1612" s="3">
        <v>439</v>
      </c>
      <c r="F1612" s="2">
        <v>39.541666666666664</v>
      </c>
      <c r="G1612" t="s">
        <v>2819</v>
      </c>
      <c r="H1612" t="s">
        <v>2822</v>
      </c>
      <c r="I1612" s="2">
        <v>1.6722222222222223</v>
      </c>
      <c r="J1612" s="4" t="str">
        <f>IF(Table1[[#This Row],[processing_time_hours]]&gt;1.5,"Slow", "Fast")</f>
        <v>Slow</v>
      </c>
      <c r="K1612" t="s">
        <v>2821</v>
      </c>
      <c r="L1612" s="3">
        <v>1</v>
      </c>
      <c r="M1612" t="str">
        <f>IF(Table1[[#This Row],[delayed]]=1,"Delayed","On Time")</f>
        <v>Delayed</v>
      </c>
      <c r="N1612" t="str">
        <f>IF(AND(Table1[[#This Row],[delayed]]=1,Table1[[#This Row],[weather_condition]]="Storm"),"High Risk", IF(Table1[[#This Row],[delayed]]=1,"Medium Risk","Low Risk"))</f>
        <v>Medium Risk</v>
      </c>
    </row>
    <row r="1613" spans="1:14" x14ac:dyDescent="0.35">
      <c r="A1613">
        <v>1612</v>
      </c>
      <c r="B1613" s="1">
        <v>44994.125</v>
      </c>
      <c r="C1613" s="2">
        <v>5.7638888888888885E-2</v>
      </c>
      <c r="D1613" s="3">
        <v>1499</v>
      </c>
      <c r="E1613" s="3">
        <v>442</v>
      </c>
      <c r="F1613" s="2">
        <v>12.922916666666666</v>
      </c>
      <c r="G1613" t="s">
        <v>2816</v>
      </c>
      <c r="H1613" t="s">
        <v>2820</v>
      </c>
      <c r="I1613" s="2">
        <v>0.79375000000000007</v>
      </c>
      <c r="J1613" s="4" t="str">
        <f>IF(Table1[[#This Row],[processing_time_hours]]&gt;1.5,"Slow", "Fast")</f>
        <v>Fast</v>
      </c>
      <c r="K1613" t="s">
        <v>2814</v>
      </c>
      <c r="L1613" s="3">
        <v>0</v>
      </c>
      <c r="M1613" t="str">
        <f>IF(Table1[[#This Row],[delayed]]=1,"Delayed","On Time")</f>
        <v>On Time</v>
      </c>
      <c r="N1613" t="str">
        <f>IF(AND(Table1[[#This Row],[delayed]]=1,Table1[[#This Row],[weather_condition]]="Storm"),"High Risk", IF(Table1[[#This Row],[delayed]]=1,"Medium Risk","Low Risk"))</f>
        <v>Low Risk</v>
      </c>
    </row>
    <row r="1614" spans="1:14" x14ac:dyDescent="0.35">
      <c r="A1614">
        <v>1613</v>
      </c>
      <c r="B1614" s="1">
        <v>44994.166666666664</v>
      </c>
      <c r="C1614" s="2">
        <v>6.805555555555555E-2</v>
      </c>
      <c r="D1614" s="3">
        <v>4320</v>
      </c>
      <c r="E1614" s="3">
        <v>457</v>
      </c>
      <c r="F1614" s="2">
        <v>38.50416666666667</v>
      </c>
      <c r="G1614" t="s">
        <v>2815</v>
      </c>
      <c r="H1614" t="s">
        <v>2820</v>
      </c>
      <c r="I1614" s="2">
        <v>1.8798611111111112</v>
      </c>
      <c r="J1614" s="4" t="str">
        <f>IF(Table1[[#This Row],[processing_time_hours]]&gt;1.5,"Slow", "Fast")</f>
        <v>Slow</v>
      </c>
      <c r="K1614" t="s">
        <v>2814</v>
      </c>
      <c r="L1614" s="3">
        <v>0</v>
      </c>
      <c r="M1614" t="str">
        <f>IF(Table1[[#This Row],[delayed]]=1,"Delayed","On Time")</f>
        <v>On Time</v>
      </c>
      <c r="N1614" t="str">
        <f>IF(AND(Table1[[#This Row],[delayed]]=1,Table1[[#This Row],[weather_condition]]="Storm"),"High Risk", IF(Table1[[#This Row],[delayed]]=1,"Medium Risk","Low Risk"))</f>
        <v>Low Risk</v>
      </c>
    </row>
    <row r="1615" spans="1:14" x14ac:dyDescent="0.35">
      <c r="A1615">
        <v>1614</v>
      </c>
      <c r="B1615" s="1">
        <v>44994.208333333336</v>
      </c>
      <c r="C1615" s="2">
        <v>5.9027777777777783E-2</v>
      </c>
      <c r="D1615" s="3">
        <v>1443</v>
      </c>
      <c r="E1615" s="3">
        <v>219</v>
      </c>
      <c r="F1615" s="2">
        <v>13.127083333333333</v>
      </c>
      <c r="G1615" t="s">
        <v>2819</v>
      </c>
      <c r="H1615" t="s">
        <v>2820</v>
      </c>
      <c r="I1615" s="2">
        <v>2.2506944444444446</v>
      </c>
      <c r="J1615" s="4" t="str">
        <f>IF(Table1[[#This Row],[processing_time_hours]]&gt;1.5,"Slow", "Fast")</f>
        <v>Slow</v>
      </c>
      <c r="K1615" t="s">
        <v>2818</v>
      </c>
      <c r="L1615" s="3">
        <v>0</v>
      </c>
      <c r="M1615" t="str">
        <f>IF(Table1[[#This Row],[delayed]]=1,"Delayed","On Time")</f>
        <v>On Time</v>
      </c>
      <c r="N1615" t="str">
        <f>IF(AND(Table1[[#This Row],[delayed]]=1,Table1[[#This Row],[weather_condition]]="Storm"),"High Risk", IF(Table1[[#This Row],[delayed]]=1,"Medium Risk","Low Risk"))</f>
        <v>Low Risk</v>
      </c>
    </row>
    <row r="1616" spans="1:14" x14ac:dyDescent="0.35">
      <c r="A1616">
        <v>1615</v>
      </c>
      <c r="B1616" s="1">
        <v>44994.25</v>
      </c>
      <c r="C1616" s="2">
        <v>6.1111111111111109E-2</v>
      </c>
      <c r="D1616" s="3">
        <v>1088</v>
      </c>
      <c r="E1616" s="3">
        <v>134</v>
      </c>
      <c r="F1616" s="2">
        <v>21.546527777777779</v>
      </c>
      <c r="G1616" t="s">
        <v>2812</v>
      </c>
      <c r="H1616" t="s">
        <v>2820</v>
      </c>
      <c r="I1616" s="2">
        <v>1</v>
      </c>
      <c r="J1616" s="4" t="str">
        <f>IF(Table1[[#This Row],[processing_time_hours]]&gt;1.5,"Slow", "Fast")</f>
        <v>Fast</v>
      </c>
      <c r="K1616" t="s">
        <v>2814</v>
      </c>
      <c r="L1616" s="3">
        <v>1</v>
      </c>
      <c r="M1616" t="str">
        <f>IF(Table1[[#This Row],[delayed]]=1,"Delayed","On Time")</f>
        <v>Delayed</v>
      </c>
      <c r="N1616" t="str">
        <f>IF(AND(Table1[[#This Row],[delayed]]=1,Table1[[#This Row],[weather_condition]]="Storm"),"High Risk", IF(Table1[[#This Row],[delayed]]=1,"Medium Risk","Low Risk"))</f>
        <v>Medium Risk</v>
      </c>
    </row>
    <row r="1617" spans="1:14" x14ac:dyDescent="0.35">
      <c r="A1617">
        <v>1616</v>
      </c>
      <c r="B1617" s="1">
        <v>44994.291666666664</v>
      </c>
      <c r="C1617" s="2">
        <v>4.5833333333333337E-2</v>
      </c>
      <c r="D1617" s="3">
        <v>1503</v>
      </c>
      <c r="E1617" s="3">
        <v>424</v>
      </c>
      <c r="F1617" s="2">
        <v>1.16875</v>
      </c>
      <c r="G1617" t="s">
        <v>2815</v>
      </c>
      <c r="H1617" t="s">
        <v>2822</v>
      </c>
      <c r="I1617" s="2">
        <v>0.79166666666666663</v>
      </c>
      <c r="J1617" s="4" t="str">
        <f>IF(Table1[[#This Row],[processing_time_hours]]&gt;1.5,"Slow", "Fast")</f>
        <v>Fast</v>
      </c>
      <c r="K1617" t="s">
        <v>2818</v>
      </c>
      <c r="L1617" s="3">
        <v>0</v>
      </c>
      <c r="M1617" t="str">
        <f>IF(Table1[[#This Row],[delayed]]=1,"Delayed","On Time")</f>
        <v>On Time</v>
      </c>
      <c r="N1617" t="str">
        <f>IF(AND(Table1[[#This Row],[delayed]]=1,Table1[[#This Row],[weather_condition]]="Storm"),"High Risk", IF(Table1[[#This Row],[delayed]]=1,"Medium Risk","Low Risk"))</f>
        <v>Low Risk</v>
      </c>
    </row>
    <row r="1618" spans="1:14" x14ac:dyDescent="0.35">
      <c r="A1618">
        <v>1617</v>
      </c>
      <c r="B1618" s="1">
        <v>44994.333333333336</v>
      </c>
      <c r="C1618" s="2">
        <v>4.9999999999999996E-2</v>
      </c>
      <c r="D1618" s="3">
        <v>659</v>
      </c>
      <c r="E1618" s="3">
        <v>493</v>
      </c>
      <c r="F1618" s="2">
        <v>55.83680555555555</v>
      </c>
      <c r="G1618" t="s">
        <v>2812</v>
      </c>
      <c r="H1618" t="s">
        <v>2820</v>
      </c>
      <c r="I1618" s="2">
        <v>1.7972222222222223</v>
      </c>
      <c r="J1618" s="4" t="str">
        <f>IF(Table1[[#This Row],[processing_time_hours]]&gt;1.5,"Slow", "Fast")</f>
        <v>Slow</v>
      </c>
      <c r="K1618" t="s">
        <v>2821</v>
      </c>
      <c r="L1618" s="3">
        <v>0</v>
      </c>
      <c r="M1618" t="str">
        <f>IF(Table1[[#This Row],[delayed]]=1,"Delayed","On Time")</f>
        <v>On Time</v>
      </c>
      <c r="N1618" t="str">
        <f>IF(AND(Table1[[#This Row],[delayed]]=1,Table1[[#This Row],[weather_condition]]="Storm"),"High Risk", IF(Table1[[#This Row],[delayed]]=1,"Medium Risk","Low Risk"))</f>
        <v>Low Risk</v>
      </c>
    </row>
    <row r="1619" spans="1:14" x14ac:dyDescent="0.35">
      <c r="A1619">
        <v>1618</v>
      </c>
      <c r="B1619" s="1">
        <v>44994.375</v>
      </c>
      <c r="C1619" s="2">
        <v>5.9027777777777783E-2</v>
      </c>
      <c r="D1619" s="3">
        <v>4776</v>
      </c>
      <c r="E1619" s="3">
        <v>78</v>
      </c>
      <c r="F1619" s="2">
        <v>24.046527777777779</v>
      </c>
      <c r="G1619" t="s">
        <v>2815</v>
      </c>
      <c r="H1619" t="s">
        <v>2820</v>
      </c>
      <c r="I1619" s="2">
        <v>2.5437499999999997</v>
      </c>
      <c r="J1619" s="4" t="str">
        <f>IF(Table1[[#This Row],[processing_time_hours]]&gt;1.5,"Slow", "Fast")</f>
        <v>Slow</v>
      </c>
      <c r="K1619" t="s">
        <v>2818</v>
      </c>
      <c r="L1619" s="3">
        <v>0</v>
      </c>
      <c r="M1619" t="str">
        <f>IF(Table1[[#This Row],[delayed]]=1,"Delayed","On Time")</f>
        <v>On Time</v>
      </c>
      <c r="N1619" t="str">
        <f>IF(AND(Table1[[#This Row],[delayed]]=1,Table1[[#This Row],[weather_condition]]="Storm"),"High Risk", IF(Table1[[#This Row],[delayed]]=1,"Medium Risk","Low Risk"))</f>
        <v>Low Risk</v>
      </c>
    </row>
    <row r="1620" spans="1:14" x14ac:dyDescent="0.35">
      <c r="A1620">
        <v>1619</v>
      </c>
      <c r="B1620" s="1">
        <v>44994.416666666664</v>
      </c>
      <c r="C1620" s="2">
        <v>6.458333333333334E-2</v>
      </c>
      <c r="D1620" s="3">
        <v>4273</v>
      </c>
      <c r="E1620" s="3">
        <v>186</v>
      </c>
      <c r="F1620" s="2">
        <v>3.4645833333333336</v>
      </c>
      <c r="G1620" t="s">
        <v>2816</v>
      </c>
      <c r="H1620" t="s">
        <v>2822</v>
      </c>
      <c r="I1620" s="2">
        <v>1.0840277777777778</v>
      </c>
      <c r="J1620" s="4" t="str">
        <f>IF(Table1[[#This Row],[processing_time_hours]]&gt;1.5,"Slow", "Fast")</f>
        <v>Fast</v>
      </c>
      <c r="K1620" t="s">
        <v>2821</v>
      </c>
      <c r="L1620" s="3">
        <v>0</v>
      </c>
      <c r="M1620" t="str">
        <f>IF(Table1[[#This Row],[delayed]]=1,"Delayed","On Time")</f>
        <v>On Time</v>
      </c>
      <c r="N1620" t="str">
        <f>IF(AND(Table1[[#This Row],[delayed]]=1,Table1[[#This Row],[weather_condition]]="Storm"),"High Risk", IF(Table1[[#This Row],[delayed]]=1,"Medium Risk","Low Risk"))</f>
        <v>Low Risk</v>
      </c>
    </row>
    <row r="1621" spans="1:14" x14ac:dyDescent="0.35">
      <c r="A1621">
        <v>1620</v>
      </c>
      <c r="B1621" s="1">
        <v>44994.458333333336</v>
      </c>
      <c r="C1621" s="2">
        <v>4.9305555555555554E-2</v>
      </c>
      <c r="D1621" s="3">
        <v>440</v>
      </c>
      <c r="E1621" s="3">
        <v>179</v>
      </c>
      <c r="F1621" s="2">
        <v>31.75277777777778</v>
      </c>
      <c r="G1621" t="s">
        <v>2819</v>
      </c>
      <c r="H1621" t="s">
        <v>2813</v>
      </c>
      <c r="I1621" s="2">
        <v>2.9208333333333329</v>
      </c>
      <c r="J1621" s="4" t="str">
        <f>IF(Table1[[#This Row],[processing_time_hours]]&gt;1.5,"Slow", "Fast")</f>
        <v>Slow</v>
      </c>
      <c r="K1621" t="s">
        <v>2818</v>
      </c>
      <c r="L1621" s="3">
        <v>0</v>
      </c>
      <c r="M1621" t="str">
        <f>IF(Table1[[#This Row],[delayed]]=1,"Delayed","On Time")</f>
        <v>On Time</v>
      </c>
      <c r="N1621" t="str">
        <f>IF(AND(Table1[[#This Row],[delayed]]=1,Table1[[#This Row],[weather_condition]]="Storm"),"High Risk", IF(Table1[[#This Row],[delayed]]=1,"Medium Risk","Low Risk"))</f>
        <v>Low Risk</v>
      </c>
    </row>
    <row r="1622" spans="1:14" x14ac:dyDescent="0.35">
      <c r="A1622">
        <v>1621</v>
      </c>
      <c r="B1622" s="1">
        <v>44994.5</v>
      </c>
      <c r="C1622" s="2">
        <v>5.4166666666666669E-2</v>
      </c>
      <c r="D1622" s="3">
        <v>1683</v>
      </c>
      <c r="E1622" s="3">
        <v>410</v>
      </c>
      <c r="F1622" s="2">
        <v>33.630555555555553</v>
      </c>
      <c r="G1622" t="s">
        <v>2812</v>
      </c>
      <c r="H1622" t="s">
        <v>2822</v>
      </c>
      <c r="I1622" s="2">
        <v>1.7145833333333333</v>
      </c>
      <c r="J1622" s="4" t="str">
        <f>IF(Table1[[#This Row],[processing_time_hours]]&gt;1.5,"Slow", "Fast")</f>
        <v>Slow</v>
      </c>
      <c r="K1622" t="s">
        <v>2818</v>
      </c>
      <c r="L1622" s="3">
        <v>0</v>
      </c>
      <c r="M1622" t="str">
        <f>IF(Table1[[#This Row],[delayed]]=1,"Delayed","On Time")</f>
        <v>On Time</v>
      </c>
      <c r="N1622" t="str">
        <f>IF(AND(Table1[[#This Row],[delayed]]=1,Table1[[#This Row],[weather_condition]]="Storm"),"High Risk", IF(Table1[[#This Row],[delayed]]=1,"Medium Risk","Low Risk"))</f>
        <v>Low Risk</v>
      </c>
    </row>
    <row r="1623" spans="1:14" x14ac:dyDescent="0.35">
      <c r="A1623">
        <v>1622</v>
      </c>
      <c r="B1623" s="1">
        <v>44994.541666666664</v>
      </c>
      <c r="C1623" s="2">
        <v>4.9305555555555554E-2</v>
      </c>
      <c r="D1623" s="3">
        <v>392</v>
      </c>
      <c r="E1623" s="3">
        <v>420</v>
      </c>
      <c r="F1623" s="2">
        <v>77.959027777777777</v>
      </c>
      <c r="G1623" t="s">
        <v>2819</v>
      </c>
      <c r="H1623" t="s">
        <v>2817</v>
      </c>
      <c r="I1623" s="2">
        <v>0.83958333333333324</v>
      </c>
      <c r="J1623" s="4" t="str">
        <f>IF(Table1[[#This Row],[processing_time_hours]]&gt;1.5,"Slow", "Fast")</f>
        <v>Fast</v>
      </c>
      <c r="K1623" t="s">
        <v>2814</v>
      </c>
      <c r="L1623" s="3">
        <v>1</v>
      </c>
      <c r="M1623" t="str">
        <f>IF(Table1[[#This Row],[delayed]]=1,"Delayed","On Time")</f>
        <v>Delayed</v>
      </c>
      <c r="N1623" t="str">
        <f>IF(AND(Table1[[#This Row],[delayed]]=1,Table1[[#This Row],[weather_condition]]="Storm"),"High Risk", IF(Table1[[#This Row],[delayed]]=1,"Medium Risk","Low Risk"))</f>
        <v>High Risk</v>
      </c>
    </row>
    <row r="1624" spans="1:14" x14ac:dyDescent="0.35">
      <c r="A1624">
        <v>1623</v>
      </c>
      <c r="B1624" s="1">
        <v>44994.583333333336</v>
      </c>
      <c r="C1624" s="2">
        <v>4.9999999999999996E-2</v>
      </c>
      <c r="D1624" s="3">
        <v>3527</v>
      </c>
      <c r="E1624" s="3">
        <v>389</v>
      </c>
      <c r="F1624" s="2">
        <v>48.291666666666664</v>
      </c>
      <c r="G1624" t="s">
        <v>2816</v>
      </c>
      <c r="H1624" t="s">
        <v>2820</v>
      </c>
      <c r="I1624" s="2">
        <v>0.96319444444444446</v>
      </c>
      <c r="J1624" s="4" t="str">
        <f>IF(Table1[[#This Row],[processing_time_hours]]&gt;1.5,"Slow", "Fast")</f>
        <v>Fast</v>
      </c>
      <c r="K1624" t="s">
        <v>2814</v>
      </c>
      <c r="L1624" s="3">
        <v>0</v>
      </c>
      <c r="M1624" t="str">
        <f>IF(Table1[[#This Row],[delayed]]=1,"Delayed","On Time")</f>
        <v>On Time</v>
      </c>
      <c r="N1624" t="str">
        <f>IF(AND(Table1[[#This Row],[delayed]]=1,Table1[[#This Row],[weather_condition]]="Storm"),"High Risk", IF(Table1[[#This Row],[delayed]]=1,"Medium Risk","Low Risk"))</f>
        <v>Low Risk</v>
      </c>
    </row>
    <row r="1625" spans="1:14" x14ac:dyDescent="0.35">
      <c r="A1625">
        <v>1624</v>
      </c>
      <c r="B1625" s="1">
        <v>44994.625</v>
      </c>
      <c r="C1625" s="2">
        <v>5.7638888888888885E-2</v>
      </c>
      <c r="D1625" s="3">
        <v>2095</v>
      </c>
      <c r="E1625" s="3">
        <v>254</v>
      </c>
      <c r="F1625" s="2">
        <v>6.2527777777777773</v>
      </c>
      <c r="G1625" t="s">
        <v>2819</v>
      </c>
      <c r="H1625" t="s">
        <v>2813</v>
      </c>
      <c r="I1625" s="2">
        <v>1.5416666666666667</v>
      </c>
      <c r="J1625" s="4" t="str">
        <f>IF(Table1[[#This Row],[processing_time_hours]]&gt;1.5,"Slow", "Fast")</f>
        <v>Slow</v>
      </c>
      <c r="K1625" t="s">
        <v>2814</v>
      </c>
      <c r="L1625" s="3">
        <v>0</v>
      </c>
      <c r="M1625" t="str">
        <f>IF(Table1[[#This Row],[delayed]]=1,"Delayed","On Time")</f>
        <v>On Time</v>
      </c>
      <c r="N1625" t="str">
        <f>IF(AND(Table1[[#This Row],[delayed]]=1,Table1[[#This Row],[weather_condition]]="Storm"),"High Risk", IF(Table1[[#This Row],[delayed]]=1,"Medium Risk","Low Risk"))</f>
        <v>Low Risk</v>
      </c>
    </row>
    <row r="1626" spans="1:14" x14ac:dyDescent="0.35">
      <c r="A1626">
        <v>1625</v>
      </c>
      <c r="B1626" s="1">
        <v>44994.666666666664</v>
      </c>
      <c r="C1626" s="2">
        <v>6.7361111111111108E-2</v>
      </c>
      <c r="D1626" s="3">
        <v>1673</v>
      </c>
      <c r="E1626" s="3">
        <v>72</v>
      </c>
      <c r="F1626" s="2">
        <v>0.29305555555555557</v>
      </c>
      <c r="G1626" t="s">
        <v>2819</v>
      </c>
      <c r="H1626" t="s">
        <v>2813</v>
      </c>
      <c r="I1626" s="2">
        <v>1.2125000000000001</v>
      </c>
      <c r="J1626" s="4" t="str">
        <f>IF(Table1[[#This Row],[processing_time_hours]]&gt;1.5,"Slow", "Fast")</f>
        <v>Fast</v>
      </c>
      <c r="K1626" t="s">
        <v>2814</v>
      </c>
      <c r="L1626" s="3">
        <v>0</v>
      </c>
      <c r="M1626" t="str">
        <f>IF(Table1[[#This Row],[delayed]]=1,"Delayed","On Time")</f>
        <v>On Time</v>
      </c>
      <c r="N1626" t="str">
        <f>IF(AND(Table1[[#This Row],[delayed]]=1,Table1[[#This Row],[weather_condition]]="Storm"),"High Risk", IF(Table1[[#This Row],[delayed]]=1,"Medium Risk","Low Risk"))</f>
        <v>Low Risk</v>
      </c>
    </row>
    <row r="1627" spans="1:14" x14ac:dyDescent="0.35">
      <c r="A1627">
        <v>1626</v>
      </c>
      <c r="B1627" s="1">
        <v>44994.708333333336</v>
      </c>
      <c r="C1627" s="2">
        <v>6.8749999999999992E-2</v>
      </c>
      <c r="D1627" s="3">
        <v>3267</v>
      </c>
      <c r="E1627" s="3">
        <v>101</v>
      </c>
      <c r="F1627" s="2">
        <v>59.418055555555554</v>
      </c>
      <c r="G1627" t="s">
        <v>2815</v>
      </c>
      <c r="H1627" t="s">
        <v>2817</v>
      </c>
      <c r="I1627" s="2">
        <v>1.6715277777777777</v>
      </c>
      <c r="J1627" s="4" t="str">
        <f>IF(Table1[[#This Row],[processing_time_hours]]&gt;1.5,"Slow", "Fast")</f>
        <v>Slow</v>
      </c>
      <c r="K1627" t="s">
        <v>2821</v>
      </c>
      <c r="L1627" s="3">
        <v>0</v>
      </c>
      <c r="M1627" t="str">
        <f>IF(Table1[[#This Row],[delayed]]=1,"Delayed","On Time")</f>
        <v>On Time</v>
      </c>
      <c r="N1627" t="str">
        <f>IF(AND(Table1[[#This Row],[delayed]]=1,Table1[[#This Row],[weather_condition]]="Storm"),"High Risk", IF(Table1[[#This Row],[delayed]]=1,"Medium Risk","Low Risk"))</f>
        <v>Low Risk</v>
      </c>
    </row>
    <row r="1628" spans="1:14" x14ac:dyDescent="0.35">
      <c r="A1628">
        <v>1627</v>
      </c>
      <c r="B1628" s="1">
        <v>44994.75</v>
      </c>
      <c r="C1628" s="2">
        <v>5.7638888888888885E-2</v>
      </c>
      <c r="D1628" s="3">
        <v>1531</v>
      </c>
      <c r="E1628" s="3">
        <v>290</v>
      </c>
      <c r="F1628" s="2">
        <v>36.963194444444447</v>
      </c>
      <c r="G1628" t="s">
        <v>2816</v>
      </c>
      <c r="H1628" t="s">
        <v>2822</v>
      </c>
      <c r="I1628" s="2">
        <v>0.125</v>
      </c>
      <c r="J1628" s="4" t="str">
        <f>IF(Table1[[#This Row],[processing_time_hours]]&gt;1.5,"Slow", "Fast")</f>
        <v>Fast</v>
      </c>
      <c r="K1628" t="s">
        <v>2814</v>
      </c>
      <c r="L1628" s="3">
        <v>1</v>
      </c>
      <c r="M1628" t="str">
        <f>IF(Table1[[#This Row],[delayed]]=1,"Delayed","On Time")</f>
        <v>Delayed</v>
      </c>
      <c r="N1628" t="str">
        <f>IF(AND(Table1[[#This Row],[delayed]]=1,Table1[[#This Row],[weather_condition]]="Storm"),"High Risk", IF(Table1[[#This Row],[delayed]]=1,"Medium Risk","Low Risk"))</f>
        <v>Medium Risk</v>
      </c>
    </row>
    <row r="1629" spans="1:14" x14ac:dyDescent="0.35">
      <c r="A1629">
        <v>1628</v>
      </c>
      <c r="B1629" s="1">
        <v>44994.791666666664</v>
      </c>
      <c r="C1629" s="2">
        <v>4.2361111111111106E-2</v>
      </c>
      <c r="D1629" s="3">
        <v>4532</v>
      </c>
      <c r="E1629" s="3">
        <v>255</v>
      </c>
      <c r="F1629" s="2">
        <v>81.918750000000003</v>
      </c>
      <c r="G1629" t="s">
        <v>2812</v>
      </c>
      <c r="H1629" t="s">
        <v>2817</v>
      </c>
      <c r="I1629" s="2">
        <v>2.6277777777777778</v>
      </c>
      <c r="J1629" s="4" t="str">
        <f>IF(Table1[[#This Row],[processing_time_hours]]&gt;1.5,"Slow", "Fast")</f>
        <v>Slow</v>
      </c>
      <c r="K1629" t="s">
        <v>2814</v>
      </c>
      <c r="L1629" s="3">
        <v>0</v>
      </c>
      <c r="M1629" t="str">
        <f>IF(Table1[[#This Row],[delayed]]=1,"Delayed","On Time")</f>
        <v>On Time</v>
      </c>
      <c r="N1629" t="str">
        <f>IF(AND(Table1[[#This Row],[delayed]]=1,Table1[[#This Row],[weather_condition]]="Storm"),"High Risk", IF(Table1[[#This Row],[delayed]]=1,"Medium Risk","Low Risk"))</f>
        <v>Low Risk</v>
      </c>
    </row>
    <row r="1630" spans="1:14" x14ac:dyDescent="0.35">
      <c r="A1630">
        <v>1629</v>
      </c>
      <c r="B1630" s="1">
        <v>44994.833333333336</v>
      </c>
      <c r="C1630" s="2">
        <v>4.9305555555555554E-2</v>
      </c>
      <c r="D1630" s="3">
        <v>1578</v>
      </c>
      <c r="E1630" s="3">
        <v>140</v>
      </c>
      <c r="F1630" s="2">
        <v>67.084027777777777</v>
      </c>
      <c r="G1630" t="s">
        <v>2812</v>
      </c>
      <c r="H1630" t="s">
        <v>2817</v>
      </c>
      <c r="I1630" s="2">
        <v>2.4611111111111112</v>
      </c>
      <c r="J1630" s="4" t="str">
        <f>IF(Table1[[#This Row],[processing_time_hours]]&gt;1.5,"Slow", "Fast")</f>
        <v>Slow</v>
      </c>
      <c r="K1630" t="s">
        <v>2814</v>
      </c>
      <c r="L1630" s="3">
        <v>1</v>
      </c>
      <c r="M1630" t="str">
        <f>IF(Table1[[#This Row],[delayed]]=1,"Delayed","On Time")</f>
        <v>Delayed</v>
      </c>
      <c r="N1630" t="str">
        <f>IF(AND(Table1[[#This Row],[delayed]]=1,Table1[[#This Row],[weather_condition]]="Storm"),"High Risk", IF(Table1[[#This Row],[delayed]]=1,"Medium Risk","Low Risk"))</f>
        <v>High Risk</v>
      </c>
    </row>
    <row r="1631" spans="1:14" x14ac:dyDescent="0.35">
      <c r="A1631">
        <v>1630</v>
      </c>
      <c r="B1631" s="1">
        <v>44994.875</v>
      </c>
      <c r="C1631" s="2">
        <v>5.9722222222222225E-2</v>
      </c>
      <c r="D1631" s="3">
        <v>2459</v>
      </c>
      <c r="E1631" s="3">
        <v>495</v>
      </c>
      <c r="F1631" s="2">
        <v>21.047222222222221</v>
      </c>
      <c r="G1631" t="s">
        <v>2812</v>
      </c>
      <c r="H1631" t="s">
        <v>2822</v>
      </c>
      <c r="I1631" s="2">
        <v>1.8340277777777778</v>
      </c>
      <c r="J1631" s="4" t="str">
        <f>IF(Table1[[#This Row],[processing_time_hours]]&gt;1.5,"Slow", "Fast")</f>
        <v>Slow</v>
      </c>
      <c r="K1631" t="s">
        <v>2818</v>
      </c>
      <c r="L1631" s="3">
        <v>0</v>
      </c>
      <c r="M1631" t="str">
        <f>IF(Table1[[#This Row],[delayed]]=1,"Delayed","On Time")</f>
        <v>On Time</v>
      </c>
      <c r="N1631" t="str">
        <f>IF(AND(Table1[[#This Row],[delayed]]=1,Table1[[#This Row],[weather_condition]]="Storm"),"High Risk", IF(Table1[[#This Row],[delayed]]=1,"Medium Risk","Low Risk"))</f>
        <v>Low Risk</v>
      </c>
    </row>
    <row r="1632" spans="1:14" x14ac:dyDescent="0.35">
      <c r="A1632">
        <v>1631</v>
      </c>
      <c r="B1632" s="1">
        <v>44994.916666666664</v>
      </c>
      <c r="C1632" s="2">
        <v>6.7361111111111108E-2</v>
      </c>
      <c r="D1632" s="3">
        <v>2903</v>
      </c>
      <c r="E1632" s="3">
        <v>246</v>
      </c>
      <c r="F1632" s="2">
        <v>61.712499999999999</v>
      </c>
      <c r="G1632" t="s">
        <v>2812</v>
      </c>
      <c r="H1632" t="s">
        <v>2820</v>
      </c>
      <c r="I1632" s="2">
        <v>1.0423611111111111</v>
      </c>
      <c r="J1632" s="4" t="str">
        <f>IF(Table1[[#This Row],[processing_time_hours]]&gt;1.5,"Slow", "Fast")</f>
        <v>Fast</v>
      </c>
      <c r="K1632" t="s">
        <v>2818</v>
      </c>
      <c r="L1632" s="3">
        <v>1</v>
      </c>
      <c r="M1632" t="str">
        <f>IF(Table1[[#This Row],[delayed]]=1,"Delayed","On Time")</f>
        <v>Delayed</v>
      </c>
      <c r="N1632" t="str">
        <f>IF(AND(Table1[[#This Row],[delayed]]=1,Table1[[#This Row],[weather_condition]]="Storm"),"High Risk", IF(Table1[[#This Row],[delayed]]=1,"Medium Risk","Low Risk"))</f>
        <v>Medium Risk</v>
      </c>
    </row>
    <row r="1633" spans="1:14" x14ac:dyDescent="0.35">
      <c r="A1633">
        <v>1632</v>
      </c>
      <c r="B1633" s="1">
        <v>44994.958333333336</v>
      </c>
      <c r="C1633" s="2">
        <v>4.5833333333333337E-2</v>
      </c>
      <c r="D1633" s="3">
        <v>1419</v>
      </c>
      <c r="E1633" s="3">
        <v>479</v>
      </c>
      <c r="F1633" s="2">
        <v>51.333333333333336</v>
      </c>
      <c r="G1633" t="s">
        <v>2819</v>
      </c>
      <c r="H1633" t="s">
        <v>2820</v>
      </c>
      <c r="I1633" s="2">
        <v>2.9208333333333329</v>
      </c>
      <c r="J1633" s="4" t="str">
        <f>IF(Table1[[#This Row],[processing_time_hours]]&gt;1.5,"Slow", "Fast")</f>
        <v>Slow</v>
      </c>
      <c r="K1633" t="s">
        <v>2821</v>
      </c>
      <c r="L1633" s="3">
        <v>1</v>
      </c>
      <c r="M1633" t="str">
        <f>IF(Table1[[#This Row],[delayed]]=1,"Delayed","On Time")</f>
        <v>Delayed</v>
      </c>
      <c r="N1633" t="str">
        <f>IF(AND(Table1[[#This Row],[delayed]]=1,Table1[[#This Row],[weather_condition]]="Storm"),"High Risk", IF(Table1[[#This Row],[delayed]]=1,"Medium Risk","Low Risk"))</f>
        <v>Medium Risk</v>
      </c>
    </row>
    <row r="1634" spans="1:14" x14ac:dyDescent="0.35">
      <c r="A1634">
        <v>1633</v>
      </c>
      <c r="B1634" s="1">
        <v>44995</v>
      </c>
      <c r="C1634" s="2">
        <v>6.458333333333334E-2</v>
      </c>
      <c r="D1634" s="3">
        <v>2657</v>
      </c>
      <c r="E1634" s="3">
        <v>104</v>
      </c>
      <c r="F1634" s="2">
        <v>52.586111111111109</v>
      </c>
      <c r="G1634" t="s">
        <v>2812</v>
      </c>
      <c r="H1634" t="s">
        <v>2822</v>
      </c>
      <c r="I1634" s="2">
        <v>2.5895833333333331</v>
      </c>
      <c r="J1634" s="4" t="str">
        <f>IF(Table1[[#This Row],[processing_time_hours]]&gt;1.5,"Slow", "Fast")</f>
        <v>Slow</v>
      </c>
      <c r="K1634" t="s">
        <v>2818</v>
      </c>
      <c r="L1634" s="3">
        <v>1</v>
      </c>
      <c r="M1634" t="str">
        <f>IF(Table1[[#This Row],[delayed]]=1,"Delayed","On Time")</f>
        <v>Delayed</v>
      </c>
      <c r="N1634" t="str">
        <f>IF(AND(Table1[[#This Row],[delayed]]=1,Table1[[#This Row],[weather_condition]]="Storm"),"High Risk", IF(Table1[[#This Row],[delayed]]=1,"Medium Risk","Low Risk"))</f>
        <v>Medium Risk</v>
      </c>
    </row>
    <row r="1635" spans="1:14" x14ac:dyDescent="0.35">
      <c r="A1635">
        <v>1634</v>
      </c>
      <c r="B1635" s="1">
        <v>44995.041666666664</v>
      </c>
      <c r="C1635" s="2">
        <v>6.5972222222222224E-2</v>
      </c>
      <c r="D1635" s="3">
        <v>1572</v>
      </c>
      <c r="E1635" s="3">
        <v>274</v>
      </c>
      <c r="F1635" s="2">
        <v>70.334027777777777</v>
      </c>
      <c r="G1635" t="s">
        <v>2816</v>
      </c>
      <c r="H1635" t="s">
        <v>2822</v>
      </c>
      <c r="I1635" s="2">
        <v>1.9208333333333334</v>
      </c>
      <c r="J1635" s="4" t="str">
        <f>IF(Table1[[#This Row],[processing_time_hours]]&gt;1.5,"Slow", "Fast")</f>
        <v>Slow</v>
      </c>
      <c r="K1635" t="s">
        <v>2814</v>
      </c>
      <c r="L1635" s="3">
        <v>0</v>
      </c>
      <c r="M1635" t="str">
        <f>IF(Table1[[#This Row],[delayed]]=1,"Delayed","On Time")</f>
        <v>On Time</v>
      </c>
      <c r="N1635" t="str">
        <f>IF(AND(Table1[[#This Row],[delayed]]=1,Table1[[#This Row],[weather_condition]]="Storm"),"High Risk", IF(Table1[[#This Row],[delayed]]=1,"Medium Risk","Low Risk"))</f>
        <v>Low Risk</v>
      </c>
    </row>
    <row r="1636" spans="1:14" x14ac:dyDescent="0.35">
      <c r="A1636">
        <v>1635</v>
      </c>
      <c r="B1636" s="1">
        <v>44995.083333333336</v>
      </c>
      <c r="C1636" s="2">
        <v>4.4444444444444446E-2</v>
      </c>
      <c r="D1636" s="3">
        <v>2754</v>
      </c>
      <c r="E1636" s="3">
        <v>9</v>
      </c>
      <c r="F1636" s="2">
        <v>37.797916666666666</v>
      </c>
      <c r="G1636" t="s">
        <v>2819</v>
      </c>
      <c r="H1636" t="s">
        <v>2822</v>
      </c>
      <c r="I1636" s="2">
        <v>1.4638888888888888</v>
      </c>
      <c r="J1636" s="4" t="str">
        <f>IF(Table1[[#This Row],[processing_time_hours]]&gt;1.5,"Slow", "Fast")</f>
        <v>Fast</v>
      </c>
      <c r="K1636" t="s">
        <v>2814</v>
      </c>
      <c r="L1636" s="3">
        <v>0</v>
      </c>
      <c r="M1636" t="str">
        <f>IF(Table1[[#This Row],[delayed]]=1,"Delayed","On Time")</f>
        <v>On Time</v>
      </c>
      <c r="N1636" t="str">
        <f>IF(AND(Table1[[#This Row],[delayed]]=1,Table1[[#This Row],[weather_condition]]="Storm"),"High Risk", IF(Table1[[#This Row],[delayed]]=1,"Medium Risk","Low Risk"))</f>
        <v>Low Risk</v>
      </c>
    </row>
    <row r="1637" spans="1:14" x14ac:dyDescent="0.35">
      <c r="A1637">
        <v>1636</v>
      </c>
      <c r="B1637" s="1">
        <v>44995.125</v>
      </c>
      <c r="C1637" s="2">
        <v>6.6666666666666666E-2</v>
      </c>
      <c r="D1637" s="3">
        <v>2875</v>
      </c>
      <c r="E1637" s="3">
        <v>362</v>
      </c>
      <c r="F1637" s="2">
        <v>1.5423611111111111</v>
      </c>
      <c r="G1637" t="s">
        <v>2816</v>
      </c>
      <c r="H1637" t="s">
        <v>2813</v>
      </c>
      <c r="I1637" s="2">
        <v>0.92222222222222217</v>
      </c>
      <c r="J1637" s="4" t="str">
        <f>IF(Table1[[#This Row],[processing_time_hours]]&gt;1.5,"Slow", "Fast")</f>
        <v>Fast</v>
      </c>
      <c r="K1637" t="s">
        <v>2821</v>
      </c>
      <c r="L1637" s="3">
        <v>1</v>
      </c>
      <c r="M1637" t="str">
        <f>IF(Table1[[#This Row],[delayed]]=1,"Delayed","On Time")</f>
        <v>Delayed</v>
      </c>
      <c r="N1637" t="str">
        <f>IF(AND(Table1[[#This Row],[delayed]]=1,Table1[[#This Row],[weather_condition]]="Storm"),"High Risk", IF(Table1[[#This Row],[delayed]]=1,"Medium Risk","Low Risk"))</f>
        <v>Medium Risk</v>
      </c>
    </row>
    <row r="1638" spans="1:14" x14ac:dyDescent="0.35">
      <c r="A1638">
        <v>1637</v>
      </c>
      <c r="B1638" s="1">
        <v>44995.166666666664</v>
      </c>
      <c r="C1638" s="2">
        <v>5.8333333333333327E-2</v>
      </c>
      <c r="D1638" s="3">
        <v>2616</v>
      </c>
      <c r="E1638" s="3">
        <v>82</v>
      </c>
      <c r="F1638" s="2">
        <v>44.002777777777773</v>
      </c>
      <c r="G1638" t="s">
        <v>2816</v>
      </c>
      <c r="H1638" t="s">
        <v>2820</v>
      </c>
      <c r="I1638" s="2">
        <v>0.54236111111111118</v>
      </c>
      <c r="J1638" s="4" t="str">
        <f>IF(Table1[[#This Row],[processing_time_hours]]&gt;1.5,"Slow", "Fast")</f>
        <v>Fast</v>
      </c>
      <c r="K1638" t="s">
        <v>2814</v>
      </c>
      <c r="L1638" s="3">
        <v>0</v>
      </c>
      <c r="M1638" t="str">
        <f>IF(Table1[[#This Row],[delayed]]=1,"Delayed","On Time")</f>
        <v>On Time</v>
      </c>
      <c r="N1638" t="str">
        <f>IF(AND(Table1[[#This Row],[delayed]]=1,Table1[[#This Row],[weather_condition]]="Storm"),"High Risk", IF(Table1[[#This Row],[delayed]]=1,"Medium Risk","Low Risk"))</f>
        <v>Low Risk</v>
      </c>
    </row>
    <row r="1639" spans="1:14" x14ac:dyDescent="0.35">
      <c r="A1639">
        <v>1638</v>
      </c>
      <c r="B1639" s="1">
        <v>44995.208333333336</v>
      </c>
      <c r="C1639" s="2">
        <v>6.5277777777777782E-2</v>
      </c>
      <c r="D1639" s="3">
        <v>2807</v>
      </c>
      <c r="E1639" s="3">
        <v>142</v>
      </c>
      <c r="F1639" s="2">
        <v>54.797222222222224</v>
      </c>
      <c r="G1639" t="s">
        <v>2819</v>
      </c>
      <c r="H1639" t="s">
        <v>2817</v>
      </c>
      <c r="I1639" s="2">
        <v>0.83819444444444446</v>
      </c>
      <c r="J1639" s="4" t="str">
        <f>IF(Table1[[#This Row],[processing_time_hours]]&gt;1.5,"Slow", "Fast")</f>
        <v>Fast</v>
      </c>
      <c r="K1639" t="s">
        <v>2818</v>
      </c>
      <c r="L1639" s="3">
        <v>0</v>
      </c>
      <c r="M1639" t="str">
        <f>IF(Table1[[#This Row],[delayed]]=1,"Delayed","On Time")</f>
        <v>On Time</v>
      </c>
      <c r="N1639" t="str">
        <f>IF(AND(Table1[[#This Row],[delayed]]=1,Table1[[#This Row],[weather_condition]]="Storm"),"High Risk", IF(Table1[[#This Row],[delayed]]=1,"Medium Risk","Low Risk"))</f>
        <v>Low Risk</v>
      </c>
    </row>
    <row r="1640" spans="1:14" x14ac:dyDescent="0.35">
      <c r="A1640">
        <v>1639</v>
      </c>
      <c r="B1640" s="1">
        <v>44995.25</v>
      </c>
      <c r="C1640" s="2">
        <v>6.0416666666666667E-2</v>
      </c>
      <c r="D1640" s="3">
        <v>3989</v>
      </c>
      <c r="E1640" s="3">
        <v>384</v>
      </c>
      <c r="F1640" s="2">
        <v>6.1277777777777773</v>
      </c>
      <c r="G1640" t="s">
        <v>2816</v>
      </c>
      <c r="H1640" t="s">
        <v>2813</v>
      </c>
      <c r="I1640" s="2">
        <v>8.8888888888888892E-2</v>
      </c>
      <c r="J1640" s="4" t="str">
        <f>IF(Table1[[#This Row],[processing_time_hours]]&gt;1.5,"Slow", "Fast")</f>
        <v>Fast</v>
      </c>
      <c r="K1640" t="s">
        <v>2818</v>
      </c>
      <c r="L1640" s="3">
        <v>1</v>
      </c>
      <c r="M1640" t="str">
        <f>IF(Table1[[#This Row],[delayed]]=1,"Delayed","On Time")</f>
        <v>Delayed</v>
      </c>
      <c r="N1640" t="str">
        <f>IF(AND(Table1[[#This Row],[delayed]]=1,Table1[[#This Row],[weather_condition]]="Storm"),"High Risk", IF(Table1[[#This Row],[delayed]]=1,"Medium Risk","Low Risk"))</f>
        <v>Medium Risk</v>
      </c>
    </row>
    <row r="1641" spans="1:14" x14ac:dyDescent="0.35">
      <c r="A1641">
        <v>1640</v>
      </c>
      <c r="B1641" s="1">
        <v>44995.291666666664</v>
      </c>
      <c r="C1641" s="2">
        <v>6.0416666666666667E-2</v>
      </c>
      <c r="D1641" s="3">
        <v>1971</v>
      </c>
      <c r="E1641" s="3">
        <v>142</v>
      </c>
      <c r="F1641" s="2">
        <v>11.668750000000001</v>
      </c>
      <c r="G1641" t="s">
        <v>2816</v>
      </c>
      <c r="H1641" t="s">
        <v>2820</v>
      </c>
      <c r="I1641" s="2">
        <v>2.8354166666666667</v>
      </c>
      <c r="J1641" s="4" t="str">
        <f>IF(Table1[[#This Row],[processing_time_hours]]&gt;1.5,"Slow", "Fast")</f>
        <v>Slow</v>
      </c>
      <c r="K1641" t="s">
        <v>2818</v>
      </c>
      <c r="L1641" s="3">
        <v>1</v>
      </c>
      <c r="M1641" t="str">
        <f>IF(Table1[[#This Row],[delayed]]=1,"Delayed","On Time")</f>
        <v>Delayed</v>
      </c>
      <c r="N1641" t="str">
        <f>IF(AND(Table1[[#This Row],[delayed]]=1,Table1[[#This Row],[weather_condition]]="Storm"),"High Risk", IF(Table1[[#This Row],[delayed]]=1,"Medium Risk","Low Risk"))</f>
        <v>Medium Risk</v>
      </c>
    </row>
    <row r="1642" spans="1:14" x14ac:dyDescent="0.35">
      <c r="A1642">
        <v>1641</v>
      </c>
      <c r="B1642" s="1">
        <v>44995.333333333336</v>
      </c>
      <c r="C1642" s="2">
        <v>6.5972222222222224E-2</v>
      </c>
      <c r="D1642" s="3">
        <v>2289</v>
      </c>
      <c r="E1642" s="3">
        <v>453</v>
      </c>
      <c r="F1642" s="2">
        <v>75.713888888888889</v>
      </c>
      <c r="G1642" t="s">
        <v>2819</v>
      </c>
      <c r="H1642" t="s">
        <v>2822</v>
      </c>
      <c r="I1642" s="2">
        <v>2.2527777777777778</v>
      </c>
      <c r="J1642" s="4" t="str">
        <f>IF(Table1[[#This Row],[processing_time_hours]]&gt;1.5,"Slow", "Fast")</f>
        <v>Slow</v>
      </c>
      <c r="K1642" t="s">
        <v>2821</v>
      </c>
      <c r="L1642" s="3">
        <v>0</v>
      </c>
      <c r="M1642" t="str">
        <f>IF(Table1[[#This Row],[delayed]]=1,"Delayed","On Time")</f>
        <v>On Time</v>
      </c>
      <c r="N1642" t="str">
        <f>IF(AND(Table1[[#This Row],[delayed]]=1,Table1[[#This Row],[weather_condition]]="Storm"),"High Risk", IF(Table1[[#This Row],[delayed]]=1,"Medium Risk","Low Risk"))</f>
        <v>Low Risk</v>
      </c>
    </row>
    <row r="1643" spans="1:14" x14ac:dyDescent="0.35">
      <c r="A1643">
        <v>1642</v>
      </c>
      <c r="B1643" s="1">
        <v>44995.375</v>
      </c>
      <c r="C1643" s="2">
        <v>6.3194444444444442E-2</v>
      </c>
      <c r="D1643" s="3">
        <v>3074</v>
      </c>
      <c r="E1643" s="3">
        <v>173</v>
      </c>
      <c r="F1643" s="2">
        <v>74.75277777777778</v>
      </c>
      <c r="G1643" t="s">
        <v>2812</v>
      </c>
      <c r="H1643" t="s">
        <v>2822</v>
      </c>
      <c r="I1643" s="2">
        <v>1.0430555555555556</v>
      </c>
      <c r="J1643" s="4" t="str">
        <f>IF(Table1[[#This Row],[processing_time_hours]]&gt;1.5,"Slow", "Fast")</f>
        <v>Fast</v>
      </c>
      <c r="K1643" t="s">
        <v>2821</v>
      </c>
      <c r="L1643" s="3">
        <v>0</v>
      </c>
      <c r="M1643" t="str">
        <f>IF(Table1[[#This Row],[delayed]]=1,"Delayed","On Time")</f>
        <v>On Time</v>
      </c>
      <c r="N1643" t="str">
        <f>IF(AND(Table1[[#This Row],[delayed]]=1,Table1[[#This Row],[weather_condition]]="Storm"),"High Risk", IF(Table1[[#This Row],[delayed]]=1,"Medium Risk","Low Risk"))</f>
        <v>Low Risk</v>
      </c>
    </row>
    <row r="1644" spans="1:14" x14ac:dyDescent="0.35">
      <c r="A1644">
        <v>1643</v>
      </c>
      <c r="B1644" s="1">
        <v>44995.416666666664</v>
      </c>
      <c r="C1644" s="2">
        <v>5.2777777777777778E-2</v>
      </c>
      <c r="D1644" s="3">
        <v>1333</v>
      </c>
      <c r="E1644" s="3">
        <v>488</v>
      </c>
      <c r="F1644" s="2">
        <v>14.2125</v>
      </c>
      <c r="G1644" t="s">
        <v>2819</v>
      </c>
      <c r="H1644" t="s">
        <v>2822</v>
      </c>
      <c r="I1644" s="2">
        <v>1.2534722222222221</v>
      </c>
      <c r="J1644" s="4" t="str">
        <f>IF(Table1[[#This Row],[processing_time_hours]]&gt;1.5,"Slow", "Fast")</f>
        <v>Fast</v>
      </c>
      <c r="K1644" t="s">
        <v>2814</v>
      </c>
      <c r="L1644" s="3">
        <v>0</v>
      </c>
      <c r="M1644" t="str">
        <f>IF(Table1[[#This Row],[delayed]]=1,"Delayed","On Time")</f>
        <v>On Time</v>
      </c>
      <c r="N1644" t="str">
        <f>IF(AND(Table1[[#This Row],[delayed]]=1,Table1[[#This Row],[weather_condition]]="Storm"),"High Risk", IF(Table1[[#This Row],[delayed]]=1,"Medium Risk","Low Risk"))</f>
        <v>Low Risk</v>
      </c>
    </row>
    <row r="1645" spans="1:14" x14ac:dyDescent="0.35">
      <c r="A1645">
        <v>1644</v>
      </c>
      <c r="B1645" s="1">
        <v>44995.458333333336</v>
      </c>
      <c r="C1645" s="2">
        <v>5.2083333333333336E-2</v>
      </c>
      <c r="D1645" s="3">
        <v>4680</v>
      </c>
      <c r="E1645" s="3">
        <v>35</v>
      </c>
      <c r="F1645" s="2">
        <v>69.879861111111111</v>
      </c>
      <c r="G1645" t="s">
        <v>2812</v>
      </c>
      <c r="H1645" t="s">
        <v>2822</v>
      </c>
      <c r="I1645" s="2">
        <v>2.4618055555555558</v>
      </c>
      <c r="J1645" s="4" t="str">
        <f>IF(Table1[[#This Row],[processing_time_hours]]&gt;1.5,"Slow", "Fast")</f>
        <v>Slow</v>
      </c>
      <c r="K1645" t="s">
        <v>2818</v>
      </c>
      <c r="L1645" s="3">
        <v>0</v>
      </c>
      <c r="M1645" t="str">
        <f>IF(Table1[[#This Row],[delayed]]=1,"Delayed","On Time")</f>
        <v>On Time</v>
      </c>
      <c r="N1645" t="str">
        <f>IF(AND(Table1[[#This Row],[delayed]]=1,Table1[[#This Row],[weather_condition]]="Storm"),"High Risk", IF(Table1[[#This Row],[delayed]]=1,"Medium Risk","Low Risk"))</f>
        <v>Low Risk</v>
      </c>
    </row>
    <row r="1646" spans="1:14" x14ac:dyDescent="0.35">
      <c r="A1646">
        <v>1645</v>
      </c>
      <c r="B1646" s="1">
        <v>44995.5</v>
      </c>
      <c r="C1646" s="2">
        <v>6.8749999999999992E-2</v>
      </c>
      <c r="D1646" s="3">
        <v>1577</v>
      </c>
      <c r="E1646" s="3">
        <v>7</v>
      </c>
      <c r="F1646" s="2">
        <v>75.171527777777769</v>
      </c>
      <c r="G1646" t="s">
        <v>2816</v>
      </c>
      <c r="H1646" t="s">
        <v>2820</v>
      </c>
      <c r="I1646" s="2">
        <v>0.50486111111111109</v>
      </c>
      <c r="J1646" s="4" t="str">
        <f>IF(Table1[[#This Row],[processing_time_hours]]&gt;1.5,"Slow", "Fast")</f>
        <v>Fast</v>
      </c>
      <c r="K1646" t="s">
        <v>2818</v>
      </c>
      <c r="L1646" s="3">
        <v>0</v>
      </c>
      <c r="M1646" t="str">
        <f>IF(Table1[[#This Row],[delayed]]=1,"Delayed","On Time")</f>
        <v>On Time</v>
      </c>
      <c r="N1646" t="str">
        <f>IF(AND(Table1[[#This Row],[delayed]]=1,Table1[[#This Row],[weather_condition]]="Storm"),"High Risk", IF(Table1[[#This Row],[delayed]]=1,"Medium Risk","Low Risk"))</f>
        <v>Low Risk</v>
      </c>
    </row>
    <row r="1647" spans="1:14" x14ac:dyDescent="0.35">
      <c r="A1647">
        <v>1646</v>
      </c>
      <c r="B1647" s="1">
        <v>44995.541666666664</v>
      </c>
      <c r="C1647" s="2">
        <v>4.9305555555555554E-2</v>
      </c>
      <c r="D1647" s="3">
        <v>1817</v>
      </c>
      <c r="E1647" s="3">
        <v>293</v>
      </c>
      <c r="F1647" s="2">
        <v>10.46111111111111</v>
      </c>
      <c r="G1647" t="s">
        <v>2819</v>
      </c>
      <c r="H1647" t="s">
        <v>2817</v>
      </c>
      <c r="I1647" s="2">
        <v>1.6312499999999999</v>
      </c>
      <c r="J1647" s="4" t="str">
        <f>IF(Table1[[#This Row],[processing_time_hours]]&gt;1.5,"Slow", "Fast")</f>
        <v>Slow</v>
      </c>
      <c r="K1647" t="s">
        <v>2814</v>
      </c>
      <c r="L1647" s="3">
        <v>1</v>
      </c>
      <c r="M1647" t="str">
        <f>IF(Table1[[#This Row],[delayed]]=1,"Delayed","On Time")</f>
        <v>Delayed</v>
      </c>
      <c r="N1647" t="str">
        <f>IF(AND(Table1[[#This Row],[delayed]]=1,Table1[[#This Row],[weather_condition]]="Storm"),"High Risk", IF(Table1[[#This Row],[delayed]]=1,"Medium Risk","Low Risk"))</f>
        <v>High Risk</v>
      </c>
    </row>
    <row r="1648" spans="1:14" x14ac:dyDescent="0.35">
      <c r="A1648">
        <v>1647</v>
      </c>
      <c r="B1648" s="1">
        <v>44995.583333333336</v>
      </c>
      <c r="C1648" s="2">
        <v>5.2083333333333336E-2</v>
      </c>
      <c r="D1648" s="3">
        <v>2126</v>
      </c>
      <c r="E1648" s="3">
        <v>228</v>
      </c>
      <c r="F1648" s="2">
        <v>74.753472222222214</v>
      </c>
      <c r="G1648" t="s">
        <v>2816</v>
      </c>
      <c r="H1648" t="s">
        <v>2817</v>
      </c>
      <c r="I1648" s="2">
        <v>0.38125000000000003</v>
      </c>
      <c r="J1648" s="4" t="str">
        <f>IF(Table1[[#This Row],[processing_time_hours]]&gt;1.5,"Slow", "Fast")</f>
        <v>Fast</v>
      </c>
      <c r="K1648" t="s">
        <v>2821</v>
      </c>
      <c r="L1648" s="3">
        <v>1</v>
      </c>
      <c r="M1648" t="str">
        <f>IF(Table1[[#This Row],[delayed]]=1,"Delayed","On Time")</f>
        <v>Delayed</v>
      </c>
      <c r="N1648" t="str">
        <f>IF(AND(Table1[[#This Row],[delayed]]=1,Table1[[#This Row],[weather_condition]]="Storm"),"High Risk", IF(Table1[[#This Row],[delayed]]=1,"Medium Risk","Low Risk"))</f>
        <v>High Risk</v>
      </c>
    </row>
    <row r="1649" spans="1:14" x14ac:dyDescent="0.35">
      <c r="A1649">
        <v>1648</v>
      </c>
      <c r="B1649" s="1">
        <v>44995.625</v>
      </c>
      <c r="C1649" s="2">
        <v>4.5833333333333337E-2</v>
      </c>
      <c r="D1649" s="3">
        <v>1762</v>
      </c>
      <c r="E1649" s="3">
        <v>243</v>
      </c>
      <c r="F1649" s="2">
        <v>73.046527777777769</v>
      </c>
      <c r="G1649" t="s">
        <v>2815</v>
      </c>
      <c r="H1649" t="s">
        <v>2822</v>
      </c>
      <c r="I1649" s="2">
        <v>1.4604166666666665</v>
      </c>
      <c r="J1649" s="4" t="str">
        <f>IF(Table1[[#This Row],[processing_time_hours]]&gt;1.5,"Slow", "Fast")</f>
        <v>Fast</v>
      </c>
      <c r="K1649" t="s">
        <v>2821</v>
      </c>
      <c r="L1649" s="3">
        <v>0</v>
      </c>
      <c r="M1649" t="str">
        <f>IF(Table1[[#This Row],[delayed]]=1,"Delayed","On Time")</f>
        <v>On Time</v>
      </c>
      <c r="N1649" t="str">
        <f>IF(AND(Table1[[#This Row],[delayed]]=1,Table1[[#This Row],[weather_condition]]="Storm"),"High Risk", IF(Table1[[#This Row],[delayed]]=1,"Medium Risk","Low Risk"))</f>
        <v>Low Risk</v>
      </c>
    </row>
    <row r="1650" spans="1:14" x14ac:dyDescent="0.35">
      <c r="A1650">
        <v>1649</v>
      </c>
      <c r="B1650" s="1">
        <v>44995.666666666664</v>
      </c>
      <c r="C1650" s="2">
        <v>5.1388888888888894E-2</v>
      </c>
      <c r="D1650" s="3">
        <v>1797</v>
      </c>
      <c r="E1650" s="3">
        <v>11</v>
      </c>
      <c r="F1650" s="2">
        <v>60.670833333333327</v>
      </c>
      <c r="G1650" t="s">
        <v>2812</v>
      </c>
      <c r="H1650" t="s">
        <v>2820</v>
      </c>
      <c r="I1650" s="2">
        <v>1.0048611111111112</v>
      </c>
      <c r="J1650" s="4" t="str">
        <f>IF(Table1[[#This Row],[processing_time_hours]]&gt;1.5,"Slow", "Fast")</f>
        <v>Fast</v>
      </c>
      <c r="K1650" t="s">
        <v>2821</v>
      </c>
      <c r="L1650" s="3">
        <v>0</v>
      </c>
      <c r="M1650" t="str">
        <f>IF(Table1[[#This Row],[delayed]]=1,"Delayed","On Time")</f>
        <v>On Time</v>
      </c>
      <c r="N1650" t="str">
        <f>IF(AND(Table1[[#This Row],[delayed]]=1,Table1[[#This Row],[weather_condition]]="Storm"),"High Risk", IF(Table1[[#This Row],[delayed]]=1,"Medium Risk","Low Risk"))</f>
        <v>Low Risk</v>
      </c>
    </row>
    <row r="1651" spans="1:14" x14ac:dyDescent="0.35">
      <c r="A1651">
        <v>1650</v>
      </c>
      <c r="B1651" s="1">
        <v>44995.708333333336</v>
      </c>
      <c r="C1651" s="2">
        <v>5.7638888888888885E-2</v>
      </c>
      <c r="D1651" s="3">
        <v>4700</v>
      </c>
      <c r="E1651" s="3">
        <v>201</v>
      </c>
      <c r="F1651" s="2">
        <v>42.087499999999999</v>
      </c>
      <c r="G1651" t="s">
        <v>2815</v>
      </c>
      <c r="H1651" t="s">
        <v>2820</v>
      </c>
      <c r="I1651" s="2">
        <v>2.0833333333333335</v>
      </c>
      <c r="J1651" s="4" t="str">
        <f>IF(Table1[[#This Row],[processing_time_hours]]&gt;1.5,"Slow", "Fast")</f>
        <v>Slow</v>
      </c>
      <c r="K1651" t="s">
        <v>2814</v>
      </c>
      <c r="L1651" s="3">
        <v>1</v>
      </c>
      <c r="M1651" t="str">
        <f>IF(Table1[[#This Row],[delayed]]=1,"Delayed","On Time")</f>
        <v>Delayed</v>
      </c>
      <c r="N1651" t="str">
        <f>IF(AND(Table1[[#This Row],[delayed]]=1,Table1[[#This Row],[weather_condition]]="Storm"),"High Risk", IF(Table1[[#This Row],[delayed]]=1,"Medium Risk","Low Risk"))</f>
        <v>Medium Risk</v>
      </c>
    </row>
    <row r="1652" spans="1:14" x14ac:dyDescent="0.35">
      <c r="A1652">
        <v>1651</v>
      </c>
      <c r="B1652" s="1">
        <v>44995.75</v>
      </c>
      <c r="C1652" s="2">
        <v>4.7222222222222221E-2</v>
      </c>
      <c r="D1652" s="3">
        <v>3016</v>
      </c>
      <c r="E1652" s="3">
        <v>274</v>
      </c>
      <c r="F1652" s="2">
        <v>7.9180555555555552</v>
      </c>
      <c r="G1652" t="s">
        <v>2812</v>
      </c>
      <c r="H1652" t="s">
        <v>2813</v>
      </c>
      <c r="I1652" s="2">
        <v>0.75555555555555554</v>
      </c>
      <c r="J1652" s="4" t="str">
        <f>IF(Table1[[#This Row],[processing_time_hours]]&gt;1.5,"Slow", "Fast")</f>
        <v>Fast</v>
      </c>
      <c r="K1652" t="s">
        <v>2818</v>
      </c>
      <c r="L1652" s="3">
        <v>1</v>
      </c>
      <c r="M1652" t="str">
        <f>IF(Table1[[#This Row],[delayed]]=1,"Delayed","On Time")</f>
        <v>Delayed</v>
      </c>
      <c r="N1652" t="str">
        <f>IF(AND(Table1[[#This Row],[delayed]]=1,Table1[[#This Row],[weather_condition]]="Storm"),"High Risk", IF(Table1[[#This Row],[delayed]]=1,"Medium Risk","Low Risk"))</f>
        <v>Medium Risk</v>
      </c>
    </row>
    <row r="1653" spans="1:14" x14ac:dyDescent="0.35">
      <c r="A1653">
        <v>1652</v>
      </c>
      <c r="B1653" s="1">
        <v>44995.791666666664</v>
      </c>
      <c r="C1653" s="2">
        <v>5.3472222222222227E-2</v>
      </c>
      <c r="D1653" s="3">
        <v>3873</v>
      </c>
      <c r="E1653" s="3">
        <v>62</v>
      </c>
      <c r="F1653" s="2">
        <v>15.129861111111111</v>
      </c>
      <c r="G1653" t="s">
        <v>2816</v>
      </c>
      <c r="H1653" t="s">
        <v>2822</v>
      </c>
      <c r="I1653" s="2">
        <v>2.2520833333333332</v>
      </c>
      <c r="J1653" s="4" t="str">
        <f>IF(Table1[[#This Row],[processing_time_hours]]&gt;1.5,"Slow", "Fast")</f>
        <v>Slow</v>
      </c>
      <c r="K1653" t="s">
        <v>2821</v>
      </c>
      <c r="L1653" s="3">
        <v>1</v>
      </c>
      <c r="M1653" t="str">
        <f>IF(Table1[[#This Row],[delayed]]=1,"Delayed","On Time")</f>
        <v>Delayed</v>
      </c>
      <c r="N1653" t="str">
        <f>IF(AND(Table1[[#This Row],[delayed]]=1,Table1[[#This Row],[weather_condition]]="Storm"),"High Risk", IF(Table1[[#This Row],[delayed]]=1,"Medium Risk","Low Risk"))</f>
        <v>Medium Risk</v>
      </c>
    </row>
    <row r="1654" spans="1:14" x14ac:dyDescent="0.35">
      <c r="A1654">
        <v>1653</v>
      </c>
      <c r="B1654" s="1">
        <v>44995.833333333336</v>
      </c>
      <c r="C1654" s="2">
        <v>5.8333333333333327E-2</v>
      </c>
      <c r="D1654" s="3">
        <v>4350</v>
      </c>
      <c r="E1654" s="3">
        <v>459</v>
      </c>
      <c r="F1654" s="2">
        <v>79.754166666666663</v>
      </c>
      <c r="G1654" t="s">
        <v>2812</v>
      </c>
      <c r="H1654" t="s">
        <v>2822</v>
      </c>
      <c r="I1654" s="2">
        <v>0.6694444444444444</v>
      </c>
      <c r="J1654" s="4" t="str">
        <f>IF(Table1[[#This Row],[processing_time_hours]]&gt;1.5,"Slow", "Fast")</f>
        <v>Fast</v>
      </c>
      <c r="K1654" t="s">
        <v>2818</v>
      </c>
      <c r="L1654" s="3">
        <v>0</v>
      </c>
      <c r="M1654" t="str">
        <f>IF(Table1[[#This Row],[delayed]]=1,"Delayed","On Time")</f>
        <v>On Time</v>
      </c>
      <c r="N1654" t="str">
        <f>IF(AND(Table1[[#This Row],[delayed]]=1,Table1[[#This Row],[weather_condition]]="Storm"),"High Risk", IF(Table1[[#This Row],[delayed]]=1,"Medium Risk","Low Risk"))</f>
        <v>Low Risk</v>
      </c>
    </row>
    <row r="1655" spans="1:14" x14ac:dyDescent="0.35">
      <c r="A1655">
        <v>1654</v>
      </c>
      <c r="B1655" s="1">
        <v>44995.875</v>
      </c>
      <c r="C1655" s="2">
        <v>5.2083333333333336E-2</v>
      </c>
      <c r="D1655" s="3">
        <v>3269</v>
      </c>
      <c r="E1655" s="3">
        <v>246</v>
      </c>
      <c r="F1655" s="2">
        <v>42.838888888888896</v>
      </c>
      <c r="G1655" t="s">
        <v>2819</v>
      </c>
      <c r="H1655" t="s">
        <v>2813</v>
      </c>
      <c r="I1655" s="2">
        <v>1.9597222222222221</v>
      </c>
      <c r="J1655" s="4" t="str">
        <f>IF(Table1[[#This Row],[processing_time_hours]]&gt;1.5,"Slow", "Fast")</f>
        <v>Slow</v>
      </c>
      <c r="K1655" t="s">
        <v>2818</v>
      </c>
      <c r="L1655" s="3">
        <v>0</v>
      </c>
      <c r="M1655" t="str">
        <f>IF(Table1[[#This Row],[delayed]]=1,"Delayed","On Time")</f>
        <v>On Time</v>
      </c>
      <c r="N1655" t="str">
        <f>IF(AND(Table1[[#This Row],[delayed]]=1,Table1[[#This Row],[weather_condition]]="Storm"),"High Risk", IF(Table1[[#This Row],[delayed]]=1,"Medium Risk","Low Risk"))</f>
        <v>Low Risk</v>
      </c>
    </row>
    <row r="1656" spans="1:14" x14ac:dyDescent="0.35">
      <c r="A1656">
        <v>1655</v>
      </c>
      <c r="B1656" s="1">
        <v>44995.916666666664</v>
      </c>
      <c r="C1656" s="2">
        <v>6.2499999999999995E-3</v>
      </c>
      <c r="D1656" s="3">
        <v>726</v>
      </c>
      <c r="E1656" s="3">
        <v>222</v>
      </c>
      <c r="F1656" s="2">
        <v>39.083333333333336</v>
      </c>
      <c r="G1656" t="s">
        <v>2812</v>
      </c>
      <c r="H1656" t="s">
        <v>2822</v>
      </c>
      <c r="I1656" s="2">
        <v>2.1701388888888888</v>
      </c>
      <c r="J1656" s="4" t="str">
        <f>IF(Table1[[#This Row],[processing_time_hours]]&gt;1.5,"Slow", "Fast")</f>
        <v>Slow</v>
      </c>
      <c r="K1656" t="s">
        <v>2814</v>
      </c>
      <c r="L1656" s="3">
        <v>0</v>
      </c>
      <c r="M1656" t="str">
        <f>IF(Table1[[#This Row],[delayed]]=1,"Delayed","On Time")</f>
        <v>On Time</v>
      </c>
      <c r="N1656" t="str">
        <f>IF(AND(Table1[[#This Row],[delayed]]=1,Table1[[#This Row],[weather_condition]]="Storm"),"High Risk", IF(Table1[[#This Row],[delayed]]=1,"Medium Risk","Low Risk"))</f>
        <v>Low Risk</v>
      </c>
    </row>
    <row r="1657" spans="1:14" x14ac:dyDescent="0.35">
      <c r="A1657">
        <v>1656</v>
      </c>
      <c r="B1657" s="1">
        <v>44995.958333333336</v>
      </c>
      <c r="C1657" s="2">
        <v>5.6250000000000001E-2</v>
      </c>
      <c r="D1657" s="3">
        <v>3514</v>
      </c>
      <c r="E1657" s="3">
        <v>11</v>
      </c>
      <c r="F1657" s="2">
        <v>81.379166666666663</v>
      </c>
      <c r="G1657" t="s">
        <v>2816</v>
      </c>
      <c r="H1657" t="s">
        <v>2813</v>
      </c>
      <c r="I1657" s="2">
        <v>2.1673611111111111</v>
      </c>
      <c r="J1657" s="4" t="str">
        <f>IF(Table1[[#This Row],[processing_time_hours]]&gt;1.5,"Slow", "Fast")</f>
        <v>Slow</v>
      </c>
      <c r="K1657" t="s">
        <v>2818</v>
      </c>
      <c r="L1657" s="3">
        <v>1</v>
      </c>
      <c r="M1657" t="str">
        <f>IF(Table1[[#This Row],[delayed]]=1,"Delayed","On Time")</f>
        <v>Delayed</v>
      </c>
      <c r="N1657" t="str">
        <f>IF(AND(Table1[[#This Row],[delayed]]=1,Table1[[#This Row],[weather_condition]]="Storm"),"High Risk", IF(Table1[[#This Row],[delayed]]=1,"Medium Risk","Low Risk"))</f>
        <v>Medium Risk</v>
      </c>
    </row>
    <row r="1658" spans="1:14" x14ac:dyDescent="0.35">
      <c r="A1658">
        <v>1657</v>
      </c>
      <c r="B1658" s="1">
        <v>44996</v>
      </c>
      <c r="C1658" s="2">
        <v>5.0694444444444438E-2</v>
      </c>
      <c r="D1658" s="3">
        <v>1781</v>
      </c>
      <c r="E1658" s="3">
        <v>159</v>
      </c>
      <c r="F1658" s="2">
        <v>42.710416666666667</v>
      </c>
      <c r="G1658" t="s">
        <v>2815</v>
      </c>
      <c r="H1658" t="s">
        <v>2820</v>
      </c>
      <c r="I1658" s="2">
        <v>4.6527777777777779E-2</v>
      </c>
      <c r="J1658" s="4" t="str">
        <f>IF(Table1[[#This Row],[processing_time_hours]]&gt;1.5,"Slow", "Fast")</f>
        <v>Fast</v>
      </c>
      <c r="K1658" t="s">
        <v>2818</v>
      </c>
      <c r="L1658" s="3">
        <v>0</v>
      </c>
      <c r="M1658" t="str">
        <f>IF(Table1[[#This Row],[delayed]]=1,"Delayed","On Time")</f>
        <v>On Time</v>
      </c>
      <c r="N1658" t="str">
        <f>IF(AND(Table1[[#This Row],[delayed]]=1,Table1[[#This Row],[weather_condition]]="Storm"),"High Risk", IF(Table1[[#This Row],[delayed]]=1,"Medium Risk","Low Risk"))</f>
        <v>Low Risk</v>
      </c>
    </row>
    <row r="1659" spans="1:14" x14ac:dyDescent="0.35">
      <c r="A1659">
        <v>1658</v>
      </c>
      <c r="B1659" s="1">
        <v>44996.041666666664</v>
      </c>
      <c r="C1659" s="2">
        <v>6.1805555555555558E-2</v>
      </c>
      <c r="D1659" s="3">
        <v>4660</v>
      </c>
      <c r="E1659" s="3">
        <v>221</v>
      </c>
      <c r="F1659" s="2">
        <v>8.375</v>
      </c>
      <c r="G1659" t="s">
        <v>2815</v>
      </c>
      <c r="H1659" t="s">
        <v>2817</v>
      </c>
      <c r="I1659" s="2">
        <v>1.9208333333333334</v>
      </c>
      <c r="J1659" s="4" t="str">
        <f>IF(Table1[[#This Row],[processing_time_hours]]&gt;1.5,"Slow", "Fast")</f>
        <v>Slow</v>
      </c>
      <c r="K1659" t="s">
        <v>2814</v>
      </c>
      <c r="L1659" s="3">
        <v>1</v>
      </c>
      <c r="M1659" t="str">
        <f>IF(Table1[[#This Row],[delayed]]=1,"Delayed","On Time")</f>
        <v>Delayed</v>
      </c>
      <c r="N1659" t="str">
        <f>IF(AND(Table1[[#This Row],[delayed]]=1,Table1[[#This Row],[weather_condition]]="Storm"),"High Risk", IF(Table1[[#This Row],[delayed]]=1,"Medium Risk","Low Risk"))</f>
        <v>High Risk</v>
      </c>
    </row>
    <row r="1660" spans="1:14" x14ac:dyDescent="0.35">
      <c r="A1660">
        <v>1659</v>
      </c>
      <c r="B1660" s="1">
        <v>44996.083333333336</v>
      </c>
      <c r="C1660" s="2">
        <v>5.6944444444444443E-2</v>
      </c>
      <c r="D1660" s="3">
        <v>1587</v>
      </c>
      <c r="E1660" s="3">
        <v>357</v>
      </c>
      <c r="F1660" s="2">
        <v>29.251388888888886</v>
      </c>
      <c r="G1660" t="s">
        <v>2815</v>
      </c>
      <c r="H1660" t="s">
        <v>2813</v>
      </c>
      <c r="I1660" s="2">
        <v>0.50347222222222221</v>
      </c>
      <c r="J1660" s="4" t="str">
        <f>IF(Table1[[#This Row],[processing_time_hours]]&gt;1.5,"Slow", "Fast")</f>
        <v>Fast</v>
      </c>
      <c r="K1660" t="s">
        <v>2821</v>
      </c>
      <c r="L1660" s="3">
        <v>0</v>
      </c>
      <c r="M1660" t="str">
        <f>IF(Table1[[#This Row],[delayed]]=1,"Delayed","On Time")</f>
        <v>On Time</v>
      </c>
      <c r="N1660" t="str">
        <f>IF(AND(Table1[[#This Row],[delayed]]=1,Table1[[#This Row],[weather_condition]]="Storm"),"High Risk", IF(Table1[[#This Row],[delayed]]=1,"Medium Risk","Low Risk"))</f>
        <v>Low Risk</v>
      </c>
    </row>
    <row r="1661" spans="1:14" x14ac:dyDescent="0.35">
      <c r="A1661">
        <v>1660</v>
      </c>
      <c r="B1661" s="1">
        <v>44996.125</v>
      </c>
      <c r="C1661" s="2">
        <v>5.4166666666666669E-2</v>
      </c>
      <c r="D1661" s="3">
        <v>4556</v>
      </c>
      <c r="E1661" s="3">
        <v>121</v>
      </c>
      <c r="F1661" s="2">
        <v>66.002083333333331</v>
      </c>
      <c r="G1661" t="s">
        <v>2816</v>
      </c>
      <c r="H1661" t="s">
        <v>2822</v>
      </c>
      <c r="I1661" s="2">
        <v>0.96388888888888891</v>
      </c>
      <c r="J1661" s="4" t="str">
        <f>IF(Table1[[#This Row],[processing_time_hours]]&gt;1.5,"Slow", "Fast")</f>
        <v>Fast</v>
      </c>
      <c r="K1661" t="s">
        <v>2814</v>
      </c>
      <c r="L1661" s="3">
        <v>0</v>
      </c>
      <c r="M1661" t="str">
        <f>IF(Table1[[#This Row],[delayed]]=1,"Delayed","On Time")</f>
        <v>On Time</v>
      </c>
      <c r="N1661" t="str">
        <f>IF(AND(Table1[[#This Row],[delayed]]=1,Table1[[#This Row],[weather_condition]]="Storm"),"High Risk", IF(Table1[[#This Row],[delayed]]=1,"Medium Risk","Low Risk"))</f>
        <v>Low Risk</v>
      </c>
    </row>
    <row r="1662" spans="1:14" x14ac:dyDescent="0.35">
      <c r="A1662">
        <v>1661</v>
      </c>
      <c r="B1662" s="1">
        <v>44996.166666666664</v>
      </c>
      <c r="C1662" s="2">
        <v>4.5833333333333337E-2</v>
      </c>
      <c r="D1662" s="3">
        <v>2137</v>
      </c>
      <c r="E1662" s="3">
        <v>333</v>
      </c>
      <c r="F1662" s="2">
        <v>28.793749999999999</v>
      </c>
      <c r="G1662" t="s">
        <v>2815</v>
      </c>
      <c r="H1662" t="s">
        <v>2820</v>
      </c>
      <c r="I1662" s="2">
        <v>1.75</v>
      </c>
      <c r="J1662" s="4" t="str">
        <f>IF(Table1[[#This Row],[processing_time_hours]]&gt;1.5,"Slow", "Fast")</f>
        <v>Slow</v>
      </c>
      <c r="K1662" t="s">
        <v>2814</v>
      </c>
      <c r="L1662" s="3">
        <v>1</v>
      </c>
      <c r="M1662" t="str">
        <f>IF(Table1[[#This Row],[delayed]]=1,"Delayed","On Time")</f>
        <v>Delayed</v>
      </c>
      <c r="N1662" t="str">
        <f>IF(AND(Table1[[#This Row],[delayed]]=1,Table1[[#This Row],[weather_condition]]="Storm"),"High Risk", IF(Table1[[#This Row],[delayed]]=1,"Medium Risk","Low Risk"))</f>
        <v>Medium Risk</v>
      </c>
    </row>
    <row r="1663" spans="1:14" x14ac:dyDescent="0.35">
      <c r="A1663">
        <v>1662</v>
      </c>
      <c r="B1663" s="1">
        <v>44996.208333333336</v>
      </c>
      <c r="C1663" s="2">
        <v>6.8749999999999992E-2</v>
      </c>
      <c r="D1663" s="3">
        <v>4972</v>
      </c>
      <c r="E1663" s="3">
        <v>146</v>
      </c>
      <c r="F1663" s="2">
        <v>39.291666666666664</v>
      </c>
      <c r="G1663" t="s">
        <v>2819</v>
      </c>
      <c r="H1663" t="s">
        <v>2813</v>
      </c>
      <c r="I1663" s="2">
        <v>1.3333333333333333</v>
      </c>
      <c r="J1663" s="4" t="str">
        <f>IF(Table1[[#This Row],[processing_time_hours]]&gt;1.5,"Slow", "Fast")</f>
        <v>Fast</v>
      </c>
      <c r="K1663" t="s">
        <v>2821</v>
      </c>
      <c r="L1663" s="3">
        <v>1</v>
      </c>
      <c r="M1663" t="str">
        <f>IF(Table1[[#This Row],[delayed]]=1,"Delayed","On Time")</f>
        <v>Delayed</v>
      </c>
      <c r="N1663" t="str">
        <f>IF(AND(Table1[[#This Row],[delayed]]=1,Table1[[#This Row],[weather_condition]]="Storm"),"High Risk", IF(Table1[[#This Row],[delayed]]=1,"Medium Risk","Low Risk"))</f>
        <v>Medium Risk</v>
      </c>
    </row>
    <row r="1664" spans="1:14" x14ac:dyDescent="0.35">
      <c r="A1664">
        <v>1663</v>
      </c>
      <c r="B1664" s="1">
        <v>44996.25</v>
      </c>
      <c r="C1664" s="2">
        <v>4.6527777777777779E-2</v>
      </c>
      <c r="D1664" s="3">
        <v>916</v>
      </c>
      <c r="E1664" s="3">
        <v>106</v>
      </c>
      <c r="F1664" s="2">
        <v>60.797916666666673</v>
      </c>
      <c r="G1664" t="s">
        <v>2812</v>
      </c>
      <c r="H1664" t="s">
        <v>2813</v>
      </c>
      <c r="I1664" s="2">
        <v>2.588888888888889</v>
      </c>
      <c r="J1664" s="4" t="str">
        <f>IF(Table1[[#This Row],[processing_time_hours]]&gt;1.5,"Slow", "Fast")</f>
        <v>Slow</v>
      </c>
      <c r="K1664" t="s">
        <v>2814</v>
      </c>
      <c r="L1664" s="3">
        <v>0</v>
      </c>
      <c r="M1664" t="str">
        <f>IF(Table1[[#This Row],[delayed]]=1,"Delayed","On Time")</f>
        <v>On Time</v>
      </c>
      <c r="N1664" t="str">
        <f>IF(AND(Table1[[#This Row],[delayed]]=1,Table1[[#This Row],[weather_condition]]="Storm"),"High Risk", IF(Table1[[#This Row],[delayed]]=1,"Medium Risk","Low Risk"))</f>
        <v>Low Risk</v>
      </c>
    </row>
    <row r="1665" spans="1:14" x14ac:dyDescent="0.35">
      <c r="A1665">
        <v>1664</v>
      </c>
      <c r="B1665" s="1">
        <v>44996.291666666664</v>
      </c>
      <c r="C1665" s="2">
        <v>5.2083333333333336E-2</v>
      </c>
      <c r="D1665" s="3">
        <v>1750</v>
      </c>
      <c r="E1665" s="3">
        <v>457</v>
      </c>
      <c r="F1665" s="2">
        <v>55.631250000000001</v>
      </c>
      <c r="G1665" t="s">
        <v>2812</v>
      </c>
      <c r="H1665" t="s">
        <v>2817</v>
      </c>
      <c r="I1665" s="2">
        <v>0.25347222222222221</v>
      </c>
      <c r="J1665" s="4" t="str">
        <f>IF(Table1[[#This Row],[processing_time_hours]]&gt;1.5,"Slow", "Fast")</f>
        <v>Fast</v>
      </c>
      <c r="K1665" t="s">
        <v>2821</v>
      </c>
      <c r="L1665" s="3">
        <v>1</v>
      </c>
      <c r="M1665" t="str">
        <f>IF(Table1[[#This Row],[delayed]]=1,"Delayed","On Time")</f>
        <v>Delayed</v>
      </c>
      <c r="N1665" t="str">
        <f>IF(AND(Table1[[#This Row],[delayed]]=1,Table1[[#This Row],[weather_condition]]="Storm"),"High Risk", IF(Table1[[#This Row],[delayed]]=1,"Medium Risk","Low Risk"))</f>
        <v>High Risk</v>
      </c>
    </row>
    <row r="1666" spans="1:14" x14ac:dyDescent="0.35">
      <c r="A1666">
        <v>1665</v>
      </c>
      <c r="B1666" s="1">
        <v>44996.333333333336</v>
      </c>
      <c r="C1666" s="2">
        <v>5.7638888888888885E-2</v>
      </c>
      <c r="D1666" s="3">
        <v>2347</v>
      </c>
      <c r="E1666" s="3">
        <v>490</v>
      </c>
      <c r="F1666" s="2">
        <v>17.834027777777777</v>
      </c>
      <c r="G1666" t="s">
        <v>2812</v>
      </c>
      <c r="H1666" t="s">
        <v>2817</v>
      </c>
      <c r="I1666" s="2">
        <v>1.0465277777777777</v>
      </c>
      <c r="J1666" s="4" t="str">
        <f>IF(Table1[[#This Row],[processing_time_hours]]&gt;1.5,"Slow", "Fast")</f>
        <v>Fast</v>
      </c>
      <c r="K1666" t="s">
        <v>2821</v>
      </c>
      <c r="L1666" s="3">
        <v>0</v>
      </c>
      <c r="M1666" t="str">
        <f>IF(Table1[[#This Row],[delayed]]=1,"Delayed","On Time")</f>
        <v>On Time</v>
      </c>
      <c r="N1666" t="str">
        <f>IF(AND(Table1[[#This Row],[delayed]]=1,Table1[[#This Row],[weather_condition]]="Storm"),"High Risk", IF(Table1[[#This Row],[delayed]]=1,"Medium Risk","Low Risk"))</f>
        <v>Low Risk</v>
      </c>
    </row>
    <row r="1667" spans="1:14" x14ac:dyDescent="0.35">
      <c r="A1667">
        <v>1666</v>
      </c>
      <c r="B1667" s="1">
        <v>44996.375</v>
      </c>
      <c r="C1667" s="2">
        <v>6.7361111111111108E-2</v>
      </c>
      <c r="D1667" s="3">
        <v>4342</v>
      </c>
      <c r="E1667" s="3">
        <v>279</v>
      </c>
      <c r="F1667" s="2">
        <v>36.422222222222224</v>
      </c>
      <c r="G1667" t="s">
        <v>2812</v>
      </c>
      <c r="H1667" t="s">
        <v>2822</v>
      </c>
      <c r="I1667" s="2">
        <v>1.4173611111111111</v>
      </c>
      <c r="J1667" s="4" t="str">
        <f>IF(Table1[[#This Row],[processing_time_hours]]&gt;1.5,"Slow", "Fast")</f>
        <v>Fast</v>
      </c>
      <c r="K1667" t="s">
        <v>2821</v>
      </c>
      <c r="L1667" s="3">
        <v>0</v>
      </c>
      <c r="M1667" t="str">
        <f>IF(Table1[[#This Row],[delayed]]=1,"Delayed","On Time")</f>
        <v>On Time</v>
      </c>
      <c r="N1667" t="str">
        <f>IF(AND(Table1[[#This Row],[delayed]]=1,Table1[[#This Row],[weather_condition]]="Storm"),"High Risk", IF(Table1[[#This Row],[delayed]]=1,"Medium Risk","Low Risk"))</f>
        <v>Low Risk</v>
      </c>
    </row>
    <row r="1668" spans="1:14" x14ac:dyDescent="0.35">
      <c r="A1668">
        <v>1667</v>
      </c>
      <c r="B1668" s="1">
        <v>44996.416666666664</v>
      </c>
      <c r="C1668" s="2">
        <v>4.9999999999999996E-2</v>
      </c>
      <c r="D1668" s="3">
        <v>4307</v>
      </c>
      <c r="E1668" s="3">
        <v>352</v>
      </c>
      <c r="F1668" s="2">
        <v>25.669444444444448</v>
      </c>
      <c r="G1668" t="s">
        <v>2812</v>
      </c>
      <c r="H1668" t="s">
        <v>2813</v>
      </c>
      <c r="I1668" s="2">
        <v>0.92291666666666661</v>
      </c>
      <c r="J1668" s="4" t="str">
        <f>IF(Table1[[#This Row],[processing_time_hours]]&gt;1.5,"Slow", "Fast")</f>
        <v>Fast</v>
      </c>
      <c r="K1668" t="s">
        <v>2821</v>
      </c>
      <c r="L1668" s="3">
        <v>0</v>
      </c>
      <c r="M1668" t="str">
        <f>IF(Table1[[#This Row],[delayed]]=1,"Delayed","On Time")</f>
        <v>On Time</v>
      </c>
      <c r="N1668" t="str">
        <f>IF(AND(Table1[[#This Row],[delayed]]=1,Table1[[#This Row],[weather_condition]]="Storm"),"High Risk", IF(Table1[[#This Row],[delayed]]=1,"Medium Risk","Low Risk"))</f>
        <v>Low Risk</v>
      </c>
    </row>
    <row r="1669" spans="1:14" x14ac:dyDescent="0.35">
      <c r="A1669">
        <v>1668</v>
      </c>
      <c r="B1669" s="1">
        <v>44996.458333333336</v>
      </c>
      <c r="C1669" s="2">
        <v>4.5138888888888888E-2</v>
      </c>
      <c r="D1669" s="3">
        <v>568</v>
      </c>
      <c r="E1669" s="3">
        <v>281</v>
      </c>
      <c r="F1669" s="2">
        <v>43.754166666666663</v>
      </c>
      <c r="G1669" t="s">
        <v>2819</v>
      </c>
      <c r="H1669" t="s">
        <v>2817</v>
      </c>
      <c r="I1669" s="2">
        <v>2.754861111111111</v>
      </c>
      <c r="J1669" s="4" t="str">
        <f>IF(Table1[[#This Row],[processing_time_hours]]&gt;1.5,"Slow", "Fast")</f>
        <v>Slow</v>
      </c>
      <c r="K1669" t="s">
        <v>2818</v>
      </c>
      <c r="L1669" s="3">
        <v>0</v>
      </c>
      <c r="M1669" t="str">
        <f>IF(Table1[[#This Row],[delayed]]=1,"Delayed","On Time")</f>
        <v>On Time</v>
      </c>
      <c r="N1669" t="str">
        <f>IF(AND(Table1[[#This Row],[delayed]]=1,Table1[[#This Row],[weather_condition]]="Storm"),"High Risk", IF(Table1[[#This Row],[delayed]]=1,"Medium Risk","Low Risk"))</f>
        <v>Low Risk</v>
      </c>
    </row>
    <row r="1670" spans="1:14" x14ac:dyDescent="0.35">
      <c r="A1670">
        <v>1669</v>
      </c>
      <c r="B1670" s="1">
        <v>44996.5</v>
      </c>
      <c r="C1670" s="2">
        <v>6.1111111111111109E-2</v>
      </c>
      <c r="D1670" s="3">
        <v>2490</v>
      </c>
      <c r="E1670" s="3">
        <v>353</v>
      </c>
      <c r="F1670" s="2">
        <v>23.125</v>
      </c>
      <c r="G1670" t="s">
        <v>2816</v>
      </c>
      <c r="H1670" t="s">
        <v>2813</v>
      </c>
      <c r="I1670" s="2">
        <v>0.9590277777777777</v>
      </c>
      <c r="J1670" s="4" t="str">
        <f>IF(Table1[[#This Row],[processing_time_hours]]&gt;1.5,"Slow", "Fast")</f>
        <v>Fast</v>
      </c>
      <c r="K1670" t="s">
        <v>2818</v>
      </c>
      <c r="L1670" s="3">
        <v>0</v>
      </c>
      <c r="M1670" t="str">
        <f>IF(Table1[[#This Row],[delayed]]=1,"Delayed","On Time")</f>
        <v>On Time</v>
      </c>
      <c r="N1670" t="str">
        <f>IF(AND(Table1[[#This Row],[delayed]]=1,Table1[[#This Row],[weather_condition]]="Storm"),"High Risk", IF(Table1[[#This Row],[delayed]]=1,"Medium Risk","Low Risk"))</f>
        <v>Low Risk</v>
      </c>
    </row>
    <row r="1671" spans="1:14" x14ac:dyDescent="0.35">
      <c r="A1671">
        <v>1670</v>
      </c>
      <c r="B1671" s="1">
        <v>44996.541666666664</v>
      </c>
      <c r="C1671" s="2">
        <v>6.805555555555555E-2</v>
      </c>
      <c r="D1671" s="3">
        <v>1154</v>
      </c>
      <c r="E1671" s="3">
        <v>199</v>
      </c>
      <c r="F1671" s="2">
        <v>25.877083333333331</v>
      </c>
      <c r="G1671" t="s">
        <v>2819</v>
      </c>
      <c r="H1671" t="s">
        <v>2822</v>
      </c>
      <c r="I1671" s="2">
        <v>2.7923611111111111</v>
      </c>
      <c r="J1671" s="4" t="str">
        <f>IF(Table1[[#This Row],[processing_time_hours]]&gt;1.5,"Slow", "Fast")</f>
        <v>Slow</v>
      </c>
      <c r="K1671" t="s">
        <v>2818</v>
      </c>
      <c r="L1671" s="3">
        <v>0</v>
      </c>
      <c r="M1671" t="str">
        <f>IF(Table1[[#This Row],[delayed]]=1,"Delayed","On Time")</f>
        <v>On Time</v>
      </c>
      <c r="N1671" t="str">
        <f>IF(AND(Table1[[#This Row],[delayed]]=1,Table1[[#This Row],[weather_condition]]="Storm"),"High Risk", IF(Table1[[#This Row],[delayed]]=1,"Medium Risk","Low Risk"))</f>
        <v>Low Risk</v>
      </c>
    </row>
    <row r="1672" spans="1:14" x14ac:dyDescent="0.35">
      <c r="A1672">
        <v>1671</v>
      </c>
      <c r="B1672" s="1">
        <v>44996.583333333336</v>
      </c>
      <c r="C1672" s="2">
        <v>5.4166666666666669E-2</v>
      </c>
      <c r="D1672" s="3">
        <v>1640</v>
      </c>
      <c r="E1672" s="3">
        <v>283</v>
      </c>
      <c r="F1672" s="2">
        <v>67.708333333333329</v>
      </c>
      <c r="G1672" t="s">
        <v>2815</v>
      </c>
      <c r="H1672" t="s">
        <v>2822</v>
      </c>
      <c r="I1672" s="2">
        <v>0.92013888888888884</v>
      </c>
      <c r="J1672" s="4" t="str">
        <f>IF(Table1[[#This Row],[processing_time_hours]]&gt;1.5,"Slow", "Fast")</f>
        <v>Fast</v>
      </c>
      <c r="K1672" t="s">
        <v>2814</v>
      </c>
      <c r="L1672" s="3">
        <v>0</v>
      </c>
      <c r="M1672" t="str">
        <f>IF(Table1[[#This Row],[delayed]]=1,"Delayed","On Time")</f>
        <v>On Time</v>
      </c>
      <c r="N1672" t="str">
        <f>IF(AND(Table1[[#This Row],[delayed]]=1,Table1[[#This Row],[weather_condition]]="Storm"),"High Risk", IF(Table1[[#This Row],[delayed]]=1,"Medium Risk","Low Risk"))</f>
        <v>Low Risk</v>
      </c>
    </row>
    <row r="1673" spans="1:14" x14ac:dyDescent="0.35">
      <c r="A1673">
        <v>1672</v>
      </c>
      <c r="B1673" s="1">
        <v>44996.625</v>
      </c>
      <c r="C1673" s="2">
        <v>4.1666666666666664E-2</v>
      </c>
      <c r="D1673" s="3">
        <v>4436</v>
      </c>
      <c r="E1673" s="3">
        <v>64</v>
      </c>
      <c r="F1673" s="2">
        <v>28.795833333333334</v>
      </c>
      <c r="G1673" t="s">
        <v>2816</v>
      </c>
      <c r="H1673" t="s">
        <v>2822</v>
      </c>
      <c r="I1673" s="2">
        <v>0.88055555555555554</v>
      </c>
      <c r="J1673" s="4" t="str">
        <f>IF(Table1[[#This Row],[processing_time_hours]]&gt;1.5,"Slow", "Fast")</f>
        <v>Fast</v>
      </c>
      <c r="K1673" t="s">
        <v>2814</v>
      </c>
      <c r="L1673" s="3">
        <v>1</v>
      </c>
      <c r="M1673" t="str">
        <f>IF(Table1[[#This Row],[delayed]]=1,"Delayed","On Time")</f>
        <v>Delayed</v>
      </c>
      <c r="N1673" t="str">
        <f>IF(AND(Table1[[#This Row],[delayed]]=1,Table1[[#This Row],[weather_condition]]="Storm"),"High Risk", IF(Table1[[#This Row],[delayed]]=1,"Medium Risk","Low Risk"))</f>
        <v>Medium Risk</v>
      </c>
    </row>
    <row r="1674" spans="1:14" x14ac:dyDescent="0.35">
      <c r="A1674">
        <v>1673</v>
      </c>
      <c r="B1674" s="1">
        <v>44996.666666666664</v>
      </c>
      <c r="C1674" s="2">
        <v>5.0694444444444438E-2</v>
      </c>
      <c r="D1674" s="3">
        <v>4515</v>
      </c>
      <c r="E1674" s="3">
        <v>20</v>
      </c>
      <c r="F1674" s="2">
        <v>54.671527777777776</v>
      </c>
      <c r="G1674" t="s">
        <v>2812</v>
      </c>
      <c r="H1674" t="s">
        <v>2813</v>
      </c>
      <c r="I1674" s="2">
        <v>2.7958333333333329</v>
      </c>
      <c r="J1674" s="4" t="str">
        <f>IF(Table1[[#This Row],[processing_time_hours]]&gt;1.5,"Slow", "Fast")</f>
        <v>Slow</v>
      </c>
      <c r="K1674" t="s">
        <v>2814</v>
      </c>
      <c r="L1674" s="3">
        <v>1</v>
      </c>
      <c r="M1674" t="str">
        <f>IF(Table1[[#This Row],[delayed]]=1,"Delayed","On Time")</f>
        <v>Delayed</v>
      </c>
      <c r="N1674" t="str">
        <f>IF(AND(Table1[[#This Row],[delayed]]=1,Table1[[#This Row],[weather_condition]]="Storm"),"High Risk", IF(Table1[[#This Row],[delayed]]=1,"Medium Risk","Low Risk"))</f>
        <v>Medium Risk</v>
      </c>
    </row>
    <row r="1675" spans="1:14" x14ac:dyDescent="0.35">
      <c r="A1675">
        <v>1674</v>
      </c>
      <c r="B1675" s="1">
        <v>44996.708333333336</v>
      </c>
      <c r="C1675" s="2">
        <v>6.5972222222222224E-2</v>
      </c>
      <c r="D1675" s="3">
        <v>2529</v>
      </c>
      <c r="E1675" s="3">
        <v>426</v>
      </c>
      <c r="F1675" s="2">
        <v>48.962499999999999</v>
      </c>
      <c r="G1675" t="s">
        <v>2816</v>
      </c>
      <c r="H1675" t="s">
        <v>2822</v>
      </c>
      <c r="I1675" s="2">
        <v>2.755555555555556</v>
      </c>
      <c r="J1675" s="4" t="str">
        <f>IF(Table1[[#This Row],[processing_time_hours]]&gt;1.5,"Slow", "Fast")</f>
        <v>Slow</v>
      </c>
      <c r="K1675" t="s">
        <v>2818</v>
      </c>
      <c r="L1675" s="3">
        <v>0</v>
      </c>
      <c r="M1675" t="str">
        <f>IF(Table1[[#This Row],[delayed]]=1,"Delayed","On Time")</f>
        <v>On Time</v>
      </c>
      <c r="N1675" t="str">
        <f>IF(AND(Table1[[#This Row],[delayed]]=1,Table1[[#This Row],[weather_condition]]="Storm"),"High Risk", IF(Table1[[#This Row],[delayed]]=1,"Medium Risk","Low Risk"))</f>
        <v>Low Risk</v>
      </c>
    </row>
    <row r="1676" spans="1:14" x14ac:dyDescent="0.35">
      <c r="A1676">
        <v>1675</v>
      </c>
      <c r="B1676" s="1">
        <v>44996.75</v>
      </c>
      <c r="C1676" s="2">
        <v>4.1666666666666666E-3</v>
      </c>
      <c r="D1676" s="3">
        <v>1655</v>
      </c>
      <c r="E1676" s="3">
        <v>441</v>
      </c>
      <c r="F1676" s="2">
        <v>59.542361111111113</v>
      </c>
      <c r="G1676" t="s">
        <v>2812</v>
      </c>
      <c r="H1676" t="s">
        <v>2822</v>
      </c>
      <c r="I1676" s="2">
        <v>1.1312499999999999</v>
      </c>
      <c r="J1676" s="4" t="str">
        <f>IF(Table1[[#This Row],[processing_time_hours]]&gt;1.5,"Slow", "Fast")</f>
        <v>Fast</v>
      </c>
      <c r="K1676" t="s">
        <v>2814</v>
      </c>
      <c r="L1676" s="3">
        <v>0</v>
      </c>
      <c r="M1676" t="str">
        <f>IF(Table1[[#This Row],[delayed]]=1,"Delayed","On Time")</f>
        <v>On Time</v>
      </c>
      <c r="N1676" t="str">
        <f>IF(AND(Table1[[#This Row],[delayed]]=1,Table1[[#This Row],[weather_condition]]="Storm"),"High Risk", IF(Table1[[#This Row],[delayed]]=1,"Medium Risk","Low Risk"))</f>
        <v>Low Risk</v>
      </c>
    </row>
    <row r="1677" spans="1:14" x14ac:dyDescent="0.35">
      <c r="A1677">
        <v>1676</v>
      </c>
      <c r="B1677" s="1">
        <v>44996.791666666664</v>
      </c>
      <c r="C1677" s="2">
        <v>6.0416666666666667E-2</v>
      </c>
      <c r="D1677" s="3">
        <v>1570</v>
      </c>
      <c r="E1677" s="3">
        <v>248</v>
      </c>
      <c r="F1677" s="2">
        <v>78.839583333333337</v>
      </c>
      <c r="G1677" t="s">
        <v>2816</v>
      </c>
      <c r="H1677" t="s">
        <v>2822</v>
      </c>
      <c r="I1677" s="2">
        <v>0.67222222222222217</v>
      </c>
      <c r="J1677" s="4" t="str">
        <f>IF(Table1[[#This Row],[processing_time_hours]]&gt;1.5,"Slow", "Fast")</f>
        <v>Fast</v>
      </c>
      <c r="K1677" t="s">
        <v>2821</v>
      </c>
      <c r="L1677" s="3">
        <v>0</v>
      </c>
      <c r="M1677" t="str">
        <f>IF(Table1[[#This Row],[delayed]]=1,"Delayed","On Time")</f>
        <v>On Time</v>
      </c>
      <c r="N1677" t="str">
        <f>IF(AND(Table1[[#This Row],[delayed]]=1,Table1[[#This Row],[weather_condition]]="Storm"),"High Risk", IF(Table1[[#This Row],[delayed]]=1,"Medium Risk","Low Risk"))</f>
        <v>Low Risk</v>
      </c>
    </row>
    <row r="1678" spans="1:14" x14ac:dyDescent="0.35">
      <c r="A1678">
        <v>1677</v>
      </c>
      <c r="B1678" s="1">
        <v>44996.833333333336</v>
      </c>
      <c r="C1678" s="2">
        <v>6.5972222222222224E-2</v>
      </c>
      <c r="D1678" s="3">
        <v>266</v>
      </c>
      <c r="E1678" s="3">
        <v>350</v>
      </c>
      <c r="F1678" s="2">
        <v>60.33680555555555</v>
      </c>
      <c r="G1678" t="s">
        <v>2815</v>
      </c>
      <c r="H1678" t="s">
        <v>2817</v>
      </c>
      <c r="I1678" s="2">
        <v>1.1298611111111112</v>
      </c>
      <c r="J1678" s="4" t="str">
        <f>IF(Table1[[#This Row],[processing_time_hours]]&gt;1.5,"Slow", "Fast")</f>
        <v>Fast</v>
      </c>
      <c r="K1678" t="s">
        <v>2818</v>
      </c>
      <c r="L1678" s="3">
        <v>0</v>
      </c>
      <c r="M1678" t="str">
        <f>IF(Table1[[#This Row],[delayed]]=1,"Delayed","On Time")</f>
        <v>On Time</v>
      </c>
      <c r="N1678" t="str">
        <f>IF(AND(Table1[[#This Row],[delayed]]=1,Table1[[#This Row],[weather_condition]]="Storm"),"High Risk", IF(Table1[[#This Row],[delayed]]=1,"Medium Risk","Low Risk"))</f>
        <v>Low Risk</v>
      </c>
    </row>
    <row r="1679" spans="1:14" x14ac:dyDescent="0.35">
      <c r="A1679">
        <v>1678</v>
      </c>
      <c r="B1679" s="1">
        <v>44996.875</v>
      </c>
      <c r="C1679" s="2">
        <v>4.9305555555555554E-2</v>
      </c>
      <c r="D1679" s="3">
        <v>3946</v>
      </c>
      <c r="E1679" s="3">
        <v>63</v>
      </c>
      <c r="F1679" s="2">
        <v>15.504166666666668</v>
      </c>
      <c r="G1679" t="s">
        <v>2815</v>
      </c>
      <c r="H1679" t="s">
        <v>2817</v>
      </c>
      <c r="I1679" s="2">
        <v>1.2513888888888889</v>
      </c>
      <c r="J1679" s="4" t="str">
        <f>IF(Table1[[#This Row],[processing_time_hours]]&gt;1.5,"Slow", "Fast")</f>
        <v>Fast</v>
      </c>
      <c r="K1679" t="s">
        <v>2818</v>
      </c>
      <c r="L1679" s="3">
        <v>0</v>
      </c>
      <c r="M1679" t="str">
        <f>IF(Table1[[#This Row],[delayed]]=1,"Delayed","On Time")</f>
        <v>On Time</v>
      </c>
      <c r="N1679" t="str">
        <f>IF(AND(Table1[[#This Row],[delayed]]=1,Table1[[#This Row],[weather_condition]]="Storm"),"High Risk", IF(Table1[[#This Row],[delayed]]=1,"Medium Risk","Low Risk"))</f>
        <v>Low Risk</v>
      </c>
    </row>
    <row r="1680" spans="1:14" x14ac:dyDescent="0.35">
      <c r="A1680">
        <v>1679</v>
      </c>
      <c r="B1680" s="1">
        <v>44996.916666666664</v>
      </c>
      <c r="C1680" s="2">
        <v>6.5277777777777782E-2</v>
      </c>
      <c r="D1680" s="3">
        <v>1038</v>
      </c>
      <c r="E1680" s="3">
        <v>63</v>
      </c>
      <c r="F1680" s="2">
        <v>65.75555555555556</v>
      </c>
      <c r="G1680" t="s">
        <v>2812</v>
      </c>
      <c r="H1680" t="s">
        <v>2822</v>
      </c>
      <c r="I1680" s="2">
        <v>2.7083333333333335</v>
      </c>
      <c r="J1680" s="4" t="str">
        <f>IF(Table1[[#This Row],[processing_time_hours]]&gt;1.5,"Slow", "Fast")</f>
        <v>Slow</v>
      </c>
      <c r="K1680" t="s">
        <v>2818</v>
      </c>
      <c r="L1680" s="3">
        <v>0</v>
      </c>
      <c r="M1680" t="str">
        <f>IF(Table1[[#This Row],[delayed]]=1,"Delayed","On Time")</f>
        <v>On Time</v>
      </c>
      <c r="N1680" t="str">
        <f>IF(AND(Table1[[#This Row],[delayed]]=1,Table1[[#This Row],[weather_condition]]="Storm"),"High Risk", IF(Table1[[#This Row],[delayed]]=1,"Medium Risk","Low Risk"))</f>
        <v>Low Risk</v>
      </c>
    </row>
    <row r="1681" spans="1:14" x14ac:dyDescent="0.35">
      <c r="A1681">
        <v>1680</v>
      </c>
      <c r="B1681" s="1">
        <v>44996.958333333336</v>
      </c>
      <c r="C1681" s="2">
        <v>5.8333333333333327E-2</v>
      </c>
      <c r="D1681" s="3">
        <v>1682</v>
      </c>
      <c r="E1681" s="3">
        <v>32</v>
      </c>
      <c r="F1681" s="2">
        <v>53.587499999999999</v>
      </c>
      <c r="G1681" t="s">
        <v>2816</v>
      </c>
      <c r="H1681" t="s">
        <v>2817</v>
      </c>
      <c r="I1681" s="2">
        <v>1.5013888888888889</v>
      </c>
      <c r="J1681" s="4" t="str">
        <f>IF(Table1[[#This Row],[processing_time_hours]]&gt;1.5,"Slow", "Fast")</f>
        <v>Slow</v>
      </c>
      <c r="K1681" t="s">
        <v>2814</v>
      </c>
      <c r="L1681" s="3">
        <v>0</v>
      </c>
      <c r="M1681" t="str">
        <f>IF(Table1[[#This Row],[delayed]]=1,"Delayed","On Time")</f>
        <v>On Time</v>
      </c>
      <c r="N1681" t="str">
        <f>IF(AND(Table1[[#This Row],[delayed]]=1,Table1[[#This Row],[weather_condition]]="Storm"),"High Risk", IF(Table1[[#This Row],[delayed]]=1,"Medium Risk","Low Risk"))</f>
        <v>Low Risk</v>
      </c>
    </row>
    <row r="1682" spans="1:14" x14ac:dyDescent="0.35">
      <c r="A1682">
        <v>1681</v>
      </c>
      <c r="B1682" s="1">
        <v>44997</v>
      </c>
      <c r="C1682" s="2">
        <v>5.0694444444444438E-2</v>
      </c>
      <c r="D1682" s="3">
        <v>781</v>
      </c>
      <c r="E1682" s="3">
        <v>136</v>
      </c>
      <c r="F1682" s="2">
        <v>20.417361111111109</v>
      </c>
      <c r="G1682" t="s">
        <v>2819</v>
      </c>
      <c r="H1682" t="s">
        <v>2822</v>
      </c>
      <c r="I1682" s="2">
        <v>1.0847222222222224</v>
      </c>
      <c r="J1682" s="4" t="str">
        <f>IF(Table1[[#This Row],[processing_time_hours]]&gt;1.5,"Slow", "Fast")</f>
        <v>Fast</v>
      </c>
      <c r="K1682" t="s">
        <v>2818</v>
      </c>
      <c r="L1682" s="3">
        <v>0</v>
      </c>
      <c r="M1682" t="str">
        <f>IF(Table1[[#This Row],[delayed]]=1,"Delayed","On Time")</f>
        <v>On Time</v>
      </c>
      <c r="N1682" t="str">
        <f>IF(AND(Table1[[#This Row],[delayed]]=1,Table1[[#This Row],[weather_condition]]="Storm"),"High Risk", IF(Table1[[#This Row],[delayed]]=1,"Medium Risk","Low Risk"))</f>
        <v>Low Risk</v>
      </c>
    </row>
    <row r="1683" spans="1:14" x14ac:dyDescent="0.35">
      <c r="A1683">
        <v>1682</v>
      </c>
      <c r="B1683" s="1">
        <v>44997.041666666664</v>
      </c>
      <c r="C1683" s="2">
        <v>4.3055555555555562E-2</v>
      </c>
      <c r="D1683" s="3">
        <v>1943</v>
      </c>
      <c r="E1683" s="3">
        <v>75</v>
      </c>
      <c r="F1683" s="2">
        <v>52.584722222222219</v>
      </c>
      <c r="G1683" t="s">
        <v>2816</v>
      </c>
      <c r="H1683" t="s">
        <v>2822</v>
      </c>
      <c r="I1683" s="2">
        <v>1.7555555555555555</v>
      </c>
      <c r="J1683" s="4" t="str">
        <f>IF(Table1[[#This Row],[processing_time_hours]]&gt;1.5,"Slow", "Fast")</f>
        <v>Slow</v>
      </c>
      <c r="K1683" t="s">
        <v>2821</v>
      </c>
      <c r="L1683" s="3">
        <v>0</v>
      </c>
      <c r="M1683" t="str">
        <f>IF(Table1[[#This Row],[delayed]]=1,"Delayed","On Time")</f>
        <v>On Time</v>
      </c>
      <c r="N1683" t="str">
        <f>IF(AND(Table1[[#This Row],[delayed]]=1,Table1[[#This Row],[weather_condition]]="Storm"),"High Risk", IF(Table1[[#This Row],[delayed]]=1,"Medium Risk","Low Risk"))</f>
        <v>Low Risk</v>
      </c>
    </row>
    <row r="1684" spans="1:14" x14ac:dyDescent="0.35">
      <c r="A1684">
        <v>1683</v>
      </c>
      <c r="B1684" s="1">
        <v>44997.083333333336</v>
      </c>
      <c r="C1684" s="2">
        <v>5.9722222222222225E-2</v>
      </c>
      <c r="D1684" s="3">
        <v>607</v>
      </c>
      <c r="E1684" s="3">
        <v>409</v>
      </c>
      <c r="F1684" s="2">
        <v>22.587500000000002</v>
      </c>
      <c r="G1684" t="s">
        <v>2815</v>
      </c>
      <c r="H1684" t="s">
        <v>2817</v>
      </c>
      <c r="I1684" s="2">
        <v>2.1312500000000001</v>
      </c>
      <c r="J1684" s="4" t="str">
        <f>IF(Table1[[#This Row],[processing_time_hours]]&gt;1.5,"Slow", "Fast")</f>
        <v>Slow</v>
      </c>
      <c r="K1684" t="s">
        <v>2814</v>
      </c>
      <c r="L1684" s="3">
        <v>0</v>
      </c>
      <c r="M1684" t="str">
        <f>IF(Table1[[#This Row],[delayed]]=1,"Delayed","On Time")</f>
        <v>On Time</v>
      </c>
      <c r="N1684" t="str">
        <f>IF(AND(Table1[[#This Row],[delayed]]=1,Table1[[#This Row],[weather_condition]]="Storm"),"High Risk", IF(Table1[[#This Row],[delayed]]=1,"Medium Risk","Low Risk"))</f>
        <v>Low Risk</v>
      </c>
    </row>
    <row r="1685" spans="1:14" x14ac:dyDescent="0.35">
      <c r="A1685">
        <v>1684</v>
      </c>
      <c r="B1685" s="1">
        <v>44997.125</v>
      </c>
      <c r="C1685" s="2">
        <v>5.2083333333333336E-2</v>
      </c>
      <c r="D1685" s="3">
        <v>2202</v>
      </c>
      <c r="E1685" s="3">
        <v>476</v>
      </c>
      <c r="F1685" s="2">
        <v>69.626388888888883</v>
      </c>
      <c r="G1685" t="s">
        <v>2812</v>
      </c>
      <c r="H1685" t="s">
        <v>2820</v>
      </c>
      <c r="I1685" s="2">
        <v>0.33333333333333331</v>
      </c>
      <c r="J1685" s="4" t="str">
        <f>IF(Table1[[#This Row],[processing_time_hours]]&gt;1.5,"Slow", "Fast")</f>
        <v>Fast</v>
      </c>
      <c r="K1685" t="s">
        <v>2818</v>
      </c>
      <c r="L1685" s="3">
        <v>1</v>
      </c>
      <c r="M1685" t="str">
        <f>IF(Table1[[#This Row],[delayed]]=1,"Delayed","On Time")</f>
        <v>Delayed</v>
      </c>
      <c r="N1685" t="str">
        <f>IF(AND(Table1[[#This Row],[delayed]]=1,Table1[[#This Row],[weather_condition]]="Storm"),"High Risk", IF(Table1[[#This Row],[delayed]]=1,"Medium Risk","Low Risk"))</f>
        <v>Medium Risk</v>
      </c>
    </row>
    <row r="1686" spans="1:14" x14ac:dyDescent="0.35">
      <c r="A1686">
        <v>1685</v>
      </c>
      <c r="B1686" s="1">
        <v>44997.166666666664</v>
      </c>
      <c r="C1686" s="2">
        <v>5.6944444444444443E-2</v>
      </c>
      <c r="D1686" s="3">
        <v>3101</v>
      </c>
      <c r="E1686" s="3">
        <v>327</v>
      </c>
      <c r="F1686" s="2">
        <v>29.791666666666668</v>
      </c>
      <c r="G1686" t="s">
        <v>2816</v>
      </c>
      <c r="H1686" t="s">
        <v>2813</v>
      </c>
      <c r="I1686" s="2">
        <v>2.5458333333333334</v>
      </c>
      <c r="J1686" s="4" t="str">
        <f>IF(Table1[[#This Row],[processing_time_hours]]&gt;1.5,"Slow", "Fast")</f>
        <v>Slow</v>
      </c>
      <c r="K1686" t="s">
        <v>2818</v>
      </c>
      <c r="L1686" s="3">
        <v>1</v>
      </c>
      <c r="M1686" t="str">
        <f>IF(Table1[[#This Row],[delayed]]=1,"Delayed","On Time")</f>
        <v>Delayed</v>
      </c>
      <c r="N1686" t="str">
        <f>IF(AND(Table1[[#This Row],[delayed]]=1,Table1[[#This Row],[weather_condition]]="Storm"),"High Risk", IF(Table1[[#This Row],[delayed]]=1,"Medium Risk","Low Risk"))</f>
        <v>Medium Risk</v>
      </c>
    </row>
    <row r="1687" spans="1:14" x14ac:dyDescent="0.35">
      <c r="A1687">
        <v>1686</v>
      </c>
      <c r="B1687" s="1">
        <v>44997.208333333336</v>
      </c>
      <c r="C1687" s="2">
        <v>4.7222222222222221E-2</v>
      </c>
      <c r="D1687" s="3">
        <v>3082</v>
      </c>
      <c r="E1687" s="3">
        <v>20</v>
      </c>
      <c r="F1687" s="2">
        <v>83</v>
      </c>
      <c r="G1687" t="s">
        <v>2815</v>
      </c>
      <c r="H1687" t="s">
        <v>2820</v>
      </c>
      <c r="I1687" s="2">
        <v>0.54375000000000007</v>
      </c>
      <c r="J1687" s="4" t="str">
        <f>IF(Table1[[#This Row],[processing_time_hours]]&gt;1.5,"Slow", "Fast")</f>
        <v>Fast</v>
      </c>
      <c r="K1687" t="s">
        <v>2814</v>
      </c>
      <c r="L1687" s="3">
        <v>0</v>
      </c>
      <c r="M1687" t="str">
        <f>IF(Table1[[#This Row],[delayed]]=1,"Delayed","On Time")</f>
        <v>On Time</v>
      </c>
      <c r="N1687" t="str">
        <f>IF(AND(Table1[[#This Row],[delayed]]=1,Table1[[#This Row],[weather_condition]]="Storm"),"High Risk", IF(Table1[[#This Row],[delayed]]=1,"Medium Risk","Low Risk"))</f>
        <v>Low Risk</v>
      </c>
    </row>
    <row r="1688" spans="1:14" x14ac:dyDescent="0.35">
      <c r="A1688">
        <v>1687</v>
      </c>
      <c r="B1688" s="1">
        <v>44997.25</v>
      </c>
      <c r="C1688" s="2">
        <v>4.2361111111111106E-2</v>
      </c>
      <c r="D1688" s="3">
        <v>3092</v>
      </c>
      <c r="E1688" s="3">
        <v>402</v>
      </c>
      <c r="F1688" s="2">
        <v>36.420833333333334</v>
      </c>
      <c r="G1688" t="s">
        <v>2815</v>
      </c>
      <c r="H1688" t="s">
        <v>2813</v>
      </c>
      <c r="I1688" s="2">
        <v>1.5</v>
      </c>
      <c r="J1688" s="4" t="str">
        <f>IF(Table1[[#This Row],[processing_time_hours]]&gt;1.5,"Slow", "Fast")</f>
        <v>Fast</v>
      </c>
      <c r="K1688" t="s">
        <v>2814</v>
      </c>
      <c r="L1688" s="3">
        <v>0</v>
      </c>
      <c r="M1688" t="str">
        <f>IF(Table1[[#This Row],[delayed]]=1,"Delayed","On Time")</f>
        <v>On Time</v>
      </c>
      <c r="N1688" t="str">
        <f>IF(AND(Table1[[#This Row],[delayed]]=1,Table1[[#This Row],[weather_condition]]="Storm"),"High Risk", IF(Table1[[#This Row],[delayed]]=1,"Medium Risk","Low Risk"))</f>
        <v>Low Risk</v>
      </c>
    </row>
    <row r="1689" spans="1:14" x14ac:dyDescent="0.35">
      <c r="A1689">
        <v>1688</v>
      </c>
      <c r="B1689" s="1">
        <v>44997.291666666664</v>
      </c>
      <c r="C1689" s="2">
        <v>4.4444444444444446E-2</v>
      </c>
      <c r="D1689" s="3">
        <v>4230</v>
      </c>
      <c r="E1689" s="3">
        <v>400</v>
      </c>
      <c r="F1689" s="2">
        <v>53.418749999999996</v>
      </c>
      <c r="G1689" t="s">
        <v>2815</v>
      </c>
      <c r="H1689" t="s">
        <v>2820</v>
      </c>
      <c r="I1689" s="2">
        <v>2.7944444444444443</v>
      </c>
      <c r="J1689" s="4" t="str">
        <f>IF(Table1[[#This Row],[processing_time_hours]]&gt;1.5,"Slow", "Fast")</f>
        <v>Slow</v>
      </c>
      <c r="K1689" t="s">
        <v>2818</v>
      </c>
      <c r="L1689" s="3">
        <v>0</v>
      </c>
      <c r="M1689" t="str">
        <f>IF(Table1[[#This Row],[delayed]]=1,"Delayed","On Time")</f>
        <v>On Time</v>
      </c>
      <c r="N1689" t="str">
        <f>IF(AND(Table1[[#This Row],[delayed]]=1,Table1[[#This Row],[weather_condition]]="Storm"),"High Risk", IF(Table1[[#This Row],[delayed]]=1,"Medium Risk","Low Risk"))</f>
        <v>Low Risk</v>
      </c>
    </row>
    <row r="1690" spans="1:14" x14ac:dyDescent="0.35">
      <c r="A1690">
        <v>1689</v>
      </c>
      <c r="B1690" s="1">
        <v>44997.333333333336</v>
      </c>
      <c r="C1690" s="2">
        <v>5.9722222222222225E-2</v>
      </c>
      <c r="D1690" s="3">
        <v>930</v>
      </c>
      <c r="E1690" s="3">
        <v>146</v>
      </c>
      <c r="F1690" s="2">
        <v>58.21319444444444</v>
      </c>
      <c r="G1690" t="s">
        <v>2812</v>
      </c>
      <c r="H1690" t="s">
        <v>2817</v>
      </c>
      <c r="I1690" s="2">
        <v>0.41875000000000001</v>
      </c>
      <c r="J1690" s="4" t="str">
        <f>IF(Table1[[#This Row],[processing_time_hours]]&gt;1.5,"Slow", "Fast")</f>
        <v>Fast</v>
      </c>
      <c r="K1690" t="s">
        <v>2818</v>
      </c>
      <c r="L1690" s="3">
        <v>0</v>
      </c>
      <c r="M1690" t="str">
        <f>IF(Table1[[#This Row],[delayed]]=1,"Delayed","On Time")</f>
        <v>On Time</v>
      </c>
      <c r="N1690" t="str">
        <f>IF(AND(Table1[[#This Row],[delayed]]=1,Table1[[#This Row],[weather_condition]]="Storm"),"High Risk", IF(Table1[[#This Row],[delayed]]=1,"Medium Risk","Low Risk"))</f>
        <v>Low Risk</v>
      </c>
    </row>
    <row r="1691" spans="1:14" x14ac:dyDescent="0.35">
      <c r="A1691">
        <v>1690</v>
      </c>
      <c r="B1691" s="1">
        <v>44997.375</v>
      </c>
      <c r="C1691" s="2">
        <v>4.5138888888888888E-2</v>
      </c>
      <c r="D1691" s="3">
        <v>4835</v>
      </c>
      <c r="E1691" s="3">
        <v>81</v>
      </c>
      <c r="F1691" s="2">
        <v>42.087499999999999</v>
      </c>
      <c r="G1691" t="s">
        <v>2815</v>
      </c>
      <c r="H1691" t="s">
        <v>2817</v>
      </c>
      <c r="I1691" s="2">
        <v>1.75</v>
      </c>
      <c r="J1691" s="4" t="str">
        <f>IF(Table1[[#This Row],[processing_time_hours]]&gt;1.5,"Slow", "Fast")</f>
        <v>Slow</v>
      </c>
      <c r="K1691" t="s">
        <v>2821</v>
      </c>
      <c r="L1691" s="3">
        <v>1</v>
      </c>
      <c r="M1691" t="str">
        <f>IF(Table1[[#This Row],[delayed]]=1,"Delayed","On Time")</f>
        <v>Delayed</v>
      </c>
      <c r="N1691" t="str">
        <f>IF(AND(Table1[[#This Row],[delayed]]=1,Table1[[#This Row],[weather_condition]]="Storm"),"High Risk", IF(Table1[[#This Row],[delayed]]=1,"Medium Risk","Low Risk"))</f>
        <v>High Risk</v>
      </c>
    </row>
    <row r="1692" spans="1:14" x14ac:dyDescent="0.35">
      <c r="A1692">
        <v>1691</v>
      </c>
      <c r="B1692" s="1">
        <v>44997.416666666664</v>
      </c>
      <c r="C1692" s="2">
        <v>4.9999999999999996E-2</v>
      </c>
      <c r="D1692" s="3">
        <v>4738</v>
      </c>
      <c r="E1692" s="3">
        <v>196</v>
      </c>
      <c r="F1692" s="2">
        <v>42.75</v>
      </c>
      <c r="G1692" t="s">
        <v>2815</v>
      </c>
      <c r="H1692" t="s">
        <v>2813</v>
      </c>
      <c r="I1692" s="2">
        <v>2.838194444444444</v>
      </c>
      <c r="J1692" s="4" t="str">
        <f>IF(Table1[[#This Row],[processing_time_hours]]&gt;1.5,"Slow", "Fast")</f>
        <v>Slow</v>
      </c>
      <c r="K1692" t="s">
        <v>2814</v>
      </c>
      <c r="L1692" s="3">
        <v>0</v>
      </c>
      <c r="M1692" t="str">
        <f>IF(Table1[[#This Row],[delayed]]=1,"Delayed","On Time")</f>
        <v>On Time</v>
      </c>
      <c r="N1692" t="str">
        <f>IF(AND(Table1[[#This Row],[delayed]]=1,Table1[[#This Row],[weather_condition]]="Storm"),"High Risk", IF(Table1[[#This Row],[delayed]]=1,"Medium Risk","Low Risk"))</f>
        <v>Low Risk</v>
      </c>
    </row>
    <row r="1693" spans="1:14" x14ac:dyDescent="0.35">
      <c r="A1693">
        <v>1692</v>
      </c>
      <c r="B1693" s="1">
        <v>44997.458333333336</v>
      </c>
      <c r="C1693" s="2">
        <v>5.8333333333333327E-2</v>
      </c>
      <c r="D1693" s="3">
        <v>1378</v>
      </c>
      <c r="E1693" s="3">
        <v>430</v>
      </c>
      <c r="F1693" s="2">
        <v>60.756250000000001</v>
      </c>
      <c r="G1693" t="s">
        <v>2815</v>
      </c>
      <c r="H1693" t="s">
        <v>2817</v>
      </c>
      <c r="I1693" s="2">
        <v>1.1708333333333334</v>
      </c>
      <c r="J1693" s="4" t="str">
        <f>IF(Table1[[#This Row],[processing_time_hours]]&gt;1.5,"Slow", "Fast")</f>
        <v>Fast</v>
      </c>
      <c r="K1693" t="s">
        <v>2814</v>
      </c>
      <c r="L1693" s="3">
        <v>0</v>
      </c>
      <c r="M1693" t="str">
        <f>IF(Table1[[#This Row],[delayed]]=1,"Delayed","On Time")</f>
        <v>On Time</v>
      </c>
      <c r="N1693" t="str">
        <f>IF(AND(Table1[[#This Row],[delayed]]=1,Table1[[#This Row],[weather_condition]]="Storm"),"High Risk", IF(Table1[[#This Row],[delayed]]=1,"Medium Risk","Low Risk"))</f>
        <v>Low Risk</v>
      </c>
    </row>
    <row r="1694" spans="1:14" x14ac:dyDescent="0.35">
      <c r="A1694">
        <v>1693</v>
      </c>
      <c r="B1694" s="1">
        <v>44997.5</v>
      </c>
      <c r="C1694" s="2">
        <v>4.9305555555555554E-2</v>
      </c>
      <c r="D1694" s="3">
        <v>1740</v>
      </c>
      <c r="E1694" s="3">
        <v>88</v>
      </c>
      <c r="F1694" s="2">
        <v>64.918055555555554</v>
      </c>
      <c r="G1694" t="s">
        <v>2812</v>
      </c>
      <c r="H1694" t="s">
        <v>2817</v>
      </c>
      <c r="I1694" s="2">
        <v>2.2111111111111112</v>
      </c>
      <c r="J1694" s="4" t="str">
        <f>IF(Table1[[#This Row],[processing_time_hours]]&gt;1.5,"Slow", "Fast")</f>
        <v>Slow</v>
      </c>
      <c r="K1694" t="s">
        <v>2821</v>
      </c>
      <c r="L1694" s="3">
        <v>0</v>
      </c>
      <c r="M1694" t="str">
        <f>IF(Table1[[#This Row],[delayed]]=1,"Delayed","On Time")</f>
        <v>On Time</v>
      </c>
      <c r="N1694" t="str">
        <f>IF(AND(Table1[[#This Row],[delayed]]=1,Table1[[#This Row],[weather_condition]]="Storm"),"High Risk", IF(Table1[[#This Row],[delayed]]=1,"Medium Risk","Low Risk"))</f>
        <v>Low Risk</v>
      </c>
    </row>
    <row r="1695" spans="1:14" x14ac:dyDescent="0.35">
      <c r="A1695">
        <v>1694</v>
      </c>
      <c r="B1695" s="1">
        <v>44997.541666666664</v>
      </c>
      <c r="C1695" s="2">
        <v>5.486111111111111E-2</v>
      </c>
      <c r="D1695" s="3">
        <v>2889</v>
      </c>
      <c r="E1695" s="3">
        <v>187</v>
      </c>
      <c r="F1695" s="2">
        <v>63.38055555555556</v>
      </c>
      <c r="G1695" t="s">
        <v>2815</v>
      </c>
      <c r="H1695" t="s">
        <v>2813</v>
      </c>
      <c r="I1695" s="2">
        <v>0.67222222222222217</v>
      </c>
      <c r="J1695" s="4" t="str">
        <f>IF(Table1[[#This Row],[processing_time_hours]]&gt;1.5,"Slow", "Fast")</f>
        <v>Fast</v>
      </c>
      <c r="K1695" t="s">
        <v>2818</v>
      </c>
      <c r="L1695" s="3">
        <v>0</v>
      </c>
      <c r="M1695" t="str">
        <f>IF(Table1[[#This Row],[delayed]]=1,"Delayed","On Time")</f>
        <v>On Time</v>
      </c>
      <c r="N1695" t="str">
        <f>IF(AND(Table1[[#This Row],[delayed]]=1,Table1[[#This Row],[weather_condition]]="Storm"),"High Risk", IF(Table1[[#This Row],[delayed]]=1,"Medium Risk","Low Risk"))</f>
        <v>Low Risk</v>
      </c>
    </row>
    <row r="1696" spans="1:14" x14ac:dyDescent="0.35">
      <c r="A1696">
        <v>1695</v>
      </c>
      <c r="B1696" s="1">
        <v>44997.583333333336</v>
      </c>
      <c r="C1696" s="2">
        <v>5.2777777777777778E-2</v>
      </c>
      <c r="D1696" s="3">
        <v>232</v>
      </c>
      <c r="E1696" s="3">
        <v>327</v>
      </c>
      <c r="F1696" s="2">
        <v>15.672222222222222</v>
      </c>
      <c r="G1696" t="s">
        <v>2815</v>
      </c>
      <c r="H1696" t="s">
        <v>2817</v>
      </c>
      <c r="I1696" s="2">
        <v>0.37777777777777777</v>
      </c>
      <c r="J1696" s="4" t="str">
        <f>IF(Table1[[#This Row],[processing_time_hours]]&gt;1.5,"Slow", "Fast")</f>
        <v>Fast</v>
      </c>
      <c r="K1696" t="s">
        <v>2821</v>
      </c>
      <c r="L1696" s="3">
        <v>0</v>
      </c>
      <c r="M1696" t="str">
        <f>IF(Table1[[#This Row],[delayed]]=1,"Delayed","On Time")</f>
        <v>On Time</v>
      </c>
      <c r="N1696" t="str">
        <f>IF(AND(Table1[[#This Row],[delayed]]=1,Table1[[#This Row],[weather_condition]]="Storm"),"High Risk", IF(Table1[[#This Row],[delayed]]=1,"Medium Risk","Low Risk"))</f>
        <v>Low Risk</v>
      </c>
    </row>
    <row r="1697" spans="1:14" x14ac:dyDescent="0.35">
      <c r="A1697">
        <v>1696</v>
      </c>
      <c r="B1697" s="1">
        <v>44997.625</v>
      </c>
      <c r="C1697" s="2">
        <v>6.3194444444444442E-2</v>
      </c>
      <c r="D1697" s="3">
        <v>1406</v>
      </c>
      <c r="E1697" s="3">
        <v>371</v>
      </c>
      <c r="F1697" s="2">
        <v>68.546527777777769</v>
      </c>
      <c r="G1697" t="s">
        <v>2815</v>
      </c>
      <c r="H1697" t="s">
        <v>2822</v>
      </c>
      <c r="I1697" s="2">
        <v>0.29652777777777778</v>
      </c>
      <c r="J1697" s="4" t="str">
        <f>IF(Table1[[#This Row],[processing_time_hours]]&gt;1.5,"Slow", "Fast")</f>
        <v>Fast</v>
      </c>
      <c r="K1697" t="s">
        <v>2821</v>
      </c>
      <c r="L1697" s="3">
        <v>0</v>
      </c>
      <c r="M1697" t="str">
        <f>IF(Table1[[#This Row],[delayed]]=1,"Delayed","On Time")</f>
        <v>On Time</v>
      </c>
      <c r="N1697" t="str">
        <f>IF(AND(Table1[[#This Row],[delayed]]=1,Table1[[#This Row],[weather_condition]]="Storm"),"High Risk", IF(Table1[[#This Row],[delayed]]=1,"Medium Risk","Low Risk"))</f>
        <v>Low Risk</v>
      </c>
    </row>
    <row r="1698" spans="1:14" x14ac:dyDescent="0.35">
      <c r="A1698">
        <v>1697</v>
      </c>
      <c r="B1698" s="1">
        <v>44997.666666666664</v>
      </c>
      <c r="C1698" s="2">
        <v>5.2777777777777778E-2</v>
      </c>
      <c r="D1698" s="3">
        <v>154</v>
      </c>
      <c r="E1698" s="3">
        <v>160</v>
      </c>
      <c r="F1698" s="2">
        <v>51.12638888888889</v>
      </c>
      <c r="G1698" t="s">
        <v>2815</v>
      </c>
      <c r="H1698" t="s">
        <v>2813</v>
      </c>
      <c r="I1698" s="2">
        <v>0.62638888888888888</v>
      </c>
      <c r="J1698" s="4" t="str">
        <f>IF(Table1[[#This Row],[processing_time_hours]]&gt;1.5,"Slow", "Fast")</f>
        <v>Fast</v>
      </c>
      <c r="K1698" t="s">
        <v>2821</v>
      </c>
      <c r="L1698" s="3">
        <v>0</v>
      </c>
      <c r="M1698" t="str">
        <f>IF(Table1[[#This Row],[delayed]]=1,"Delayed","On Time")</f>
        <v>On Time</v>
      </c>
      <c r="N1698" t="str">
        <f>IF(AND(Table1[[#This Row],[delayed]]=1,Table1[[#This Row],[weather_condition]]="Storm"),"High Risk", IF(Table1[[#This Row],[delayed]]=1,"Medium Risk","Low Risk"))</f>
        <v>Low Risk</v>
      </c>
    </row>
    <row r="1699" spans="1:14" x14ac:dyDescent="0.35">
      <c r="A1699">
        <v>1698</v>
      </c>
      <c r="B1699" s="1">
        <v>44997.708333333336</v>
      </c>
      <c r="C1699" s="2">
        <v>4.9305555555555554E-2</v>
      </c>
      <c r="D1699" s="3">
        <v>2341</v>
      </c>
      <c r="E1699" s="3">
        <v>184</v>
      </c>
      <c r="F1699" s="2">
        <v>26.25</v>
      </c>
      <c r="G1699" t="s">
        <v>2816</v>
      </c>
      <c r="H1699" t="s">
        <v>2817</v>
      </c>
      <c r="I1699" s="2">
        <v>2.0444444444444447</v>
      </c>
      <c r="J1699" s="4" t="str">
        <f>IF(Table1[[#This Row],[processing_time_hours]]&gt;1.5,"Slow", "Fast")</f>
        <v>Slow</v>
      </c>
      <c r="K1699" t="s">
        <v>2818</v>
      </c>
      <c r="L1699" s="3">
        <v>0</v>
      </c>
      <c r="M1699" t="str">
        <f>IF(Table1[[#This Row],[delayed]]=1,"Delayed","On Time")</f>
        <v>On Time</v>
      </c>
      <c r="N1699" t="str">
        <f>IF(AND(Table1[[#This Row],[delayed]]=1,Table1[[#This Row],[weather_condition]]="Storm"),"High Risk", IF(Table1[[#This Row],[delayed]]=1,"Medium Risk","Low Risk"))</f>
        <v>Low Risk</v>
      </c>
    </row>
    <row r="1700" spans="1:14" x14ac:dyDescent="0.35">
      <c r="A1700">
        <v>1699</v>
      </c>
      <c r="B1700" s="1">
        <v>44997.75</v>
      </c>
      <c r="C1700" s="2">
        <v>6.8749999999999992E-2</v>
      </c>
      <c r="D1700" s="3">
        <v>3826</v>
      </c>
      <c r="E1700" s="3">
        <v>188</v>
      </c>
      <c r="F1700" s="2">
        <v>32.168055555555554</v>
      </c>
      <c r="G1700" t="s">
        <v>2812</v>
      </c>
      <c r="H1700" t="s">
        <v>2817</v>
      </c>
      <c r="I1700" s="2">
        <v>1.6291666666666667</v>
      </c>
      <c r="J1700" s="4" t="str">
        <f>IF(Table1[[#This Row],[processing_time_hours]]&gt;1.5,"Slow", "Fast")</f>
        <v>Slow</v>
      </c>
      <c r="K1700" t="s">
        <v>2821</v>
      </c>
      <c r="L1700" s="3">
        <v>0</v>
      </c>
      <c r="M1700" t="str">
        <f>IF(Table1[[#This Row],[delayed]]=1,"Delayed","On Time")</f>
        <v>On Time</v>
      </c>
      <c r="N1700" t="str">
        <f>IF(AND(Table1[[#This Row],[delayed]]=1,Table1[[#This Row],[weather_condition]]="Storm"),"High Risk", IF(Table1[[#This Row],[delayed]]=1,"Medium Risk","Low Risk"))</f>
        <v>Low Risk</v>
      </c>
    </row>
    <row r="1701" spans="1:14" x14ac:dyDescent="0.35">
      <c r="A1701">
        <v>1700</v>
      </c>
      <c r="B1701" s="1">
        <v>44997.791666666664</v>
      </c>
      <c r="C1701" s="2">
        <v>4.6527777777777779E-2</v>
      </c>
      <c r="D1701" s="3">
        <v>4022</v>
      </c>
      <c r="E1701" s="3">
        <v>249</v>
      </c>
      <c r="F1701" s="2">
        <v>76.377083333333331</v>
      </c>
      <c r="G1701" t="s">
        <v>2816</v>
      </c>
      <c r="H1701" t="s">
        <v>2813</v>
      </c>
      <c r="I1701" s="2">
        <v>2.2562500000000001</v>
      </c>
      <c r="J1701" s="4" t="str">
        <f>IF(Table1[[#This Row],[processing_time_hours]]&gt;1.5,"Slow", "Fast")</f>
        <v>Slow</v>
      </c>
      <c r="K1701" t="s">
        <v>2818</v>
      </c>
      <c r="L1701" s="3">
        <v>0</v>
      </c>
      <c r="M1701" t="str">
        <f>IF(Table1[[#This Row],[delayed]]=1,"Delayed","On Time")</f>
        <v>On Time</v>
      </c>
      <c r="N1701" t="str">
        <f>IF(AND(Table1[[#This Row],[delayed]]=1,Table1[[#This Row],[weather_condition]]="Storm"),"High Risk", IF(Table1[[#This Row],[delayed]]=1,"Medium Risk","Low Risk"))</f>
        <v>Low Risk</v>
      </c>
    </row>
    <row r="1702" spans="1:14" x14ac:dyDescent="0.35">
      <c r="A1702">
        <v>1701</v>
      </c>
      <c r="B1702" s="1">
        <v>44997.833333333336</v>
      </c>
      <c r="C1702" s="2">
        <v>5.9722222222222225E-2</v>
      </c>
      <c r="D1702" s="3">
        <v>3348</v>
      </c>
      <c r="E1702" s="3">
        <v>91</v>
      </c>
      <c r="F1702" s="2">
        <v>4.2527777777777773</v>
      </c>
      <c r="G1702" t="s">
        <v>2816</v>
      </c>
      <c r="H1702" t="s">
        <v>2813</v>
      </c>
      <c r="I1702" s="2">
        <v>0.21180555555555555</v>
      </c>
      <c r="J1702" s="4" t="str">
        <f>IF(Table1[[#This Row],[processing_time_hours]]&gt;1.5,"Slow", "Fast")</f>
        <v>Fast</v>
      </c>
      <c r="K1702" t="s">
        <v>2818</v>
      </c>
      <c r="L1702" s="3">
        <v>0</v>
      </c>
      <c r="M1702" t="str">
        <f>IF(Table1[[#This Row],[delayed]]=1,"Delayed","On Time")</f>
        <v>On Time</v>
      </c>
      <c r="N1702" t="str">
        <f>IF(AND(Table1[[#This Row],[delayed]]=1,Table1[[#This Row],[weather_condition]]="Storm"),"High Risk", IF(Table1[[#This Row],[delayed]]=1,"Medium Risk","Low Risk"))</f>
        <v>Low Risk</v>
      </c>
    </row>
    <row r="1703" spans="1:14" x14ac:dyDescent="0.35">
      <c r="A1703">
        <v>1702</v>
      </c>
      <c r="B1703" s="1">
        <v>44997.875</v>
      </c>
      <c r="C1703" s="2">
        <v>5.9027777777777783E-2</v>
      </c>
      <c r="D1703" s="3">
        <v>445</v>
      </c>
      <c r="E1703" s="3">
        <v>438</v>
      </c>
      <c r="F1703" s="2">
        <v>47.958333333333336</v>
      </c>
      <c r="G1703" t="s">
        <v>2819</v>
      </c>
      <c r="H1703" t="s">
        <v>2820</v>
      </c>
      <c r="I1703" s="2">
        <v>0.46111111111111108</v>
      </c>
      <c r="J1703" s="4" t="str">
        <f>IF(Table1[[#This Row],[processing_time_hours]]&gt;1.5,"Slow", "Fast")</f>
        <v>Fast</v>
      </c>
      <c r="K1703" t="s">
        <v>2818</v>
      </c>
      <c r="L1703" s="3">
        <v>0</v>
      </c>
      <c r="M1703" t="str">
        <f>IF(Table1[[#This Row],[delayed]]=1,"Delayed","On Time")</f>
        <v>On Time</v>
      </c>
      <c r="N1703" t="str">
        <f>IF(AND(Table1[[#This Row],[delayed]]=1,Table1[[#This Row],[weather_condition]]="Storm"),"High Risk", IF(Table1[[#This Row],[delayed]]=1,"Medium Risk","Low Risk"))</f>
        <v>Low Risk</v>
      </c>
    </row>
    <row r="1704" spans="1:14" x14ac:dyDescent="0.35">
      <c r="A1704">
        <v>1703</v>
      </c>
      <c r="B1704" s="1">
        <v>44997.916666666664</v>
      </c>
      <c r="C1704" s="2">
        <v>5.1388888888888894E-2</v>
      </c>
      <c r="D1704" s="3">
        <v>1930</v>
      </c>
      <c r="E1704" s="3">
        <v>451</v>
      </c>
      <c r="F1704" s="2">
        <v>20.836805555555554</v>
      </c>
      <c r="G1704" t="s">
        <v>2816</v>
      </c>
      <c r="H1704" t="s">
        <v>2813</v>
      </c>
      <c r="I1704" s="2">
        <v>0.37986111111111115</v>
      </c>
      <c r="J1704" s="4" t="str">
        <f>IF(Table1[[#This Row],[processing_time_hours]]&gt;1.5,"Slow", "Fast")</f>
        <v>Fast</v>
      </c>
      <c r="K1704" t="s">
        <v>2814</v>
      </c>
      <c r="L1704" s="3">
        <v>1</v>
      </c>
      <c r="M1704" t="str">
        <f>IF(Table1[[#This Row],[delayed]]=1,"Delayed","On Time")</f>
        <v>Delayed</v>
      </c>
      <c r="N1704" t="str">
        <f>IF(AND(Table1[[#This Row],[delayed]]=1,Table1[[#This Row],[weather_condition]]="Storm"),"High Risk", IF(Table1[[#This Row],[delayed]]=1,"Medium Risk","Low Risk"))</f>
        <v>Medium Risk</v>
      </c>
    </row>
    <row r="1705" spans="1:14" x14ac:dyDescent="0.35">
      <c r="A1705">
        <v>1704</v>
      </c>
      <c r="B1705" s="1">
        <v>44997.958333333336</v>
      </c>
      <c r="C1705" s="2">
        <v>6.2499999999999995E-3</v>
      </c>
      <c r="D1705" s="3">
        <v>4844</v>
      </c>
      <c r="E1705" s="3">
        <v>77</v>
      </c>
      <c r="F1705" s="2">
        <v>22.631249999999998</v>
      </c>
      <c r="G1705" t="s">
        <v>2815</v>
      </c>
      <c r="H1705" t="s">
        <v>2813</v>
      </c>
      <c r="I1705" s="2">
        <v>1.8756944444444443</v>
      </c>
      <c r="J1705" s="4" t="str">
        <f>IF(Table1[[#This Row],[processing_time_hours]]&gt;1.5,"Slow", "Fast")</f>
        <v>Slow</v>
      </c>
      <c r="K1705" t="s">
        <v>2818</v>
      </c>
      <c r="L1705" s="3">
        <v>0</v>
      </c>
      <c r="M1705" t="str">
        <f>IF(Table1[[#This Row],[delayed]]=1,"Delayed","On Time")</f>
        <v>On Time</v>
      </c>
      <c r="N1705" t="str">
        <f>IF(AND(Table1[[#This Row],[delayed]]=1,Table1[[#This Row],[weather_condition]]="Storm"),"High Risk", IF(Table1[[#This Row],[delayed]]=1,"Medium Risk","Low Risk"))</f>
        <v>Low Risk</v>
      </c>
    </row>
    <row r="1706" spans="1:14" x14ac:dyDescent="0.35">
      <c r="A1706">
        <v>1705</v>
      </c>
      <c r="B1706" s="1">
        <v>44998</v>
      </c>
      <c r="C1706" s="2">
        <v>6.2499999999999995E-3</v>
      </c>
      <c r="D1706" s="3">
        <v>1627</v>
      </c>
      <c r="E1706" s="3">
        <v>259</v>
      </c>
      <c r="F1706" s="2">
        <v>29.337500000000002</v>
      </c>
      <c r="G1706" t="s">
        <v>2816</v>
      </c>
      <c r="H1706" t="s">
        <v>2820</v>
      </c>
      <c r="I1706" s="2">
        <v>0.96180555555555547</v>
      </c>
      <c r="J1706" s="4" t="str">
        <f>IF(Table1[[#This Row],[processing_time_hours]]&gt;1.5,"Slow", "Fast")</f>
        <v>Fast</v>
      </c>
      <c r="K1706" t="s">
        <v>2814</v>
      </c>
      <c r="L1706" s="3">
        <v>0</v>
      </c>
      <c r="M1706" t="str">
        <f>IF(Table1[[#This Row],[delayed]]=1,"Delayed","On Time")</f>
        <v>On Time</v>
      </c>
      <c r="N1706" t="str">
        <f>IF(AND(Table1[[#This Row],[delayed]]=1,Table1[[#This Row],[weather_condition]]="Storm"),"High Risk", IF(Table1[[#This Row],[delayed]]=1,"Medium Risk","Low Risk"))</f>
        <v>Low Risk</v>
      </c>
    </row>
    <row r="1707" spans="1:14" x14ac:dyDescent="0.35">
      <c r="A1707">
        <v>1706</v>
      </c>
      <c r="B1707" s="1">
        <v>44998.041666666664</v>
      </c>
      <c r="C1707" s="2">
        <v>5.486111111111111E-2</v>
      </c>
      <c r="D1707" s="3">
        <v>2603</v>
      </c>
      <c r="E1707" s="3">
        <v>456</v>
      </c>
      <c r="F1707" s="2">
        <v>64.381250000000009</v>
      </c>
      <c r="G1707" t="s">
        <v>2816</v>
      </c>
      <c r="H1707" t="s">
        <v>2813</v>
      </c>
      <c r="I1707" s="2">
        <v>0.75555555555555554</v>
      </c>
      <c r="J1707" s="4" t="str">
        <f>IF(Table1[[#This Row],[processing_time_hours]]&gt;1.5,"Slow", "Fast")</f>
        <v>Fast</v>
      </c>
      <c r="K1707" t="s">
        <v>2818</v>
      </c>
      <c r="L1707" s="3">
        <v>0</v>
      </c>
      <c r="M1707" t="str">
        <f>IF(Table1[[#This Row],[delayed]]=1,"Delayed","On Time")</f>
        <v>On Time</v>
      </c>
      <c r="N1707" t="str">
        <f>IF(AND(Table1[[#This Row],[delayed]]=1,Table1[[#This Row],[weather_condition]]="Storm"),"High Risk", IF(Table1[[#This Row],[delayed]]=1,"Medium Risk","Low Risk"))</f>
        <v>Low Risk</v>
      </c>
    </row>
    <row r="1708" spans="1:14" x14ac:dyDescent="0.35">
      <c r="A1708">
        <v>1707</v>
      </c>
      <c r="B1708" s="1">
        <v>44998.083333333336</v>
      </c>
      <c r="C1708" s="2">
        <v>5.0694444444444438E-2</v>
      </c>
      <c r="D1708" s="3">
        <v>4826</v>
      </c>
      <c r="E1708" s="3">
        <v>386</v>
      </c>
      <c r="F1708" s="2">
        <v>22.668749999999999</v>
      </c>
      <c r="G1708" t="s">
        <v>2812</v>
      </c>
      <c r="H1708" t="s">
        <v>2820</v>
      </c>
      <c r="I1708" s="2">
        <v>0.92152777777777783</v>
      </c>
      <c r="J1708" s="4" t="str">
        <f>IF(Table1[[#This Row],[processing_time_hours]]&gt;1.5,"Slow", "Fast")</f>
        <v>Fast</v>
      </c>
      <c r="K1708" t="s">
        <v>2818</v>
      </c>
      <c r="L1708" s="3">
        <v>1</v>
      </c>
      <c r="M1708" t="str">
        <f>IF(Table1[[#This Row],[delayed]]=1,"Delayed","On Time")</f>
        <v>Delayed</v>
      </c>
      <c r="N1708" t="str">
        <f>IF(AND(Table1[[#This Row],[delayed]]=1,Table1[[#This Row],[weather_condition]]="Storm"),"High Risk", IF(Table1[[#This Row],[delayed]]=1,"Medium Risk","Low Risk"))</f>
        <v>Medium Risk</v>
      </c>
    </row>
    <row r="1709" spans="1:14" x14ac:dyDescent="0.35">
      <c r="A1709">
        <v>1708</v>
      </c>
      <c r="B1709" s="1">
        <v>44998.125</v>
      </c>
      <c r="C1709" s="2">
        <v>4.5138888888888888E-2</v>
      </c>
      <c r="D1709" s="3">
        <v>3185</v>
      </c>
      <c r="E1709" s="3">
        <v>194</v>
      </c>
      <c r="F1709" s="2">
        <v>70.291666666666671</v>
      </c>
      <c r="G1709" t="s">
        <v>2812</v>
      </c>
      <c r="H1709" t="s">
        <v>2813</v>
      </c>
      <c r="I1709" s="2">
        <v>1.6708333333333334</v>
      </c>
      <c r="J1709" s="4" t="str">
        <f>IF(Table1[[#This Row],[processing_time_hours]]&gt;1.5,"Slow", "Fast")</f>
        <v>Slow</v>
      </c>
      <c r="K1709" t="s">
        <v>2818</v>
      </c>
      <c r="L1709" s="3">
        <v>0</v>
      </c>
      <c r="M1709" t="str">
        <f>IF(Table1[[#This Row],[delayed]]=1,"Delayed","On Time")</f>
        <v>On Time</v>
      </c>
      <c r="N1709" t="str">
        <f>IF(AND(Table1[[#This Row],[delayed]]=1,Table1[[#This Row],[weather_condition]]="Storm"),"High Risk", IF(Table1[[#This Row],[delayed]]=1,"Medium Risk","Low Risk"))</f>
        <v>Low Risk</v>
      </c>
    </row>
    <row r="1710" spans="1:14" x14ac:dyDescent="0.35">
      <c r="A1710">
        <v>1709</v>
      </c>
      <c r="B1710" s="1">
        <v>44998.166666666664</v>
      </c>
      <c r="C1710" s="2">
        <v>6.5972222222222224E-2</v>
      </c>
      <c r="D1710" s="3">
        <v>4448</v>
      </c>
      <c r="E1710" s="3">
        <v>413</v>
      </c>
      <c r="F1710" s="2">
        <v>73.172222222222231</v>
      </c>
      <c r="G1710" t="s">
        <v>2816</v>
      </c>
      <c r="H1710" t="s">
        <v>2813</v>
      </c>
      <c r="I1710" s="2">
        <v>0.87847222222222221</v>
      </c>
      <c r="J1710" s="4" t="str">
        <f>IF(Table1[[#This Row],[processing_time_hours]]&gt;1.5,"Slow", "Fast")</f>
        <v>Fast</v>
      </c>
      <c r="K1710" t="s">
        <v>2818</v>
      </c>
      <c r="L1710" s="3">
        <v>0</v>
      </c>
      <c r="M1710" t="str">
        <f>IF(Table1[[#This Row],[delayed]]=1,"Delayed","On Time")</f>
        <v>On Time</v>
      </c>
      <c r="N1710" t="str">
        <f>IF(AND(Table1[[#This Row],[delayed]]=1,Table1[[#This Row],[weather_condition]]="Storm"),"High Risk", IF(Table1[[#This Row],[delayed]]=1,"Medium Risk","Low Risk"))</f>
        <v>Low Risk</v>
      </c>
    </row>
    <row r="1711" spans="1:14" x14ac:dyDescent="0.35">
      <c r="A1711">
        <v>1710</v>
      </c>
      <c r="B1711" s="1">
        <v>44998.208333333336</v>
      </c>
      <c r="C1711" s="2">
        <v>6.8749999999999992E-2</v>
      </c>
      <c r="D1711" s="3">
        <v>1859</v>
      </c>
      <c r="E1711" s="3">
        <v>232</v>
      </c>
      <c r="F1711" s="2">
        <v>25.209722222222222</v>
      </c>
      <c r="G1711" t="s">
        <v>2812</v>
      </c>
      <c r="H1711" t="s">
        <v>2813</v>
      </c>
      <c r="I1711" s="2">
        <v>2.1680555555555556</v>
      </c>
      <c r="J1711" s="4" t="str">
        <f>IF(Table1[[#This Row],[processing_time_hours]]&gt;1.5,"Slow", "Fast")</f>
        <v>Slow</v>
      </c>
      <c r="K1711" t="s">
        <v>2814</v>
      </c>
      <c r="L1711" s="3">
        <v>1</v>
      </c>
      <c r="M1711" t="str">
        <f>IF(Table1[[#This Row],[delayed]]=1,"Delayed","On Time")</f>
        <v>Delayed</v>
      </c>
      <c r="N1711" t="str">
        <f>IF(AND(Table1[[#This Row],[delayed]]=1,Table1[[#This Row],[weather_condition]]="Storm"),"High Risk", IF(Table1[[#This Row],[delayed]]=1,"Medium Risk","Low Risk"))</f>
        <v>Medium Risk</v>
      </c>
    </row>
    <row r="1712" spans="1:14" x14ac:dyDescent="0.35">
      <c r="A1712">
        <v>1711</v>
      </c>
      <c r="B1712" s="1">
        <v>44998.25</v>
      </c>
      <c r="C1712" s="2">
        <v>4.9305555555555554E-2</v>
      </c>
      <c r="D1712" s="3">
        <v>340</v>
      </c>
      <c r="E1712" s="3">
        <v>382</v>
      </c>
      <c r="F1712" s="2">
        <v>55.920833333333327</v>
      </c>
      <c r="G1712" t="s">
        <v>2816</v>
      </c>
      <c r="H1712" t="s">
        <v>2813</v>
      </c>
      <c r="I1712" s="2">
        <v>0.79652777777777783</v>
      </c>
      <c r="J1712" s="4" t="str">
        <f>IF(Table1[[#This Row],[processing_time_hours]]&gt;1.5,"Slow", "Fast")</f>
        <v>Fast</v>
      </c>
      <c r="K1712" t="s">
        <v>2818</v>
      </c>
      <c r="L1712" s="3">
        <v>0</v>
      </c>
      <c r="M1712" t="str">
        <f>IF(Table1[[#This Row],[delayed]]=1,"Delayed","On Time")</f>
        <v>On Time</v>
      </c>
      <c r="N1712" t="str">
        <f>IF(AND(Table1[[#This Row],[delayed]]=1,Table1[[#This Row],[weather_condition]]="Storm"),"High Risk", IF(Table1[[#This Row],[delayed]]=1,"Medium Risk","Low Risk"))</f>
        <v>Low Risk</v>
      </c>
    </row>
    <row r="1713" spans="1:14" x14ac:dyDescent="0.35">
      <c r="A1713">
        <v>1712</v>
      </c>
      <c r="B1713" s="1">
        <v>44998.291666666664</v>
      </c>
      <c r="C1713" s="2">
        <v>5.0694444444444438E-2</v>
      </c>
      <c r="D1713" s="3">
        <v>118</v>
      </c>
      <c r="E1713" s="3">
        <v>487</v>
      </c>
      <c r="F1713" s="2">
        <v>34.295833333333334</v>
      </c>
      <c r="G1713" t="s">
        <v>2816</v>
      </c>
      <c r="H1713" t="s">
        <v>2820</v>
      </c>
      <c r="I1713" s="2">
        <v>0.21249999999999999</v>
      </c>
      <c r="J1713" s="4" t="str">
        <f>IF(Table1[[#This Row],[processing_time_hours]]&gt;1.5,"Slow", "Fast")</f>
        <v>Fast</v>
      </c>
      <c r="K1713" t="s">
        <v>2818</v>
      </c>
      <c r="L1713" s="3">
        <v>1</v>
      </c>
      <c r="M1713" t="str">
        <f>IF(Table1[[#This Row],[delayed]]=1,"Delayed","On Time")</f>
        <v>Delayed</v>
      </c>
      <c r="N1713" t="str">
        <f>IF(AND(Table1[[#This Row],[delayed]]=1,Table1[[#This Row],[weather_condition]]="Storm"),"High Risk", IF(Table1[[#This Row],[delayed]]=1,"Medium Risk","Low Risk"))</f>
        <v>Medium Risk</v>
      </c>
    </row>
    <row r="1714" spans="1:14" x14ac:dyDescent="0.35">
      <c r="A1714">
        <v>1713</v>
      </c>
      <c r="B1714" s="1">
        <v>44998.333333333336</v>
      </c>
      <c r="C1714" s="2">
        <v>5.9722222222222225E-2</v>
      </c>
      <c r="D1714" s="3">
        <v>461</v>
      </c>
      <c r="E1714" s="3">
        <v>47</v>
      </c>
      <c r="F1714" s="2">
        <v>69.379861111111111</v>
      </c>
      <c r="G1714" t="s">
        <v>2816</v>
      </c>
      <c r="H1714" t="s">
        <v>2822</v>
      </c>
      <c r="I1714" s="2">
        <v>2.4208333333333334</v>
      </c>
      <c r="J1714" s="4" t="str">
        <f>IF(Table1[[#This Row],[processing_time_hours]]&gt;1.5,"Slow", "Fast")</f>
        <v>Slow</v>
      </c>
      <c r="K1714" t="s">
        <v>2821</v>
      </c>
      <c r="L1714" s="3">
        <v>0</v>
      </c>
      <c r="M1714" t="str">
        <f>IF(Table1[[#This Row],[delayed]]=1,"Delayed","On Time")</f>
        <v>On Time</v>
      </c>
      <c r="N1714" t="str">
        <f>IF(AND(Table1[[#This Row],[delayed]]=1,Table1[[#This Row],[weather_condition]]="Storm"),"High Risk", IF(Table1[[#This Row],[delayed]]=1,"Medium Risk","Low Risk"))</f>
        <v>Low Risk</v>
      </c>
    </row>
    <row r="1715" spans="1:14" x14ac:dyDescent="0.35">
      <c r="A1715">
        <v>1714</v>
      </c>
      <c r="B1715" s="1">
        <v>44998.375</v>
      </c>
      <c r="C1715" s="2">
        <v>6.3194444444444442E-2</v>
      </c>
      <c r="D1715" s="3">
        <v>1521</v>
      </c>
      <c r="E1715" s="3">
        <v>258</v>
      </c>
      <c r="F1715" s="2">
        <v>12.294444444444444</v>
      </c>
      <c r="G1715" t="s">
        <v>2816</v>
      </c>
      <c r="H1715" t="s">
        <v>2813</v>
      </c>
      <c r="I1715" s="2">
        <v>0.33333333333333331</v>
      </c>
      <c r="J1715" s="4" t="str">
        <f>IF(Table1[[#This Row],[processing_time_hours]]&gt;1.5,"Slow", "Fast")</f>
        <v>Fast</v>
      </c>
      <c r="K1715" t="s">
        <v>2821</v>
      </c>
      <c r="L1715" s="3">
        <v>1</v>
      </c>
      <c r="M1715" t="str">
        <f>IF(Table1[[#This Row],[delayed]]=1,"Delayed","On Time")</f>
        <v>Delayed</v>
      </c>
      <c r="N1715" t="str">
        <f>IF(AND(Table1[[#This Row],[delayed]]=1,Table1[[#This Row],[weather_condition]]="Storm"),"High Risk", IF(Table1[[#This Row],[delayed]]=1,"Medium Risk","Low Risk"))</f>
        <v>Medium Risk</v>
      </c>
    </row>
    <row r="1716" spans="1:14" x14ac:dyDescent="0.35">
      <c r="A1716">
        <v>1715</v>
      </c>
      <c r="B1716" s="1">
        <v>44998.416666666664</v>
      </c>
      <c r="C1716" s="2">
        <v>6.5277777777777782E-2</v>
      </c>
      <c r="D1716" s="3">
        <v>775</v>
      </c>
      <c r="E1716" s="3">
        <v>393</v>
      </c>
      <c r="F1716" s="2">
        <v>83.254166666666663</v>
      </c>
      <c r="G1716" t="s">
        <v>2812</v>
      </c>
      <c r="H1716" t="s">
        <v>2817</v>
      </c>
      <c r="I1716" s="2">
        <v>0.29652777777777778</v>
      </c>
      <c r="J1716" s="4" t="str">
        <f>IF(Table1[[#This Row],[processing_time_hours]]&gt;1.5,"Slow", "Fast")</f>
        <v>Fast</v>
      </c>
      <c r="K1716" t="s">
        <v>2818</v>
      </c>
      <c r="L1716" s="3">
        <v>0</v>
      </c>
      <c r="M1716" t="str">
        <f>IF(Table1[[#This Row],[delayed]]=1,"Delayed","On Time")</f>
        <v>On Time</v>
      </c>
      <c r="N1716" t="str">
        <f>IF(AND(Table1[[#This Row],[delayed]]=1,Table1[[#This Row],[weather_condition]]="Storm"),"High Risk", IF(Table1[[#This Row],[delayed]]=1,"Medium Risk","Low Risk"))</f>
        <v>Low Risk</v>
      </c>
    </row>
    <row r="1717" spans="1:14" x14ac:dyDescent="0.35">
      <c r="A1717">
        <v>1716</v>
      </c>
      <c r="B1717" s="1">
        <v>44998.458333333336</v>
      </c>
      <c r="C1717" s="2">
        <v>6.3194444444444442E-2</v>
      </c>
      <c r="D1717" s="3">
        <v>3198</v>
      </c>
      <c r="E1717" s="3">
        <v>256</v>
      </c>
      <c r="F1717" s="2">
        <v>32.002083333333331</v>
      </c>
      <c r="G1717" t="s">
        <v>2815</v>
      </c>
      <c r="H1717" t="s">
        <v>2813</v>
      </c>
      <c r="I1717" s="2">
        <v>0.50347222222222221</v>
      </c>
      <c r="J1717" s="4" t="str">
        <f>IF(Table1[[#This Row],[processing_time_hours]]&gt;1.5,"Slow", "Fast")</f>
        <v>Fast</v>
      </c>
      <c r="K1717" t="s">
        <v>2814</v>
      </c>
      <c r="L1717" s="3">
        <v>1</v>
      </c>
      <c r="M1717" t="str">
        <f>IF(Table1[[#This Row],[delayed]]=1,"Delayed","On Time")</f>
        <v>Delayed</v>
      </c>
      <c r="N1717" t="str">
        <f>IF(AND(Table1[[#This Row],[delayed]]=1,Table1[[#This Row],[weather_condition]]="Storm"),"High Risk", IF(Table1[[#This Row],[delayed]]=1,"Medium Risk","Low Risk"))</f>
        <v>Medium Risk</v>
      </c>
    </row>
    <row r="1718" spans="1:14" x14ac:dyDescent="0.35">
      <c r="A1718">
        <v>1717</v>
      </c>
      <c r="B1718" s="1">
        <v>44998.5</v>
      </c>
      <c r="C1718" s="2">
        <v>6.0416666666666667E-2</v>
      </c>
      <c r="D1718" s="3">
        <v>3906</v>
      </c>
      <c r="E1718" s="3">
        <v>183</v>
      </c>
      <c r="F1718" s="2">
        <v>77.504861111111111</v>
      </c>
      <c r="G1718" t="s">
        <v>2819</v>
      </c>
      <c r="H1718" t="s">
        <v>2822</v>
      </c>
      <c r="I1718" s="2">
        <v>0.62916666666666665</v>
      </c>
      <c r="J1718" s="4" t="str">
        <f>IF(Table1[[#This Row],[processing_time_hours]]&gt;1.5,"Slow", "Fast")</f>
        <v>Fast</v>
      </c>
      <c r="K1718" t="s">
        <v>2821</v>
      </c>
      <c r="L1718" s="3">
        <v>1</v>
      </c>
      <c r="M1718" t="str">
        <f>IF(Table1[[#This Row],[delayed]]=1,"Delayed","On Time")</f>
        <v>Delayed</v>
      </c>
      <c r="N1718" t="str">
        <f>IF(AND(Table1[[#This Row],[delayed]]=1,Table1[[#This Row],[weather_condition]]="Storm"),"High Risk", IF(Table1[[#This Row],[delayed]]=1,"Medium Risk","Low Risk"))</f>
        <v>Medium Risk</v>
      </c>
    </row>
    <row r="1719" spans="1:14" x14ac:dyDescent="0.35">
      <c r="A1719">
        <v>1718</v>
      </c>
      <c r="B1719" s="1">
        <v>44998.541666666664</v>
      </c>
      <c r="C1719" s="2">
        <v>5.9027777777777783E-2</v>
      </c>
      <c r="D1719" s="3">
        <v>1509</v>
      </c>
      <c r="E1719" s="3">
        <v>455</v>
      </c>
      <c r="F1719" s="2">
        <v>78.292361111111106</v>
      </c>
      <c r="G1719" t="s">
        <v>2816</v>
      </c>
      <c r="H1719" t="s">
        <v>2822</v>
      </c>
      <c r="I1719" s="2">
        <v>2.25</v>
      </c>
      <c r="J1719" s="4" t="str">
        <f>IF(Table1[[#This Row],[processing_time_hours]]&gt;1.5,"Slow", "Fast")</f>
        <v>Slow</v>
      </c>
      <c r="K1719" t="s">
        <v>2821</v>
      </c>
      <c r="L1719" s="3">
        <v>0</v>
      </c>
      <c r="M1719" t="str">
        <f>IF(Table1[[#This Row],[delayed]]=1,"Delayed","On Time")</f>
        <v>On Time</v>
      </c>
      <c r="N1719" t="str">
        <f>IF(AND(Table1[[#This Row],[delayed]]=1,Table1[[#This Row],[weather_condition]]="Storm"),"High Risk", IF(Table1[[#This Row],[delayed]]=1,"Medium Risk","Low Risk"))</f>
        <v>Low Risk</v>
      </c>
    </row>
    <row r="1720" spans="1:14" x14ac:dyDescent="0.35">
      <c r="A1720">
        <v>1719</v>
      </c>
      <c r="B1720" s="1">
        <v>44998.583333333336</v>
      </c>
      <c r="C1720" s="2">
        <v>4.2361111111111106E-2</v>
      </c>
      <c r="D1720" s="3">
        <v>784</v>
      </c>
      <c r="E1720" s="3">
        <v>466</v>
      </c>
      <c r="F1720" s="2">
        <v>23.336111111111112</v>
      </c>
      <c r="G1720" t="s">
        <v>2819</v>
      </c>
      <c r="H1720" t="s">
        <v>2820</v>
      </c>
      <c r="I1720" s="2">
        <v>2.5430555555555556</v>
      </c>
      <c r="J1720" s="4" t="str">
        <f>IF(Table1[[#This Row],[processing_time_hours]]&gt;1.5,"Slow", "Fast")</f>
        <v>Slow</v>
      </c>
      <c r="K1720" t="s">
        <v>2814</v>
      </c>
      <c r="L1720" s="3">
        <v>0</v>
      </c>
      <c r="M1720" t="str">
        <f>IF(Table1[[#This Row],[delayed]]=1,"Delayed","On Time")</f>
        <v>On Time</v>
      </c>
      <c r="N1720" t="str">
        <f>IF(AND(Table1[[#This Row],[delayed]]=1,Table1[[#This Row],[weather_condition]]="Storm"),"High Risk", IF(Table1[[#This Row],[delayed]]=1,"Medium Risk","Low Risk"))</f>
        <v>Low Risk</v>
      </c>
    </row>
    <row r="1721" spans="1:14" x14ac:dyDescent="0.35">
      <c r="A1721">
        <v>1720</v>
      </c>
      <c r="B1721" s="1">
        <v>44998.625</v>
      </c>
      <c r="C1721" s="2">
        <v>5.5555555555555558E-3</v>
      </c>
      <c r="D1721" s="3">
        <v>653</v>
      </c>
      <c r="E1721" s="3">
        <v>475</v>
      </c>
      <c r="F1721" s="2">
        <v>79.333333333333329</v>
      </c>
      <c r="G1721" t="s">
        <v>2812</v>
      </c>
      <c r="H1721" t="s">
        <v>2817</v>
      </c>
      <c r="I1721" s="2">
        <v>2.4222222222222221</v>
      </c>
      <c r="J1721" s="4" t="str">
        <f>IF(Table1[[#This Row],[processing_time_hours]]&gt;1.5,"Slow", "Fast")</f>
        <v>Slow</v>
      </c>
      <c r="K1721" t="s">
        <v>2821</v>
      </c>
      <c r="L1721" s="3">
        <v>0</v>
      </c>
      <c r="M1721" t="str">
        <f>IF(Table1[[#This Row],[delayed]]=1,"Delayed","On Time")</f>
        <v>On Time</v>
      </c>
      <c r="N1721" t="str">
        <f>IF(AND(Table1[[#This Row],[delayed]]=1,Table1[[#This Row],[weather_condition]]="Storm"),"High Risk", IF(Table1[[#This Row],[delayed]]=1,"Medium Risk","Low Risk"))</f>
        <v>Low Risk</v>
      </c>
    </row>
    <row r="1722" spans="1:14" x14ac:dyDescent="0.35">
      <c r="A1722">
        <v>1721</v>
      </c>
      <c r="B1722" s="1">
        <v>44998.666666666664</v>
      </c>
      <c r="C1722" s="2">
        <v>6.1111111111111109E-2</v>
      </c>
      <c r="D1722" s="3">
        <v>4865</v>
      </c>
      <c r="E1722" s="3">
        <v>95</v>
      </c>
      <c r="F1722" s="2">
        <v>13.668055555555556</v>
      </c>
      <c r="G1722" t="s">
        <v>2819</v>
      </c>
      <c r="H1722" t="s">
        <v>2822</v>
      </c>
      <c r="I1722" s="2">
        <v>0.54722222222222217</v>
      </c>
      <c r="J1722" s="4" t="str">
        <f>IF(Table1[[#This Row],[processing_time_hours]]&gt;1.5,"Slow", "Fast")</f>
        <v>Fast</v>
      </c>
      <c r="K1722" t="s">
        <v>2814</v>
      </c>
      <c r="L1722" s="3">
        <v>1</v>
      </c>
      <c r="M1722" t="str">
        <f>IF(Table1[[#This Row],[delayed]]=1,"Delayed","On Time")</f>
        <v>Delayed</v>
      </c>
      <c r="N1722" t="str">
        <f>IF(AND(Table1[[#This Row],[delayed]]=1,Table1[[#This Row],[weather_condition]]="Storm"),"High Risk", IF(Table1[[#This Row],[delayed]]=1,"Medium Risk","Low Risk"))</f>
        <v>Medium Risk</v>
      </c>
    </row>
    <row r="1723" spans="1:14" x14ac:dyDescent="0.35">
      <c r="A1723">
        <v>1722</v>
      </c>
      <c r="B1723" s="1">
        <v>44998.708333333336</v>
      </c>
      <c r="C1723" s="2">
        <v>4.9999999999999996E-2</v>
      </c>
      <c r="D1723" s="3">
        <v>2813</v>
      </c>
      <c r="E1723" s="3">
        <v>378</v>
      </c>
      <c r="F1723" s="2">
        <v>29.420833333333334</v>
      </c>
      <c r="G1723" t="s">
        <v>2816</v>
      </c>
      <c r="H1723" t="s">
        <v>2820</v>
      </c>
      <c r="I1723" s="2">
        <v>1.7541666666666667</v>
      </c>
      <c r="J1723" s="4" t="str">
        <f>IF(Table1[[#This Row],[processing_time_hours]]&gt;1.5,"Slow", "Fast")</f>
        <v>Slow</v>
      </c>
      <c r="K1723" t="s">
        <v>2818</v>
      </c>
      <c r="L1723" s="3">
        <v>1</v>
      </c>
      <c r="M1723" t="str">
        <f>IF(Table1[[#This Row],[delayed]]=1,"Delayed","On Time")</f>
        <v>Delayed</v>
      </c>
      <c r="N1723" t="str">
        <f>IF(AND(Table1[[#This Row],[delayed]]=1,Table1[[#This Row],[weather_condition]]="Storm"),"High Risk", IF(Table1[[#This Row],[delayed]]=1,"Medium Risk","Low Risk"))</f>
        <v>Medium Risk</v>
      </c>
    </row>
    <row r="1724" spans="1:14" x14ac:dyDescent="0.35">
      <c r="A1724">
        <v>1723</v>
      </c>
      <c r="B1724" s="1">
        <v>44998.75</v>
      </c>
      <c r="C1724" s="2">
        <v>4.8611111111111112E-3</v>
      </c>
      <c r="D1724" s="3">
        <v>4162</v>
      </c>
      <c r="E1724" s="3">
        <v>162</v>
      </c>
      <c r="F1724" s="2">
        <v>43.584027777777777</v>
      </c>
      <c r="G1724" t="s">
        <v>2812</v>
      </c>
      <c r="H1724" t="s">
        <v>2822</v>
      </c>
      <c r="I1724" s="2">
        <v>2.879861111111111</v>
      </c>
      <c r="J1724" s="4" t="str">
        <f>IF(Table1[[#This Row],[processing_time_hours]]&gt;1.5,"Slow", "Fast")</f>
        <v>Slow</v>
      </c>
      <c r="K1724" t="s">
        <v>2818</v>
      </c>
      <c r="L1724" s="3">
        <v>1</v>
      </c>
      <c r="M1724" t="str">
        <f>IF(Table1[[#This Row],[delayed]]=1,"Delayed","On Time")</f>
        <v>Delayed</v>
      </c>
      <c r="N1724" t="str">
        <f>IF(AND(Table1[[#This Row],[delayed]]=1,Table1[[#This Row],[weather_condition]]="Storm"),"High Risk", IF(Table1[[#This Row],[delayed]]=1,"Medium Risk","Low Risk"))</f>
        <v>Medium Risk</v>
      </c>
    </row>
    <row r="1725" spans="1:14" x14ac:dyDescent="0.35">
      <c r="A1725">
        <v>1724</v>
      </c>
      <c r="B1725" s="1">
        <v>44998.791666666664</v>
      </c>
      <c r="C1725" s="2">
        <v>5.3472222222222227E-2</v>
      </c>
      <c r="D1725" s="3">
        <v>1972</v>
      </c>
      <c r="E1725" s="3">
        <v>10</v>
      </c>
      <c r="F1725" s="2">
        <v>32.797222222222224</v>
      </c>
      <c r="G1725" t="s">
        <v>2819</v>
      </c>
      <c r="H1725" t="s">
        <v>2820</v>
      </c>
      <c r="I1725" s="2">
        <v>4.2361111111111106E-2</v>
      </c>
      <c r="J1725" s="4" t="str">
        <f>IF(Table1[[#This Row],[processing_time_hours]]&gt;1.5,"Slow", "Fast")</f>
        <v>Fast</v>
      </c>
      <c r="K1725" t="s">
        <v>2821</v>
      </c>
      <c r="L1725" s="3">
        <v>0</v>
      </c>
      <c r="M1725" t="str">
        <f>IF(Table1[[#This Row],[delayed]]=1,"Delayed","On Time")</f>
        <v>On Time</v>
      </c>
      <c r="N1725" t="str">
        <f>IF(AND(Table1[[#This Row],[delayed]]=1,Table1[[#This Row],[weather_condition]]="Storm"),"High Risk", IF(Table1[[#This Row],[delayed]]=1,"Medium Risk","Low Risk"))</f>
        <v>Low Risk</v>
      </c>
    </row>
    <row r="1726" spans="1:14" x14ac:dyDescent="0.35">
      <c r="A1726">
        <v>1725</v>
      </c>
      <c r="B1726" s="1">
        <v>44998.833333333336</v>
      </c>
      <c r="C1726" s="2">
        <v>5.6944444444444443E-2</v>
      </c>
      <c r="D1726" s="3">
        <v>3342</v>
      </c>
      <c r="E1726" s="3">
        <v>373</v>
      </c>
      <c r="F1726" s="2">
        <v>27.166666666666668</v>
      </c>
      <c r="G1726" t="s">
        <v>2815</v>
      </c>
      <c r="H1726" t="s">
        <v>2817</v>
      </c>
      <c r="I1726" s="2">
        <v>2.6722222222222225</v>
      </c>
      <c r="J1726" s="4" t="str">
        <f>IF(Table1[[#This Row],[processing_time_hours]]&gt;1.5,"Slow", "Fast")</f>
        <v>Slow</v>
      </c>
      <c r="K1726" t="s">
        <v>2821</v>
      </c>
      <c r="L1726" s="3">
        <v>0</v>
      </c>
      <c r="M1726" t="str">
        <f>IF(Table1[[#This Row],[delayed]]=1,"Delayed","On Time")</f>
        <v>On Time</v>
      </c>
      <c r="N1726" t="str">
        <f>IF(AND(Table1[[#This Row],[delayed]]=1,Table1[[#This Row],[weather_condition]]="Storm"),"High Risk", IF(Table1[[#This Row],[delayed]]=1,"Medium Risk","Low Risk"))</f>
        <v>Low Risk</v>
      </c>
    </row>
    <row r="1727" spans="1:14" x14ac:dyDescent="0.35">
      <c r="A1727">
        <v>1726</v>
      </c>
      <c r="B1727" s="1">
        <v>44998.875</v>
      </c>
      <c r="C1727" s="2">
        <v>4.1666666666666666E-3</v>
      </c>
      <c r="D1727" s="3">
        <v>3058</v>
      </c>
      <c r="E1727" s="3">
        <v>468</v>
      </c>
      <c r="F1727" s="2">
        <v>75.920138888888886</v>
      </c>
      <c r="G1727" t="s">
        <v>2816</v>
      </c>
      <c r="H1727" t="s">
        <v>2822</v>
      </c>
      <c r="I1727" s="2">
        <v>0.96388888888888891</v>
      </c>
      <c r="J1727" s="4" t="str">
        <f>IF(Table1[[#This Row],[processing_time_hours]]&gt;1.5,"Slow", "Fast")</f>
        <v>Fast</v>
      </c>
      <c r="K1727" t="s">
        <v>2821</v>
      </c>
      <c r="L1727" s="3">
        <v>0</v>
      </c>
      <c r="M1727" t="str">
        <f>IF(Table1[[#This Row],[delayed]]=1,"Delayed","On Time")</f>
        <v>On Time</v>
      </c>
      <c r="N1727" t="str">
        <f>IF(AND(Table1[[#This Row],[delayed]]=1,Table1[[#This Row],[weather_condition]]="Storm"),"High Risk", IF(Table1[[#This Row],[delayed]]=1,"Medium Risk","Low Risk"))</f>
        <v>Low Risk</v>
      </c>
    </row>
    <row r="1728" spans="1:14" x14ac:dyDescent="0.35">
      <c r="A1728">
        <v>1727</v>
      </c>
      <c r="B1728" s="1">
        <v>44998.916666666664</v>
      </c>
      <c r="C1728" s="2">
        <v>6.2499999999999995E-3</v>
      </c>
      <c r="D1728" s="3">
        <v>772</v>
      </c>
      <c r="E1728" s="3">
        <v>470</v>
      </c>
      <c r="F1728" s="2">
        <v>43.291666666666664</v>
      </c>
      <c r="G1728" t="s">
        <v>2812</v>
      </c>
      <c r="H1728" t="s">
        <v>2820</v>
      </c>
      <c r="I1728" s="2">
        <v>1.6291666666666667</v>
      </c>
      <c r="J1728" s="4" t="str">
        <f>IF(Table1[[#This Row],[processing_time_hours]]&gt;1.5,"Slow", "Fast")</f>
        <v>Slow</v>
      </c>
      <c r="K1728" t="s">
        <v>2818</v>
      </c>
      <c r="L1728" s="3">
        <v>0</v>
      </c>
      <c r="M1728" t="str">
        <f>IF(Table1[[#This Row],[delayed]]=1,"Delayed","On Time")</f>
        <v>On Time</v>
      </c>
      <c r="N1728" t="str">
        <f>IF(AND(Table1[[#This Row],[delayed]]=1,Table1[[#This Row],[weather_condition]]="Storm"),"High Risk", IF(Table1[[#This Row],[delayed]]=1,"Medium Risk","Low Risk"))</f>
        <v>Low Risk</v>
      </c>
    </row>
    <row r="1729" spans="1:14" x14ac:dyDescent="0.35">
      <c r="A1729">
        <v>1728</v>
      </c>
      <c r="B1729" s="1">
        <v>44998.958333333336</v>
      </c>
      <c r="C1729" s="2">
        <v>6.1111111111111109E-2</v>
      </c>
      <c r="D1729" s="3">
        <v>2188</v>
      </c>
      <c r="E1729" s="3">
        <v>191</v>
      </c>
      <c r="F1729" s="2">
        <v>7.1694444444444443</v>
      </c>
      <c r="G1729" t="s">
        <v>2819</v>
      </c>
      <c r="H1729" t="s">
        <v>2820</v>
      </c>
      <c r="I1729" s="2">
        <v>2.755555555555556</v>
      </c>
      <c r="J1729" s="4" t="str">
        <f>IF(Table1[[#This Row],[processing_time_hours]]&gt;1.5,"Slow", "Fast")</f>
        <v>Slow</v>
      </c>
      <c r="K1729" t="s">
        <v>2814</v>
      </c>
      <c r="L1729" s="3">
        <v>1</v>
      </c>
      <c r="M1729" t="str">
        <f>IF(Table1[[#This Row],[delayed]]=1,"Delayed","On Time")</f>
        <v>Delayed</v>
      </c>
      <c r="N1729" t="str">
        <f>IF(AND(Table1[[#This Row],[delayed]]=1,Table1[[#This Row],[weather_condition]]="Storm"),"High Risk", IF(Table1[[#This Row],[delayed]]=1,"Medium Risk","Low Risk"))</f>
        <v>Medium Risk</v>
      </c>
    </row>
    <row r="1730" spans="1:14" x14ac:dyDescent="0.35">
      <c r="A1730">
        <v>1729</v>
      </c>
      <c r="B1730" s="1">
        <v>44999</v>
      </c>
      <c r="C1730" s="2">
        <v>4.7916666666666663E-2</v>
      </c>
      <c r="D1730" s="3">
        <v>1638</v>
      </c>
      <c r="E1730" s="3">
        <v>219</v>
      </c>
      <c r="F1730" s="2">
        <v>55.584027777777777</v>
      </c>
      <c r="G1730" t="s">
        <v>2819</v>
      </c>
      <c r="H1730" t="s">
        <v>2813</v>
      </c>
      <c r="I1730" s="2">
        <v>1.6715277777777777</v>
      </c>
      <c r="J1730" s="4" t="str">
        <f>IF(Table1[[#This Row],[processing_time_hours]]&gt;1.5,"Slow", "Fast")</f>
        <v>Slow</v>
      </c>
      <c r="K1730" t="s">
        <v>2814</v>
      </c>
      <c r="L1730" s="3">
        <v>1</v>
      </c>
      <c r="M1730" t="str">
        <f>IF(Table1[[#This Row],[delayed]]=1,"Delayed","On Time")</f>
        <v>Delayed</v>
      </c>
      <c r="N1730" t="str">
        <f>IF(AND(Table1[[#This Row],[delayed]]=1,Table1[[#This Row],[weather_condition]]="Storm"),"High Risk", IF(Table1[[#This Row],[delayed]]=1,"Medium Risk","Low Risk"))</f>
        <v>Medium Risk</v>
      </c>
    </row>
    <row r="1731" spans="1:14" x14ac:dyDescent="0.35">
      <c r="A1731">
        <v>1730</v>
      </c>
      <c r="B1731" s="1">
        <v>44999.041666666664</v>
      </c>
      <c r="C1731" s="2">
        <v>4.8611111111111112E-3</v>
      </c>
      <c r="D1731" s="3">
        <v>3887</v>
      </c>
      <c r="E1731" s="3">
        <v>231</v>
      </c>
      <c r="F1731" s="2">
        <v>78.87777777777778</v>
      </c>
      <c r="G1731" t="s">
        <v>2812</v>
      </c>
      <c r="H1731" t="s">
        <v>2813</v>
      </c>
      <c r="I1731" s="2">
        <v>0.83750000000000002</v>
      </c>
      <c r="J1731" s="4" t="str">
        <f>IF(Table1[[#This Row],[processing_time_hours]]&gt;1.5,"Slow", "Fast")</f>
        <v>Fast</v>
      </c>
      <c r="K1731" t="s">
        <v>2821</v>
      </c>
      <c r="L1731" s="3">
        <v>0</v>
      </c>
      <c r="M1731" t="str">
        <f>IF(Table1[[#This Row],[delayed]]=1,"Delayed","On Time")</f>
        <v>On Time</v>
      </c>
      <c r="N1731" t="str">
        <f>IF(AND(Table1[[#This Row],[delayed]]=1,Table1[[#This Row],[weather_condition]]="Storm"),"High Risk", IF(Table1[[#This Row],[delayed]]=1,"Medium Risk","Low Risk"))</f>
        <v>Low Risk</v>
      </c>
    </row>
    <row r="1732" spans="1:14" x14ac:dyDescent="0.35">
      <c r="A1732">
        <v>1731</v>
      </c>
      <c r="B1732" s="1">
        <v>44999.083333333336</v>
      </c>
      <c r="C1732" s="2">
        <v>4.6527777777777779E-2</v>
      </c>
      <c r="D1732" s="3">
        <v>1752</v>
      </c>
      <c r="E1732" s="3">
        <v>231</v>
      </c>
      <c r="F1732" s="2">
        <v>66.629166666666663</v>
      </c>
      <c r="G1732" t="s">
        <v>2815</v>
      </c>
      <c r="H1732" t="s">
        <v>2822</v>
      </c>
      <c r="I1732" s="2">
        <v>0.33611111111111108</v>
      </c>
      <c r="J1732" s="4" t="str">
        <f>IF(Table1[[#This Row],[processing_time_hours]]&gt;1.5,"Slow", "Fast")</f>
        <v>Fast</v>
      </c>
      <c r="K1732" t="s">
        <v>2814</v>
      </c>
      <c r="L1732" s="3">
        <v>0</v>
      </c>
      <c r="M1732" t="str">
        <f>IF(Table1[[#This Row],[delayed]]=1,"Delayed","On Time")</f>
        <v>On Time</v>
      </c>
      <c r="N1732" t="str">
        <f>IF(AND(Table1[[#This Row],[delayed]]=1,Table1[[#This Row],[weather_condition]]="Storm"),"High Risk", IF(Table1[[#This Row],[delayed]]=1,"Medium Risk","Low Risk"))</f>
        <v>Low Risk</v>
      </c>
    </row>
    <row r="1733" spans="1:14" x14ac:dyDescent="0.35">
      <c r="A1733">
        <v>1732</v>
      </c>
      <c r="B1733" s="1">
        <v>44999.125</v>
      </c>
      <c r="C1733" s="2">
        <v>5.2777777777777778E-2</v>
      </c>
      <c r="D1733" s="3">
        <v>4370</v>
      </c>
      <c r="E1733" s="3">
        <v>112</v>
      </c>
      <c r="F1733" s="2">
        <v>16.625694444444445</v>
      </c>
      <c r="G1733" t="s">
        <v>2816</v>
      </c>
      <c r="H1733" t="s">
        <v>2820</v>
      </c>
      <c r="I1733" s="2">
        <v>0.91875000000000007</v>
      </c>
      <c r="J1733" s="4" t="str">
        <f>IF(Table1[[#This Row],[processing_time_hours]]&gt;1.5,"Slow", "Fast")</f>
        <v>Fast</v>
      </c>
      <c r="K1733" t="s">
        <v>2821</v>
      </c>
      <c r="L1733" s="3">
        <v>1</v>
      </c>
      <c r="M1733" t="str">
        <f>IF(Table1[[#This Row],[delayed]]=1,"Delayed","On Time")</f>
        <v>Delayed</v>
      </c>
      <c r="N1733" t="str">
        <f>IF(AND(Table1[[#This Row],[delayed]]=1,Table1[[#This Row],[weather_condition]]="Storm"),"High Risk", IF(Table1[[#This Row],[delayed]]=1,"Medium Risk","Low Risk"))</f>
        <v>Medium Risk</v>
      </c>
    </row>
    <row r="1734" spans="1:14" x14ac:dyDescent="0.35">
      <c r="A1734">
        <v>1733</v>
      </c>
      <c r="B1734" s="1">
        <v>44999.166666666664</v>
      </c>
      <c r="C1734" s="2">
        <v>6.805555555555555E-2</v>
      </c>
      <c r="D1734" s="3">
        <v>2924</v>
      </c>
      <c r="E1734" s="3">
        <v>380</v>
      </c>
      <c r="F1734" s="2">
        <v>26.630555555555556</v>
      </c>
      <c r="G1734" t="s">
        <v>2812</v>
      </c>
      <c r="H1734" t="s">
        <v>2822</v>
      </c>
      <c r="I1734" s="2">
        <v>1.0479166666666666</v>
      </c>
      <c r="J1734" s="4" t="str">
        <f>IF(Table1[[#This Row],[processing_time_hours]]&gt;1.5,"Slow", "Fast")</f>
        <v>Fast</v>
      </c>
      <c r="K1734" t="s">
        <v>2821</v>
      </c>
      <c r="L1734" s="3">
        <v>0</v>
      </c>
      <c r="M1734" t="str">
        <f>IF(Table1[[#This Row],[delayed]]=1,"Delayed","On Time")</f>
        <v>On Time</v>
      </c>
      <c r="N1734" t="str">
        <f>IF(AND(Table1[[#This Row],[delayed]]=1,Table1[[#This Row],[weather_condition]]="Storm"),"High Risk", IF(Table1[[#This Row],[delayed]]=1,"Medium Risk","Low Risk"))</f>
        <v>Low Risk</v>
      </c>
    </row>
    <row r="1735" spans="1:14" x14ac:dyDescent="0.35">
      <c r="A1735">
        <v>1734</v>
      </c>
      <c r="B1735" s="1">
        <v>44999.208333333336</v>
      </c>
      <c r="C1735" s="2">
        <v>5.2777777777777778E-2</v>
      </c>
      <c r="D1735" s="3">
        <v>1475</v>
      </c>
      <c r="E1735" s="3">
        <v>376</v>
      </c>
      <c r="F1735" s="2">
        <v>18.588194444444444</v>
      </c>
      <c r="G1735" t="s">
        <v>2819</v>
      </c>
      <c r="H1735" t="s">
        <v>2813</v>
      </c>
      <c r="I1735" s="2">
        <v>1.4173611111111111</v>
      </c>
      <c r="J1735" s="4" t="str">
        <f>IF(Table1[[#This Row],[processing_time_hours]]&gt;1.5,"Slow", "Fast")</f>
        <v>Fast</v>
      </c>
      <c r="K1735" t="s">
        <v>2818</v>
      </c>
      <c r="L1735" s="3">
        <v>0</v>
      </c>
      <c r="M1735" t="str">
        <f>IF(Table1[[#This Row],[delayed]]=1,"Delayed","On Time")</f>
        <v>On Time</v>
      </c>
      <c r="N1735" t="str">
        <f>IF(AND(Table1[[#This Row],[delayed]]=1,Table1[[#This Row],[weather_condition]]="Storm"),"High Risk", IF(Table1[[#This Row],[delayed]]=1,"Medium Risk","Low Risk"))</f>
        <v>Low Risk</v>
      </c>
    </row>
    <row r="1736" spans="1:14" x14ac:dyDescent="0.35">
      <c r="A1736">
        <v>1735</v>
      </c>
      <c r="B1736" s="1">
        <v>44999.25</v>
      </c>
      <c r="C1736" s="2">
        <v>6.7361111111111108E-2</v>
      </c>
      <c r="D1736" s="3">
        <v>2508</v>
      </c>
      <c r="E1736" s="3">
        <v>318</v>
      </c>
      <c r="F1736" s="2">
        <v>18.504861111111111</v>
      </c>
      <c r="G1736" t="s">
        <v>2819</v>
      </c>
      <c r="H1736" t="s">
        <v>2813</v>
      </c>
      <c r="I1736" s="2">
        <v>1.1277777777777778</v>
      </c>
      <c r="J1736" s="4" t="str">
        <f>IF(Table1[[#This Row],[processing_time_hours]]&gt;1.5,"Slow", "Fast")</f>
        <v>Fast</v>
      </c>
      <c r="K1736" t="s">
        <v>2814</v>
      </c>
      <c r="L1736" s="3">
        <v>1</v>
      </c>
      <c r="M1736" t="str">
        <f>IF(Table1[[#This Row],[delayed]]=1,"Delayed","On Time")</f>
        <v>Delayed</v>
      </c>
      <c r="N1736" t="str">
        <f>IF(AND(Table1[[#This Row],[delayed]]=1,Table1[[#This Row],[weather_condition]]="Storm"),"High Risk", IF(Table1[[#This Row],[delayed]]=1,"Medium Risk","Low Risk"))</f>
        <v>Medium Risk</v>
      </c>
    </row>
    <row r="1737" spans="1:14" x14ac:dyDescent="0.35">
      <c r="A1737">
        <v>1736</v>
      </c>
      <c r="B1737" s="1">
        <v>44999.291666666664</v>
      </c>
      <c r="C1737" s="2">
        <v>4.6527777777777779E-2</v>
      </c>
      <c r="D1737" s="3">
        <v>743</v>
      </c>
      <c r="E1737" s="3">
        <v>261</v>
      </c>
      <c r="F1737" s="2">
        <v>4.75</v>
      </c>
      <c r="G1737" t="s">
        <v>2815</v>
      </c>
      <c r="H1737" t="s">
        <v>2817</v>
      </c>
      <c r="I1737" s="2">
        <v>0.29166666666666669</v>
      </c>
      <c r="J1737" s="4" t="str">
        <f>IF(Table1[[#This Row],[processing_time_hours]]&gt;1.5,"Slow", "Fast")</f>
        <v>Fast</v>
      </c>
      <c r="K1737" t="s">
        <v>2818</v>
      </c>
      <c r="L1737" s="3">
        <v>0</v>
      </c>
      <c r="M1737" t="str">
        <f>IF(Table1[[#This Row],[delayed]]=1,"Delayed","On Time")</f>
        <v>On Time</v>
      </c>
      <c r="N1737" t="str">
        <f>IF(AND(Table1[[#This Row],[delayed]]=1,Table1[[#This Row],[weather_condition]]="Storm"),"High Risk", IF(Table1[[#This Row],[delayed]]=1,"Medium Risk","Low Risk"))</f>
        <v>Low Risk</v>
      </c>
    </row>
    <row r="1738" spans="1:14" x14ac:dyDescent="0.35">
      <c r="A1738">
        <v>1737</v>
      </c>
      <c r="B1738" s="1">
        <v>44999.333333333336</v>
      </c>
      <c r="C1738" s="2">
        <v>4.8611111111111112E-3</v>
      </c>
      <c r="D1738" s="3">
        <v>2113</v>
      </c>
      <c r="E1738" s="3">
        <v>370</v>
      </c>
      <c r="F1738" s="2">
        <v>61.418055555555554</v>
      </c>
      <c r="G1738" t="s">
        <v>2815</v>
      </c>
      <c r="H1738" t="s">
        <v>2820</v>
      </c>
      <c r="I1738" s="2">
        <v>2.6729166666666671</v>
      </c>
      <c r="J1738" s="4" t="str">
        <f>IF(Table1[[#This Row],[processing_time_hours]]&gt;1.5,"Slow", "Fast")</f>
        <v>Slow</v>
      </c>
      <c r="K1738" t="s">
        <v>2818</v>
      </c>
      <c r="L1738" s="3">
        <v>1</v>
      </c>
      <c r="M1738" t="str">
        <f>IF(Table1[[#This Row],[delayed]]=1,"Delayed","On Time")</f>
        <v>Delayed</v>
      </c>
      <c r="N1738" t="str">
        <f>IF(AND(Table1[[#This Row],[delayed]]=1,Table1[[#This Row],[weather_condition]]="Storm"),"High Risk", IF(Table1[[#This Row],[delayed]]=1,"Medium Risk","Low Risk"))</f>
        <v>Medium Risk</v>
      </c>
    </row>
    <row r="1739" spans="1:14" x14ac:dyDescent="0.35">
      <c r="A1739">
        <v>1738</v>
      </c>
      <c r="B1739" s="1">
        <v>44999.375</v>
      </c>
      <c r="C1739" s="2">
        <v>5.5555555555555558E-3</v>
      </c>
      <c r="D1739" s="3">
        <v>466</v>
      </c>
      <c r="E1739" s="3">
        <v>93</v>
      </c>
      <c r="F1739" s="2">
        <v>69.418750000000003</v>
      </c>
      <c r="G1739" t="s">
        <v>2816</v>
      </c>
      <c r="H1739" t="s">
        <v>2817</v>
      </c>
      <c r="I1739" s="2">
        <v>1.0020833333333334</v>
      </c>
      <c r="J1739" s="4" t="str">
        <f>IF(Table1[[#This Row],[processing_time_hours]]&gt;1.5,"Slow", "Fast")</f>
        <v>Fast</v>
      </c>
      <c r="K1739" t="s">
        <v>2814</v>
      </c>
      <c r="L1739" s="3">
        <v>0</v>
      </c>
      <c r="M1739" t="str">
        <f>IF(Table1[[#This Row],[delayed]]=1,"Delayed","On Time")</f>
        <v>On Time</v>
      </c>
      <c r="N1739" t="str">
        <f>IF(AND(Table1[[#This Row],[delayed]]=1,Table1[[#This Row],[weather_condition]]="Storm"),"High Risk", IF(Table1[[#This Row],[delayed]]=1,"Medium Risk","Low Risk"))</f>
        <v>Low Risk</v>
      </c>
    </row>
    <row r="1740" spans="1:14" x14ac:dyDescent="0.35">
      <c r="A1740">
        <v>1739</v>
      </c>
      <c r="B1740" s="1">
        <v>44999.416666666664</v>
      </c>
      <c r="C1740" s="2">
        <v>4.5833333333333337E-2</v>
      </c>
      <c r="D1740" s="3">
        <v>4465</v>
      </c>
      <c r="E1740" s="3">
        <v>172</v>
      </c>
      <c r="F1740" s="2">
        <v>77.713888888888889</v>
      </c>
      <c r="G1740" t="s">
        <v>2812</v>
      </c>
      <c r="H1740" t="s">
        <v>2813</v>
      </c>
      <c r="I1740" s="2">
        <v>1.752777777777778</v>
      </c>
      <c r="J1740" s="4" t="str">
        <f>IF(Table1[[#This Row],[processing_time_hours]]&gt;1.5,"Slow", "Fast")</f>
        <v>Slow</v>
      </c>
      <c r="K1740" t="s">
        <v>2814</v>
      </c>
      <c r="L1740" s="3">
        <v>1</v>
      </c>
      <c r="M1740" t="str">
        <f>IF(Table1[[#This Row],[delayed]]=1,"Delayed","On Time")</f>
        <v>Delayed</v>
      </c>
      <c r="N1740" t="str">
        <f>IF(AND(Table1[[#This Row],[delayed]]=1,Table1[[#This Row],[weather_condition]]="Storm"),"High Risk", IF(Table1[[#This Row],[delayed]]=1,"Medium Risk","Low Risk"))</f>
        <v>Medium Risk</v>
      </c>
    </row>
    <row r="1741" spans="1:14" x14ac:dyDescent="0.35">
      <c r="A1741">
        <v>1740</v>
      </c>
      <c r="B1741" s="1">
        <v>44999.458333333336</v>
      </c>
      <c r="C1741" s="2">
        <v>4.5138888888888888E-2</v>
      </c>
      <c r="D1741" s="3">
        <v>1601</v>
      </c>
      <c r="E1741" s="3">
        <v>28</v>
      </c>
      <c r="F1741" s="2">
        <v>42.881250000000001</v>
      </c>
      <c r="G1741" t="s">
        <v>2815</v>
      </c>
      <c r="H1741" t="s">
        <v>2813</v>
      </c>
      <c r="I1741" s="2">
        <v>1.6305555555555555</v>
      </c>
      <c r="J1741" s="4" t="str">
        <f>IF(Table1[[#This Row],[processing_time_hours]]&gt;1.5,"Slow", "Fast")</f>
        <v>Slow</v>
      </c>
      <c r="K1741" t="s">
        <v>2818</v>
      </c>
      <c r="L1741" s="3">
        <v>0</v>
      </c>
      <c r="M1741" t="str">
        <f>IF(Table1[[#This Row],[delayed]]=1,"Delayed","On Time")</f>
        <v>On Time</v>
      </c>
      <c r="N1741" t="str">
        <f>IF(AND(Table1[[#This Row],[delayed]]=1,Table1[[#This Row],[weather_condition]]="Storm"),"High Risk", IF(Table1[[#This Row],[delayed]]=1,"Medium Risk","Low Risk"))</f>
        <v>Low Risk</v>
      </c>
    </row>
    <row r="1742" spans="1:14" x14ac:dyDescent="0.35">
      <c r="A1742">
        <v>1741</v>
      </c>
      <c r="B1742" s="1">
        <v>44999.5</v>
      </c>
      <c r="C1742" s="2">
        <v>6.0416666666666667E-2</v>
      </c>
      <c r="D1742" s="3">
        <v>4952</v>
      </c>
      <c r="E1742" s="3">
        <v>15</v>
      </c>
      <c r="F1742" s="2">
        <v>57.795833333333327</v>
      </c>
      <c r="G1742" t="s">
        <v>2812</v>
      </c>
      <c r="H1742" t="s">
        <v>2820</v>
      </c>
      <c r="I1742" s="2">
        <v>0.37638888888888888</v>
      </c>
      <c r="J1742" s="4" t="str">
        <f>IF(Table1[[#This Row],[processing_time_hours]]&gt;1.5,"Slow", "Fast")</f>
        <v>Fast</v>
      </c>
      <c r="K1742" t="s">
        <v>2814</v>
      </c>
      <c r="L1742" s="3">
        <v>0</v>
      </c>
      <c r="M1742" t="str">
        <f>IF(Table1[[#This Row],[delayed]]=1,"Delayed","On Time")</f>
        <v>On Time</v>
      </c>
      <c r="N1742" t="str">
        <f>IF(AND(Table1[[#This Row],[delayed]]=1,Table1[[#This Row],[weather_condition]]="Storm"),"High Risk", IF(Table1[[#This Row],[delayed]]=1,"Medium Risk","Low Risk"))</f>
        <v>Low Risk</v>
      </c>
    </row>
    <row r="1743" spans="1:14" x14ac:dyDescent="0.35">
      <c r="A1743">
        <v>1742</v>
      </c>
      <c r="B1743" s="1">
        <v>44999.541666666664</v>
      </c>
      <c r="C1743" s="2">
        <v>5.1388888888888894E-2</v>
      </c>
      <c r="D1743" s="3">
        <v>4349</v>
      </c>
      <c r="E1743" s="3">
        <v>12</v>
      </c>
      <c r="F1743" s="2">
        <v>21.420138888888889</v>
      </c>
      <c r="G1743" t="s">
        <v>2816</v>
      </c>
      <c r="H1743" t="s">
        <v>2820</v>
      </c>
      <c r="I1743" s="2">
        <v>2.0881944444444445</v>
      </c>
      <c r="J1743" s="4" t="str">
        <f>IF(Table1[[#This Row],[processing_time_hours]]&gt;1.5,"Slow", "Fast")</f>
        <v>Slow</v>
      </c>
      <c r="K1743" t="s">
        <v>2814</v>
      </c>
      <c r="L1743" s="3">
        <v>0</v>
      </c>
      <c r="M1743" t="str">
        <f>IF(Table1[[#This Row],[delayed]]=1,"Delayed","On Time")</f>
        <v>On Time</v>
      </c>
      <c r="N1743" t="str">
        <f>IF(AND(Table1[[#This Row],[delayed]]=1,Table1[[#This Row],[weather_condition]]="Storm"),"High Risk", IF(Table1[[#This Row],[delayed]]=1,"Medium Risk","Low Risk"))</f>
        <v>Low Risk</v>
      </c>
    </row>
    <row r="1744" spans="1:14" x14ac:dyDescent="0.35">
      <c r="A1744">
        <v>1743</v>
      </c>
      <c r="B1744" s="1">
        <v>44999.583333333336</v>
      </c>
      <c r="C1744" s="2">
        <v>6.1111111111111109E-2</v>
      </c>
      <c r="D1744" s="3">
        <v>2425</v>
      </c>
      <c r="E1744" s="3">
        <v>373</v>
      </c>
      <c r="F1744" s="2">
        <v>9.4631944444444454</v>
      </c>
      <c r="G1744" t="s">
        <v>2815</v>
      </c>
      <c r="H1744" t="s">
        <v>2813</v>
      </c>
      <c r="I1744" s="2">
        <v>0.87777777777777777</v>
      </c>
      <c r="J1744" s="4" t="str">
        <f>IF(Table1[[#This Row],[processing_time_hours]]&gt;1.5,"Slow", "Fast")</f>
        <v>Fast</v>
      </c>
      <c r="K1744" t="s">
        <v>2814</v>
      </c>
      <c r="L1744" s="3">
        <v>1</v>
      </c>
      <c r="M1744" t="str">
        <f>IF(Table1[[#This Row],[delayed]]=1,"Delayed","On Time")</f>
        <v>Delayed</v>
      </c>
      <c r="N1744" t="str">
        <f>IF(AND(Table1[[#This Row],[delayed]]=1,Table1[[#This Row],[weather_condition]]="Storm"),"High Risk", IF(Table1[[#This Row],[delayed]]=1,"Medium Risk","Low Risk"))</f>
        <v>Medium Risk</v>
      </c>
    </row>
    <row r="1745" spans="1:14" x14ac:dyDescent="0.35">
      <c r="A1745">
        <v>1744</v>
      </c>
      <c r="B1745" s="1">
        <v>44999.625</v>
      </c>
      <c r="C1745" s="2">
        <v>4.7916666666666663E-2</v>
      </c>
      <c r="D1745" s="3">
        <v>4255</v>
      </c>
      <c r="E1745" s="3">
        <v>108</v>
      </c>
      <c r="F1745" s="2">
        <v>27.131249999999998</v>
      </c>
      <c r="G1745" t="s">
        <v>2816</v>
      </c>
      <c r="H1745" t="s">
        <v>2813</v>
      </c>
      <c r="I1745" s="2">
        <v>1.4208333333333334</v>
      </c>
      <c r="J1745" s="4" t="str">
        <f>IF(Table1[[#This Row],[processing_time_hours]]&gt;1.5,"Slow", "Fast")</f>
        <v>Fast</v>
      </c>
      <c r="K1745" t="s">
        <v>2821</v>
      </c>
      <c r="L1745" s="3">
        <v>0</v>
      </c>
      <c r="M1745" t="str">
        <f>IF(Table1[[#This Row],[delayed]]=1,"Delayed","On Time")</f>
        <v>On Time</v>
      </c>
      <c r="N1745" t="str">
        <f>IF(AND(Table1[[#This Row],[delayed]]=1,Table1[[#This Row],[weather_condition]]="Storm"),"High Risk", IF(Table1[[#This Row],[delayed]]=1,"Medium Risk","Low Risk"))</f>
        <v>Low Risk</v>
      </c>
    </row>
    <row r="1746" spans="1:14" x14ac:dyDescent="0.35">
      <c r="A1746">
        <v>1745</v>
      </c>
      <c r="B1746" s="1">
        <v>44999.666666666664</v>
      </c>
      <c r="C1746" s="2">
        <v>4.9999999999999996E-2</v>
      </c>
      <c r="D1746" s="3">
        <v>4270</v>
      </c>
      <c r="E1746" s="3">
        <v>307</v>
      </c>
      <c r="F1746" s="2">
        <v>60.462499999999999</v>
      </c>
      <c r="G1746" t="s">
        <v>2819</v>
      </c>
      <c r="H1746" t="s">
        <v>2822</v>
      </c>
      <c r="I1746" s="2">
        <v>1.0833333333333333</v>
      </c>
      <c r="J1746" s="4" t="str">
        <f>IF(Table1[[#This Row],[processing_time_hours]]&gt;1.5,"Slow", "Fast")</f>
        <v>Fast</v>
      </c>
      <c r="K1746" t="s">
        <v>2818</v>
      </c>
      <c r="L1746" s="3">
        <v>0</v>
      </c>
      <c r="M1746" t="str">
        <f>IF(Table1[[#This Row],[delayed]]=1,"Delayed","On Time")</f>
        <v>On Time</v>
      </c>
      <c r="N1746" t="str">
        <f>IF(AND(Table1[[#This Row],[delayed]]=1,Table1[[#This Row],[weather_condition]]="Storm"),"High Risk", IF(Table1[[#This Row],[delayed]]=1,"Medium Risk","Low Risk"))</f>
        <v>Low Risk</v>
      </c>
    </row>
    <row r="1747" spans="1:14" x14ac:dyDescent="0.35">
      <c r="A1747">
        <v>1746</v>
      </c>
      <c r="B1747" s="1">
        <v>44999.708333333336</v>
      </c>
      <c r="C1747" s="2">
        <v>6.6666666666666666E-2</v>
      </c>
      <c r="D1747" s="3">
        <v>3969</v>
      </c>
      <c r="E1747" s="3">
        <v>386</v>
      </c>
      <c r="F1747" s="2">
        <v>15.672222222222222</v>
      </c>
      <c r="G1747" t="s">
        <v>2812</v>
      </c>
      <c r="H1747" t="s">
        <v>2820</v>
      </c>
      <c r="I1747" s="2">
        <v>2.3347222222222221</v>
      </c>
      <c r="J1747" s="4" t="str">
        <f>IF(Table1[[#This Row],[processing_time_hours]]&gt;1.5,"Slow", "Fast")</f>
        <v>Slow</v>
      </c>
      <c r="K1747" t="s">
        <v>2821</v>
      </c>
      <c r="L1747" s="3">
        <v>0</v>
      </c>
      <c r="M1747" t="str">
        <f>IF(Table1[[#This Row],[delayed]]=1,"Delayed","On Time")</f>
        <v>On Time</v>
      </c>
      <c r="N1747" t="str">
        <f>IF(AND(Table1[[#This Row],[delayed]]=1,Table1[[#This Row],[weather_condition]]="Storm"),"High Risk", IF(Table1[[#This Row],[delayed]]=1,"Medium Risk","Low Risk"))</f>
        <v>Low Risk</v>
      </c>
    </row>
    <row r="1748" spans="1:14" x14ac:dyDescent="0.35">
      <c r="A1748">
        <v>1747</v>
      </c>
      <c r="B1748" s="1">
        <v>44999.75</v>
      </c>
      <c r="C1748" s="2">
        <v>5.7638888888888885E-2</v>
      </c>
      <c r="D1748" s="3">
        <v>1338</v>
      </c>
      <c r="E1748" s="3">
        <v>376</v>
      </c>
      <c r="F1748" s="2">
        <v>23.089583333333334</v>
      </c>
      <c r="G1748" t="s">
        <v>2815</v>
      </c>
      <c r="H1748" t="s">
        <v>2822</v>
      </c>
      <c r="I1748" s="2">
        <v>1.5465277777777777</v>
      </c>
      <c r="J1748" s="4" t="str">
        <f>IF(Table1[[#This Row],[processing_time_hours]]&gt;1.5,"Slow", "Fast")</f>
        <v>Slow</v>
      </c>
      <c r="K1748" t="s">
        <v>2818</v>
      </c>
      <c r="L1748" s="3">
        <v>1</v>
      </c>
      <c r="M1748" t="str">
        <f>IF(Table1[[#This Row],[delayed]]=1,"Delayed","On Time")</f>
        <v>Delayed</v>
      </c>
      <c r="N1748" t="str">
        <f>IF(AND(Table1[[#This Row],[delayed]]=1,Table1[[#This Row],[weather_condition]]="Storm"),"High Risk", IF(Table1[[#This Row],[delayed]]=1,"Medium Risk","Low Risk"))</f>
        <v>Medium Risk</v>
      </c>
    </row>
    <row r="1749" spans="1:14" x14ac:dyDescent="0.35">
      <c r="A1749">
        <v>1748</v>
      </c>
      <c r="B1749" s="1">
        <v>44999.791666666664</v>
      </c>
      <c r="C1749" s="2">
        <v>4.5138888888888888E-2</v>
      </c>
      <c r="D1749" s="3">
        <v>1309</v>
      </c>
      <c r="E1749" s="3">
        <v>323</v>
      </c>
      <c r="F1749" s="2">
        <v>10.839583333333332</v>
      </c>
      <c r="G1749" t="s">
        <v>2819</v>
      </c>
      <c r="H1749" t="s">
        <v>2813</v>
      </c>
      <c r="I1749" s="2">
        <v>2.0465277777777779</v>
      </c>
      <c r="J1749" s="4" t="str">
        <f>IF(Table1[[#This Row],[processing_time_hours]]&gt;1.5,"Slow", "Fast")</f>
        <v>Slow</v>
      </c>
      <c r="K1749" t="s">
        <v>2818</v>
      </c>
      <c r="L1749" s="3">
        <v>1</v>
      </c>
      <c r="M1749" t="str">
        <f>IF(Table1[[#This Row],[delayed]]=1,"Delayed","On Time")</f>
        <v>Delayed</v>
      </c>
      <c r="N1749" t="str">
        <f>IF(AND(Table1[[#This Row],[delayed]]=1,Table1[[#This Row],[weather_condition]]="Storm"),"High Risk", IF(Table1[[#This Row],[delayed]]=1,"Medium Risk","Low Risk"))</f>
        <v>Medium Risk</v>
      </c>
    </row>
    <row r="1750" spans="1:14" x14ac:dyDescent="0.35">
      <c r="A1750">
        <v>1749</v>
      </c>
      <c r="B1750" s="1">
        <v>44999.833333333336</v>
      </c>
      <c r="C1750" s="2">
        <v>5.3472222222222227E-2</v>
      </c>
      <c r="D1750" s="3">
        <v>98</v>
      </c>
      <c r="E1750" s="3">
        <v>488</v>
      </c>
      <c r="F1750" s="2">
        <v>5.0062500000000005</v>
      </c>
      <c r="G1750" t="s">
        <v>2812</v>
      </c>
      <c r="H1750" t="s">
        <v>2813</v>
      </c>
      <c r="I1750" s="2">
        <v>0.46388888888888885</v>
      </c>
      <c r="J1750" s="4" t="str">
        <f>IF(Table1[[#This Row],[processing_time_hours]]&gt;1.5,"Slow", "Fast")</f>
        <v>Fast</v>
      </c>
      <c r="K1750" t="s">
        <v>2814</v>
      </c>
      <c r="L1750" s="3">
        <v>0</v>
      </c>
      <c r="M1750" t="str">
        <f>IF(Table1[[#This Row],[delayed]]=1,"Delayed","On Time")</f>
        <v>On Time</v>
      </c>
      <c r="N1750" t="str">
        <f>IF(AND(Table1[[#This Row],[delayed]]=1,Table1[[#This Row],[weather_condition]]="Storm"),"High Risk", IF(Table1[[#This Row],[delayed]]=1,"Medium Risk","Low Risk"))</f>
        <v>Low Risk</v>
      </c>
    </row>
    <row r="1751" spans="1:14" x14ac:dyDescent="0.35">
      <c r="A1751">
        <v>1750</v>
      </c>
      <c r="B1751" s="1">
        <v>44999.875</v>
      </c>
      <c r="C1751" s="2">
        <v>4.4444444444444446E-2</v>
      </c>
      <c r="D1751" s="3">
        <v>1472</v>
      </c>
      <c r="E1751" s="3">
        <v>429</v>
      </c>
      <c r="F1751" s="2">
        <v>61.131250000000001</v>
      </c>
      <c r="G1751" t="s">
        <v>2816</v>
      </c>
      <c r="H1751" t="s">
        <v>2813</v>
      </c>
      <c r="I1751" s="2">
        <v>2.7979166666666671</v>
      </c>
      <c r="J1751" s="4" t="str">
        <f>IF(Table1[[#This Row],[processing_time_hours]]&gt;1.5,"Slow", "Fast")</f>
        <v>Slow</v>
      </c>
      <c r="K1751" t="s">
        <v>2818</v>
      </c>
      <c r="L1751" s="3">
        <v>1</v>
      </c>
      <c r="M1751" t="str">
        <f>IF(Table1[[#This Row],[delayed]]=1,"Delayed","On Time")</f>
        <v>Delayed</v>
      </c>
      <c r="N1751" t="str">
        <f>IF(AND(Table1[[#This Row],[delayed]]=1,Table1[[#This Row],[weather_condition]]="Storm"),"High Risk", IF(Table1[[#This Row],[delayed]]=1,"Medium Risk","Low Risk"))</f>
        <v>Medium Risk</v>
      </c>
    </row>
    <row r="1752" spans="1:14" x14ac:dyDescent="0.35">
      <c r="A1752">
        <v>1751</v>
      </c>
      <c r="B1752" s="1">
        <v>44999.916666666664</v>
      </c>
      <c r="C1752" s="2">
        <v>4.3750000000000004E-2</v>
      </c>
      <c r="D1752" s="3">
        <v>2268</v>
      </c>
      <c r="E1752" s="3">
        <v>268</v>
      </c>
      <c r="F1752" s="2">
        <v>61.043055555555554</v>
      </c>
      <c r="G1752" t="s">
        <v>2815</v>
      </c>
      <c r="H1752" t="s">
        <v>2822</v>
      </c>
      <c r="I1752" s="2">
        <v>0.125</v>
      </c>
      <c r="J1752" s="4" t="str">
        <f>IF(Table1[[#This Row],[processing_time_hours]]&gt;1.5,"Slow", "Fast")</f>
        <v>Fast</v>
      </c>
      <c r="K1752" t="s">
        <v>2821</v>
      </c>
      <c r="L1752" s="3">
        <v>0</v>
      </c>
      <c r="M1752" t="str">
        <f>IF(Table1[[#This Row],[delayed]]=1,"Delayed","On Time")</f>
        <v>On Time</v>
      </c>
      <c r="N1752" t="str">
        <f>IF(AND(Table1[[#This Row],[delayed]]=1,Table1[[#This Row],[weather_condition]]="Storm"),"High Risk", IF(Table1[[#This Row],[delayed]]=1,"Medium Risk","Low Risk"))</f>
        <v>Low Risk</v>
      </c>
    </row>
    <row r="1753" spans="1:14" x14ac:dyDescent="0.35">
      <c r="A1753">
        <v>1752</v>
      </c>
      <c r="B1753" s="1">
        <v>44999.958333333336</v>
      </c>
      <c r="C1753" s="2">
        <v>5.7638888888888885E-2</v>
      </c>
      <c r="D1753" s="3">
        <v>3279</v>
      </c>
      <c r="E1753" s="3">
        <v>277</v>
      </c>
      <c r="F1753" s="2">
        <v>7.8395833333333336</v>
      </c>
      <c r="G1753" t="s">
        <v>2819</v>
      </c>
      <c r="H1753" t="s">
        <v>2822</v>
      </c>
      <c r="I1753" s="2">
        <v>0.75</v>
      </c>
      <c r="J1753" s="4" t="str">
        <f>IF(Table1[[#This Row],[processing_time_hours]]&gt;1.5,"Slow", "Fast")</f>
        <v>Fast</v>
      </c>
      <c r="K1753" t="s">
        <v>2814</v>
      </c>
      <c r="L1753" s="3">
        <v>0</v>
      </c>
      <c r="M1753" t="str">
        <f>IF(Table1[[#This Row],[delayed]]=1,"Delayed","On Time")</f>
        <v>On Time</v>
      </c>
      <c r="N1753" t="str">
        <f>IF(AND(Table1[[#This Row],[delayed]]=1,Table1[[#This Row],[weather_condition]]="Storm"),"High Risk", IF(Table1[[#This Row],[delayed]]=1,"Medium Risk","Low Risk"))</f>
        <v>Low Risk</v>
      </c>
    </row>
    <row r="1754" spans="1:14" x14ac:dyDescent="0.35">
      <c r="A1754">
        <v>1753</v>
      </c>
      <c r="B1754" s="1">
        <v>45000</v>
      </c>
      <c r="C1754" s="2">
        <v>4.4444444444444446E-2</v>
      </c>
      <c r="D1754" s="3">
        <v>2747</v>
      </c>
      <c r="E1754" s="3">
        <v>232</v>
      </c>
      <c r="F1754" s="2">
        <v>19.544444444444444</v>
      </c>
      <c r="G1754" t="s">
        <v>2816</v>
      </c>
      <c r="H1754" t="s">
        <v>2822</v>
      </c>
      <c r="I1754" s="2">
        <v>1.6256944444444443</v>
      </c>
      <c r="J1754" s="4" t="str">
        <f>IF(Table1[[#This Row],[processing_time_hours]]&gt;1.5,"Slow", "Fast")</f>
        <v>Slow</v>
      </c>
      <c r="K1754" t="s">
        <v>2814</v>
      </c>
      <c r="L1754" s="3">
        <v>0</v>
      </c>
      <c r="M1754" t="str">
        <f>IF(Table1[[#This Row],[delayed]]=1,"Delayed","On Time")</f>
        <v>On Time</v>
      </c>
      <c r="N1754" t="str">
        <f>IF(AND(Table1[[#This Row],[delayed]]=1,Table1[[#This Row],[weather_condition]]="Storm"),"High Risk", IF(Table1[[#This Row],[delayed]]=1,"Medium Risk","Low Risk"))</f>
        <v>Low Risk</v>
      </c>
    </row>
    <row r="1755" spans="1:14" x14ac:dyDescent="0.35">
      <c r="A1755">
        <v>1754</v>
      </c>
      <c r="B1755" s="1">
        <v>45000.041666666664</v>
      </c>
      <c r="C1755" s="2">
        <v>4.7916666666666663E-2</v>
      </c>
      <c r="D1755" s="3">
        <v>4470</v>
      </c>
      <c r="E1755" s="3">
        <v>355</v>
      </c>
      <c r="F1755" s="2">
        <v>36.62638888888889</v>
      </c>
      <c r="G1755" t="s">
        <v>2815</v>
      </c>
      <c r="H1755" t="s">
        <v>2813</v>
      </c>
      <c r="I1755" s="2">
        <v>2.2951388888888888</v>
      </c>
      <c r="J1755" s="4" t="str">
        <f>IF(Table1[[#This Row],[processing_time_hours]]&gt;1.5,"Slow", "Fast")</f>
        <v>Slow</v>
      </c>
      <c r="K1755" t="s">
        <v>2818</v>
      </c>
      <c r="L1755" s="3">
        <v>0</v>
      </c>
      <c r="M1755" t="str">
        <f>IF(Table1[[#This Row],[delayed]]=1,"Delayed","On Time")</f>
        <v>On Time</v>
      </c>
      <c r="N1755" t="str">
        <f>IF(AND(Table1[[#This Row],[delayed]]=1,Table1[[#This Row],[weather_condition]]="Storm"),"High Risk", IF(Table1[[#This Row],[delayed]]=1,"Medium Risk","Low Risk"))</f>
        <v>Low Risk</v>
      </c>
    </row>
    <row r="1756" spans="1:14" x14ac:dyDescent="0.35">
      <c r="A1756">
        <v>1755</v>
      </c>
      <c r="B1756" s="1">
        <v>45000.083333333336</v>
      </c>
      <c r="C1756" s="2">
        <v>4.3750000000000004E-2</v>
      </c>
      <c r="D1756" s="3">
        <v>4242</v>
      </c>
      <c r="E1756" s="3">
        <v>167</v>
      </c>
      <c r="F1756" s="2">
        <v>0.25625000000000003</v>
      </c>
      <c r="G1756" t="s">
        <v>2815</v>
      </c>
      <c r="H1756" t="s">
        <v>2813</v>
      </c>
      <c r="I1756" s="2">
        <v>1.4208333333333334</v>
      </c>
      <c r="J1756" s="4" t="str">
        <f>IF(Table1[[#This Row],[processing_time_hours]]&gt;1.5,"Slow", "Fast")</f>
        <v>Fast</v>
      </c>
      <c r="K1756" t="s">
        <v>2814</v>
      </c>
      <c r="L1756" s="3">
        <v>1</v>
      </c>
      <c r="M1756" t="str">
        <f>IF(Table1[[#This Row],[delayed]]=1,"Delayed","On Time")</f>
        <v>Delayed</v>
      </c>
      <c r="N1756" t="str">
        <f>IF(AND(Table1[[#This Row],[delayed]]=1,Table1[[#This Row],[weather_condition]]="Storm"),"High Risk", IF(Table1[[#This Row],[delayed]]=1,"Medium Risk","Low Risk"))</f>
        <v>Medium Risk</v>
      </c>
    </row>
    <row r="1757" spans="1:14" x14ac:dyDescent="0.35">
      <c r="A1757">
        <v>1756</v>
      </c>
      <c r="B1757" s="1">
        <v>45000.125</v>
      </c>
      <c r="C1757" s="2">
        <v>4.4444444444444446E-2</v>
      </c>
      <c r="D1757" s="3">
        <v>410</v>
      </c>
      <c r="E1757" s="3">
        <v>179</v>
      </c>
      <c r="F1757" s="2">
        <v>74.502083333333331</v>
      </c>
      <c r="G1757" t="s">
        <v>2816</v>
      </c>
      <c r="H1757" t="s">
        <v>2813</v>
      </c>
      <c r="I1757" s="2">
        <v>2.0895833333333331</v>
      </c>
      <c r="J1757" s="4" t="str">
        <f>IF(Table1[[#This Row],[processing_time_hours]]&gt;1.5,"Slow", "Fast")</f>
        <v>Slow</v>
      </c>
      <c r="K1757" t="s">
        <v>2821</v>
      </c>
      <c r="L1757" s="3">
        <v>0</v>
      </c>
      <c r="M1757" t="str">
        <f>IF(Table1[[#This Row],[delayed]]=1,"Delayed","On Time")</f>
        <v>On Time</v>
      </c>
      <c r="N1757" t="str">
        <f>IF(AND(Table1[[#This Row],[delayed]]=1,Table1[[#This Row],[weather_condition]]="Storm"),"High Risk", IF(Table1[[#This Row],[delayed]]=1,"Medium Risk","Low Risk"))</f>
        <v>Low Risk</v>
      </c>
    </row>
    <row r="1758" spans="1:14" x14ac:dyDescent="0.35">
      <c r="A1758">
        <v>1757</v>
      </c>
      <c r="B1758" s="1">
        <v>45000.166666666664</v>
      </c>
      <c r="C1758" s="2">
        <v>5.4166666666666669E-2</v>
      </c>
      <c r="D1758" s="3">
        <v>2502</v>
      </c>
      <c r="E1758" s="3">
        <v>37</v>
      </c>
      <c r="F1758" s="2">
        <v>41.25138888888889</v>
      </c>
      <c r="G1758" t="s">
        <v>2819</v>
      </c>
      <c r="H1758" t="s">
        <v>2817</v>
      </c>
      <c r="I1758" s="2">
        <v>2</v>
      </c>
      <c r="J1758" s="4" t="str">
        <f>IF(Table1[[#This Row],[processing_time_hours]]&gt;1.5,"Slow", "Fast")</f>
        <v>Slow</v>
      </c>
      <c r="K1758" t="s">
        <v>2818</v>
      </c>
      <c r="L1758" s="3">
        <v>0</v>
      </c>
      <c r="M1758" t="str">
        <f>IF(Table1[[#This Row],[delayed]]=1,"Delayed","On Time")</f>
        <v>On Time</v>
      </c>
      <c r="N1758" t="str">
        <f>IF(AND(Table1[[#This Row],[delayed]]=1,Table1[[#This Row],[weather_condition]]="Storm"),"High Risk", IF(Table1[[#This Row],[delayed]]=1,"Medium Risk","Low Risk"))</f>
        <v>Low Risk</v>
      </c>
    </row>
    <row r="1759" spans="1:14" x14ac:dyDescent="0.35">
      <c r="A1759">
        <v>1758</v>
      </c>
      <c r="B1759" s="1">
        <v>45000.208333333336</v>
      </c>
      <c r="C1759" s="2">
        <v>4.6527777777777779E-2</v>
      </c>
      <c r="D1759" s="3">
        <v>486</v>
      </c>
      <c r="E1759" s="3">
        <v>140</v>
      </c>
      <c r="F1759" s="2">
        <v>60.793055555555554</v>
      </c>
      <c r="G1759" t="s">
        <v>2815</v>
      </c>
      <c r="H1759" t="s">
        <v>2817</v>
      </c>
      <c r="I1759" s="2">
        <v>2.1284722222222223</v>
      </c>
      <c r="J1759" s="4" t="str">
        <f>IF(Table1[[#This Row],[processing_time_hours]]&gt;1.5,"Slow", "Fast")</f>
        <v>Slow</v>
      </c>
      <c r="K1759" t="s">
        <v>2821</v>
      </c>
      <c r="L1759" s="3">
        <v>0</v>
      </c>
      <c r="M1759" t="str">
        <f>IF(Table1[[#This Row],[delayed]]=1,"Delayed","On Time")</f>
        <v>On Time</v>
      </c>
      <c r="N1759" t="str">
        <f>IF(AND(Table1[[#This Row],[delayed]]=1,Table1[[#This Row],[weather_condition]]="Storm"),"High Risk", IF(Table1[[#This Row],[delayed]]=1,"Medium Risk","Low Risk"))</f>
        <v>Low Risk</v>
      </c>
    </row>
    <row r="1760" spans="1:14" x14ac:dyDescent="0.35">
      <c r="A1760">
        <v>1759</v>
      </c>
      <c r="B1760" s="1">
        <v>45000.25</v>
      </c>
      <c r="C1760" s="2">
        <v>5.0694444444444438E-2</v>
      </c>
      <c r="D1760" s="3">
        <v>4116</v>
      </c>
      <c r="E1760" s="3">
        <v>37</v>
      </c>
      <c r="F1760" s="2">
        <v>60.128472222222221</v>
      </c>
      <c r="G1760" t="s">
        <v>2816</v>
      </c>
      <c r="H1760" t="s">
        <v>2817</v>
      </c>
      <c r="I1760" s="2">
        <v>2.7118055555555554</v>
      </c>
      <c r="J1760" s="4" t="str">
        <f>IF(Table1[[#This Row],[processing_time_hours]]&gt;1.5,"Slow", "Fast")</f>
        <v>Slow</v>
      </c>
      <c r="K1760" t="s">
        <v>2814</v>
      </c>
      <c r="L1760" s="3">
        <v>0</v>
      </c>
      <c r="M1760" t="str">
        <f>IF(Table1[[#This Row],[delayed]]=1,"Delayed","On Time")</f>
        <v>On Time</v>
      </c>
      <c r="N1760" t="str">
        <f>IF(AND(Table1[[#This Row],[delayed]]=1,Table1[[#This Row],[weather_condition]]="Storm"),"High Risk", IF(Table1[[#This Row],[delayed]]=1,"Medium Risk","Low Risk"))</f>
        <v>Low Risk</v>
      </c>
    </row>
    <row r="1761" spans="1:14" x14ac:dyDescent="0.35">
      <c r="A1761">
        <v>1760</v>
      </c>
      <c r="B1761" s="1">
        <v>45000.291666666664</v>
      </c>
      <c r="C1761" s="2">
        <v>5.3472222222222227E-2</v>
      </c>
      <c r="D1761" s="3">
        <v>862</v>
      </c>
      <c r="E1761" s="3">
        <v>62</v>
      </c>
      <c r="F1761" s="2">
        <v>42.50416666666667</v>
      </c>
      <c r="G1761" t="s">
        <v>2815</v>
      </c>
      <c r="H1761" t="s">
        <v>2822</v>
      </c>
      <c r="I1761" s="2">
        <v>1.3354166666666665</v>
      </c>
      <c r="J1761" s="4" t="str">
        <f>IF(Table1[[#This Row],[processing_time_hours]]&gt;1.5,"Slow", "Fast")</f>
        <v>Fast</v>
      </c>
      <c r="K1761" t="s">
        <v>2818</v>
      </c>
      <c r="L1761" s="3">
        <v>1</v>
      </c>
      <c r="M1761" t="str">
        <f>IF(Table1[[#This Row],[delayed]]=1,"Delayed","On Time")</f>
        <v>Delayed</v>
      </c>
      <c r="N1761" t="str">
        <f>IF(AND(Table1[[#This Row],[delayed]]=1,Table1[[#This Row],[weather_condition]]="Storm"),"High Risk", IF(Table1[[#This Row],[delayed]]=1,"Medium Risk","Low Risk"))</f>
        <v>Medium Risk</v>
      </c>
    </row>
    <row r="1762" spans="1:14" x14ac:dyDescent="0.35">
      <c r="A1762">
        <v>1761</v>
      </c>
      <c r="B1762" s="1">
        <v>45000.333333333336</v>
      </c>
      <c r="C1762" s="2">
        <v>4.7222222222222221E-2</v>
      </c>
      <c r="D1762" s="3">
        <v>4696</v>
      </c>
      <c r="E1762" s="3">
        <v>390</v>
      </c>
      <c r="F1762" s="2">
        <v>24.753472222222225</v>
      </c>
      <c r="G1762" t="s">
        <v>2819</v>
      </c>
      <c r="H1762" t="s">
        <v>2822</v>
      </c>
      <c r="I1762" s="2">
        <v>0.66805555555555562</v>
      </c>
      <c r="J1762" s="4" t="str">
        <f>IF(Table1[[#This Row],[processing_time_hours]]&gt;1.5,"Slow", "Fast")</f>
        <v>Fast</v>
      </c>
      <c r="K1762" t="s">
        <v>2818</v>
      </c>
      <c r="L1762" s="3">
        <v>0</v>
      </c>
      <c r="M1762" t="str">
        <f>IF(Table1[[#This Row],[delayed]]=1,"Delayed","On Time")</f>
        <v>On Time</v>
      </c>
      <c r="N1762" t="str">
        <f>IF(AND(Table1[[#This Row],[delayed]]=1,Table1[[#This Row],[weather_condition]]="Storm"),"High Risk", IF(Table1[[#This Row],[delayed]]=1,"Medium Risk","Low Risk"))</f>
        <v>Low Risk</v>
      </c>
    </row>
    <row r="1763" spans="1:14" x14ac:dyDescent="0.35">
      <c r="A1763">
        <v>1762</v>
      </c>
      <c r="B1763" s="1">
        <v>45000.375</v>
      </c>
      <c r="C1763" s="2">
        <v>4.5138888888888888E-2</v>
      </c>
      <c r="D1763" s="3">
        <v>4104</v>
      </c>
      <c r="E1763" s="3">
        <v>471</v>
      </c>
      <c r="F1763" s="2">
        <v>45</v>
      </c>
      <c r="G1763" t="s">
        <v>2816</v>
      </c>
      <c r="H1763" t="s">
        <v>2820</v>
      </c>
      <c r="I1763" s="2">
        <v>2.4215277777777779</v>
      </c>
      <c r="J1763" s="4" t="str">
        <f>IF(Table1[[#This Row],[processing_time_hours]]&gt;1.5,"Slow", "Fast")</f>
        <v>Slow</v>
      </c>
      <c r="K1763" t="s">
        <v>2818</v>
      </c>
      <c r="L1763" s="3">
        <v>0</v>
      </c>
      <c r="M1763" t="str">
        <f>IF(Table1[[#This Row],[delayed]]=1,"Delayed","On Time")</f>
        <v>On Time</v>
      </c>
      <c r="N1763" t="str">
        <f>IF(AND(Table1[[#This Row],[delayed]]=1,Table1[[#This Row],[weather_condition]]="Storm"),"High Risk", IF(Table1[[#This Row],[delayed]]=1,"Medium Risk","Low Risk"))</f>
        <v>Low Risk</v>
      </c>
    </row>
    <row r="1764" spans="1:14" x14ac:dyDescent="0.35">
      <c r="A1764">
        <v>1763</v>
      </c>
      <c r="B1764" s="1">
        <v>45000.416666666664</v>
      </c>
      <c r="C1764" s="2">
        <v>4.5833333333333337E-2</v>
      </c>
      <c r="D1764" s="3">
        <v>872</v>
      </c>
      <c r="E1764" s="3">
        <v>221</v>
      </c>
      <c r="F1764" s="2">
        <v>66.002083333333331</v>
      </c>
      <c r="G1764" t="s">
        <v>2815</v>
      </c>
      <c r="H1764" t="s">
        <v>2820</v>
      </c>
      <c r="I1764" s="2">
        <v>1.1277777777777778</v>
      </c>
      <c r="J1764" s="4" t="str">
        <f>IF(Table1[[#This Row],[processing_time_hours]]&gt;1.5,"Slow", "Fast")</f>
        <v>Fast</v>
      </c>
      <c r="K1764" t="s">
        <v>2814</v>
      </c>
      <c r="L1764" s="3">
        <v>1</v>
      </c>
      <c r="M1764" t="str">
        <f>IF(Table1[[#This Row],[delayed]]=1,"Delayed","On Time")</f>
        <v>Delayed</v>
      </c>
      <c r="N1764" t="str">
        <f>IF(AND(Table1[[#This Row],[delayed]]=1,Table1[[#This Row],[weather_condition]]="Storm"),"High Risk", IF(Table1[[#This Row],[delayed]]=1,"Medium Risk","Low Risk"))</f>
        <v>Medium Risk</v>
      </c>
    </row>
    <row r="1765" spans="1:14" x14ac:dyDescent="0.35">
      <c r="A1765">
        <v>1764</v>
      </c>
      <c r="B1765" s="1">
        <v>45000.458333333336</v>
      </c>
      <c r="C1765" s="2">
        <v>6.805555555555555E-2</v>
      </c>
      <c r="D1765" s="3">
        <v>4968</v>
      </c>
      <c r="E1765" s="3">
        <v>264</v>
      </c>
      <c r="F1765" s="2">
        <v>52.964583333333337</v>
      </c>
      <c r="G1765" t="s">
        <v>2816</v>
      </c>
      <c r="H1765" t="s">
        <v>2822</v>
      </c>
      <c r="I1765" s="2">
        <v>0.71388888888888891</v>
      </c>
      <c r="J1765" s="4" t="str">
        <f>IF(Table1[[#This Row],[processing_time_hours]]&gt;1.5,"Slow", "Fast")</f>
        <v>Fast</v>
      </c>
      <c r="K1765" t="s">
        <v>2818</v>
      </c>
      <c r="L1765" s="3">
        <v>1</v>
      </c>
      <c r="M1765" t="str">
        <f>IF(Table1[[#This Row],[delayed]]=1,"Delayed","On Time")</f>
        <v>Delayed</v>
      </c>
      <c r="N1765" t="str">
        <f>IF(AND(Table1[[#This Row],[delayed]]=1,Table1[[#This Row],[weather_condition]]="Storm"),"High Risk", IF(Table1[[#This Row],[delayed]]=1,"Medium Risk","Low Risk"))</f>
        <v>Medium Risk</v>
      </c>
    </row>
    <row r="1766" spans="1:14" x14ac:dyDescent="0.35">
      <c r="A1766">
        <v>1765</v>
      </c>
      <c r="B1766" s="1">
        <v>45000.5</v>
      </c>
      <c r="C1766" s="2">
        <v>5.1388888888888894E-2</v>
      </c>
      <c r="D1766" s="3">
        <v>1277</v>
      </c>
      <c r="E1766" s="3">
        <v>213</v>
      </c>
      <c r="F1766" s="2">
        <v>52.458333333333336</v>
      </c>
      <c r="G1766" t="s">
        <v>2816</v>
      </c>
      <c r="H1766" t="s">
        <v>2822</v>
      </c>
      <c r="I1766" s="2">
        <v>0.12916666666666668</v>
      </c>
      <c r="J1766" s="4" t="str">
        <f>IF(Table1[[#This Row],[processing_time_hours]]&gt;1.5,"Slow", "Fast")</f>
        <v>Fast</v>
      </c>
      <c r="K1766" t="s">
        <v>2814</v>
      </c>
      <c r="L1766" s="3">
        <v>1</v>
      </c>
      <c r="M1766" t="str">
        <f>IF(Table1[[#This Row],[delayed]]=1,"Delayed","On Time")</f>
        <v>Delayed</v>
      </c>
      <c r="N1766" t="str">
        <f>IF(AND(Table1[[#This Row],[delayed]]=1,Table1[[#This Row],[weather_condition]]="Storm"),"High Risk", IF(Table1[[#This Row],[delayed]]=1,"Medium Risk","Low Risk"))</f>
        <v>Medium Risk</v>
      </c>
    </row>
    <row r="1767" spans="1:14" x14ac:dyDescent="0.35">
      <c r="A1767">
        <v>1766</v>
      </c>
      <c r="B1767" s="1">
        <v>45000.541666666664</v>
      </c>
      <c r="C1767" s="2">
        <v>5.4166666666666669E-2</v>
      </c>
      <c r="D1767" s="3">
        <v>2939</v>
      </c>
      <c r="E1767" s="3">
        <v>287</v>
      </c>
      <c r="F1767" s="2">
        <v>37.62777777777778</v>
      </c>
      <c r="G1767" t="s">
        <v>2819</v>
      </c>
      <c r="H1767" t="s">
        <v>2813</v>
      </c>
      <c r="I1767" s="2">
        <v>2.713194444444444</v>
      </c>
      <c r="J1767" s="4" t="str">
        <f>IF(Table1[[#This Row],[processing_time_hours]]&gt;1.5,"Slow", "Fast")</f>
        <v>Slow</v>
      </c>
      <c r="K1767" t="s">
        <v>2814</v>
      </c>
      <c r="L1767" s="3">
        <v>0</v>
      </c>
      <c r="M1767" t="str">
        <f>IF(Table1[[#This Row],[delayed]]=1,"Delayed","On Time")</f>
        <v>On Time</v>
      </c>
      <c r="N1767" t="str">
        <f>IF(AND(Table1[[#This Row],[delayed]]=1,Table1[[#This Row],[weather_condition]]="Storm"),"High Risk", IF(Table1[[#This Row],[delayed]]=1,"Medium Risk","Low Risk"))</f>
        <v>Low Risk</v>
      </c>
    </row>
    <row r="1768" spans="1:14" x14ac:dyDescent="0.35">
      <c r="A1768">
        <v>1767</v>
      </c>
      <c r="B1768" s="1">
        <v>45000.583333333336</v>
      </c>
      <c r="C1768" s="2">
        <v>6.2499999999999995E-3</v>
      </c>
      <c r="D1768" s="3">
        <v>4994</v>
      </c>
      <c r="E1768" s="3">
        <v>249</v>
      </c>
      <c r="F1768" s="2">
        <v>34.922222222222224</v>
      </c>
      <c r="G1768" t="s">
        <v>2815</v>
      </c>
      <c r="H1768" t="s">
        <v>2817</v>
      </c>
      <c r="I1768" s="2">
        <v>2.0437499999999997</v>
      </c>
      <c r="J1768" s="4" t="str">
        <f>IF(Table1[[#This Row],[processing_time_hours]]&gt;1.5,"Slow", "Fast")</f>
        <v>Slow</v>
      </c>
      <c r="K1768" t="s">
        <v>2814</v>
      </c>
      <c r="L1768" s="3">
        <v>0</v>
      </c>
      <c r="M1768" t="str">
        <f>IF(Table1[[#This Row],[delayed]]=1,"Delayed","On Time")</f>
        <v>On Time</v>
      </c>
      <c r="N1768" t="str">
        <f>IF(AND(Table1[[#This Row],[delayed]]=1,Table1[[#This Row],[weather_condition]]="Storm"),"High Risk", IF(Table1[[#This Row],[delayed]]=1,"Medium Risk","Low Risk"))</f>
        <v>Low Risk</v>
      </c>
    </row>
    <row r="1769" spans="1:14" x14ac:dyDescent="0.35">
      <c r="A1769">
        <v>1768</v>
      </c>
      <c r="B1769" s="1">
        <v>45000.625</v>
      </c>
      <c r="C1769" s="2">
        <v>6.3194444444444442E-2</v>
      </c>
      <c r="D1769" s="3">
        <v>2975</v>
      </c>
      <c r="E1769" s="3">
        <v>1</v>
      </c>
      <c r="F1769" s="2">
        <v>9.75</v>
      </c>
      <c r="G1769" t="s">
        <v>2812</v>
      </c>
      <c r="H1769" t="s">
        <v>2822</v>
      </c>
      <c r="I1769" s="2">
        <v>1.211111111111111</v>
      </c>
      <c r="J1769" s="4" t="str">
        <f>IF(Table1[[#This Row],[processing_time_hours]]&gt;1.5,"Slow", "Fast")</f>
        <v>Fast</v>
      </c>
      <c r="K1769" t="s">
        <v>2821</v>
      </c>
      <c r="L1769" s="3">
        <v>0</v>
      </c>
      <c r="M1769" t="str">
        <f>IF(Table1[[#This Row],[delayed]]=1,"Delayed","On Time")</f>
        <v>On Time</v>
      </c>
      <c r="N1769" t="str">
        <f>IF(AND(Table1[[#This Row],[delayed]]=1,Table1[[#This Row],[weather_condition]]="Storm"),"High Risk", IF(Table1[[#This Row],[delayed]]=1,"Medium Risk","Low Risk"))</f>
        <v>Low Risk</v>
      </c>
    </row>
    <row r="1770" spans="1:14" x14ac:dyDescent="0.35">
      <c r="A1770">
        <v>1769</v>
      </c>
      <c r="B1770" s="1">
        <v>45000.666666666664</v>
      </c>
      <c r="C1770" s="2">
        <v>6.1111111111111109E-2</v>
      </c>
      <c r="D1770" s="3">
        <v>56</v>
      </c>
      <c r="E1770" s="3">
        <v>363</v>
      </c>
      <c r="F1770" s="2">
        <v>81.13055555555556</v>
      </c>
      <c r="G1770" t="s">
        <v>2812</v>
      </c>
      <c r="H1770" t="s">
        <v>2822</v>
      </c>
      <c r="I1770" s="2">
        <v>0.62916666666666665</v>
      </c>
      <c r="J1770" s="4" t="str">
        <f>IF(Table1[[#This Row],[processing_time_hours]]&gt;1.5,"Slow", "Fast")</f>
        <v>Fast</v>
      </c>
      <c r="K1770" t="s">
        <v>2821</v>
      </c>
      <c r="L1770" s="3">
        <v>0</v>
      </c>
      <c r="M1770" t="str">
        <f>IF(Table1[[#This Row],[delayed]]=1,"Delayed","On Time")</f>
        <v>On Time</v>
      </c>
      <c r="N1770" t="str">
        <f>IF(AND(Table1[[#This Row],[delayed]]=1,Table1[[#This Row],[weather_condition]]="Storm"),"High Risk", IF(Table1[[#This Row],[delayed]]=1,"Medium Risk","Low Risk"))</f>
        <v>Low Risk</v>
      </c>
    </row>
    <row r="1771" spans="1:14" x14ac:dyDescent="0.35">
      <c r="A1771">
        <v>1770</v>
      </c>
      <c r="B1771" s="1">
        <v>45000.708333333336</v>
      </c>
      <c r="C1771" s="2">
        <v>6.6666666666666666E-2</v>
      </c>
      <c r="D1771" s="3">
        <v>2112</v>
      </c>
      <c r="E1771" s="3">
        <v>235</v>
      </c>
      <c r="F1771" s="2">
        <v>39.125</v>
      </c>
      <c r="G1771" t="s">
        <v>2819</v>
      </c>
      <c r="H1771" t="s">
        <v>2822</v>
      </c>
      <c r="I1771" s="2">
        <v>2.7930555555555556</v>
      </c>
      <c r="J1771" s="4" t="str">
        <f>IF(Table1[[#This Row],[processing_time_hours]]&gt;1.5,"Slow", "Fast")</f>
        <v>Slow</v>
      </c>
      <c r="K1771" t="s">
        <v>2821</v>
      </c>
      <c r="L1771" s="3">
        <v>1</v>
      </c>
      <c r="M1771" t="str">
        <f>IF(Table1[[#This Row],[delayed]]=1,"Delayed","On Time")</f>
        <v>Delayed</v>
      </c>
      <c r="N1771" t="str">
        <f>IF(AND(Table1[[#This Row],[delayed]]=1,Table1[[#This Row],[weather_condition]]="Storm"),"High Risk", IF(Table1[[#This Row],[delayed]]=1,"Medium Risk","Low Risk"))</f>
        <v>Medium Risk</v>
      </c>
    </row>
    <row r="1772" spans="1:14" x14ac:dyDescent="0.35">
      <c r="A1772">
        <v>1771</v>
      </c>
      <c r="B1772" s="1">
        <v>45000.75</v>
      </c>
      <c r="C1772" s="2">
        <v>5.6250000000000001E-2</v>
      </c>
      <c r="D1772" s="3">
        <v>4083</v>
      </c>
      <c r="E1772" s="3">
        <v>428</v>
      </c>
      <c r="F1772" s="2">
        <v>17.291666666666668</v>
      </c>
      <c r="G1772" t="s">
        <v>2812</v>
      </c>
      <c r="H1772" t="s">
        <v>2813</v>
      </c>
      <c r="I1772" s="2">
        <v>0.54305555555555551</v>
      </c>
      <c r="J1772" s="4" t="str">
        <f>IF(Table1[[#This Row],[processing_time_hours]]&gt;1.5,"Slow", "Fast")</f>
        <v>Fast</v>
      </c>
      <c r="K1772" t="s">
        <v>2821</v>
      </c>
      <c r="L1772" s="3">
        <v>0</v>
      </c>
      <c r="M1772" t="str">
        <f>IF(Table1[[#This Row],[delayed]]=1,"Delayed","On Time")</f>
        <v>On Time</v>
      </c>
      <c r="N1772" t="str">
        <f>IF(AND(Table1[[#This Row],[delayed]]=1,Table1[[#This Row],[weather_condition]]="Storm"),"High Risk", IF(Table1[[#This Row],[delayed]]=1,"Medium Risk","Low Risk"))</f>
        <v>Low Risk</v>
      </c>
    </row>
    <row r="1773" spans="1:14" x14ac:dyDescent="0.35">
      <c r="A1773">
        <v>1772</v>
      </c>
      <c r="B1773" s="1">
        <v>45000.791666666664</v>
      </c>
      <c r="C1773" s="2">
        <v>4.6527777777777779E-2</v>
      </c>
      <c r="D1773" s="3">
        <v>1030</v>
      </c>
      <c r="E1773" s="3">
        <v>222</v>
      </c>
      <c r="F1773" s="2">
        <v>69.667361111111106</v>
      </c>
      <c r="G1773" t="s">
        <v>2812</v>
      </c>
      <c r="H1773" t="s">
        <v>2813</v>
      </c>
      <c r="I1773" s="2">
        <v>1.5833333333333333</v>
      </c>
      <c r="J1773" s="4" t="str">
        <f>IF(Table1[[#This Row],[processing_time_hours]]&gt;1.5,"Slow", "Fast")</f>
        <v>Slow</v>
      </c>
      <c r="K1773" t="s">
        <v>2821</v>
      </c>
      <c r="L1773" s="3">
        <v>0</v>
      </c>
      <c r="M1773" t="str">
        <f>IF(Table1[[#This Row],[delayed]]=1,"Delayed","On Time")</f>
        <v>On Time</v>
      </c>
      <c r="N1773" t="str">
        <f>IF(AND(Table1[[#This Row],[delayed]]=1,Table1[[#This Row],[weather_condition]]="Storm"),"High Risk", IF(Table1[[#This Row],[delayed]]=1,"Medium Risk","Low Risk"))</f>
        <v>Low Risk</v>
      </c>
    </row>
    <row r="1774" spans="1:14" x14ac:dyDescent="0.35">
      <c r="A1774">
        <v>1773</v>
      </c>
      <c r="B1774" s="1">
        <v>45000.833333333336</v>
      </c>
      <c r="C1774" s="2">
        <v>5.8333333333333327E-2</v>
      </c>
      <c r="D1774" s="3">
        <v>3843</v>
      </c>
      <c r="E1774" s="3">
        <v>417</v>
      </c>
      <c r="F1774" s="2">
        <v>76.878472222222214</v>
      </c>
      <c r="G1774" t="s">
        <v>2819</v>
      </c>
      <c r="H1774" t="s">
        <v>2817</v>
      </c>
      <c r="I1774" s="2">
        <v>0.63124999999999998</v>
      </c>
      <c r="J1774" s="4" t="str">
        <f>IF(Table1[[#This Row],[processing_time_hours]]&gt;1.5,"Slow", "Fast")</f>
        <v>Fast</v>
      </c>
      <c r="K1774" t="s">
        <v>2818</v>
      </c>
      <c r="L1774" s="3">
        <v>0</v>
      </c>
      <c r="M1774" t="str">
        <f>IF(Table1[[#This Row],[delayed]]=1,"Delayed","On Time")</f>
        <v>On Time</v>
      </c>
      <c r="N1774" t="str">
        <f>IF(AND(Table1[[#This Row],[delayed]]=1,Table1[[#This Row],[weather_condition]]="Storm"),"High Risk", IF(Table1[[#This Row],[delayed]]=1,"Medium Risk","Low Risk"))</f>
        <v>Low Risk</v>
      </c>
    </row>
    <row r="1775" spans="1:14" x14ac:dyDescent="0.35">
      <c r="A1775">
        <v>1774</v>
      </c>
      <c r="B1775" s="1">
        <v>45000.875</v>
      </c>
      <c r="C1775" s="2">
        <v>5.4166666666666669E-2</v>
      </c>
      <c r="D1775" s="3">
        <v>4457</v>
      </c>
      <c r="E1775" s="3">
        <v>193</v>
      </c>
      <c r="F1775" s="2">
        <v>55.753472222222221</v>
      </c>
      <c r="G1775" t="s">
        <v>2816</v>
      </c>
      <c r="H1775" t="s">
        <v>2817</v>
      </c>
      <c r="I1775" s="2">
        <v>2.2965277777777779</v>
      </c>
      <c r="J1775" s="4" t="str">
        <f>IF(Table1[[#This Row],[processing_time_hours]]&gt;1.5,"Slow", "Fast")</f>
        <v>Slow</v>
      </c>
      <c r="K1775" t="s">
        <v>2818</v>
      </c>
      <c r="L1775" s="3">
        <v>0</v>
      </c>
      <c r="M1775" t="str">
        <f>IF(Table1[[#This Row],[delayed]]=1,"Delayed","On Time")</f>
        <v>On Time</v>
      </c>
      <c r="N1775" t="str">
        <f>IF(AND(Table1[[#This Row],[delayed]]=1,Table1[[#This Row],[weather_condition]]="Storm"),"High Risk", IF(Table1[[#This Row],[delayed]]=1,"Medium Risk","Low Risk"))</f>
        <v>Low Risk</v>
      </c>
    </row>
    <row r="1776" spans="1:14" x14ac:dyDescent="0.35">
      <c r="A1776">
        <v>1775</v>
      </c>
      <c r="B1776" s="1">
        <v>45000.916666666664</v>
      </c>
      <c r="C1776" s="2">
        <v>6.458333333333334E-2</v>
      </c>
      <c r="D1776" s="3">
        <v>2624</v>
      </c>
      <c r="E1776" s="3">
        <v>291</v>
      </c>
      <c r="F1776" s="2">
        <v>30.421527777777779</v>
      </c>
      <c r="G1776" t="s">
        <v>2815</v>
      </c>
      <c r="H1776" t="s">
        <v>2822</v>
      </c>
      <c r="I1776" s="2">
        <v>1.4201388888888891</v>
      </c>
      <c r="J1776" s="4" t="str">
        <f>IF(Table1[[#This Row],[processing_time_hours]]&gt;1.5,"Slow", "Fast")</f>
        <v>Fast</v>
      </c>
      <c r="K1776" t="s">
        <v>2814</v>
      </c>
      <c r="L1776" s="3">
        <v>0</v>
      </c>
      <c r="M1776" t="str">
        <f>IF(Table1[[#This Row],[delayed]]=1,"Delayed","On Time")</f>
        <v>On Time</v>
      </c>
      <c r="N1776" t="str">
        <f>IF(AND(Table1[[#This Row],[delayed]]=1,Table1[[#This Row],[weather_condition]]="Storm"),"High Risk", IF(Table1[[#This Row],[delayed]]=1,"Medium Risk","Low Risk"))</f>
        <v>Low Risk</v>
      </c>
    </row>
    <row r="1777" spans="1:14" x14ac:dyDescent="0.35">
      <c r="A1777">
        <v>1776</v>
      </c>
      <c r="B1777" s="1">
        <v>45000.958333333336</v>
      </c>
      <c r="C1777" s="2">
        <v>4.8611111111111112E-3</v>
      </c>
      <c r="D1777" s="3">
        <v>4169</v>
      </c>
      <c r="E1777" s="3">
        <v>102</v>
      </c>
      <c r="F1777" s="2">
        <v>44.922222222222224</v>
      </c>
      <c r="G1777" t="s">
        <v>2812</v>
      </c>
      <c r="H1777" t="s">
        <v>2822</v>
      </c>
      <c r="I1777" s="2">
        <v>0.58333333333333337</v>
      </c>
      <c r="J1777" s="4" t="str">
        <f>IF(Table1[[#This Row],[processing_time_hours]]&gt;1.5,"Slow", "Fast")</f>
        <v>Fast</v>
      </c>
      <c r="K1777" t="s">
        <v>2818</v>
      </c>
      <c r="L1777" s="3">
        <v>1</v>
      </c>
      <c r="M1777" t="str">
        <f>IF(Table1[[#This Row],[delayed]]=1,"Delayed","On Time")</f>
        <v>Delayed</v>
      </c>
      <c r="N1777" t="str">
        <f>IF(AND(Table1[[#This Row],[delayed]]=1,Table1[[#This Row],[weather_condition]]="Storm"),"High Risk", IF(Table1[[#This Row],[delayed]]=1,"Medium Risk","Low Risk"))</f>
        <v>Medium Risk</v>
      </c>
    </row>
    <row r="1778" spans="1:14" x14ac:dyDescent="0.35">
      <c r="A1778">
        <v>1777</v>
      </c>
      <c r="B1778" s="1">
        <v>45001</v>
      </c>
      <c r="C1778" s="2">
        <v>6.0416666666666667E-2</v>
      </c>
      <c r="D1778" s="3">
        <v>1763</v>
      </c>
      <c r="E1778" s="3">
        <v>421</v>
      </c>
      <c r="F1778" s="2">
        <v>37.920833333333334</v>
      </c>
      <c r="G1778" t="s">
        <v>2819</v>
      </c>
      <c r="H1778" t="s">
        <v>2817</v>
      </c>
      <c r="I1778" s="2">
        <v>0.45902777777777781</v>
      </c>
      <c r="J1778" s="4" t="str">
        <f>IF(Table1[[#This Row],[processing_time_hours]]&gt;1.5,"Slow", "Fast")</f>
        <v>Fast</v>
      </c>
      <c r="K1778" t="s">
        <v>2821</v>
      </c>
      <c r="L1778" s="3">
        <v>0</v>
      </c>
      <c r="M1778" t="str">
        <f>IF(Table1[[#This Row],[delayed]]=1,"Delayed","On Time")</f>
        <v>On Time</v>
      </c>
      <c r="N1778" t="str">
        <f>IF(AND(Table1[[#This Row],[delayed]]=1,Table1[[#This Row],[weather_condition]]="Storm"),"High Risk", IF(Table1[[#This Row],[delayed]]=1,"Medium Risk","Low Risk"))</f>
        <v>Low Risk</v>
      </c>
    </row>
    <row r="1779" spans="1:14" x14ac:dyDescent="0.35">
      <c r="A1779">
        <v>1778</v>
      </c>
      <c r="B1779" s="1">
        <v>45001.041666666664</v>
      </c>
      <c r="C1779" s="2">
        <v>4.1666666666666666E-3</v>
      </c>
      <c r="D1779" s="3">
        <v>4462</v>
      </c>
      <c r="E1779" s="3">
        <v>346</v>
      </c>
      <c r="F1779" s="2">
        <v>40.006250000000001</v>
      </c>
      <c r="G1779" t="s">
        <v>2812</v>
      </c>
      <c r="H1779" t="s">
        <v>2820</v>
      </c>
      <c r="I1779" s="2">
        <v>4.3750000000000004E-2</v>
      </c>
      <c r="J1779" s="4" t="str">
        <f>IF(Table1[[#This Row],[processing_time_hours]]&gt;1.5,"Slow", "Fast")</f>
        <v>Fast</v>
      </c>
      <c r="K1779" t="s">
        <v>2821</v>
      </c>
      <c r="L1779" s="3">
        <v>0</v>
      </c>
      <c r="M1779" t="str">
        <f>IF(Table1[[#This Row],[delayed]]=1,"Delayed","On Time")</f>
        <v>On Time</v>
      </c>
      <c r="N1779" t="str">
        <f>IF(AND(Table1[[#This Row],[delayed]]=1,Table1[[#This Row],[weather_condition]]="Storm"),"High Risk", IF(Table1[[#This Row],[delayed]]=1,"Medium Risk","Low Risk"))</f>
        <v>Low Risk</v>
      </c>
    </row>
    <row r="1780" spans="1:14" x14ac:dyDescent="0.35">
      <c r="A1780">
        <v>1779</v>
      </c>
      <c r="B1780" s="1">
        <v>45001.083333333336</v>
      </c>
      <c r="C1780" s="2">
        <v>5.2083333333333336E-2</v>
      </c>
      <c r="D1780" s="3">
        <v>261</v>
      </c>
      <c r="E1780" s="3">
        <v>239</v>
      </c>
      <c r="F1780" s="2">
        <v>42.046527777777776</v>
      </c>
      <c r="G1780" t="s">
        <v>2815</v>
      </c>
      <c r="H1780" t="s">
        <v>2822</v>
      </c>
      <c r="I1780" s="2">
        <v>1.7972222222222223</v>
      </c>
      <c r="J1780" s="4" t="str">
        <f>IF(Table1[[#This Row],[processing_time_hours]]&gt;1.5,"Slow", "Fast")</f>
        <v>Slow</v>
      </c>
      <c r="K1780" t="s">
        <v>2821</v>
      </c>
      <c r="L1780" s="3">
        <v>0</v>
      </c>
      <c r="M1780" t="str">
        <f>IF(Table1[[#This Row],[delayed]]=1,"Delayed","On Time")</f>
        <v>On Time</v>
      </c>
      <c r="N1780" t="str">
        <f>IF(AND(Table1[[#This Row],[delayed]]=1,Table1[[#This Row],[weather_condition]]="Storm"),"High Risk", IF(Table1[[#This Row],[delayed]]=1,"Medium Risk","Low Risk"))</f>
        <v>Low Risk</v>
      </c>
    </row>
    <row r="1781" spans="1:14" x14ac:dyDescent="0.35">
      <c r="A1781">
        <v>1780</v>
      </c>
      <c r="B1781" s="1">
        <v>45001.125</v>
      </c>
      <c r="C1781" s="2">
        <v>5.1388888888888894E-2</v>
      </c>
      <c r="D1781" s="3">
        <v>2551</v>
      </c>
      <c r="E1781" s="3">
        <v>166</v>
      </c>
      <c r="F1781" s="2">
        <v>53.294444444444444</v>
      </c>
      <c r="G1781" t="s">
        <v>2816</v>
      </c>
      <c r="H1781" t="s">
        <v>2813</v>
      </c>
      <c r="I1781" s="2">
        <v>1.5416666666666667</v>
      </c>
      <c r="J1781" s="4" t="str">
        <f>IF(Table1[[#This Row],[processing_time_hours]]&gt;1.5,"Slow", "Fast")</f>
        <v>Slow</v>
      </c>
      <c r="K1781" t="s">
        <v>2821</v>
      </c>
      <c r="L1781" s="3">
        <v>0</v>
      </c>
      <c r="M1781" t="str">
        <f>IF(Table1[[#This Row],[delayed]]=1,"Delayed","On Time")</f>
        <v>On Time</v>
      </c>
      <c r="N1781" t="str">
        <f>IF(AND(Table1[[#This Row],[delayed]]=1,Table1[[#This Row],[weather_condition]]="Storm"),"High Risk", IF(Table1[[#This Row],[delayed]]=1,"Medium Risk","Low Risk"))</f>
        <v>Low Risk</v>
      </c>
    </row>
    <row r="1782" spans="1:14" x14ac:dyDescent="0.35">
      <c r="A1782">
        <v>1781</v>
      </c>
      <c r="B1782" s="1">
        <v>45001.166666666664</v>
      </c>
      <c r="C1782" s="2">
        <v>4.4444444444444446E-2</v>
      </c>
      <c r="D1782" s="3">
        <v>927</v>
      </c>
      <c r="E1782" s="3">
        <v>50</v>
      </c>
      <c r="F1782" s="2">
        <v>70.375694444444449</v>
      </c>
      <c r="G1782" t="s">
        <v>2819</v>
      </c>
      <c r="H1782" t="s">
        <v>2813</v>
      </c>
      <c r="I1782" s="2">
        <v>0.62986111111111109</v>
      </c>
      <c r="J1782" s="4" t="str">
        <f>IF(Table1[[#This Row],[processing_time_hours]]&gt;1.5,"Slow", "Fast")</f>
        <v>Fast</v>
      </c>
      <c r="K1782" t="s">
        <v>2818</v>
      </c>
      <c r="L1782" s="3">
        <v>1</v>
      </c>
      <c r="M1782" t="str">
        <f>IF(Table1[[#This Row],[delayed]]=1,"Delayed","On Time")</f>
        <v>Delayed</v>
      </c>
      <c r="N1782" t="str">
        <f>IF(AND(Table1[[#This Row],[delayed]]=1,Table1[[#This Row],[weather_condition]]="Storm"),"High Risk", IF(Table1[[#This Row],[delayed]]=1,"Medium Risk","Low Risk"))</f>
        <v>Medium Risk</v>
      </c>
    </row>
    <row r="1783" spans="1:14" x14ac:dyDescent="0.35">
      <c r="A1783">
        <v>1782</v>
      </c>
      <c r="B1783" s="1">
        <v>45001.208333333336</v>
      </c>
      <c r="C1783" s="2">
        <v>6.458333333333334E-2</v>
      </c>
      <c r="D1783" s="3">
        <v>3014</v>
      </c>
      <c r="E1783" s="3">
        <v>105</v>
      </c>
      <c r="F1783" s="2">
        <v>57.419444444444444</v>
      </c>
      <c r="G1783" t="s">
        <v>2815</v>
      </c>
      <c r="H1783" t="s">
        <v>2813</v>
      </c>
      <c r="I1783" s="2">
        <v>8.4027777777777771E-2</v>
      </c>
      <c r="J1783" s="4" t="str">
        <f>IF(Table1[[#This Row],[processing_time_hours]]&gt;1.5,"Slow", "Fast")</f>
        <v>Fast</v>
      </c>
      <c r="K1783" t="s">
        <v>2814</v>
      </c>
      <c r="L1783" s="3">
        <v>0</v>
      </c>
      <c r="M1783" t="str">
        <f>IF(Table1[[#This Row],[delayed]]=1,"Delayed","On Time")</f>
        <v>On Time</v>
      </c>
      <c r="N1783" t="str">
        <f>IF(AND(Table1[[#This Row],[delayed]]=1,Table1[[#This Row],[weather_condition]]="Storm"),"High Risk", IF(Table1[[#This Row],[delayed]]=1,"Medium Risk","Low Risk"))</f>
        <v>Low Risk</v>
      </c>
    </row>
    <row r="1784" spans="1:14" x14ac:dyDescent="0.35">
      <c r="A1784">
        <v>1783</v>
      </c>
      <c r="B1784" s="1">
        <v>45001.25</v>
      </c>
      <c r="C1784" s="2">
        <v>6.458333333333334E-2</v>
      </c>
      <c r="D1784" s="3">
        <v>1395</v>
      </c>
      <c r="E1784" s="3">
        <v>312</v>
      </c>
      <c r="F1784" s="2">
        <v>55.83680555555555</v>
      </c>
      <c r="G1784" t="s">
        <v>2819</v>
      </c>
      <c r="H1784" t="s">
        <v>2813</v>
      </c>
      <c r="I1784" s="2">
        <v>2.4618055555555558</v>
      </c>
      <c r="J1784" s="4" t="str">
        <f>IF(Table1[[#This Row],[processing_time_hours]]&gt;1.5,"Slow", "Fast")</f>
        <v>Slow</v>
      </c>
      <c r="K1784" t="s">
        <v>2814</v>
      </c>
      <c r="L1784" s="3">
        <v>0</v>
      </c>
      <c r="M1784" t="str">
        <f>IF(Table1[[#This Row],[delayed]]=1,"Delayed","On Time")</f>
        <v>On Time</v>
      </c>
      <c r="N1784" t="str">
        <f>IF(AND(Table1[[#This Row],[delayed]]=1,Table1[[#This Row],[weather_condition]]="Storm"),"High Risk", IF(Table1[[#This Row],[delayed]]=1,"Medium Risk","Low Risk"))</f>
        <v>Low Risk</v>
      </c>
    </row>
    <row r="1785" spans="1:14" x14ac:dyDescent="0.35">
      <c r="A1785">
        <v>1784</v>
      </c>
      <c r="B1785" s="1">
        <v>45001.291666666664</v>
      </c>
      <c r="C1785" s="2">
        <v>4.8611111111111112E-3</v>
      </c>
      <c r="D1785" s="3">
        <v>1401</v>
      </c>
      <c r="E1785" s="3">
        <v>58</v>
      </c>
      <c r="F1785" s="2">
        <v>53.797222222222224</v>
      </c>
      <c r="G1785" t="s">
        <v>2815</v>
      </c>
      <c r="H1785" t="s">
        <v>2813</v>
      </c>
      <c r="I1785" s="2">
        <v>2.4611111111111112</v>
      </c>
      <c r="J1785" s="4" t="str">
        <f>IF(Table1[[#This Row],[processing_time_hours]]&gt;1.5,"Slow", "Fast")</f>
        <v>Slow</v>
      </c>
      <c r="K1785" t="s">
        <v>2818</v>
      </c>
      <c r="L1785" s="3">
        <v>0</v>
      </c>
      <c r="M1785" t="str">
        <f>IF(Table1[[#This Row],[delayed]]=1,"Delayed","On Time")</f>
        <v>On Time</v>
      </c>
      <c r="N1785" t="str">
        <f>IF(AND(Table1[[#This Row],[delayed]]=1,Table1[[#This Row],[weather_condition]]="Storm"),"High Risk", IF(Table1[[#This Row],[delayed]]=1,"Medium Risk","Low Risk"))</f>
        <v>Low Risk</v>
      </c>
    </row>
    <row r="1786" spans="1:14" x14ac:dyDescent="0.35">
      <c r="A1786">
        <v>1785</v>
      </c>
      <c r="B1786" s="1">
        <v>45001.333333333336</v>
      </c>
      <c r="C1786" s="2">
        <v>6.1111111111111109E-2</v>
      </c>
      <c r="D1786" s="3">
        <v>4526</v>
      </c>
      <c r="E1786" s="3">
        <v>458</v>
      </c>
      <c r="F1786" s="2">
        <v>66.543750000000003</v>
      </c>
      <c r="G1786" t="s">
        <v>2816</v>
      </c>
      <c r="H1786" t="s">
        <v>2820</v>
      </c>
      <c r="I1786" s="2">
        <v>1.6666666666666667</v>
      </c>
      <c r="J1786" s="4" t="str">
        <f>IF(Table1[[#This Row],[processing_time_hours]]&gt;1.5,"Slow", "Fast")</f>
        <v>Slow</v>
      </c>
      <c r="K1786" t="s">
        <v>2821</v>
      </c>
      <c r="L1786" s="3">
        <v>0</v>
      </c>
      <c r="M1786" t="str">
        <f>IF(Table1[[#This Row],[delayed]]=1,"Delayed","On Time")</f>
        <v>On Time</v>
      </c>
      <c r="N1786" t="str">
        <f>IF(AND(Table1[[#This Row],[delayed]]=1,Table1[[#This Row],[weather_condition]]="Storm"),"High Risk", IF(Table1[[#This Row],[delayed]]=1,"Medium Risk","Low Risk"))</f>
        <v>Low Risk</v>
      </c>
    </row>
    <row r="1787" spans="1:14" x14ac:dyDescent="0.35">
      <c r="A1787">
        <v>1786</v>
      </c>
      <c r="B1787" s="1">
        <v>45001.375</v>
      </c>
      <c r="C1787" s="2">
        <v>6.6666666666666666E-2</v>
      </c>
      <c r="D1787" s="3">
        <v>1359</v>
      </c>
      <c r="E1787" s="3">
        <v>145</v>
      </c>
      <c r="F1787" s="2">
        <v>30.420833333333334</v>
      </c>
      <c r="G1787" t="s">
        <v>2815</v>
      </c>
      <c r="H1787" t="s">
        <v>2822</v>
      </c>
      <c r="I1787" s="2">
        <v>0.25138888888888888</v>
      </c>
      <c r="J1787" s="4" t="str">
        <f>IF(Table1[[#This Row],[processing_time_hours]]&gt;1.5,"Slow", "Fast")</f>
        <v>Fast</v>
      </c>
      <c r="K1787" t="s">
        <v>2818</v>
      </c>
      <c r="L1787" s="3">
        <v>0</v>
      </c>
      <c r="M1787" t="str">
        <f>IF(Table1[[#This Row],[delayed]]=1,"Delayed","On Time")</f>
        <v>On Time</v>
      </c>
      <c r="N1787" t="str">
        <f>IF(AND(Table1[[#This Row],[delayed]]=1,Table1[[#This Row],[weather_condition]]="Storm"),"High Risk", IF(Table1[[#This Row],[delayed]]=1,"Medium Risk","Low Risk"))</f>
        <v>Low Risk</v>
      </c>
    </row>
    <row r="1788" spans="1:14" x14ac:dyDescent="0.35">
      <c r="A1788">
        <v>1787</v>
      </c>
      <c r="B1788" s="1">
        <v>45001.416666666664</v>
      </c>
      <c r="C1788" s="2">
        <v>5.7638888888888885E-2</v>
      </c>
      <c r="D1788" s="3">
        <v>977</v>
      </c>
      <c r="E1788" s="3">
        <v>495</v>
      </c>
      <c r="F1788" s="2">
        <v>77.503472222222214</v>
      </c>
      <c r="G1788" t="s">
        <v>2816</v>
      </c>
      <c r="H1788" t="s">
        <v>2817</v>
      </c>
      <c r="I1788" s="2">
        <v>0.3354166666666667</v>
      </c>
      <c r="J1788" s="4" t="str">
        <f>IF(Table1[[#This Row],[processing_time_hours]]&gt;1.5,"Slow", "Fast")</f>
        <v>Fast</v>
      </c>
      <c r="K1788" t="s">
        <v>2814</v>
      </c>
      <c r="L1788" s="3">
        <v>0</v>
      </c>
      <c r="M1788" t="str">
        <f>IF(Table1[[#This Row],[delayed]]=1,"Delayed","On Time")</f>
        <v>On Time</v>
      </c>
      <c r="N1788" t="str">
        <f>IF(AND(Table1[[#This Row],[delayed]]=1,Table1[[#This Row],[weather_condition]]="Storm"),"High Risk", IF(Table1[[#This Row],[delayed]]=1,"Medium Risk","Low Risk"))</f>
        <v>Low Risk</v>
      </c>
    </row>
    <row r="1789" spans="1:14" x14ac:dyDescent="0.35">
      <c r="A1789">
        <v>1788</v>
      </c>
      <c r="B1789" s="1">
        <v>45001.458333333336</v>
      </c>
      <c r="C1789" s="2">
        <v>5.2083333333333336E-2</v>
      </c>
      <c r="D1789" s="3">
        <v>4930</v>
      </c>
      <c r="E1789" s="3">
        <v>117</v>
      </c>
      <c r="F1789" s="2">
        <v>67.75277777777778</v>
      </c>
      <c r="G1789" t="s">
        <v>2815</v>
      </c>
      <c r="H1789" t="s">
        <v>2820</v>
      </c>
      <c r="I1789" s="2">
        <v>0.45902777777777781</v>
      </c>
      <c r="J1789" s="4" t="str">
        <f>IF(Table1[[#This Row],[processing_time_hours]]&gt;1.5,"Slow", "Fast")</f>
        <v>Fast</v>
      </c>
      <c r="K1789" t="s">
        <v>2818</v>
      </c>
      <c r="L1789" s="3">
        <v>0</v>
      </c>
      <c r="M1789" t="str">
        <f>IF(Table1[[#This Row],[delayed]]=1,"Delayed","On Time")</f>
        <v>On Time</v>
      </c>
      <c r="N1789" t="str">
        <f>IF(AND(Table1[[#This Row],[delayed]]=1,Table1[[#This Row],[weather_condition]]="Storm"),"High Risk", IF(Table1[[#This Row],[delayed]]=1,"Medium Risk","Low Risk"))</f>
        <v>Low Risk</v>
      </c>
    </row>
    <row r="1790" spans="1:14" x14ac:dyDescent="0.35">
      <c r="A1790">
        <v>1789</v>
      </c>
      <c r="B1790" s="1">
        <v>45001.5</v>
      </c>
      <c r="C1790" s="2">
        <v>6.0416666666666667E-2</v>
      </c>
      <c r="D1790" s="3">
        <v>98</v>
      </c>
      <c r="E1790" s="3">
        <v>50</v>
      </c>
      <c r="F1790" s="2">
        <v>2.5868055555555558</v>
      </c>
      <c r="G1790" t="s">
        <v>2815</v>
      </c>
      <c r="H1790" t="s">
        <v>2822</v>
      </c>
      <c r="I1790" s="2">
        <v>2.1291666666666669</v>
      </c>
      <c r="J1790" s="4" t="str">
        <f>IF(Table1[[#This Row],[processing_time_hours]]&gt;1.5,"Slow", "Fast")</f>
        <v>Slow</v>
      </c>
      <c r="K1790" t="s">
        <v>2821</v>
      </c>
      <c r="L1790" s="3">
        <v>0</v>
      </c>
      <c r="M1790" t="str">
        <f>IF(Table1[[#This Row],[delayed]]=1,"Delayed","On Time")</f>
        <v>On Time</v>
      </c>
      <c r="N1790" t="str">
        <f>IF(AND(Table1[[#This Row],[delayed]]=1,Table1[[#This Row],[weather_condition]]="Storm"),"High Risk", IF(Table1[[#This Row],[delayed]]=1,"Medium Risk","Low Risk"))</f>
        <v>Low Risk</v>
      </c>
    </row>
    <row r="1791" spans="1:14" x14ac:dyDescent="0.35">
      <c r="A1791">
        <v>1790</v>
      </c>
      <c r="B1791" s="1">
        <v>45001.541666666664</v>
      </c>
      <c r="C1791" s="2">
        <v>5.2777777777777778E-2</v>
      </c>
      <c r="D1791" s="3">
        <v>3685</v>
      </c>
      <c r="E1791" s="3">
        <v>419</v>
      </c>
      <c r="F1791" s="2">
        <v>33.25416666666667</v>
      </c>
      <c r="G1791" t="s">
        <v>2815</v>
      </c>
      <c r="H1791" t="s">
        <v>2817</v>
      </c>
      <c r="I1791" s="2">
        <v>2.9624999999999999</v>
      </c>
      <c r="J1791" s="4" t="str">
        <f>IF(Table1[[#This Row],[processing_time_hours]]&gt;1.5,"Slow", "Fast")</f>
        <v>Slow</v>
      </c>
      <c r="K1791" t="s">
        <v>2818</v>
      </c>
      <c r="L1791" s="3">
        <v>0</v>
      </c>
      <c r="M1791" t="str">
        <f>IF(Table1[[#This Row],[delayed]]=1,"Delayed","On Time")</f>
        <v>On Time</v>
      </c>
      <c r="N1791" t="str">
        <f>IF(AND(Table1[[#This Row],[delayed]]=1,Table1[[#This Row],[weather_condition]]="Storm"),"High Risk", IF(Table1[[#This Row],[delayed]]=1,"Medium Risk","Low Risk"))</f>
        <v>Low Risk</v>
      </c>
    </row>
    <row r="1792" spans="1:14" x14ac:dyDescent="0.35">
      <c r="A1792">
        <v>1791</v>
      </c>
      <c r="B1792" s="1">
        <v>45001.583333333336</v>
      </c>
      <c r="C1792" s="2">
        <v>5.7638888888888885E-2</v>
      </c>
      <c r="D1792" s="3">
        <v>1504</v>
      </c>
      <c r="E1792" s="3">
        <v>301</v>
      </c>
      <c r="F1792" s="2">
        <v>51.546527777777776</v>
      </c>
      <c r="G1792" t="s">
        <v>2816</v>
      </c>
      <c r="H1792" t="s">
        <v>2813</v>
      </c>
      <c r="I1792" s="2">
        <v>0.33819444444444446</v>
      </c>
      <c r="J1792" s="4" t="str">
        <f>IF(Table1[[#This Row],[processing_time_hours]]&gt;1.5,"Slow", "Fast")</f>
        <v>Fast</v>
      </c>
      <c r="K1792" t="s">
        <v>2821</v>
      </c>
      <c r="L1792" s="3">
        <v>0</v>
      </c>
      <c r="M1792" t="str">
        <f>IF(Table1[[#This Row],[delayed]]=1,"Delayed","On Time")</f>
        <v>On Time</v>
      </c>
      <c r="N1792" t="str">
        <f>IF(AND(Table1[[#This Row],[delayed]]=1,Table1[[#This Row],[weather_condition]]="Storm"),"High Risk", IF(Table1[[#This Row],[delayed]]=1,"Medium Risk","Low Risk"))</f>
        <v>Low Risk</v>
      </c>
    </row>
    <row r="1793" spans="1:14" x14ac:dyDescent="0.35">
      <c r="A1793">
        <v>1792</v>
      </c>
      <c r="B1793" s="1">
        <v>45001.625</v>
      </c>
      <c r="C1793" s="2">
        <v>5.9722222222222225E-2</v>
      </c>
      <c r="D1793" s="3">
        <v>1850</v>
      </c>
      <c r="E1793" s="3">
        <v>40</v>
      </c>
      <c r="F1793" s="2">
        <v>81.464583333333337</v>
      </c>
      <c r="G1793" t="s">
        <v>2815</v>
      </c>
      <c r="H1793" t="s">
        <v>2820</v>
      </c>
      <c r="I1793" s="2">
        <v>1.2527777777777778</v>
      </c>
      <c r="J1793" s="4" t="str">
        <f>IF(Table1[[#This Row],[processing_time_hours]]&gt;1.5,"Slow", "Fast")</f>
        <v>Fast</v>
      </c>
      <c r="K1793" t="s">
        <v>2818</v>
      </c>
      <c r="L1793" s="3">
        <v>0</v>
      </c>
      <c r="M1793" t="str">
        <f>IF(Table1[[#This Row],[delayed]]=1,"Delayed","On Time")</f>
        <v>On Time</v>
      </c>
      <c r="N1793" t="str">
        <f>IF(AND(Table1[[#This Row],[delayed]]=1,Table1[[#This Row],[weather_condition]]="Storm"),"High Risk", IF(Table1[[#This Row],[delayed]]=1,"Medium Risk","Low Risk"))</f>
        <v>Low Risk</v>
      </c>
    </row>
    <row r="1794" spans="1:14" x14ac:dyDescent="0.35">
      <c r="A1794">
        <v>1793</v>
      </c>
      <c r="B1794" s="1">
        <v>45001.666666666664</v>
      </c>
      <c r="C1794" s="2">
        <v>4.9999999999999996E-2</v>
      </c>
      <c r="D1794" s="3">
        <v>4173</v>
      </c>
      <c r="E1794" s="3">
        <v>477</v>
      </c>
      <c r="F1794" s="2">
        <v>78.626388888888883</v>
      </c>
      <c r="G1794" t="s">
        <v>2812</v>
      </c>
      <c r="H1794" t="s">
        <v>2813</v>
      </c>
      <c r="I1794" s="2">
        <v>1.5854166666666665</v>
      </c>
      <c r="J1794" s="4" t="str">
        <f>IF(Table1[[#This Row],[processing_time_hours]]&gt;1.5,"Slow", "Fast")</f>
        <v>Slow</v>
      </c>
      <c r="K1794" t="s">
        <v>2821</v>
      </c>
      <c r="L1794" s="3">
        <v>0</v>
      </c>
      <c r="M1794" t="str">
        <f>IF(Table1[[#This Row],[delayed]]=1,"Delayed","On Time")</f>
        <v>On Time</v>
      </c>
      <c r="N1794" t="str">
        <f>IF(AND(Table1[[#This Row],[delayed]]=1,Table1[[#This Row],[weather_condition]]="Storm"),"High Risk", IF(Table1[[#This Row],[delayed]]=1,"Medium Risk","Low Risk"))</f>
        <v>Low Risk</v>
      </c>
    </row>
    <row r="1795" spans="1:14" x14ac:dyDescent="0.35">
      <c r="A1795">
        <v>1794</v>
      </c>
      <c r="B1795" s="1">
        <v>45001.708333333336</v>
      </c>
      <c r="C1795" s="2">
        <v>5.9722222222222225E-2</v>
      </c>
      <c r="D1795" s="3">
        <v>2051</v>
      </c>
      <c r="E1795" s="3">
        <v>361</v>
      </c>
      <c r="F1795" s="2">
        <v>58.463888888888896</v>
      </c>
      <c r="G1795" t="s">
        <v>2819</v>
      </c>
      <c r="H1795" t="s">
        <v>2813</v>
      </c>
      <c r="I1795" s="2">
        <v>2.5041666666666669</v>
      </c>
      <c r="J1795" s="4" t="str">
        <f>IF(Table1[[#This Row],[processing_time_hours]]&gt;1.5,"Slow", "Fast")</f>
        <v>Slow</v>
      </c>
      <c r="K1795" t="s">
        <v>2814</v>
      </c>
      <c r="L1795" s="3">
        <v>0</v>
      </c>
      <c r="M1795" t="str">
        <f>IF(Table1[[#This Row],[delayed]]=1,"Delayed","On Time")</f>
        <v>On Time</v>
      </c>
      <c r="N1795" t="str">
        <f>IF(AND(Table1[[#This Row],[delayed]]=1,Table1[[#This Row],[weather_condition]]="Storm"),"High Risk", IF(Table1[[#This Row],[delayed]]=1,"Medium Risk","Low Risk"))</f>
        <v>Low Risk</v>
      </c>
    </row>
    <row r="1796" spans="1:14" x14ac:dyDescent="0.35">
      <c r="A1796">
        <v>1795</v>
      </c>
      <c r="B1796" s="1">
        <v>45001.75</v>
      </c>
      <c r="C1796" s="2">
        <v>5.5555555555555558E-3</v>
      </c>
      <c r="D1796" s="3">
        <v>850</v>
      </c>
      <c r="E1796" s="3">
        <v>241</v>
      </c>
      <c r="F1796" s="2">
        <v>4.8791666666666664</v>
      </c>
      <c r="G1796" t="s">
        <v>2816</v>
      </c>
      <c r="H1796" t="s">
        <v>2813</v>
      </c>
      <c r="I1796" s="2">
        <v>2.1666666666666665</v>
      </c>
      <c r="J1796" s="4" t="str">
        <f>IF(Table1[[#This Row],[processing_time_hours]]&gt;1.5,"Slow", "Fast")</f>
        <v>Slow</v>
      </c>
      <c r="K1796" t="s">
        <v>2818</v>
      </c>
      <c r="L1796" s="3">
        <v>0</v>
      </c>
      <c r="M1796" t="str">
        <f>IF(Table1[[#This Row],[delayed]]=1,"Delayed","On Time")</f>
        <v>On Time</v>
      </c>
      <c r="N1796" t="str">
        <f>IF(AND(Table1[[#This Row],[delayed]]=1,Table1[[#This Row],[weather_condition]]="Storm"),"High Risk", IF(Table1[[#This Row],[delayed]]=1,"Medium Risk","Low Risk"))</f>
        <v>Low Risk</v>
      </c>
    </row>
    <row r="1797" spans="1:14" x14ac:dyDescent="0.35">
      <c r="A1797">
        <v>1796</v>
      </c>
      <c r="B1797" s="1">
        <v>45001.791666666664</v>
      </c>
      <c r="C1797" s="2">
        <v>5.8333333333333327E-2</v>
      </c>
      <c r="D1797" s="3">
        <v>4039</v>
      </c>
      <c r="E1797" s="3">
        <v>58</v>
      </c>
      <c r="F1797" s="2">
        <v>34.587499999999999</v>
      </c>
      <c r="G1797" t="s">
        <v>2819</v>
      </c>
      <c r="H1797" t="s">
        <v>2817</v>
      </c>
      <c r="I1797" s="2">
        <v>2.4604166666666667</v>
      </c>
      <c r="J1797" s="4" t="str">
        <f>IF(Table1[[#This Row],[processing_time_hours]]&gt;1.5,"Slow", "Fast")</f>
        <v>Slow</v>
      </c>
      <c r="K1797" t="s">
        <v>2821</v>
      </c>
      <c r="L1797" s="3">
        <v>0</v>
      </c>
      <c r="M1797" t="str">
        <f>IF(Table1[[#This Row],[delayed]]=1,"Delayed","On Time")</f>
        <v>On Time</v>
      </c>
      <c r="N1797" t="str">
        <f>IF(AND(Table1[[#This Row],[delayed]]=1,Table1[[#This Row],[weather_condition]]="Storm"),"High Risk", IF(Table1[[#This Row],[delayed]]=1,"Medium Risk","Low Risk"))</f>
        <v>Low Risk</v>
      </c>
    </row>
    <row r="1798" spans="1:14" x14ac:dyDescent="0.35">
      <c r="A1798">
        <v>1797</v>
      </c>
      <c r="B1798" s="1">
        <v>45001.833333333336</v>
      </c>
      <c r="C1798" s="2">
        <v>4.9999999999999996E-2</v>
      </c>
      <c r="D1798" s="3">
        <v>1518</v>
      </c>
      <c r="E1798" s="3">
        <v>105</v>
      </c>
      <c r="F1798" s="2">
        <v>33.416666666666664</v>
      </c>
      <c r="G1798" t="s">
        <v>2816</v>
      </c>
      <c r="H1798" t="s">
        <v>2820</v>
      </c>
      <c r="I1798" s="2">
        <v>2.6680555555555556</v>
      </c>
      <c r="J1798" s="4" t="str">
        <f>IF(Table1[[#This Row],[processing_time_hours]]&gt;1.5,"Slow", "Fast")</f>
        <v>Slow</v>
      </c>
      <c r="K1798" t="s">
        <v>2821</v>
      </c>
      <c r="L1798" s="3">
        <v>1</v>
      </c>
      <c r="M1798" t="str">
        <f>IF(Table1[[#This Row],[delayed]]=1,"Delayed","On Time")</f>
        <v>Delayed</v>
      </c>
      <c r="N1798" t="str">
        <f>IF(AND(Table1[[#This Row],[delayed]]=1,Table1[[#This Row],[weather_condition]]="Storm"),"High Risk", IF(Table1[[#This Row],[delayed]]=1,"Medium Risk","Low Risk"))</f>
        <v>Medium Risk</v>
      </c>
    </row>
    <row r="1799" spans="1:14" x14ac:dyDescent="0.35">
      <c r="A1799">
        <v>1798</v>
      </c>
      <c r="B1799" s="1">
        <v>45001.875</v>
      </c>
      <c r="C1799" s="2">
        <v>6.2499999999999995E-3</v>
      </c>
      <c r="D1799" s="3">
        <v>4799</v>
      </c>
      <c r="E1799" s="3">
        <v>475</v>
      </c>
      <c r="F1799" s="2">
        <v>15.50138888888889</v>
      </c>
      <c r="G1799" t="s">
        <v>2815</v>
      </c>
      <c r="H1799" t="s">
        <v>2822</v>
      </c>
      <c r="I1799" s="2">
        <v>1.8381944444444445</v>
      </c>
      <c r="J1799" s="4" t="str">
        <f>IF(Table1[[#This Row],[processing_time_hours]]&gt;1.5,"Slow", "Fast")</f>
        <v>Slow</v>
      </c>
      <c r="K1799" t="s">
        <v>2818</v>
      </c>
      <c r="L1799" s="3">
        <v>0</v>
      </c>
      <c r="M1799" t="str">
        <f>IF(Table1[[#This Row],[delayed]]=1,"Delayed","On Time")</f>
        <v>On Time</v>
      </c>
      <c r="N1799" t="str">
        <f>IF(AND(Table1[[#This Row],[delayed]]=1,Table1[[#This Row],[weather_condition]]="Storm"),"High Risk", IF(Table1[[#This Row],[delayed]]=1,"Medium Risk","Low Risk"))</f>
        <v>Low Risk</v>
      </c>
    </row>
    <row r="1800" spans="1:14" x14ac:dyDescent="0.35">
      <c r="A1800">
        <v>1799</v>
      </c>
      <c r="B1800" s="1">
        <v>45001.916666666664</v>
      </c>
      <c r="C1800" s="2">
        <v>4.5833333333333337E-2</v>
      </c>
      <c r="D1800" s="3">
        <v>3541</v>
      </c>
      <c r="E1800" s="3">
        <v>240</v>
      </c>
      <c r="F1800" s="2">
        <v>25.085416666666664</v>
      </c>
      <c r="G1800" t="s">
        <v>2812</v>
      </c>
      <c r="H1800" t="s">
        <v>2822</v>
      </c>
      <c r="I1800" s="2">
        <v>2.5006944444444446</v>
      </c>
      <c r="J1800" s="4" t="str">
        <f>IF(Table1[[#This Row],[processing_time_hours]]&gt;1.5,"Slow", "Fast")</f>
        <v>Slow</v>
      </c>
      <c r="K1800" t="s">
        <v>2818</v>
      </c>
      <c r="L1800" s="3">
        <v>0</v>
      </c>
      <c r="M1800" t="str">
        <f>IF(Table1[[#This Row],[delayed]]=1,"Delayed","On Time")</f>
        <v>On Time</v>
      </c>
      <c r="N1800" t="str">
        <f>IF(AND(Table1[[#This Row],[delayed]]=1,Table1[[#This Row],[weather_condition]]="Storm"),"High Risk", IF(Table1[[#This Row],[delayed]]=1,"Medium Risk","Low Risk"))</f>
        <v>Low Risk</v>
      </c>
    </row>
    <row r="1801" spans="1:14" x14ac:dyDescent="0.35">
      <c r="A1801">
        <v>1800</v>
      </c>
      <c r="B1801" s="1">
        <v>45001.958333333336</v>
      </c>
      <c r="C1801" s="2">
        <v>5.486111111111111E-2</v>
      </c>
      <c r="D1801" s="3">
        <v>2894</v>
      </c>
      <c r="E1801" s="3">
        <v>367</v>
      </c>
      <c r="F1801" s="2">
        <v>32.417361111111113</v>
      </c>
      <c r="G1801" t="s">
        <v>2819</v>
      </c>
      <c r="H1801" t="s">
        <v>2817</v>
      </c>
      <c r="I1801" s="2">
        <v>1.4638888888888888</v>
      </c>
      <c r="J1801" s="4" t="str">
        <f>IF(Table1[[#This Row],[processing_time_hours]]&gt;1.5,"Slow", "Fast")</f>
        <v>Fast</v>
      </c>
      <c r="K1801" t="s">
        <v>2814</v>
      </c>
      <c r="L1801" s="3">
        <v>1</v>
      </c>
      <c r="M1801" t="str">
        <f>IF(Table1[[#This Row],[delayed]]=1,"Delayed","On Time")</f>
        <v>Delayed</v>
      </c>
      <c r="N1801" t="str">
        <f>IF(AND(Table1[[#This Row],[delayed]]=1,Table1[[#This Row],[weather_condition]]="Storm"),"High Risk", IF(Table1[[#This Row],[delayed]]=1,"Medium Risk","Low Risk"))</f>
        <v>High Risk</v>
      </c>
    </row>
    <row r="1802" spans="1:14" x14ac:dyDescent="0.35">
      <c r="A1802">
        <v>1801</v>
      </c>
      <c r="B1802" s="1">
        <v>45002</v>
      </c>
      <c r="C1802" s="2">
        <v>5.6250000000000001E-2</v>
      </c>
      <c r="D1802" s="3">
        <v>1844</v>
      </c>
      <c r="E1802" s="3">
        <v>417</v>
      </c>
      <c r="F1802" s="2">
        <v>63.377083333333331</v>
      </c>
      <c r="G1802" t="s">
        <v>2819</v>
      </c>
      <c r="H1802" t="s">
        <v>2822</v>
      </c>
      <c r="I1802" s="2">
        <v>0.17222222222222225</v>
      </c>
      <c r="J1802" s="4" t="str">
        <f>IF(Table1[[#This Row],[processing_time_hours]]&gt;1.5,"Slow", "Fast")</f>
        <v>Fast</v>
      </c>
      <c r="K1802" t="s">
        <v>2818</v>
      </c>
      <c r="L1802" s="3">
        <v>0</v>
      </c>
      <c r="M1802" t="str">
        <f>IF(Table1[[#This Row],[delayed]]=1,"Delayed","On Time")</f>
        <v>On Time</v>
      </c>
      <c r="N1802" t="str">
        <f>IF(AND(Table1[[#This Row],[delayed]]=1,Table1[[#This Row],[weather_condition]]="Storm"),"High Risk", IF(Table1[[#This Row],[delayed]]=1,"Medium Risk","Low Risk"))</f>
        <v>Low Risk</v>
      </c>
    </row>
    <row r="1803" spans="1:14" x14ac:dyDescent="0.35">
      <c r="A1803">
        <v>1802</v>
      </c>
      <c r="B1803" s="1">
        <v>45002.041666666664</v>
      </c>
      <c r="C1803" s="2">
        <v>4.1666666666666666E-3</v>
      </c>
      <c r="D1803" s="3">
        <v>1277</v>
      </c>
      <c r="E1803" s="3">
        <v>417</v>
      </c>
      <c r="F1803" s="2">
        <v>49.167361111111113</v>
      </c>
      <c r="G1803" t="s">
        <v>2812</v>
      </c>
      <c r="H1803" t="s">
        <v>2822</v>
      </c>
      <c r="I1803" s="2">
        <v>0.67013888888888884</v>
      </c>
      <c r="J1803" s="4" t="str">
        <f>IF(Table1[[#This Row],[processing_time_hours]]&gt;1.5,"Slow", "Fast")</f>
        <v>Fast</v>
      </c>
      <c r="K1803" t="s">
        <v>2821</v>
      </c>
      <c r="L1803" s="3">
        <v>1</v>
      </c>
      <c r="M1803" t="str">
        <f>IF(Table1[[#This Row],[delayed]]=1,"Delayed","On Time")</f>
        <v>Delayed</v>
      </c>
      <c r="N1803" t="str">
        <f>IF(AND(Table1[[#This Row],[delayed]]=1,Table1[[#This Row],[weather_condition]]="Storm"),"High Risk", IF(Table1[[#This Row],[delayed]]=1,"Medium Risk","Low Risk"))</f>
        <v>Medium Risk</v>
      </c>
    </row>
    <row r="1804" spans="1:14" x14ac:dyDescent="0.35">
      <c r="A1804">
        <v>1803</v>
      </c>
      <c r="B1804" s="1">
        <v>45002.083333333336</v>
      </c>
      <c r="C1804" s="2">
        <v>6.3888888888888898E-2</v>
      </c>
      <c r="D1804" s="3">
        <v>1451</v>
      </c>
      <c r="E1804" s="3">
        <v>161</v>
      </c>
      <c r="F1804" s="2">
        <v>64.08819444444444</v>
      </c>
      <c r="G1804" t="s">
        <v>2816</v>
      </c>
      <c r="H1804" t="s">
        <v>2813</v>
      </c>
      <c r="I1804" s="2">
        <v>2.875</v>
      </c>
      <c r="J1804" s="4" t="str">
        <f>IF(Table1[[#This Row],[processing_time_hours]]&gt;1.5,"Slow", "Fast")</f>
        <v>Slow</v>
      </c>
      <c r="K1804" t="s">
        <v>2814</v>
      </c>
      <c r="L1804" s="3">
        <v>1</v>
      </c>
      <c r="M1804" t="str">
        <f>IF(Table1[[#This Row],[delayed]]=1,"Delayed","On Time")</f>
        <v>Delayed</v>
      </c>
      <c r="N1804" t="str">
        <f>IF(AND(Table1[[#This Row],[delayed]]=1,Table1[[#This Row],[weather_condition]]="Storm"),"High Risk", IF(Table1[[#This Row],[delayed]]=1,"Medium Risk","Low Risk"))</f>
        <v>Medium Risk</v>
      </c>
    </row>
    <row r="1805" spans="1:14" x14ac:dyDescent="0.35">
      <c r="A1805">
        <v>1804</v>
      </c>
      <c r="B1805" s="1">
        <v>45002.125</v>
      </c>
      <c r="C1805" s="2">
        <v>5.6944444444444443E-2</v>
      </c>
      <c r="D1805" s="3">
        <v>1902</v>
      </c>
      <c r="E1805" s="3">
        <v>164</v>
      </c>
      <c r="F1805" s="2">
        <v>5.0861111111111112</v>
      </c>
      <c r="G1805" t="s">
        <v>2816</v>
      </c>
      <c r="H1805" t="s">
        <v>2820</v>
      </c>
      <c r="I1805" s="2">
        <v>1.1729166666666666</v>
      </c>
      <c r="J1805" s="4" t="str">
        <f>IF(Table1[[#This Row],[processing_time_hours]]&gt;1.5,"Slow", "Fast")</f>
        <v>Fast</v>
      </c>
      <c r="K1805" t="s">
        <v>2821</v>
      </c>
      <c r="L1805" s="3">
        <v>0</v>
      </c>
      <c r="M1805" t="str">
        <f>IF(Table1[[#This Row],[delayed]]=1,"Delayed","On Time")</f>
        <v>On Time</v>
      </c>
      <c r="N1805" t="str">
        <f>IF(AND(Table1[[#This Row],[delayed]]=1,Table1[[#This Row],[weather_condition]]="Storm"),"High Risk", IF(Table1[[#This Row],[delayed]]=1,"Medium Risk","Low Risk"))</f>
        <v>Low Risk</v>
      </c>
    </row>
    <row r="1806" spans="1:14" x14ac:dyDescent="0.35">
      <c r="A1806">
        <v>1805</v>
      </c>
      <c r="B1806" s="1">
        <v>45002.166666666664</v>
      </c>
      <c r="C1806" s="2">
        <v>4.3750000000000004E-2</v>
      </c>
      <c r="D1806" s="3">
        <v>3278</v>
      </c>
      <c r="E1806" s="3">
        <v>246</v>
      </c>
      <c r="F1806" s="2">
        <v>20.25</v>
      </c>
      <c r="G1806" t="s">
        <v>2815</v>
      </c>
      <c r="H1806" t="s">
        <v>2813</v>
      </c>
      <c r="I1806" s="2">
        <v>1.5055555555555555</v>
      </c>
      <c r="J1806" s="4" t="str">
        <f>IF(Table1[[#This Row],[processing_time_hours]]&gt;1.5,"Slow", "Fast")</f>
        <v>Slow</v>
      </c>
      <c r="K1806" t="s">
        <v>2818</v>
      </c>
      <c r="L1806" s="3">
        <v>0</v>
      </c>
      <c r="M1806" t="str">
        <f>IF(Table1[[#This Row],[delayed]]=1,"Delayed","On Time")</f>
        <v>On Time</v>
      </c>
      <c r="N1806" t="str">
        <f>IF(AND(Table1[[#This Row],[delayed]]=1,Table1[[#This Row],[weather_condition]]="Storm"),"High Risk", IF(Table1[[#This Row],[delayed]]=1,"Medium Risk","Low Risk"))</f>
        <v>Low Risk</v>
      </c>
    </row>
    <row r="1807" spans="1:14" x14ac:dyDescent="0.35">
      <c r="A1807">
        <v>1806</v>
      </c>
      <c r="B1807" s="1">
        <v>45002.208333333336</v>
      </c>
      <c r="C1807" s="2">
        <v>6.5277777777777782E-2</v>
      </c>
      <c r="D1807" s="3">
        <v>2890</v>
      </c>
      <c r="E1807" s="3">
        <v>467</v>
      </c>
      <c r="F1807" s="2">
        <v>60.044444444444444</v>
      </c>
      <c r="G1807" t="s">
        <v>2815</v>
      </c>
      <c r="H1807" t="s">
        <v>2817</v>
      </c>
      <c r="I1807" s="2">
        <v>2.880555555555556</v>
      </c>
      <c r="J1807" s="4" t="str">
        <f>IF(Table1[[#This Row],[processing_time_hours]]&gt;1.5,"Slow", "Fast")</f>
        <v>Slow</v>
      </c>
      <c r="K1807" t="s">
        <v>2814</v>
      </c>
      <c r="L1807" s="3">
        <v>1</v>
      </c>
      <c r="M1807" t="str">
        <f>IF(Table1[[#This Row],[delayed]]=1,"Delayed","On Time")</f>
        <v>Delayed</v>
      </c>
      <c r="N1807" t="str">
        <f>IF(AND(Table1[[#This Row],[delayed]]=1,Table1[[#This Row],[weather_condition]]="Storm"),"High Risk", IF(Table1[[#This Row],[delayed]]=1,"Medium Risk","Low Risk"))</f>
        <v>High Risk</v>
      </c>
    </row>
    <row r="1808" spans="1:14" x14ac:dyDescent="0.35">
      <c r="A1808">
        <v>1807</v>
      </c>
      <c r="B1808" s="1">
        <v>45002.25</v>
      </c>
      <c r="C1808" s="2">
        <v>6.1111111111111109E-2</v>
      </c>
      <c r="D1808" s="3">
        <v>397</v>
      </c>
      <c r="E1808" s="3">
        <v>110</v>
      </c>
      <c r="F1808" s="2">
        <v>48.714583333333337</v>
      </c>
      <c r="G1808" t="s">
        <v>2812</v>
      </c>
      <c r="H1808" t="s">
        <v>2813</v>
      </c>
      <c r="I1808" s="2">
        <v>2.0868055555555558</v>
      </c>
      <c r="J1808" s="4" t="str">
        <f>IF(Table1[[#This Row],[processing_time_hours]]&gt;1.5,"Slow", "Fast")</f>
        <v>Slow</v>
      </c>
      <c r="K1808" t="s">
        <v>2821</v>
      </c>
      <c r="L1808" s="3">
        <v>0</v>
      </c>
      <c r="M1808" t="str">
        <f>IF(Table1[[#This Row],[delayed]]=1,"Delayed","On Time")</f>
        <v>On Time</v>
      </c>
      <c r="N1808" t="str">
        <f>IF(AND(Table1[[#This Row],[delayed]]=1,Table1[[#This Row],[weather_condition]]="Storm"),"High Risk", IF(Table1[[#This Row],[delayed]]=1,"Medium Risk","Low Risk"))</f>
        <v>Low Risk</v>
      </c>
    </row>
    <row r="1809" spans="1:14" x14ac:dyDescent="0.35">
      <c r="A1809">
        <v>1808</v>
      </c>
      <c r="B1809" s="1">
        <v>45002.291666666664</v>
      </c>
      <c r="C1809" s="2">
        <v>6.7361111111111108E-2</v>
      </c>
      <c r="D1809" s="3">
        <v>3643</v>
      </c>
      <c r="E1809" s="3">
        <v>46</v>
      </c>
      <c r="F1809" s="2">
        <v>41.127083333333331</v>
      </c>
      <c r="G1809" t="s">
        <v>2816</v>
      </c>
      <c r="H1809" t="s">
        <v>2813</v>
      </c>
      <c r="I1809" s="2">
        <v>1.2506944444444443</v>
      </c>
      <c r="J1809" s="4" t="str">
        <f>IF(Table1[[#This Row],[processing_time_hours]]&gt;1.5,"Slow", "Fast")</f>
        <v>Fast</v>
      </c>
      <c r="K1809" t="s">
        <v>2814</v>
      </c>
      <c r="L1809" s="3">
        <v>0</v>
      </c>
      <c r="M1809" t="str">
        <f>IF(Table1[[#This Row],[delayed]]=1,"Delayed","On Time")</f>
        <v>On Time</v>
      </c>
      <c r="N1809" t="str">
        <f>IF(AND(Table1[[#This Row],[delayed]]=1,Table1[[#This Row],[weather_condition]]="Storm"),"High Risk", IF(Table1[[#This Row],[delayed]]=1,"Medium Risk","Low Risk"))</f>
        <v>Low Risk</v>
      </c>
    </row>
    <row r="1810" spans="1:14" x14ac:dyDescent="0.35">
      <c r="A1810">
        <v>1809</v>
      </c>
      <c r="B1810" s="1">
        <v>45002.333333333336</v>
      </c>
      <c r="C1810" s="2">
        <v>6.0416666666666667E-2</v>
      </c>
      <c r="D1810" s="3">
        <v>274</v>
      </c>
      <c r="E1810" s="3">
        <v>278</v>
      </c>
      <c r="F1810" s="2">
        <v>35</v>
      </c>
      <c r="G1810" t="s">
        <v>2816</v>
      </c>
      <c r="H1810" t="s">
        <v>2822</v>
      </c>
      <c r="I1810" s="2">
        <v>2.0472222222222221</v>
      </c>
      <c r="J1810" s="4" t="str">
        <f>IF(Table1[[#This Row],[processing_time_hours]]&gt;1.5,"Slow", "Fast")</f>
        <v>Slow</v>
      </c>
      <c r="K1810" t="s">
        <v>2821</v>
      </c>
      <c r="L1810" s="3">
        <v>0</v>
      </c>
      <c r="M1810" t="str">
        <f>IF(Table1[[#This Row],[delayed]]=1,"Delayed","On Time")</f>
        <v>On Time</v>
      </c>
      <c r="N1810" t="str">
        <f>IF(AND(Table1[[#This Row],[delayed]]=1,Table1[[#This Row],[weather_condition]]="Storm"),"High Risk", IF(Table1[[#This Row],[delayed]]=1,"Medium Risk","Low Risk"))</f>
        <v>Low Risk</v>
      </c>
    </row>
    <row r="1811" spans="1:14" x14ac:dyDescent="0.35">
      <c r="A1811">
        <v>1810</v>
      </c>
      <c r="B1811" s="1">
        <v>45002.375</v>
      </c>
      <c r="C1811" s="2">
        <v>5.5555555555555558E-3</v>
      </c>
      <c r="D1811" s="3">
        <v>2244</v>
      </c>
      <c r="E1811" s="3">
        <v>334</v>
      </c>
      <c r="F1811" s="2">
        <v>73.584027777777777</v>
      </c>
      <c r="G1811" t="s">
        <v>2812</v>
      </c>
      <c r="H1811" t="s">
        <v>2820</v>
      </c>
      <c r="I1811" s="2">
        <v>1.6666666666666667</v>
      </c>
      <c r="J1811" s="4" t="str">
        <f>IF(Table1[[#This Row],[processing_time_hours]]&gt;1.5,"Slow", "Fast")</f>
        <v>Slow</v>
      </c>
      <c r="K1811" t="s">
        <v>2818</v>
      </c>
      <c r="L1811" s="3">
        <v>1</v>
      </c>
      <c r="M1811" t="str">
        <f>IF(Table1[[#This Row],[delayed]]=1,"Delayed","On Time")</f>
        <v>Delayed</v>
      </c>
      <c r="N1811" t="str">
        <f>IF(AND(Table1[[#This Row],[delayed]]=1,Table1[[#This Row],[weather_condition]]="Storm"),"High Risk", IF(Table1[[#This Row],[delayed]]=1,"Medium Risk","Low Risk"))</f>
        <v>Medium Risk</v>
      </c>
    </row>
    <row r="1812" spans="1:14" x14ac:dyDescent="0.35">
      <c r="A1812">
        <v>1811</v>
      </c>
      <c r="B1812" s="1">
        <v>45002.416666666664</v>
      </c>
      <c r="C1812" s="2">
        <v>6.3888888888888898E-2</v>
      </c>
      <c r="D1812" s="3">
        <v>2173</v>
      </c>
      <c r="E1812" s="3">
        <v>406</v>
      </c>
      <c r="F1812" s="2">
        <v>19.295138888888889</v>
      </c>
      <c r="G1812" t="s">
        <v>2815</v>
      </c>
      <c r="H1812" t="s">
        <v>2817</v>
      </c>
      <c r="I1812" s="2">
        <v>2.8763888888888887</v>
      </c>
      <c r="J1812" s="4" t="str">
        <f>IF(Table1[[#This Row],[processing_time_hours]]&gt;1.5,"Slow", "Fast")</f>
        <v>Slow</v>
      </c>
      <c r="K1812" t="s">
        <v>2821</v>
      </c>
      <c r="L1812" s="3">
        <v>0</v>
      </c>
      <c r="M1812" t="str">
        <f>IF(Table1[[#This Row],[delayed]]=1,"Delayed","On Time")</f>
        <v>On Time</v>
      </c>
      <c r="N1812" t="str">
        <f>IF(AND(Table1[[#This Row],[delayed]]=1,Table1[[#This Row],[weather_condition]]="Storm"),"High Risk", IF(Table1[[#This Row],[delayed]]=1,"Medium Risk","Low Risk"))</f>
        <v>Low Risk</v>
      </c>
    </row>
    <row r="1813" spans="1:14" x14ac:dyDescent="0.35">
      <c r="A1813">
        <v>1812</v>
      </c>
      <c r="B1813" s="1">
        <v>45002.458333333336</v>
      </c>
      <c r="C1813" s="2">
        <v>5.1388888888888894E-2</v>
      </c>
      <c r="D1813" s="3">
        <v>2438</v>
      </c>
      <c r="E1813" s="3">
        <v>1</v>
      </c>
      <c r="F1813" s="2">
        <v>58.584722222222219</v>
      </c>
      <c r="G1813" t="s">
        <v>2816</v>
      </c>
      <c r="H1813" t="s">
        <v>2820</v>
      </c>
      <c r="I1813" s="2">
        <v>4.7222222222222221E-2</v>
      </c>
      <c r="J1813" s="4" t="str">
        <f>IF(Table1[[#This Row],[processing_time_hours]]&gt;1.5,"Slow", "Fast")</f>
        <v>Fast</v>
      </c>
      <c r="K1813" t="s">
        <v>2814</v>
      </c>
      <c r="L1813" s="3">
        <v>1</v>
      </c>
      <c r="M1813" t="str">
        <f>IF(Table1[[#This Row],[delayed]]=1,"Delayed","On Time")</f>
        <v>Delayed</v>
      </c>
      <c r="N1813" t="str">
        <f>IF(AND(Table1[[#This Row],[delayed]]=1,Table1[[#This Row],[weather_condition]]="Storm"),"High Risk", IF(Table1[[#This Row],[delayed]]=1,"Medium Risk","Low Risk"))</f>
        <v>Medium Risk</v>
      </c>
    </row>
    <row r="1814" spans="1:14" x14ac:dyDescent="0.35">
      <c r="A1814">
        <v>1813</v>
      </c>
      <c r="B1814" s="1">
        <v>45002.5</v>
      </c>
      <c r="C1814" s="2">
        <v>5.3472222222222227E-2</v>
      </c>
      <c r="D1814" s="3">
        <v>701</v>
      </c>
      <c r="E1814" s="3">
        <v>19</v>
      </c>
      <c r="F1814" s="2">
        <v>29.588194444444444</v>
      </c>
      <c r="G1814" t="s">
        <v>2812</v>
      </c>
      <c r="H1814" t="s">
        <v>2813</v>
      </c>
      <c r="I1814" s="2">
        <v>1.4625000000000001</v>
      </c>
      <c r="J1814" s="4" t="str">
        <f>IF(Table1[[#This Row],[processing_time_hours]]&gt;1.5,"Slow", "Fast")</f>
        <v>Fast</v>
      </c>
      <c r="K1814" t="s">
        <v>2814</v>
      </c>
      <c r="L1814" s="3">
        <v>1</v>
      </c>
      <c r="M1814" t="str">
        <f>IF(Table1[[#This Row],[delayed]]=1,"Delayed","On Time")</f>
        <v>Delayed</v>
      </c>
      <c r="N1814" t="str">
        <f>IF(AND(Table1[[#This Row],[delayed]]=1,Table1[[#This Row],[weather_condition]]="Storm"),"High Risk", IF(Table1[[#This Row],[delayed]]=1,"Medium Risk","Low Risk"))</f>
        <v>Medium Risk</v>
      </c>
    </row>
    <row r="1815" spans="1:14" x14ac:dyDescent="0.35">
      <c r="A1815">
        <v>1814</v>
      </c>
      <c r="B1815" s="1">
        <v>45002.541666666664</v>
      </c>
      <c r="C1815" s="2">
        <v>5.1388888888888894E-2</v>
      </c>
      <c r="D1815" s="3">
        <v>4531</v>
      </c>
      <c r="E1815" s="3">
        <v>60</v>
      </c>
      <c r="F1815" s="2">
        <v>25.963194444444444</v>
      </c>
      <c r="G1815" t="s">
        <v>2819</v>
      </c>
      <c r="H1815" t="s">
        <v>2822</v>
      </c>
      <c r="I1815" s="2">
        <v>2.0847222222222221</v>
      </c>
      <c r="J1815" s="4" t="str">
        <f>IF(Table1[[#This Row],[processing_time_hours]]&gt;1.5,"Slow", "Fast")</f>
        <v>Slow</v>
      </c>
      <c r="K1815" t="s">
        <v>2821</v>
      </c>
      <c r="L1815" s="3">
        <v>1</v>
      </c>
      <c r="M1815" t="str">
        <f>IF(Table1[[#This Row],[delayed]]=1,"Delayed","On Time")</f>
        <v>Delayed</v>
      </c>
      <c r="N1815" t="str">
        <f>IF(AND(Table1[[#This Row],[delayed]]=1,Table1[[#This Row],[weather_condition]]="Storm"),"High Risk", IF(Table1[[#This Row],[delayed]]=1,"Medium Risk","Low Risk"))</f>
        <v>Medium Risk</v>
      </c>
    </row>
    <row r="1816" spans="1:14" x14ac:dyDescent="0.35">
      <c r="A1816">
        <v>1815</v>
      </c>
      <c r="B1816" s="1">
        <v>45002.583333333336</v>
      </c>
      <c r="C1816" s="2">
        <v>5.0694444444444438E-2</v>
      </c>
      <c r="D1816" s="3">
        <v>384</v>
      </c>
      <c r="E1816" s="3">
        <v>152</v>
      </c>
      <c r="F1816" s="2">
        <v>41.127083333333331</v>
      </c>
      <c r="G1816" t="s">
        <v>2812</v>
      </c>
      <c r="H1816" t="s">
        <v>2817</v>
      </c>
      <c r="I1816" s="2">
        <v>1.6673611111111111</v>
      </c>
      <c r="J1816" s="4" t="str">
        <f>IF(Table1[[#This Row],[processing_time_hours]]&gt;1.5,"Slow", "Fast")</f>
        <v>Slow</v>
      </c>
      <c r="K1816" t="s">
        <v>2814</v>
      </c>
      <c r="L1816" s="3">
        <v>0</v>
      </c>
      <c r="M1816" t="str">
        <f>IF(Table1[[#This Row],[delayed]]=1,"Delayed","On Time")</f>
        <v>On Time</v>
      </c>
      <c r="N1816" t="str">
        <f>IF(AND(Table1[[#This Row],[delayed]]=1,Table1[[#This Row],[weather_condition]]="Storm"),"High Risk", IF(Table1[[#This Row],[delayed]]=1,"Medium Risk","Low Risk"))</f>
        <v>Low Risk</v>
      </c>
    </row>
    <row r="1817" spans="1:14" x14ac:dyDescent="0.35">
      <c r="A1817">
        <v>1816</v>
      </c>
      <c r="B1817" s="1">
        <v>45002.625</v>
      </c>
      <c r="C1817" s="2">
        <v>6.805555555555555E-2</v>
      </c>
      <c r="D1817" s="3">
        <v>2813</v>
      </c>
      <c r="E1817" s="3">
        <v>315</v>
      </c>
      <c r="F1817" s="2">
        <v>55.375</v>
      </c>
      <c r="G1817" t="s">
        <v>2812</v>
      </c>
      <c r="H1817" t="s">
        <v>2813</v>
      </c>
      <c r="I1817" s="2">
        <v>0.9604166666666667</v>
      </c>
      <c r="J1817" s="4" t="str">
        <f>IF(Table1[[#This Row],[processing_time_hours]]&gt;1.5,"Slow", "Fast")</f>
        <v>Fast</v>
      </c>
      <c r="K1817" t="s">
        <v>2814</v>
      </c>
      <c r="L1817" s="3">
        <v>0</v>
      </c>
      <c r="M1817" t="str">
        <f>IF(Table1[[#This Row],[delayed]]=1,"Delayed","On Time")</f>
        <v>On Time</v>
      </c>
      <c r="N1817" t="str">
        <f>IF(AND(Table1[[#This Row],[delayed]]=1,Table1[[#This Row],[weather_condition]]="Storm"),"High Risk", IF(Table1[[#This Row],[delayed]]=1,"Medium Risk","Low Risk"))</f>
        <v>Low Risk</v>
      </c>
    </row>
    <row r="1818" spans="1:14" x14ac:dyDescent="0.35">
      <c r="A1818">
        <v>1817</v>
      </c>
      <c r="B1818" s="1">
        <v>45002.666666666664</v>
      </c>
      <c r="C1818" s="2">
        <v>5.5555555555555558E-3</v>
      </c>
      <c r="D1818" s="3">
        <v>4067</v>
      </c>
      <c r="E1818" s="3">
        <v>67</v>
      </c>
      <c r="F1818" s="2">
        <v>2.6277777777777778</v>
      </c>
      <c r="G1818" t="s">
        <v>2812</v>
      </c>
      <c r="H1818" t="s">
        <v>2820</v>
      </c>
      <c r="I1818" s="2">
        <v>1.7916666666666667</v>
      </c>
      <c r="J1818" s="4" t="str">
        <f>IF(Table1[[#This Row],[processing_time_hours]]&gt;1.5,"Slow", "Fast")</f>
        <v>Slow</v>
      </c>
      <c r="K1818" t="s">
        <v>2821</v>
      </c>
      <c r="L1818" s="3">
        <v>0</v>
      </c>
      <c r="M1818" t="str">
        <f>IF(Table1[[#This Row],[delayed]]=1,"Delayed","On Time")</f>
        <v>On Time</v>
      </c>
      <c r="N1818" t="str">
        <f>IF(AND(Table1[[#This Row],[delayed]]=1,Table1[[#This Row],[weather_condition]]="Storm"),"High Risk", IF(Table1[[#This Row],[delayed]]=1,"Medium Risk","Low Risk"))</f>
        <v>Low Risk</v>
      </c>
    </row>
    <row r="1819" spans="1:14" x14ac:dyDescent="0.35">
      <c r="A1819">
        <v>1818</v>
      </c>
      <c r="B1819" s="1">
        <v>45002.708333333336</v>
      </c>
      <c r="C1819" s="2">
        <v>5.5555555555555558E-3</v>
      </c>
      <c r="D1819" s="3">
        <v>2092</v>
      </c>
      <c r="E1819" s="3">
        <v>324</v>
      </c>
      <c r="F1819" s="2">
        <v>6.2937500000000002</v>
      </c>
      <c r="G1819" t="s">
        <v>2812</v>
      </c>
      <c r="H1819" t="s">
        <v>2813</v>
      </c>
      <c r="I1819" s="2">
        <v>8.8888888888888892E-2</v>
      </c>
      <c r="J1819" s="4" t="str">
        <f>IF(Table1[[#This Row],[processing_time_hours]]&gt;1.5,"Slow", "Fast")</f>
        <v>Fast</v>
      </c>
      <c r="K1819" t="s">
        <v>2818</v>
      </c>
      <c r="L1819" s="3">
        <v>0</v>
      </c>
      <c r="M1819" t="str">
        <f>IF(Table1[[#This Row],[delayed]]=1,"Delayed","On Time")</f>
        <v>On Time</v>
      </c>
      <c r="N1819" t="str">
        <f>IF(AND(Table1[[#This Row],[delayed]]=1,Table1[[#This Row],[weather_condition]]="Storm"),"High Risk", IF(Table1[[#This Row],[delayed]]=1,"Medium Risk","Low Risk"))</f>
        <v>Low Risk</v>
      </c>
    </row>
    <row r="1820" spans="1:14" x14ac:dyDescent="0.35">
      <c r="A1820">
        <v>1819</v>
      </c>
      <c r="B1820" s="1">
        <v>45002.75</v>
      </c>
      <c r="C1820" s="2">
        <v>5.2083333333333336E-2</v>
      </c>
      <c r="D1820" s="3">
        <v>1859</v>
      </c>
      <c r="E1820" s="3">
        <v>98</v>
      </c>
      <c r="F1820" s="2">
        <v>51.504166666666663</v>
      </c>
      <c r="G1820" t="s">
        <v>2819</v>
      </c>
      <c r="H1820" t="s">
        <v>2820</v>
      </c>
      <c r="I1820" s="2">
        <v>2.2534722222222223</v>
      </c>
      <c r="J1820" s="4" t="str">
        <f>IF(Table1[[#This Row],[processing_time_hours]]&gt;1.5,"Slow", "Fast")</f>
        <v>Slow</v>
      </c>
      <c r="K1820" t="s">
        <v>2814</v>
      </c>
      <c r="L1820" s="3">
        <v>0</v>
      </c>
      <c r="M1820" t="str">
        <f>IF(Table1[[#This Row],[delayed]]=1,"Delayed","On Time")</f>
        <v>On Time</v>
      </c>
      <c r="N1820" t="str">
        <f>IF(AND(Table1[[#This Row],[delayed]]=1,Table1[[#This Row],[weather_condition]]="Storm"),"High Risk", IF(Table1[[#This Row],[delayed]]=1,"Medium Risk","Low Risk"))</f>
        <v>Low Risk</v>
      </c>
    </row>
    <row r="1821" spans="1:14" x14ac:dyDescent="0.35">
      <c r="A1821">
        <v>1820</v>
      </c>
      <c r="B1821" s="1">
        <v>45002.791666666664</v>
      </c>
      <c r="C1821" s="2">
        <v>5.0694444444444438E-2</v>
      </c>
      <c r="D1821" s="3">
        <v>165</v>
      </c>
      <c r="E1821" s="3">
        <v>161</v>
      </c>
      <c r="F1821" s="2">
        <v>52.750694444444441</v>
      </c>
      <c r="G1821" t="s">
        <v>2819</v>
      </c>
      <c r="H1821" t="s">
        <v>2817</v>
      </c>
      <c r="I1821" s="2">
        <v>2.0020833333333332</v>
      </c>
      <c r="J1821" s="4" t="str">
        <f>IF(Table1[[#This Row],[processing_time_hours]]&gt;1.5,"Slow", "Fast")</f>
        <v>Slow</v>
      </c>
      <c r="K1821" t="s">
        <v>2821</v>
      </c>
      <c r="L1821" s="3">
        <v>1</v>
      </c>
      <c r="M1821" t="str">
        <f>IF(Table1[[#This Row],[delayed]]=1,"Delayed","On Time")</f>
        <v>Delayed</v>
      </c>
      <c r="N1821" t="str">
        <f>IF(AND(Table1[[#This Row],[delayed]]=1,Table1[[#This Row],[weather_condition]]="Storm"),"High Risk", IF(Table1[[#This Row],[delayed]]=1,"Medium Risk","Low Risk"))</f>
        <v>High Risk</v>
      </c>
    </row>
    <row r="1822" spans="1:14" x14ac:dyDescent="0.35">
      <c r="A1822">
        <v>1821</v>
      </c>
      <c r="B1822" s="1">
        <v>45002.833333333336</v>
      </c>
      <c r="C1822" s="2">
        <v>4.7916666666666663E-2</v>
      </c>
      <c r="D1822" s="3">
        <v>2284</v>
      </c>
      <c r="E1822" s="3">
        <v>458</v>
      </c>
      <c r="F1822" s="2">
        <v>45.420833333333327</v>
      </c>
      <c r="G1822" t="s">
        <v>2819</v>
      </c>
      <c r="H1822" t="s">
        <v>2822</v>
      </c>
      <c r="I1822" s="2">
        <v>1.0451388888888888</v>
      </c>
      <c r="J1822" s="4" t="str">
        <f>IF(Table1[[#This Row],[processing_time_hours]]&gt;1.5,"Slow", "Fast")</f>
        <v>Fast</v>
      </c>
      <c r="K1822" t="s">
        <v>2814</v>
      </c>
      <c r="L1822" s="3">
        <v>0</v>
      </c>
      <c r="M1822" t="str">
        <f>IF(Table1[[#This Row],[delayed]]=1,"Delayed","On Time")</f>
        <v>On Time</v>
      </c>
      <c r="N1822" t="str">
        <f>IF(AND(Table1[[#This Row],[delayed]]=1,Table1[[#This Row],[weather_condition]]="Storm"),"High Risk", IF(Table1[[#This Row],[delayed]]=1,"Medium Risk","Low Risk"))</f>
        <v>Low Risk</v>
      </c>
    </row>
    <row r="1823" spans="1:14" x14ac:dyDescent="0.35">
      <c r="A1823">
        <v>1822</v>
      </c>
      <c r="B1823" s="1">
        <v>45002.875</v>
      </c>
      <c r="C1823" s="2">
        <v>6.805555555555555E-2</v>
      </c>
      <c r="D1823" s="3">
        <v>1654</v>
      </c>
      <c r="E1823" s="3">
        <v>242</v>
      </c>
      <c r="F1823" s="2">
        <v>79.547222222222231</v>
      </c>
      <c r="G1823" t="s">
        <v>2819</v>
      </c>
      <c r="H1823" t="s">
        <v>2817</v>
      </c>
      <c r="I1823" s="2">
        <v>2.6680555555555556</v>
      </c>
      <c r="J1823" s="4" t="str">
        <f>IF(Table1[[#This Row],[processing_time_hours]]&gt;1.5,"Slow", "Fast")</f>
        <v>Slow</v>
      </c>
      <c r="K1823" t="s">
        <v>2818</v>
      </c>
      <c r="L1823" s="3">
        <v>0</v>
      </c>
      <c r="M1823" t="str">
        <f>IF(Table1[[#This Row],[delayed]]=1,"Delayed","On Time")</f>
        <v>On Time</v>
      </c>
      <c r="N1823" t="str">
        <f>IF(AND(Table1[[#This Row],[delayed]]=1,Table1[[#This Row],[weather_condition]]="Storm"),"High Risk", IF(Table1[[#This Row],[delayed]]=1,"Medium Risk","Low Risk"))</f>
        <v>Low Risk</v>
      </c>
    </row>
    <row r="1824" spans="1:14" x14ac:dyDescent="0.35">
      <c r="A1824">
        <v>1823</v>
      </c>
      <c r="B1824" s="1">
        <v>45002.916666666664</v>
      </c>
      <c r="C1824" s="2">
        <v>6.1805555555555558E-2</v>
      </c>
      <c r="D1824" s="3">
        <v>243</v>
      </c>
      <c r="E1824" s="3">
        <v>44</v>
      </c>
      <c r="F1824" s="2">
        <v>53.62638888888889</v>
      </c>
      <c r="G1824" t="s">
        <v>2812</v>
      </c>
      <c r="H1824" t="s">
        <v>2820</v>
      </c>
      <c r="I1824" s="2">
        <v>2.1729166666666666</v>
      </c>
      <c r="J1824" s="4" t="str">
        <f>IF(Table1[[#This Row],[processing_time_hours]]&gt;1.5,"Slow", "Fast")</f>
        <v>Slow</v>
      </c>
      <c r="K1824" t="s">
        <v>2814</v>
      </c>
      <c r="L1824" s="3">
        <v>0</v>
      </c>
      <c r="M1824" t="str">
        <f>IF(Table1[[#This Row],[delayed]]=1,"Delayed","On Time")</f>
        <v>On Time</v>
      </c>
      <c r="N1824" t="str">
        <f>IF(AND(Table1[[#This Row],[delayed]]=1,Table1[[#This Row],[weather_condition]]="Storm"),"High Risk", IF(Table1[[#This Row],[delayed]]=1,"Medium Risk","Low Risk"))</f>
        <v>Low Risk</v>
      </c>
    </row>
    <row r="1825" spans="1:14" x14ac:dyDescent="0.35">
      <c r="A1825">
        <v>1824</v>
      </c>
      <c r="B1825" s="1">
        <v>45002.958333333336</v>
      </c>
      <c r="C1825" s="2">
        <v>5.486111111111111E-2</v>
      </c>
      <c r="D1825" s="3">
        <v>2176</v>
      </c>
      <c r="E1825" s="3">
        <v>185</v>
      </c>
      <c r="F1825" s="2">
        <v>73.334027777777777</v>
      </c>
      <c r="G1825" t="s">
        <v>2815</v>
      </c>
      <c r="H1825" t="s">
        <v>2813</v>
      </c>
      <c r="I1825" s="2">
        <v>0.71319444444444446</v>
      </c>
      <c r="J1825" s="4" t="str">
        <f>IF(Table1[[#This Row],[processing_time_hours]]&gt;1.5,"Slow", "Fast")</f>
        <v>Fast</v>
      </c>
      <c r="K1825" t="s">
        <v>2814</v>
      </c>
      <c r="L1825" s="3">
        <v>0</v>
      </c>
      <c r="M1825" t="str">
        <f>IF(Table1[[#This Row],[delayed]]=1,"Delayed","On Time")</f>
        <v>On Time</v>
      </c>
      <c r="N1825" t="str">
        <f>IF(AND(Table1[[#This Row],[delayed]]=1,Table1[[#This Row],[weather_condition]]="Storm"),"High Risk", IF(Table1[[#This Row],[delayed]]=1,"Medium Risk","Low Risk"))</f>
        <v>Low Risk</v>
      </c>
    </row>
    <row r="1826" spans="1:14" x14ac:dyDescent="0.35">
      <c r="A1826">
        <v>1825</v>
      </c>
      <c r="B1826" s="1">
        <v>45003</v>
      </c>
      <c r="C1826" s="2">
        <v>5.8333333333333327E-2</v>
      </c>
      <c r="D1826" s="3">
        <v>3951</v>
      </c>
      <c r="E1826" s="3">
        <v>158</v>
      </c>
      <c r="F1826" s="2">
        <v>52.375</v>
      </c>
      <c r="G1826" t="s">
        <v>2812</v>
      </c>
      <c r="H1826" t="s">
        <v>2813</v>
      </c>
      <c r="I1826" s="2">
        <v>1.0875000000000001</v>
      </c>
      <c r="J1826" s="4" t="str">
        <f>IF(Table1[[#This Row],[processing_time_hours]]&gt;1.5,"Slow", "Fast")</f>
        <v>Fast</v>
      </c>
      <c r="K1826" t="s">
        <v>2821</v>
      </c>
      <c r="L1826" s="3">
        <v>0</v>
      </c>
      <c r="M1826" t="str">
        <f>IF(Table1[[#This Row],[delayed]]=1,"Delayed","On Time")</f>
        <v>On Time</v>
      </c>
      <c r="N1826" t="str">
        <f>IF(AND(Table1[[#This Row],[delayed]]=1,Table1[[#This Row],[weather_condition]]="Storm"),"High Risk", IF(Table1[[#This Row],[delayed]]=1,"Medium Risk","Low Risk"))</f>
        <v>Low Risk</v>
      </c>
    </row>
    <row r="1827" spans="1:14" x14ac:dyDescent="0.35">
      <c r="A1827">
        <v>1826</v>
      </c>
      <c r="B1827" s="1">
        <v>45003.041666666664</v>
      </c>
      <c r="C1827" s="2">
        <v>6.5277777777777782E-2</v>
      </c>
      <c r="D1827" s="3">
        <v>1671</v>
      </c>
      <c r="E1827" s="3">
        <v>31</v>
      </c>
      <c r="F1827" s="2">
        <v>26.961111111111112</v>
      </c>
      <c r="G1827" t="s">
        <v>2819</v>
      </c>
      <c r="H1827" t="s">
        <v>2820</v>
      </c>
      <c r="I1827" s="2">
        <v>0.21319444444444444</v>
      </c>
      <c r="J1827" s="4" t="str">
        <f>IF(Table1[[#This Row],[processing_time_hours]]&gt;1.5,"Slow", "Fast")</f>
        <v>Fast</v>
      </c>
      <c r="K1827" t="s">
        <v>2821</v>
      </c>
      <c r="L1827" s="3">
        <v>0</v>
      </c>
      <c r="M1827" t="str">
        <f>IF(Table1[[#This Row],[delayed]]=1,"Delayed","On Time")</f>
        <v>On Time</v>
      </c>
      <c r="N1827" t="str">
        <f>IF(AND(Table1[[#This Row],[delayed]]=1,Table1[[#This Row],[weather_condition]]="Storm"),"High Risk", IF(Table1[[#This Row],[delayed]]=1,"Medium Risk","Low Risk"))</f>
        <v>Low Risk</v>
      </c>
    </row>
    <row r="1828" spans="1:14" x14ac:dyDescent="0.35">
      <c r="A1828">
        <v>1827</v>
      </c>
      <c r="B1828" s="1">
        <v>45003.083333333336</v>
      </c>
      <c r="C1828" s="2">
        <v>5.2083333333333336E-2</v>
      </c>
      <c r="D1828" s="3">
        <v>941</v>
      </c>
      <c r="E1828" s="3">
        <v>201</v>
      </c>
      <c r="F1828" s="2">
        <v>71.459722222222226</v>
      </c>
      <c r="G1828" t="s">
        <v>2816</v>
      </c>
      <c r="H1828" t="s">
        <v>2820</v>
      </c>
      <c r="I1828" s="2">
        <v>2.125</v>
      </c>
      <c r="J1828" s="4" t="str">
        <f>IF(Table1[[#This Row],[processing_time_hours]]&gt;1.5,"Slow", "Fast")</f>
        <v>Slow</v>
      </c>
      <c r="K1828" t="s">
        <v>2818</v>
      </c>
      <c r="L1828" s="3">
        <v>0</v>
      </c>
      <c r="M1828" t="str">
        <f>IF(Table1[[#This Row],[delayed]]=1,"Delayed","On Time")</f>
        <v>On Time</v>
      </c>
      <c r="N1828" t="str">
        <f>IF(AND(Table1[[#This Row],[delayed]]=1,Table1[[#This Row],[weather_condition]]="Storm"),"High Risk", IF(Table1[[#This Row],[delayed]]=1,"Medium Risk","Low Risk"))</f>
        <v>Low Risk</v>
      </c>
    </row>
    <row r="1829" spans="1:14" x14ac:dyDescent="0.35">
      <c r="A1829">
        <v>1828</v>
      </c>
      <c r="B1829" s="1">
        <v>45003.125</v>
      </c>
      <c r="C1829" s="2">
        <v>4.9305555555555554E-2</v>
      </c>
      <c r="D1829" s="3">
        <v>4608</v>
      </c>
      <c r="E1829" s="3">
        <v>207</v>
      </c>
      <c r="F1829" s="2">
        <v>49.837499999999999</v>
      </c>
      <c r="G1829" t="s">
        <v>2816</v>
      </c>
      <c r="H1829" t="s">
        <v>2813</v>
      </c>
      <c r="I1829" s="2">
        <v>0.63124999999999998</v>
      </c>
      <c r="J1829" s="4" t="str">
        <f>IF(Table1[[#This Row],[processing_time_hours]]&gt;1.5,"Slow", "Fast")</f>
        <v>Fast</v>
      </c>
      <c r="K1829" t="s">
        <v>2814</v>
      </c>
      <c r="L1829" s="3">
        <v>1</v>
      </c>
      <c r="M1829" t="str">
        <f>IF(Table1[[#This Row],[delayed]]=1,"Delayed","On Time")</f>
        <v>Delayed</v>
      </c>
      <c r="N1829" t="str">
        <f>IF(AND(Table1[[#This Row],[delayed]]=1,Table1[[#This Row],[weather_condition]]="Storm"),"High Risk", IF(Table1[[#This Row],[delayed]]=1,"Medium Risk","Low Risk"))</f>
        <v>Medium Risk</v>
      </c>
    </row>
    <row r="1830" spans="1:14" x14ac:dyDescent="0.35">
      <c r="A1830">
        <v>1829</v>
      </c>
      <c r="B1830" s="1">
        <v>45003.166666666664</v>
      </c>
      <c r="C1830" s="2">
        <v>5.486111111111111E-2</v>
      </c>
      <c r="D1830" s="3">
        <v>2349</v>
      </c>
      <c r="E1830" s="3">
        <v>108</v>
      </c>
      <c r="F1830" s="2">
        <v>15.08611111111111</v>
      </c>
      <c r="G1830" t="s">
        <v>2816</v>
      </c>
      <c r="H1830" t="s">
        <v>2813</v>
      </c>
      <c r="I1830" s="2">
        <v>1.3375000000000001</v>
      </c>
      <c r="J1830" s="4" t="str">
        <f>IF(Table1[[#This Row],[processing_time_hours]]&gt;1.5,"Slow", "Fast")</f>
        <v>Fast</v>
      </c>
      <c r="K1830" t="s">
        <v>2818</v>
      </c>
      <c r="L1830" s="3">
        <v>0</v>
      </c>
      <c r="M1830" t="str">
        <f>IF(Table1[[#This Row],[delayed]]=1,"Delayed","On Time")</f>
        <v>On Time</v>
      </c>
      <c r="N1830" t="str">
        <f>IF(AND(Table1[[#This Row],[delayed]]=1,Table1[[#This Row],[weather_condition]]="Storm"),"High Risk", IF(Table1[[#This Row],[delayed]]=1,"Medium Risk","Low Risk"))</f>
        <v>Low Risk</v>
      </c>
    </row>
    <row r="1831" spans="1:14" x14ac:dyDescent="0.35">
      <c r="A1831">
        <v>1830</v>
      </c>
      <c r="B1831" s="1">
        <v>45003.208333333336</v>
      </c>
      <c r="C1831" s="2">
        <v>5.4166666666666669E-2</v>
      </c>
      <c r="D1831" s="3">
        <v>3451</v>
      </c>
      <c r="E1831" s="3">
        <v>344</v>
      </c>
      <c r="F1831" s="2">
        <v>30.794444444444448</v>
      </c>
      <c r="G1831" t="s">
        <v>2816</v>
      </c>
      <c r="H1831" t="s">
        <v>2820</v>
      </c>
      <c r="I1831" s="2">
        <v>1.3805555555555555</v>
      </c>
      <c r="J1831" s="4" t="str">
        <f>IF(Table1[[#This Row],[processing_time_hours]]&gt;1.5,"Slow", "Fast")</f>
        <v>Fast</v>
      </c>
      <c r="K1831" t="s">
        <v>2814</v>
      </c>
      <c r="L1831" s="3">
        <v>0</v>
      </c>
      <c r="M1831" t="str">
        <f>IF(Table1[[#This Row],[delayed]]=1,"Delayed","On Time")</f>
        <v>On Time</v>
      </c>
      <c r="N1831" t="str">
        <f>IF(AND(Table1[[#This Row],[delayed]]=1,Table1[[#This Row],[weather_condition]]="Storm"),"High Risk", IF(Table1[[#This Row],[delayed]]=1,"Medium Risk","Low Risk"))</f>
        <v>Low Risk</v>
      </c>
    </row>
    <row r="1832" spans="1:14" x14ac:dyDescent="0.35">
      <c r="A1832">
        <v>1831</v>
      </c>
      <c r="B1832" s="1">
        <v>45003.25</v>
      </c>
      <c r="C1832" s="2">
        <v>6.458333333333334E-2</v>
      </c>
      <c r="D1832" s="3">
        <v>3369</v>
      </c>
      <c r="E1832" s="3">
        <v>227</v>
      </c>
      <c r="F1832" s="2">
        <v>10.085416666666667</v>
      </c>
      <c r="G1832" t="s">
        <v>2812</v>
      </c>
      <c r="H1832" t="s">
        <v>2822</v>
      </c>
      <c r="I1832" s="2">
        <v>1.0416666666666667</v>
      </c>
      <c r="J1832" s="4" t="str">
        <f>IF(Table1[[#This Row],[processing_time_hours]]&gt;1.5,"Slow", "Fast")</f>
        <v>Fast</v>
      </c>
      <c r="K1832" t="s">
        <v>2818</v>
      </c>
      <c r="L1832" s="3">
        <v>0</v>
      </c>
      <c r="M1832" t="str">
        <f>IF(Table1[[#This Row],[delayed]]=1,"Delayed","On Time")</f>
        <v>On Time</v>
      </c>
      <c r="N1832" t="str">
        <f>IF(AND(Table1[[#This Row],[delayed]]=1,Table1[[#This Row],[weather_condition]]="Storm"),"High Risk", IF(Table1[[#This Row],[delayed]]=1,"Medium Risk","Low Risk"))</f>
        <v>Low Risk</v>
      </c>
    </row>
    <row r="1833" spans="1:14" x14ac:dyDescent="0.35">
      <c r="A1833">
        <v>1832</v>
      </c>
      <c r="B1833" s="1">
        <v>45003.291666666664</v>
      </c>
      <c r="C1833" s="2">
        <v>6.6666666666666666E-2</v>
      </c>
      <c r="D1833" s="3">
        <v>4244</v>
      </c>
      <c r="E1833" s="3">
        <v>79</v>
      </c>
      <c r="F1833" s="2">
        <v>20.962500000000002</v>
      </c>
      <c r="G1833" t="s">
        <v>2816</v>
      </c>
      <c r="H1833" t="s">
        <v>2817</v>
      </c>
      <c r="I1833" s="2">
        <v>2.0423611111111111</v>
      </c>
      <c r="J1833" s="4" t="str">
        <f>IF(Table1[[#This Row],[processing_time_hours]]&gt;1.5,"Slow", "Fast")</f>
        <v>Slow</v>
      </c>
      <c r="K1833" t="s">
        <v>2818</v>
      </c>
      <c r="L1833" s="3">
        <v>1</v>
      </c>
      <c r="M1833" t="str">
        <f>IF(Table1[[#This Row],[delayed]]=1,"Delayed","On Time")</f>
        <v>Delayed</v>
      </c>
      <c r="N1833" t="str">
        <f>IF(AND(Table1[[#This Row],[delayed]]=1,Table1[[#This Row],[weather_condition]]="Storm"),"High Risk", IF(Table1[[#This Row],[delayed]]=1,"Medium Risk","Low Risk"))</f>
        <v>High Risk</v>
      </c>
    </row>
    <row r="1834" spans="1:14" x14ac:dyDescent="0.35">
      <c r="A1834">
        <v>1833</v>
      </c>
      <c r="B1834" s="1">
        <v>45003.333333333336</v>
      </c>
      <c r="C1834" s="2">
        <v>6.5277777777777782E-2</v>
      </c>
      <c r="D1834" s="3">
        <v>4257</v>
      </c>
      <c r="E1834" s="3">
        <v>395</v>
      </c>
      <c r="F1834" s="2">
        <v>32.75138888888889</v>
      </c>
      <c r="G1834" t="s">
        <v>2816</v>
      </c>
      <c r="H1834" t="s">
        <v>2820</v>
      </c>
      <c r="I1834" s="2">
        <v>2.8812500000000001</v>
      </c>
      <c r="J1834" s="4" t="str">
        <f>IF(Table1[[#This Row],[processing_time_hours]]&gt;1.5,"Slow", "Fast")</f>
        <v>Slow</v>
      </c>
      <c r="K1834" t="s">
        <v>2818</v>
      </c>
      <c r="L1834" s="3">
        <v>1</v>
      </c>
      <c r="M1834" t="str">
        <f>IF(Table1[[#This Row],[delayed]]=1,"Delayed","On Time")</f>
        <v>Delayed</v>
      </c>
      <c r="N1834" t="str">
        <f>IF(AND(Table1[[#This Row],[delayed]]=1,Table1[[#This Row],[weather_condition]]="Storm"),"High Risk", IF(Table1[[#This Row],[delayed]]=1,"Medium Risk","Low Risk"))</f>
        <v>Medium Risk</v>
      </c>
    </row>
    <row r="1835" spans="1:14" x14ac:dyDescent="0.35">
      <c r="A1835">
        <v>1834</v>
      </c>
      <c r="B1835" s="1">
        <v>45003.375</v>
      </c>
      <c r="C1835" s="2">
        <v>6.1111111111111109E-2</v>
      </c>
      <c r="D1835" s="3">
        <v>4269</v>
      </c>
      <c r="E1835" s="3">
        <v>374</v>
      </c>
      <c r="F1835" s="2">
        <v>49.918749999999996</v>
      </c>
      <c r="G1835" t="s">
        <v>2815</v>
      </c>
      <c r="H1835" t="s">
        <v>2813</v>
      </c>
      <c r="I1835" s="2">
        <v>0.37847222222222227</v>
      </c>
      <c r="J1835" s="4" t="str">
        <f>IF(Table1[[#This Row],[processing_time_hours]]&gt;1.5,"Slow", "Fast")</f>
        <v>Fast</v>
      </c>
      <c r="K1835" t="s">
        <v>2821</v>
      </c>
      <c r="L1835" s="3">
        <v>1</v>
      </c>
      <c r="M1835" t="str">
        <f>IF(Table1[[#This Row],[delayed]]=1,"Delayed","On Time")</f>
        <v>Delayed</v>
      </c>
      <c r="N1835" t="str">
        <f>IF(AND(Table1[[#This Row],[delayed]]=1,Table1[[#This Row],[weather_condition]]="Storm"),"High Risk", IF(Table1[[#This Row],[delayed]]=1,"Medium Risk","Low Risk"))</f>
        <v>Medium Risk</v>
      </c>
    </row>
    <row r="1836" spans="1:14" x14ac:dyDescent="0.35">
      <c r="A1836">
        <v>1835</v>
      </c>
      <c r="B1836" s="1">
        <v>45003.416666666664</v>
      </c>
      <c r="C1836" s="2">
        <v>5.6250000000000001E-2</v>
      </c>
      <c r="D1836" s="3">
        <v>2257</v>
      </c>
      <c r="E1836" s="3">
        <v>341</v>
      </c>
      <c r="F1836" s="2">
        <v>46.213888888888896</v>
      </c>
      <c r="G1836" t="s">
        <v>2816</v>
      </c>
      <c r="H1836" t="s">
        <v>2822</v>
      </c>
      <c r="I1836" s="2">
        <v>1.6701388888888891</v>
      </c>
      <c r="J1836" s="4" t="str">
        <f>IF(Table1[[#This Row],[processing_time_hours]]&gt;1.5,"Slow", "Fast")</f>
        <v>Slow</v>
      </c>
      <c r="K1836" t="s">
        <v>2814</v>
      </c>
      <c r="L1836" s="3">
        <v>0</v>
      </c>
      <c r="M1836" t="str">
        <f>IF(Table1[[#This Row],[delayed]]=1,"Delayed","On Time")</f>
        <v>On Time</v>
      </c>
      <c r="N1836" t="str">
        <f>IF(AND(Table1[[#This Row],[delayed]]=1,Table1[[#This Row],[weather_condition]]="Storm"),"High Risk", IF(Table1[[#This Row],[delayed]]=1,"Medium Risk","Low Risk"))</f>
        <v>Low Risk</v>
      </c>
    </row>
    <row r="1837" spans="1:14" x14ac:dyDescent="0.35">
      <c r="A1837">
        <v>1836</v>
      </c>
      <c r="B1837" s="1">
        <v>45003.458333333336</v>
      </c>
      <c r="C1837" s="2">
        <v>4.6527777777777779E-2</v>
      </c>
      <c r="D1837" s="3">
        <v>2476</v>
      </c>
      <c r="E1837" s="3">
        <v>170</v>
      </c>
      <c r="F1837" s="2">
        <v>76.461805555555557</v>
      </c>
      <c r="G1837" t="s">
        <v>2819</v>
      </c>
      <c r="H1837" t="s">
        <v>2820</v>
      </c>
      <c r="I1837" s="2">
        <v>0.46249999999999997</v>
      </c>
      <c r="J1837" s="4" t="str">
        <f>IF(Table1[[#This Row],[processing_time_hours]]&gt;1.5,"Slow", "Fast")</f>
        <v>Fast</v>
      </c>
      <c r="K1837" t="s">
        <v>2814</v>
      </c>
      <c r="L1837" s="3">
        <v>1</v>
      </c>
      <c r="M1837" t="str">
        <f>IF(Table1[[#This Row],[delayed]]=1,"Delayed","On Time")</f>
        <v>Delayed</v>
      </c>
      <c r="N1837" t="str">
        <f>IF(AND(Table1[[#This Row],[delayed]]=1,Table1[[#This Row],[weather_condition]]="Storm"),"High Risk", IF(Table1[[#This Row],[delayed]]=1,"Medium Risk","Low Risk"))</f>
        <v>Medium Risk</v>
      </c>
    </row>
    <row r="1838" spans="1:14" x14ac:dyDescent="0.35">
      <c r="A1838">
        <v>1837</v>
      </c>
      <c r="B1838" s="1">
        <v>45003.5</v>
      </c>
      <c r="C1838" s="2">
        <v>6.7361111111111108E-2</v>
      </c>
      <c r="D1838" s="3">
        <v>608</v>
      </c>
      <c r="E1838" s="3">
        <v>459</v>
      </c>
      <c r="F1838" s="2">
        <v>76.209722222222226</v>
      </c>
      <c r="G1838" t="s">
        <v>2815</v>
      </c>
      <c r="H1838" t="s">
        <v>2820</v>
      </c>
      <c r="I1838" s="2">
        <v>0.67152777777777783</v>
      </c>
      <c r="J1838" s="4" t="str">
        <f>IF(Table1[[#This Row],[processing_time_hours]]&gt;1.5,"Slow", "Fast")</f>
        <v>Fast</v>
      </c>
      <c r="K1838" t="s">
        <v>2818</v>
      </c>
      <c r="L1838" s="3">
        <v>1</v>
      </c>
      <c r="M1838" t="str">
        <f>IF(Table1[[#This Row],[delayed]]=1,"Delayed","On Time")</f>
        <v>Delayed</v>
      </c>
      <c r="N1838" t="str">
        <f>IF(AND(Table1[[#This Row],[delayed]]=1,Table1[[#This Row],[weather_condition]]="Storm"),"High Risk", IF(Table1[[#This Row],[delayed]]=1,"Medium Risk","Low Risk"))</f>
        <v>Medium Risk</v>
      </c>
    </row>
    <row r="1839" spans="1:14" x14ac:dyDescent="0.35">
      <c r="A1839">
        <v>1838</v>
      </c>
      <c r="B1839" s="1">
        <v>45003.541666666664</v>
      </c>
      <c r="C1839" s="2">
        <v>6.5277777777777782E-2</v>
      </c>
      <c r="D1839" s="3">
        <v>404</v>
      </c>
      <c r="E1839" s="3">
        <v>420</v>
      </c>
      <c r="F1839" s="2">
        <v>10.125</v>
      </c>
      <c r="G1839" t="s">
        <v>2812</v>
      </c>
      <c r="H1839" t="s">
        <v>2817</v>
      </c>
      <c r="I1839" s="2">
        <v>1.3784722222222223</v>
      </c>
      <c r="J1839" s="4" t="str">
        <f>IF(Table1[[#This Row],[processing_time_hours]]&gt;1.5,"Slow", "Fast")</f>
        <v>Fast</v>
      </c>
      <c r="K1839" t="s">
        <v>2818</v>
      </c>
      <c r="L1839" s="3">
        <v>0</v>
      </c>
      <c r="M1839" t="str">
        <f>IF(Table1[[#This Row],[delayed]]=1,"Delayed","On Time")</f>
        <v>On Time</v>
      </c>
      <c r="N1839" t="str">
        <f>IF(AND(Table1[[#This Row],[delayed]]=1,Table1[[#This Row],[weather_condition]]="Storm"),"High Risk", IF(Table1[[#This Row],[delayed]]=1,"Medium Risk","Low Risk"))</f>
        <v>Low Risk</v>
      </c>
    </row>
    <row r="1840" spans="1:14" x14ac:dyDescent="0.35">
      <c r="A1840">
        <v>1839</v>
      </c>
      <c r="B1840" s="1">
        <v>45003.583333333336</v>
      </c>
      <c r="C1840" s="2">
        <v>5.6250000000000001E-2</v>
      </c>
      <c r="D1840" s="3">
        <v>1481</v>
      </c>
      <c r="E1840" s="3">
        <v>461</v>
      </c>
      <c r="F1840" s="2">
        <v>5.9208333333333334</v>
      </c>
      <c r="G1840" t="s">
        <v>2819</v>
      </c>
      <c r="H1840" t="s">
        <v>2813</v>
      </c>
      <c r="I1840" s="2">
        <v>0.54236111111111118</v>
      </c>
      <c r="J1840" s="4" t="str">
        <f>IF(Table1[[#This Row],[processing_time_hours]]&gt;1.5,"Slow", "Fast")</f>
        <v>Fast</v>
      </c>
      <c r="K1840" t="s">
        <v>2821</v>
      </c>
      <c r="L1840" s="3">
        <v>0</v>
      </c>
      <c r="M1840" t="str">
        <f>IF(Table1[[#This Row],[delayed]]=1,"Delayed","On Time")</f>
        <v>On Time</v>
      </c>
      <c r="N1840" t="str">
        <f>IF(AND(Table1[[#This Row],[delayed]]=1,Table1[[#This Row],[weather_condition]]="Storm"),"High Risk", IF(Table1[[#This Row],[delayed]]=1,"Medium Risk","Low Risk"))</f>
        <v>Low Risk</v>
      </c>
    </row>
    <row r="1841" spans="1:14" x14ac:dyDescent="0.35">
      <c r="A1841">
        <v>1840</v>
      </c>
      <c r="B1841" s="1">
        <v>45003.625</v>
      </c>
      <c r="C1841" s="2">
        <v>6.2499999999999995E-3</v>
      </c>
      <c r="D1841" s="3">
        <v>657</v>
      </c>
      <c r="E1841" s="3">
        <v>48</v>
      </c>
      <c r="F1841" s="2">
        <v>37.958333333333336</v>
      </c>
      <c r="G1841" t="s">
        <v>2812</v>
      </c>
      <c r="H1841" t="s">
        <v>2813</v>
      </c>
      <c r="I1841" s="2">
        <v>0.41944444444444445</v>
      </c>
      <c r="J1841" s="4" t="str">
        <f>IF(Table1[[#This Row],[processing_time_hours]]&gt;1.5,"Slow", "Fast")</f>
        <v>Fast</v>
      </c>
      <c r="K1841" t="s">
        <v>2814</v>
      </c>
      <c r="L1841" s="3">
        <v>1</v>
      </c>
      <c r="M1841" t="str">
        <f>IF(Table1[[#This Row],[delayed]]=1,"Delayed","On Time")</f>
        <v>Delayed</v>
      </c>
      <c r="N1841" t="str">
        <f>IF(AND(Table1[[#This Row],[delayed]]=1,Table1[[#This Row],[weather_condition]]="Storm"),"High Risk", IF(Table1[[#This Row],[delayed]]=1,"Medium Risk","Low Risk"))</f>
        <v>Medium Risk</v>
      </c>
    </row>
    <row r="1842" spans="1:14" x14ac:dyDescent="0.35">
      <c r="A1842">
        <v>1841</v>
      </c>
      <c r="B1842" s="1">
        <v>45003.666666666664</v>
      </c>
      <c r="C1842" s="2">
        <v>6.6666666666666666E-2</v>
      </c>
      <c r="D1842" s="3">
        <v>4719</v>
      </c>
      <c r="E1842" s="3">
        <v>28</v>
      </c>
      <c r="F1842" s="2">
        <v>71.921527777777769</v>
      </c>
      <c r="G1842" t="s">
        <v>2819</v>
      </c>
      <c r="H1842" t="s">
        <v>2817</v>
      </c>
      <c r="I1842" s="2">
        <v>1.8798611111111112</v>
      </c>
      <c r="J1842" s="4" t="str">
        <f>IF(Table1[[#This Row],[processing_time_hours]]&gt;1.5,"Slow", "Fast")</f>
        <v>Slow</v>
      </c>
      <c r="K1842" t="s">
        <v>2818</v>
      </c>
      <c r="L1842" s="3">
        <v>0</v>
      </c>
      <c r="M1842" t="str">
        <f>IF(Table1[[#This Row],[delayed]]=1,"Delayed","On Time")</f>
        <v>On Time</v>
      </c>
      <c r="N1842" t="str">
        <f>IF(AND(Table1[[#This Row],[delayed]]=1,Table1[[#This Row],[weather_condition]]="Storm"),"High Risk", IF(Table1[[#This Row],[delayed]]=1,"Medium Risk","Low Risk"))</f>
        <v>Low Risk</v>
      </c>
    </row>
    <row r="1843" spans="1:14" x14ac:dyDescent="0.35">
      <c r="A1843">
        <v>1842</v>
      </c>
      <c r="B1843" s="1">
        <v>45003.708333333336</v>
      </c>
      <c r="C1843" s="2">
        <v>4.9999999999999996E-2</v>
      </c>
      <c r="D1843" s="3">
        <v>4434</v>
      </c>
      <c r="E1843" s="3">
        <v>471</v>
      </c>
      <c r="F1843" s="2">
        <v>49.75138888888889</v>
      </c>
      <c r="G1843" t="s">
        <v>2812</v>
      </c>
      <c r="H1843" t="s">
        <v>2817</v>
      </c>
      <c r="I1843" s="2">
        <v>2.1256944444444446</v>
      </c>
      <c r="J1843" s="4" t="str">
        <f>IF(Table1[[#This Row],[processing_time_hours]]&gt;1.5,"Slow", "Fast")</f>
        <v>Slow</v>
      </c>
      <c r="K1843" t="s">
        <v>2821</v>
      </c>
      <c r="L1843" s="3">
        <v>0</v>
      </c>
      <c r="M1843" t="str">
        <f>IF(Table1[[#This Row],[delayed]]=1,"Delayed","On Time")</f>
        <v>On Time</v>
      </c>
      <c r="N1843" t="str">
        <f>IF(AND(Table1[[#This Row],[delayed]]=1,Table1[[#This Row],[weather_condition]]="Storm"),"High Risk", IF(Table1[[#This Row],[delayed]]=1,"Medium Risk","Low Risk"))</f>
        <v>Low Risk</v>
      </c>
    </row>
    <row r="1844" spans="1:14" x14ac:dyDescent="0.35">
      <c r="A1844">
        <v>1843</v>
      </c>
      <c r="B1844" s="1">
        <v>45003.75</v>
      </c>
      <c r="C1844" s="2">
        <v>5.7638888888888885E-2</v>
      </c>
      <c r="D1844" s="3">
        <v>1849</v>
      </c>
      <c r="E1844" s="3">
        <v>432</v>
      </c>
      <c r="F1844" s="2">
        <v>75.381250000000009</v>
      </c>
      <c r="G1844" t="s">
        <v>2819</v>
      </c>
      <c r="H1844" t="s">
        <v>2822</v>
      </c>
      <c r="I1844" s="2">
        <v>2.629861111111111</v>
      </c>
      <c r="J1844" s="4" t="str">
        <f>IF(Table1[[#This Row],[processing_time_hours]]&gt;1.5,"Slow", "Fast")</f>
        <v>Slow</v>
      </c>
      <c r="K1844" t="s">
        <v>2814</v>
      </c>
      <c r="L1844" s="3">
        <v>1</v>
      </c>
      <c r="M1844" t="str">
        <f>IF(Table1[[#This Row],[delayed]]=1,"Delayed","On Time")</f>
        <v>Delayed</v>
      </c>
      <c r="N1844" t="str">
        <f>IF(AND(Table1[[#This Row],[delayed]]=1,Table1[[#This Row],[weather_condition]]="Storm"),"High Risk", IF(Table1[[#This Row],[delayed]]=1,"Medium Risk","Low Risk"))</f>
        <v>Medium Risk</v>
      </c>
    </row>
    <row r="1845" spans="1:14" x14ac:dyDescent="0.35">
      <c r="A1845">
        <v>1844</v>
      </c>
      <c r="B1845" s="1">
        <v>45003.791666666664</v>
      </c>
      <c r="C1845" s="2">
        <v>6.805555555555555E-2</v>
      </c>
      <c r="D1845" s="3">
        <v>1010</v>
      </c>
      <c r="E1845" s="3">
        <v>167</v>
      </c>
      <c r="F1845" s="2">
        <v>37.881250000000001</v>
      </c>
      <c r="G1845" t="s">
        <v>2819</v>
      </c>
      <c r="H1845" t="s">
        <v>2820</v>
      </c>
      <c r="I1845" s="2">
        <v>0.92013888888888884</v>
      </c>
      <c r="J1845" s="4" t="str">
        <f>IF(Table1[[#This Row],[processing_time_hours]]&gt;1.5,"Slow", "Fast")</f>
        <v>Fast</v>
      </c>
      <c r="K1845" t="s">
        <v>2821</v>
      </c>
      <c r="L1845" s="3">
        <v>0</v>
      </c>
      <c r="M1845" t="str">
        <f>IF(Table1[[#This Row],[delayed]]=1,"Delayed","On Time")</f>
        <v>On Time</v>
      </c>
      <c r="N1845" t="str">
        <f>IF(AND(Table1[[#This Row],[delayed]]=1,Table1[[#This Row],[weather_condition]]="Storm"),"High Risk", IF(Table1[[#This Row],[delayed]]=1,"Medium Risk","Low Risk"))</f>
        <v>Low Risk</v>
      </c>
    </row>
    <row r="1846" spans="1:14" x14ac:dyDescent="0.35">
      <c r="A1846">
        <v>1845</v>
      </c>
      <c r="B1846" s="1">
        <v>45003.833333333336</v>
      </c>
      <c r="C1846" s="2">
        <v>4.7916666666666663E-2</v>
      </c>
      <c r="D1846" s="3">
        <v>2348</v>
      </c>
      <c r="E1846" s="3">
        <v>254</v>
      </c>
      <c r="F1846" s="2">
        <v>33.375694444444441</v>
      </c>
      <c r="G1846" t="s">
        <v>2812</v>
      </c>
      <c r="H1846" t="s">
        <v>2813</v>
      </c>
      <c r="I1846" s="2">
        <v>2.5854166666666667</v>
      </c>
      <c r="J1846" s="4" t="str">
        <f>IF(Table1[[#This Row],[processing_time_hours]]&gt;1.5,"Slow", "Fast")</f>
        <v>Slow</v>
      </c>
      <c r="K1846" t="s">
        <v>2814</v>
      </c>
      <c r="L1846" s="3">
        <v>0</v>
      </c>
      <c r="M1846" t="str">
        <f>IF(Table1[[#This Row],[delayed]]=1,"Delayed","On Time")</f>
        <v>On Time</v>
      </c>
      <c r="N1846" t="str">
        <f>IF(AND(Table1[[#This Row],[delayed]]=1,Table1[[#This Row],[weather_condition]]="Storm"),"High Risk", IF(Table1[[#This Row],[delayed]]=1,"Medium Risk","Low Risk"))</f>
        <v>Low Risk</v>
      </c>
    </row>
    <row r="1847" spans="1:14" x14ac:dyDescent="0.35">
      <c r="A1847">
        <v>1846</v>
      </c>
      <c r="B1847" s="1">
        <v>45003.875</v>
      </c>
      <c r="C1847" s="2">
        <v>4.5833333333333337E-2</v>
      </c>
      <c r="D1847" s="3">
        <v>366</v>
      </c>
      <c r="E1847" s="3">
        <v>191</v>
      </c>
      <c r="F1847" s="2">
        <v>26.168055555555554</v>
      </c>
      <c r="G1847" t="s">
        <v>2819</v>
      </c>
      <c r="H1847" t="s">
        <v>2813</v>
      </c>
      <c r="I1847" s="2">
        <v>4.7916666666666663E-2</v>
      </c>
      <c r="J1847" s="4" t="str">
        <f>IF(Table1[[#This Row],[processing_time_hours]]&gt;1.5,"Slow", "Fast")</f>
        <v>Fast</v>
      </c>
      <c r="K1847" t="s">
        <v>2814</v>
      </c>
      <c r="L1847" s="3">
        <v>0</v>
      </c>
      <c r="M1847" t="str">
        <f>IF(Table1[[#This Row],[delayed]]=1,"Delayed","On Time")</f>
        <v>On Time</v>
      </c>
      <c r="N1847" t="str">
        <f>IF(AND(Table1[[#This Row],[delayed]]=1,Table1[[#This Row],[weather_condition]]="Storm"),"High Risk", IF(Table1[[#This Row],[delayed]]=1,"Medium Risk","Low Risk"))</f>
        <v>Low Risk</v>
      </c>
    </row>
    <row r="1848" spans="1:14" x14ac:dyDescent="0.35">
      <c r="A1848">
        <v>1847</v>
      </c>
      <c r="B1848" s="1">
        <v>45003.916666666664</v>
      </c>
      <c r="C1848" s="2">
        <v>6.805555555555555E-2</v>
      </c>
      <c r="D1848" s="3">
        <v>2486</v>
      </c>
      <c r="E1848" s="3">
        <v>386</v>
      </c>
      <c r="F1848" s="2">
        <v>21.170138888888889</v>
      </c>
      <c r="G1848" t="s">
        <v>2812</v>
      </c>
      <c r="H1848" t="s">
        <v>2820</v>
      </c>
      <c r="I1848" s="2">
        <v>1.04375</v>
      </c>
      <c r="J1848" s="4" t="str">
        <f>IF(Table1[[#This Row],[processing_time_hours]]&gt;1.5,"Slow", "Fast")</f>
        <v>Fast</v>
      </c>
      <c r="K1848" t="s">
        <v>2818</v>
      </c>
      <c r="L1848" s="3">
        <v>1</v>
      </c>
      <c r="M1848" t="str">
        <f>IF(Table1[[#This Row],[delayed]]=1,"Delayed","On Time")</f>
        <v>Delayed</v>
      </c>
      <c r="N1848" t="str">
        <f>IF(AND(Table1[[#This Row],[delayed]]=1,Table1[[#This Row],[weather_condition]]="Storm"),"High Risk", IF(Table1[[#This Row],[delayed]]=1,"Medium Risk","Low Risk"))</f>
        <v>Medium Risk</v>
      </c>
    </row>
    <row r="1849" spans="1:14" x14ac:dyDescent="0.35">
      <c r="A1849">
        <v>1848</v>
      </c>
      <c r="B1849" s="1">
        <v>45003.958333333336</v>
      </c>
      <c r="C1849" s="2">
        <v>6.5972222222222224E-2</v>
      </c>
      <c r="D1849" s="3">
        <v>1705</v>
      </c>
      <c r="E1849" s="3">
        <v>153</v>
      </c>
      <c r="F1849" s="2">
        <v>73.254166666666663</v>
      </c>
      <c r="G1849" t="s">
        <v>2815</v>
      </c>
      <c r="H1849" t="s">
        <v>2822</v>
      </c>
      <c r="I1849" s="2">
        <v>0.75416666666666676</v>
      </c>
      <c r="J1849" s="4" t="str">
        <f>IF(Table1[[#This Row],[processing_time_hours]]&gt;1.5,"Slow", "Fast")</f>
        <v>Fast</v>
      </c>
      <c r="K1849" t="s">
        <v>2821</v>
      </c>
      <c r="L1849" s="3">
        <v>1</v>
      </c>
      <c r="M1849" t="str">
        <f>IF(Table1[[#This Row],[delayed]]=1,"Delayed","On Time")</f>
        <v>Delayed</v>
      </c>
      <c r="N1849" t="str">
        <f>IF(AND(Table1[[#This Row],[delayed]]=1,Table1[[#This Row],[weather_condition]]="Storm"),"High Risk", IF(Table1[[#This Row],[delayed]]=1,"Medium Risk","Low Risk"))</f>
        <v>Medium Risk</v>
      </c>
    </row>
    <row r="1850" spans="1:14" x14ac:dyDescent="0.35">
      <c r="A1850">
        <v>1849</v>
      </c>
      <c r="B1850" s="1">
        <v>45004</v>
      </c>
      <c r="C1850" s="2">
        <v>4.3055555555555562E-2</v>
      </c>
      <c r="D1850" s="3">
        <v>3044</v>
      </c>
      <c r="E1850" s="3">
        <v>450</v>
      </c>
      <c r="F1850" s="2">
        <v>45.875</v>
      </c>
      <c r="G1850" t="s">
        <v>2812</v>
      </c>
      <c r="H1850" t="s">
        <v>2820</v>
      </c>
      <c r="I1850" s="2">
        <v>1.0423611111111111</v>
      </c>
      <c r="J1850" s="4" t="str">
        <f>IF(Table1[[#This Row],[processing_time_hours]]&gt;1.5,"Slow", "Fast")</f>
        <v>Fast</v>
      </c>
      <c r="K1850" t="s">
        <v>2818</v>
      </c>
      <c r="L1850" s="3">
        <v>1</v>
      </c>
      <c r="M1850" t="str">
        <f>IF(Table1[[#This Row],[delayed]]=1,"Delayed","On Time")</f>
        <v>Delayed</v>
      </c>
      <c r="N1850" t="str">
        <f>IF(AND(Table1[[#This Row],[delayed]]=1,Table1[[#This Row],[weather_condition]]="Storm"),"High Risk", IF(Table1[[#This Row],[delayed]]=1,"Medium Risk","Low Risk"))</f>
        <v>Medium Risk</v>
      </c>
    </row>
    <row r="1851" spans="1:14" x14ac:dyDescent="0.35">
      <c r="A1851">
        <v>1850</v>
      </c>
      <c r="B1851" s="1">
        <v>45004.041666666664</v>
      </c>
      <c r="C1851" s="2">
        <v>5.7638888888888885E-2</v>
      </c>
      <c r="D1851" s="3">
        <v>2217</v>
      </c>
      <c r="E1851" s="3">
        <v>331</v>
      </c>
      <c r="F1851" s="2">
        <v>35.462499999999999</v>
      </c>
      <c r="G1851" t="s">
        <v>2812</v>
      </c>
      <c r="H1851" t="s">
        <v>2817</v>
      </c>
      <c r="I1851" s="2">
        <v>2.1722222222222221</v>
      </c>
      <c r="J1851" s="4" t="str">
        <f>IF(Table1[[#This Row],[processing_time_hours]]&gt;1.5,"Slow", "Fast")</f>
        <v>Slow</v>
      </c>
      <c r="K1851" t="s">
        <v>2821</v>
      </c>
      <c r="L1851" s="3">
        <v>1</v>
      </c>
      <c r="M1851" t="str">
        <f>IF(Table1[[#This Row],[delayed]]=1,"Delayed","On Time")</f>
        <v>Delayed</v>
      </c>
      <c r="N1851" t="str">
        <f>IF(AND(Table1[[#This Row],[delayed]]=1,Table1[[#This Row],[weather_condition]]="Storm"),"High Risk", IF(Table1[[#This Row],[delayed]]=1,"Medium Risk","Low Risk"))</f>
        <v>High Risk</v>
      </c>
    </row>
    <row r="1852" spans="1:14" x14ac:dyDescent="0.35">
      <c r="A1852">
        <v>1851</v>
      </c>
      <c r="B1852" s="1">
        <v>45004.083333333336</v>
      </c>
      <c r="C1852" s="2">
        <v>5.9722222222222225E-2</v>
      </c>
      <c r="D1852" s="3">
        <v>2736</v>
      </c>
      <c r="E1852" s="3">
        <v>484</v>
      </c>
      <c r="F1852" s="2">
        <v>54.210416666666667</v>
      </c>
      <c r="G1852" t="s">
        <v>2819</v>
      </c>
      <c r="H1852" t="s">
        <v>2822</v>
      </c>
      <c r="I1852" s="2">
        <v>2.7541666666666664</v>
      </c>
      <c r="J1852" s="4" t="str">
        <f>IF(Table1[[#This Row],[processing_time_hours]]&gt;1.5,"Slow", "Fast")</f>
        <v>Slow</v>
      </c>
      <c r="K1852" t="s">
        <v>2821</v>
      </c>
      <c r="L1852" s="3">
        <v>0</v>
      </c>
      <c r="M1852" t="str">
        <f>IF(Table1[[#This Row],[delayed]]=1,"Delayed","On Time")</f>
        <v>On Time</v>
      </c>
      <c r="N1852" t="str">
        <f>IF(AND(Table1[[#This Row],[delayed]]=1,Table1[[#This Row],[weather_condition]]="Storm"),"High Risk", IF(Table1[[#This Row],[delayed]]=1,"Medium Risk","Low Risk"))</f>
        <v>Low Risk</v>
      </c>
    </row>
    <row r="1853" spans="1:14" x14ac:dyDescent="0.35">
      <c r="A1853">
        <v>1852</v>
      </c>
      <c r="B1853" s="1">
        <v>45004.125</v>
      </c>
      <c r="C1853" s="2">
        <v>6.1805555555555558E-2</v>
      </c>
      <c r="D1853" s="3">
        <v>410</v>
      </c>
      <c r="E1853" s="3">
        <v>264</v>
      </c>
      <c r="F1853" s="2">
        <v>25.835416666666664</v>
      </c>
      <c r="G1853" t="s">
        <v>2815</v>
      </c>
      <c r="H1853" t="s">
        <v>2820</v>
      </c>
      <c r="I1853" s="2">
        <v>0.79583333333333339</v>
      </c>
      <c r="J1853" s="4" t="str">
        <f>IF(Table1[[#This Row],[processing_time_hours]]&gt;1.5,"Slow", "Fast")</f>
        <v>Fast</v>
      </c>
      <c r="K1853" t="s">
        <v>2821</v>
      </c>
      <c r="L1853" s="3">
        <v>0</v>
      </c>
      <c r="M1853" t="str">
        <f>IF(Table1[[#This Row],[delayed]]=1,"Delayed","On Time")</f>
        <v>On Time</v>
      </c>
      <c r="N1853" t="str">
        <f>IF(AND(Table1[[#This Row],[delayed]]=1,Table1[[#This Row],[weather_condition]]="Storm"),"High Risk", IF(Table1[[#This Row],[delayed]]=1,"Medium Risk","Low Risk"))</f>
        <v>Low Risk</v>
      </c>
    </row>
    <row r="1854" spans="1:14" x14ac:dyDescent="0.35">
      <c r="A1854">
        <v>1853</v>
      </c>
      <c r="B1854" s="1">
        <v>45004.166666666664</v>
      </c>
      <c r="C1854" s="2">
        <v>5.9027777777777783E-2</v>
      </c>
      <c r="D1854" s="3">
        <v>562</v>
      </c>
      <c r="E1854" s="3">
        <v>328</v>
      </c>
      <c r="F1854" s="2">
        <v>19.129166666666666</v>
      </c>
      <c r="G1854" t="s">
        <v>2812</v>
      </c>
      <c r="H1854" t="s">
        <v>2817</v>
      </c>
      <c r="I1854" s="2">
        <v>1.7930555555555554</v>
      </c>
      <c r="J1854" s="4" t="str">
        <f>IF(Table1[[#This Row],[processing_time_hours]]&gt;1.5,"Slow", "Fast")</f>
        <v>Slow</v>
      </c>
      <c r="K1854" t="s">
        <v>2818</v>
      </c>
      <c r="L1854" s="3">
        <v>0</v>
      </c>
      <c r="M1854" t="str">
        <f>IF(Table1[[#This Row],[delayed]]=1,"Delayed","On Time")</f>
        <v>On Time</v>
      </c>
      <c r="N1854" t="str">
        <f>IF(AND(Table1[[#This Row],[delayed]]=1,Table1[[#This Row],[weather_condition]]="Storm"),"High Risk", IF(Table1[[#This Row],[delayed]]=1,"Medium Risk","Low Risk"))</f>
        <v>Low Risk</v>
      </c>
    </row>
    <row r="1855" spans="1:14" x14ac:dyDescent="0.35">
      <c r="A1855">
        <v>1854</v>
      </c>
      <c r="B1855" s="1">
        <v>45004.208333333336</v>
      </c>
      <c r="C1855" s="2">
        <v>5.7638888888888885E-2</v>
      </c>
      <c r="D1855" s="3">
        <v>251</v>
      </c>
      <c r="E1855" s="3">
        <v>9</v>
      </c>
      <c r="F1855" s="2">
        <v>16.25</v>
      </c>
      <c r="G1855" t="s">
        <v>2815</v>
      </c>
      <c r="H1855" t="s">
        <v>2820</v>
      </c>
      <c r="I1855" s="2">
        <v>2.3368055555555558</v>
      </c>
      <c r="J1855" s="4" t="str">
        <f>IF(Table1[[#This Row],[processing_time_hours]]&gt;1.5,"Slow", "Fast")</f>
        <v>Slow</v>
      </c>
      <c r="K1855" t="s">
        <v>2821</v>
      </c>
      <c r="L1855" s="3">
        <v>0</v>
      </c>
      <c r="M1855" t="str">
        <f>IF(Table1[[#This Row],[delayed]]=1,"Delayed","On Time")</f>
        <v>On Time</v>
      </c>
      <c r="N1855" t="str">
        <f>IF(AND(Table1[[#This Row],[delayed]]=1,Table1[[#This Row],[weather_condition]]="Storm"),"High Risk", IF(Table1[[#This Row],[delayed]]=1,"Medium Risk","Low Risk"))</f>
        <v>Low Risk</v>
      </c>
    </row>
    <row r="1856" spans="1:14" x14ac:dyDescent="0.35">
      <c r="A1856">
        <v>1855</v>
      </c>
      <c r="B1856" s="1">
        <v>45004.25</v>
      </c>
      <c r="C1856" s="2">
        <v>5.8333333333333327E-2</v>
      </c>
      <c r="D1856" s="3">
        <v>3034</v>
      </c>
      <c r="E1856" s="3">
        <v>398</v>
      </c>
      <c r="F1856" s="2">
        <v>79.752083333333331</v>
      </c>
      <c r="G1856" t="s">
        <v>2816</v>
      </c>
      <c r="H1856" t="s">
        <v>2820</v>
      </c>
      <c r="I1856" s="2">
        <v>2.0013888888888887</v>
      </c>
      <c r="J1856" s="4" t="str">
        <f>IF(Table1[[#This Row],[processing_time_hours]]&gt;1.5,"Slow", "Fast")</f>
        <v>Slow</v>
      </c>
      <c r="K1856" t="s">
        <v>2814</v>
      </c>
      <c r="L1856" s="3">
        <v>0</v>
      </c>
      <c r="M1856" t="str">
        <f>IF(Table1[[#This Row],[delayed]]=1,"Delayed","On Time")</f>
        <v>On Time</v>
      </c>
      <c r="N1856" t="str">
        <f>IF(AND(Table1[[#This Row],[delayed]]=1,Table1[[#This Row],[weather_condition]]="Storm"),"High Risk", IF(Table1[[#This Row],[delayed]]=1,"Medium Risk","Low Risk"))</f>
        <v>Low Risk</v>
      </c>
    </row>
    <row r="1857" spans="1:14" x14ac:dyDescent="0.35">
      <c r="A1857">
        <v>1856</v>
      </c>
      <c r="B1857" s="1">
        <v>45004.291666666664</v>
      </c>
      <c r="C1857" s="2">
        <v>5.9027777777777783E-2</v>
      </c>
      <c r="D1857" s="3">
        <v>685</v>
      </c>
      <c r="E1857" s="3">
        <v>119</v>
      </c>
      <c r="F1857" s="2">
        <v>65.088888888888889</v>
      </c>
      <c r="G1857" t="s">
        <v>2819</v>
      </c>
      <c r="H1857" t="s">
        <v>2822</v>
      </c>
      <c r="I1857" s="2">
        <v>1.0895833333333333</v>
      </c>
      <c r="J1857" s="4" t="str">
        <f>IF(Table1[[#This Row],[processing_time_hours]]&gt;1.5,"Slow", "Fast")</f>
        <v>Fast</v>
      </c>
      <c r="K1857" t="s">
        <v>2818</v>
      </c>
      <c r="L1857" s="3">
        <v>0</v>
      </c>
      <c r="M1857" t="str">
        <f>IF(Table1[[#This Row],[delayed]]=1,"Delayed","On Time")</f>
        <v>On Time</v>
      </c>
      <c r="N1857" t="str">
        <f>IF(AND(Table1[[#This Row],[delayed]]=1,Table1[[#This Row],[weather_condition]]="Storm"),"High Risk", IF(Table1[[#This Row],[delayed]]=1,"Medium Risk","Low Risk"))</f>
        <v>Low Risk</v>
      </c>
    </row>
    <row r="1858" spans="1:14" x14ac:dyDescent="0.35">
      <c r="A1858">
        <v>1857</v>
      </c>
      <c r="B1858" s="1">
        <v>45004.333333333336</v>
      </c>
      <c r="C1858" s="2">
        <v>4.4444444444444446E-2</v>
      </c>
      <c r="D1858" s="3">
        <v>1774</v>
      </c>
      <c r="E1858" s="3">
        <v>313</v>
      </c>
      <c r="F1858" s="2">
        <v>64.709722222222226</v>
      </c>
      <c r="G1858" t="s">
        <v>2812</v>
      </c>
      <c r="H1858" t="s">
        <v>2822</v>
      </c>
      <c r="I1858" s="2">
        <v>2.0430555555555556</v>
      </c>
      <c r="J1858" s="4" t="str">
        <f>IF(Table1[[#This Row],[processing_time_hours]]&gt;1.5,"Slow", "Fast")</f>
        <v>Slow</v>
      </c>
      <c r="K1858" t="s">
        <v>2818</v>
      </c>
      <c r="L1858" s="3">
        <v>0</v>
      </c>
      <c r="M1858" t="str">
        <f>IF(Table1[[#This Row],[delayed]]=1,"Delayed","On Time")</f>
        <v>On Time</v>
      </c>
      <c r="N1858" t="str">
        <f>IF(AND(Table1[[#This Row],[delayed]]=1,Table1[[#This Row],[weather_condition]]="Storm"),"High Risk", IF(Table1[[#This Row],[delayed]]=1,"Medium Risk","Low Risk"))</f>
        <v>Low Risk</v>
      </c>
    </row>
    <row r="1859" spans="1:14" x14ac:dyDescent="0.35">
      <c r="A1859">
        <v>1858</v>
      </c>
      <c r="B1859" s="1">
        <v>45004.375</v>
      </c>
      <c r="C1859" s="2">
        <v>4.6527777777777779E-2</v>
      </c>
      <c r="D1859" s="3">
        <v>1108</v>
      </c>
      <c r="E1859" s="3">
        <v>473</v>
      </c>
      <c r="F1859" s="2">
        <v>81.254861111111111</v>
      </c>
      <c r="G1859" t="s">
        <v>2815</v>
      </c>
      <c r="H1859" t="s">
        <v>2817</v>
      </c>
      <c r="I1859" s="2">
        <v>0.29305555555555557</v>
      </c>
      <c r="J1859" s="4" t="str">
        <f>IF(Table1[[#This Row],[processing_time_hours]]&gt;1.5,"Slow", "Fast")</f>
        <v>Fast</v>
      </c>
      <c r="K1859" t="s">
        <v>2818</v>
      </c>
      <c r="L1859" s="3">
        <v>0</v>
      </c>
      <c r="M1859" t="str">
        <f>IF(Table1[[#This Row],[delayed]]=1,"Delayed","On Time")</f>
        <v>On Time</v>
      </c>
      <c r="N1859" t="str">
        <f>IF(AND(Table1[[#This Row],[delayed]]=1,Table1[[#This Row],[weather_condition]]="Storm"),"High Risk", IF(Table1[[#This Row],[delayed]]=1,"Medium Risk","Low Risk"))</f>
        <v>Low Risk</v>
      </c>
    </row>
    <row r="1860" spans="1:14" x14ac:dyDescent="0.35">
      <c r="A1860">
        <v>1859</v>
      </c>
      <c r="B1860" s="1">
        <v>45004.416666666664</v>
      </c>
      <c r="C1860" s="2">
        <v>4.9305555555555554E-2</v>
      </c>
      <c r="D1860" s="3">
        <v>914</v>
      </c>
      <c r="E1860" s="3">
        <v>258</v>
      </c>
      <c r="F1860" s="2">
        <v>16.422916666666666</v>
      </c>
      <c r="G1860" t="s">
        <v>2819</v>
      </c>
      <c r="H1860" t="s">
        <v>2820</v>
      </c>
      <c r="I1860" s="2">
        <v>1.66875</v>
      </c>
      <c r="J1860" s="4" t="str">
        <f>IF(Table1[[#This Row],[processing_time_hours]]&gt;1.5,"Slow", "Fast")</f>
        <v>Slow</v>
      </c>
      <c r="K1860" t="s">
        <v>2814</v>
      </c>
      <c r="L1860" s="3">
        <v>0</v>
      </c>
      <c r="M1860" t="str">
        <f>IF(Table1[[#This Row],[delayed]]=1,"Delayed","On Time")</f>
        <v>On Time</v>
      </c>
      <c r="N1860" t="str">
        <f>IF(AND(Table1[[#This Row],[delayed]]=1,Table1[[#This Row],[weather_condition]]="Storm"),"High Risk", IF(Table1[[#This Row],[delayed]]=1,"Medium Risk","Low Risk"))</f>
        <v>Low Risk</v>
      </c>
    </row>
    <row r="1861" spans="1:14" x14ac:dyDescent="0.35">
      <c r="A1861">
        <v>1860</v>
      </c>
      <c r="B1861" s="1">
        <v>45004.458333333336</v>
      </c>
      <c r="C1861" s="2">
        <v>6.7361111111111108E-2</v>
      </c>
      <c r="D1861" s="3">
        <v>3406</v>
      </c>
      <c r="E1861" s="3">
        <v>397</v>
      </c>
      <c r="F1861" s="2">
        <v>20.712500000000002</v>
      </c>
      <c r="G1861" t="s">
        <v>2815</v>
      </c>
      <c r="H1861" t="s">
        <v>2820</v>
      </c>
      <c r="I1861" s="2">
        <v>2.875</v>
      </c>
      <c r="J1861" s="4" t="str">
        <f>IF(Table1[[#This Row],[processing_time_hours]]&gt;1.5,"Slow", "Fast")</f>
        <v>Slow</v>
      </c>
      <c r="K1861" t="s">
        <v>2814</v>
      </c>
      <c r="L1861" s="3">
        <v>1</v>
      </c>
      <c r="M1861" t="str">
        <f>IF(Table1[[#This Row],[delayed]]=1,"Delayed","On Time")</f>
        <v>Delayed</v>
      </c>
      <c r="N1861" t="str">
        <f>IF(AND(Table1[[#This Row],[delayed]]=1,Table1[[#This Row],[weather_condition]]="Storm"),"High Risk", IF(Table1[[#This Row],[delayed]]=1,"Medium Risk","Low Risk"))</f>
        <v>Medium Risk</v>
      </c>
    </row>
    <row r="1862" spans="1:14" x14ac:dyDescent="0.35">
      <c r="A1862">
        <v>1861</v>
      </c>
      <c r="B1862" s="1">
        <v>45004.5</v>
      </c>
      <c r="C1862" s="2">
        <v>5.486111111111111E-2</v>
      </c>
      <c r="D1862" s="3">
        <v>2234</v>
      </c>
      <c r="E1862" s="3">
        <v>388</v>
      </c>
      <c r="F1862" s="2">
        <v>17.292361111111109</v>
      </c>
      <c r="G1862" t="s">
        <v>2819</v>
      </c>
      <c r="H1862" t="s">
        <v>2822</v>
      </c>
      <c r="I1862" s="2">
        <v>1.0423611111111111</v>
      </c>
      <c r="J1862" s="4" t="str">
        <f>IF(Table1[[#This Row],[processing_time_hours]]&gt;1.5,"Slow", "Fast")</f>
        <v>Fast</v>
      </c>
      <c r="K1862" t="s">
        <v>2814</v>
      </c>
      <c r="L1862" s="3">
        <v>0</v>
      </c>
      <c r="M1862" t="str">
        <f>IF(Table1[[#This Row],[delayed]]=1,"Delayed","On Time")</f>
        <v>On Time</v>
      </c>
      <c r="N1862" t="str">
        <f>IF(AND(Table1[[#This Row],[delayed]]=1,Table1[[#This Row],[weather_condition]]="Storm"),"High Risk", IF(Table1[[#This Row],[delayed]]=1,"Medium Risk","Low Risk"))</f>
        <v>Low Risk</v>
      </c>
    </row>
    <row r="1863" spans="1:14" x14ac:dyDescent="0.35">
      <c r="A1863">
        <v>1862</v>
      </c>
      <c r="B1863" s="1">
        <v>45004.541666666664</v>
      </c>
      <c r="C1863" s="2">
        <v>5.9027777777777783E-2</v>
      </c>
      <c r="D1863" s="3">
        <v>4514</v>
      </c>
      <c r="E1863" s="3">
        <v>248</v>
      </c>
      <c r="F1863" s="2">
        <v>71.96041666666666</v>
      </c>
      <c r="G1863" t="s">
        <v>2816</v>
      </c>
      <c r="H1863" t="s">
        <v>2813</v>
      </c>
      <c r="I1863" s="2">
        <v>1.1312499999999999</v>
      </c>
      <c r="J1863" s="4" t="str">
        <f>IF(Table1[[#This Row],[processing_time_hours]]&gt;1.5,"Slow", "Fast")</f>
        <v>Fast</v>
      </c>
      <c r="K1863" t="s">
        <v>2818</v>
      </c>
      <c r="L1863" s="3">
        <v>0</v>
      </c>
      <c r="M1863" t="str">
        <f>IF(Table1[[#This Row],[delayed]]=1,"Delayed","On Time")</f>
        <v>On Time</v>
      </c>
      <c r="N1863" t="str">
        <f>IF(AND(Table1[[#This Row],[delayed]]=1,Table1[[#This Row],[weather_condition]]="Storm"),"High Risk", IF(Table1[[#This Row],[delayed]]=1,"Medium Risk","Low Risk"))</f>
        <v>Low Risk</v>
      </c>
    </row>
    <row r="1864" spans="1:14" x14ac:dyDescent="0.35">
      <c r="A1864">
        <v>1863</v>
      </c>
      <c r="B1864" s="1">
        <v>45004.583333333336</v>
      </c>
      <c r="C1864" s="2">
        <v>6.8749999999999992E-2</v>
      </c>
      <c r="D1864" s="3">
        <v>2358</v>
      </c>
      <c r="E1864" s="3">
        <v>238</v>
      </c>
      <c r="F1864" s="2">
        <v>14.838194444444445</v>
      </c>
      <c r="G1864" t="s">
        <v>2815</v>
      </c>
      <c r="H1864" t="s">
        <v>2813</v>
      </c>
      <c r="I1864" s="2">
        <v>0.625</v>
      </c>
      <c r="J1864" s="4" t="str">
        <f>IF(Table1[[#This Row],[processing_time_hours]]&gt;1.5,"Slow", "Fast")</f>
        <v>Fast</v>
      </c>
      <c r="K1864" t="s">
        <v>2814</v>
      </c>
      <c r="L1864" s="3">
        <v>0</v>
      </c>
      <c r="M1864" t="str">
        <f>IF(Table1[[#This Row],[delayed]]=1,"Delayed","On Time")</f>
        <v>On Time</v>
      </c>
      <c r="N1864" t="str">
        <f>IF(AND(Table1[[#This Row],[delayed]]=1,Table1[[#This Row],[weather_condition]]="Storm"),"High Risk", IF(Table1[[#This Row],[delayed]]=1,"Medium Risk","Low Risk"))</f>
        <v>Low Risk</v>
      </c>
    </row>
    <row r="1865" spans="1:14" x14ac:dyDescent="0.35">
      <c r="A1865">
        <v>1864</v>
      </c>
      <c r="B1865" s="1">
        <v>45004.625</v>
      </c>
      <c r="C1865" s="2">
        <v>4.4444444444444446E-2</v>
      </c>
      <c r="D1865" s="3">
        <v>1844</v>
      </c>
      <c r="E1865" s="3">
        <v>63</v>
      </c>
      <c r="F1865" s="2">
        <v>79.504861111111111</v>
      </c>
      <c r="G1865" t="s">
        <v>2812</v>
      </c>
      <c r="H1865" t="s">
        <v>2822</v>
      </c>
      <c r="I1865" s="2">
        <v>1.0888888888888888</v>
      </c>
      <c r="J1865" s="4" t="str">
        <f>IF(Table1[[#This Row],[processing_time_hours]]&gt;1.5,"Slow", "Fast")</f>
        <v>Fast</v>
      </c>
      <c r="K1865" t="s">
        <v>2818</v>
      </c>
      <c r="L1865" s="3">
        <v>0</v>
      </c>
      <c r="M1865" t="str">
        <f>IF(Table1[[#This Row],[delayed]]=1,"Delayed","On Time")</f>
        <v>On Time</v>
      </c>
      <c r="N1865" t="str">
        <f>IF(AND(Table1[[#This Row],[delayed]]=1,Table1[[#This Row],[weather_condition]]="Storm"),"High Risk", IF(Table1[[#This Row],[delayed]]=1,"Medium Risk","Low Risk"))</f>
        <v>Low Risk</v>
      </c>
    </row>
    <row r="1866" spans="1:14" x14ac:dyDescent="0.35">
      <c r="A1866">
        <v>1865</v>
      </c>
      <c r="B1866" s="1">
        <v>45004.666666666664</v>
      </c>
      <c r="C1866" s="2">
        <v>4.7222222222222221E-2</v>
      </c>
      <c r="D1866" s="3">
        <v>2475</v>
      </c>
      <c r="E1866" s="3">
        <v>192</v>
      </c>
      <c r="F1866" s="2">
        <v>7.125694444444445</v>
      </c>
      <c r="G1866" t="s">
        <v>2816</v>
      </c>
      <c r="H1866" t="s">
        <v>2813</v>
      </c>
      <c r="I1866" s="2">
        <v>0.29652777777777778</v>
      </c>
      <c r="J1866" s="4" t="str">
        <f>IF(Table1[[#This Row],[processing_time_hours]]&gt;1.5,"Slow", "Fast")</f>
        <v>Fast</v>
      </c>
      <c r="K1866" t="s">
        <v>2821</v>
      </c>
      <c r="L1866" s="3">
        <v>0</v>
      </c>
      <c r="M1866" t="str">
        <f>IF(Table1[[#This Row],[delayed]]=1,"Delayed","On Time")</f>
        <v>On Time</v>
      </c>
      <c r="N1866" t="str">
        <f>IF(AND(Table1[[#This Row],[delayed]]=1,Table1[[#This Row],[weather_condition]]="Storm"),"High Risk", IF(Table1[[#This Row],[delayed]]=1,"Medium Risk","Low Risk"))</f>
        <v>Low Risk</v>
      </c>
    </row>
    <row r="1867" spans="1:14" x14ac:dyDescent="0.35">
      <c r="A1867">
        <v>1866</v>
      </c>
      <c r="B1867" s="1">
        <v>45004.708333333336</v>
      </c>
      <c r="C1867" s="2">
        <v>4.9305555555555554E-2</v>
      </c>
      <c r="D1867" s="3">
        <v>1482</v>
      </c>
      <c r="E1867" s="3">
        <v>51</v>
      </c>
      <c r="F1867" s="2">
        <v>73.08541666666666</v>
      </c>
      <c r="G1867" t="s">
        <v>2816</v>
      </c>
      <c r="H1867" t="s">
        <v>2813</v>
      </c>
      <c r="I1867" s="2">
        <v>0.46111111111111108</v>
      </c>
      <c r="J1867" s="4" t="str">
        <f>IF(Table1[[#This Row],[processing_time_hours]]&gt;1.5,"Slow", "Fast")</f>
        <v>Fast</v>
      </c>
      <c r="K1867" t="s">
        <v>2814</v>
      </c>
      <c r="L1867" s="3">
        <v>1</v>
      </c>
      <c r="M1867" t="str">
        <f>IF(Table1[[#This Row],[delayed]]=1,"Delayed","On Time")</f>
        <v>Delayed</v>
      </c>
      <c r="N1867" t="str">
        <f>IF(AND(Table1[[#This Row],[delayed]]=1,Table1[[#This Row],[weather_condition]]="Storm"),"High Risk", IF(Table1[[#This Row],[delayed]]=1,"Medium Risk","Low Risk"))</f>
        <v>Medium Risk</v>
      </c>
    </row>
    <row r="1868" spans="1:14" x14ac:dyDescent="0.35">
      <c r="A1868">
        <v>1867</v>
      </c>
      <c r="B1868" s="1">
        <v>45004.75</v>
      </c>
      <c r="C1868" s="2">
        <v>6.7361111111111108E-2</v>
      </c>
      <c r="D1868" s="3">
        <v>1566</v>
      </c>
      <c r="E1868" s="3">
        <v>392</v>
      </c>
      <c r="F1868" s="2">
        <v>71.462499999999991</v>
      </c>
      <c r="G1868" t="s">
        <v>2819</v>
      </c>
      <c r="H1868" t="s">
        <v>2820</v>
      </c>
      <c r="I1868" s="2">
        <v>1.9604166666666665</v>
      </c>
      <c r="J1868" s="4" t="str">
        <f>IF(Table1[[#This Row],[processing_time_hours]]&gt;1.5,"Slow", "Fast")</f>
        <v>Slow</v>
      </c>
      <c r="K1868" t="s">
        <v>2814</v>
      </c>
      <c r="L1868" s="3">
        <v>1</v>
      </c>
      <c r="M1868" t="str">
        <f>IF(Table1[[#This Row],[delayed]]=1,"Delayed","On Time")</f>
        <v>Delayed</v>
      </c>
      <c r="N1868" t="str">
        <f>IF(AND(Table1[[#This Row],[delayed]]=1,Table1[[#This Row],[weather_condition]]="Storm"),"High Risk", IF(Table1[[#This Row],[delayed]]=1,"Medium Risk","Low Risk"))</f>
        <v>Medium Risk</v>
      </c>
    </row>
    <row r="1869" spans="1:14" x14ac:dyDescent="0.35">
      <c r="A1869">
        <v>1868</v>
      </c>
      <c r="B1869" s="1">
        <v>45004.791666666664</v>
      </c>
      <c r="C1869" s="2">
        <v>6.1805555555555558E-2</v>
      </c>
      <c r="D1869" s="3">
        <v>688</v>
      </c>
      <c r="E1869" s="3">
        <v>163</v>
      </c>
      <c r="F1869" s="2">
        <v>79.086111111111109</v>
      </c>
      <c r="G1869" t="s">
        <v>2816</v>
      </c>
      <c r="H1869" t="s">
        <v>2817</v>
      </c>
      <c r="I1869" s="2">
        <v>1.2513888888888889</v>
      </c>
      <c r="J1869" s="4" t="str">
        <f>IF(Table1[[#This Row],[processing_time_hours]]&gt;1.5,"Slow", "Fast")</f>
        <v>Fast</v>
      </c>
      <c r="K1869" t="s">
        <v>2814</v>
      </c>
      <c r="L1869" s="3">
        <v>1</v>
      </c>
      <c r="M1869" t="str">
        <f>IF(Table1[[#This Row],[delayed]]=1,"Delayed","On Time")</f>
        <v>Delayed</v>
      </c>
      <c r="N1869" t="str">
        <f>IF(AND(Table1[[#This Row],[delayed]]=1,Table1[[#This Row],[weather_condition]]="Storm"),"High Risk", IF(Table1[[#This Row],[delayed]]=1,"Medium Risk","Low Risk"))</f>
        <v>High Risk</v>
      </c>
    </row>
    <row r="1870" spans="1:14" x14ac:dyDescent="0.35">
      <c r="A1870">
        <v>1869</v>
      </c>
      <c r="B1870" s="1">
        <v>45004.833333333336</v>
      </c>
      <c r="C1870" s="2">
        <v>4.5138888888888888E-2</v>
      </c>
      <c r="D1870" s="3">
        <v>1718</v>
      </c>
      <c r="E1870" s="3">
        <v>254</v>
      </c>
      <c r="F1870" s="2">
        <v>60.668055555555554</v>
      </c>
      <c r="G1870" t="s">
        <v>2812</v>
      </c>
      <c r="H1870" t="s">
        <v>2813</v>
      </c>
      <c r="I1870" s="2">
        <v>1.8340277777777778</v>
      </c>
      <c r="J1870" s="4" t="str">
        <f>IF(Table1[[#This Row],[processing_time_hours]]&gt;1.5,"Slow", "Fast")</f>
        <v>Slow</v>
      </c>
      <c r="K1870" t="s">
        <v>2821</v>
      </c>
      <c r="L1870" s="3">
        <v>1</v>
      </c>
      <c r="M1870" t="str">
        <f>IF(Table1[[#This Row],[delayed]]=1,"Delayed","On Time")</f>
        <v>Delayed</v>
      </c>
      <c r="N1870" t="str">
        <f>IF(AND(Table1[[#This Row],[delayed]]=1,Table1[[#This Row],[weather_condition]]="Storm"),"High Risk", IF(Table1[[#This Row],[delayed]]=1,"Medium Risk","Low Risk"))</f>
        <v>Medium Risk</v>
      </c>
    </row>
    <row r="1871" spans="1:14" x14ac:dyDescent="0.35">
      <c r="A1871">
        <v>1870</v>
      </c>
      <c r="B1871" s="1">
        <v>45004.875</v>
      </c>
      <c r="C1871" s="2">
        <v>4.3750000000000004E-2</v>
      </c>
      <c r="D1871" s="3">
        <v>4670</v>
      </c>
      <c r="E1871" s="3">
        <v>299</v>
      </c>
      <c r="F1871" s="2">
        <v>76.833333333333329</v>
      </c>
      <c r="G1871" t="s">
        <v>2815</v>
      </c>
      <c r="H1871" t="s">
        <v>2817</v>
      </c>
      <c r="I1871" s="2">
        <v>2.8347222222222221</v>
      </c>
      <c r="J1871" s="4" t="str">
        <f>IF(Table1[[#This Row],[processing_time_hours]]&gt;1.5,"Slow", "Fast")</f>
        <v>Slow</v>
      </c>
      <c r="K1871" t="s">
        <v>2821</v>
      </c>
      <c r="L1871" s="3">
        <v>1</v>
      </c>
      <c r="M1871" t="str">
        <f>IF(Table1[[#This Row],[delayed]]=1,"Delayed","On Time")</f>
        <v>Delayed</v>
      </c>
      <c r="N1871" t="str">
        <f>IF(AND(Table1[[#This Row],[delayed]]=1,Table1[[#This Row],[weather_condition]]="Storm"),"High Risk", IF(Table1[[#This Row],[delayed]]=1,"Medium Risk","Low Risk"))</f>
        <v>High Risk</v>
      </c>
    </row>
    <row r="1872" spans="1:14" x14ac:dyDescent="0.35">
      <c r="A1872">
        <v>1871</v>
      </c>
      <c r="B1872" s="1">
        <v>45004.916666666664</v>
      </c>
      <c r="C1872" s="2">
        <v>4.6527777777777779E-2</v>
      </c>
      <c r="D1872" s="3">
        <v>4825</v>
      </c>
      <c r="E1872" s="3">
        <v>258</v>
      </c>
      <c r="F1872" s="2">
        <v>52.297222222222224</v>
      </c>
      <c r="G1872" t="s">
        <v>2815</v>
      </c>
      <c r="H1872" t="s">
        <v>2820</v>
      </c>
      <c r="I1872" s="2">
        <v>1.3347222222222221</v>
      </c>
      <c r="J1872" s="4" t="str">
        <f>IF(Table1[[#This Row],[processing_time_hours]]&gt;1.5,"Slow", "Fast")</f>
        <v>Fast</v>
      </c>
      <c r="K1872" t="s">
        <v>2821</v>
      </c>
      <c r="L1872" s="3">
        <v>0</v>
      </c>
      <c r="M1872" t="str">
        <f>IF(Table1[[#This Row],[delayed]]=1,"Delayed","On Time")</f>
        <v>On Time</v>
      </c>
      <c r="N1872" t="str">
        <f>IF(AND(Table1[[#This Row],[delayed]]=1,Table1[[#This Row],[weather_condition]]="Storm"),"High Risk", IF(Table1[[#This Row],[delayed]]=1,"Medium Risk","Low Risk"))</f>
        <v>Low Risk</v>
      </c>
    </row>
    <row r="1873" spans="1:14" x14ac:dyDescent="0.35">
      <c r="A1873">
        <v>1872</v>
      </c>
      <c r="B1873" s="1">
        <v>45004.958333333336</v>
      </c>
      <c r="C1873" s="2">
        <v>6.7361111111111108E-2</v>
      </c>
      <c r="D1873" s="3">
        <v>827</v>
      </c>
      <c r="E1873" s="3">
        <v>119</v>
      </c>
      <c r="F1873" s="2">
        <v>48.585416666666667</v>
      </c>
      <c r="G1873" t="s">
        <v>2815</v>
      </c>
      <c r="H1873" t="s">
        <v>2820</v>
      </c>
      <c r="I1873" s="2">
        <v>2.754861111111111</v>
      </c>
      <c r="J1873" s="4" t="str">
        <f>IF(Table1[[#This Row],[processing_time_hours]]&gt;1.5,"Slow", "Fast")</f>
        <v>Slow</v>
      </c>
      <c r="K1873" t="s">
        <v>2818</v>
      </c>
      <c r="L1873" s="3">
        <v>0</v>
      </c>
      <c r="M1873" t="str">
        <f>IF(Table1[[#This Row],[delayed]]=1,"Delayed","On Time")</f>
        <v>On Time</v>
      </c>
      <c r="N1873" t="str">
        <f>IF(AND(Table1[[#This Row],[delayed]]=1,Table1[[#This Row],[weather_condition]]="Storm"),"High Risk", IF(Table1[[#This Row],[delayed]]=1,"Medium Risk","Low Risk"))</f>
        <v>Low Risk</v>
      </c>
    </row>
    <row r="1874" spans="1:14" x14ac:dyDescent="0.35">
      <c r="A1874">
        <v>1873</v>
      </c>
      <c r="B1874" s="1">
        <v>45005</v>
      </c>
      <c r="C1874" s="2">
        <v>5.3472222222222227E-2</v>
      </c>
      <c r="D1874" s="3">
        <v>1386</v>
      </c>
      <c r="E1874" s="3">
        <v>88</v>
      </c>
      <c r="F1874" s="2">
        <v>29.503472222222225</v>
      </c>
      <c r="G1874" t="s">
        <v>2816</v>
      </c>
      <c r="H1874" t="s">
        <v>2822</v>
      </c>
      <c r="I1874" s="2">
        <v>1.1680555555555556</v>
      </c>
      <c r="J1874" s="4" t="str">
        <f>IF(Table1[[#This Row],[processing_time_hours]]&gt;1.5,"Slow", "Fast")</f>
        <v>Fast</v>
      </c>
      <c r="K1874" t="s">
        <v>2821</v>
      </c>
      <c r="L1874" s="3">
        <v>1</v>
      </c>
      <c r="M1874" t="str">
        <f>IF(Table1[[#This Row],[delayed]]=1,"Delayed","On Time")</f>
        <v>Delayed</v>
      </c>
      <c r="N1874" t="str">
        <f>IF(AND(Table1[[#This Row],[delayed]]=1,Table1[[#This Row],[weather_condition]]="Storm"),"High Risk", IF(Table1[[#This Row],[delayed]]=1,"Medium Risk","Low Risk"))</f>
        <v>Medium Risk</v>
      </c>
    </row>
    <row r="1875" spans="1:14" x14ac:dyDescent="0.35">
      <c r="A1875">
        <v>1874</v>
      </c>
      <c r="B1875" s="1">
        <v>45005.041666666664</v>
      </c>
      <c r="C1875" s="2">
        <v>6.5972222222222224E-2</v>
      </c>
      <c r="D1875" s="3">
        <v>3582</v>
      </c>
      <c r="E1875" s="3">
        <v>205</v>
      </c>
      <c r="F1875" s="2">
        <v>36.963194444444447</v>
      </c>
      <c r="G1875" t="s">
        <v>2815</v>
      </c>
      <c r="H1875" t="s">
        <v>2822</v>
      </c>
      <c r="I1875" s="2">
        <v>1.7562499999999999</v>
      </c>
      <c r="J1875" s="4" t="str">
        <f>IF(Table1[[#This Row],[processing_time_hours]]&gt;1.5,"Slow", "Fast")</f>
        <v>Slow</v>
      </c>
      <c r="K1875" t="s">
        <v>2821</v>
      </c>
      <c r="L1875" s="3">
        <v>0</v>
      </c>
      <c r="M1875" t="str">
        <f>IF(Table1[[#This Row],[delayed]]=1,"Delayed","On Time")</f>
        <v>On Time</v>
      </c>
      <c r="N1875" t="str">
        <f>IF(AND(Table1[[#This Row],[delayed]]=1,Table1[[#This Row],[weather_condition]]="Storm"),"High Risk", IF(Table1[[#This Row],[delayed]]=1,"Medium Risk","Low Risk"))</f>
        <v>Low Risk</v>
      </c>
    </row>
    <row r="1876" spans="1:14" x14ac:dyDescent="0.35">
      <c r="A1876">
        <v>1875</v>
      </c>
      <c r="B1876" s="1">
        <v>45005.083333333336</v>
      </c>
      <c r="C1876" s="2">
        <v>6.5277777777777782E-2</v>
      </c>
      <c r="D1876" s="3">
        <v>3244</v>
      </c>
      <c r="E1876" s="3">
        <v>285</v>
      </c>
      <c r="F1876" s="2">
        <v>42.297222222222224</v>
      </c>
      <c r="G1876" t="s">
        <v>2819</v>
      </c>
      <c r="H1876" t="s">
        <v>2822</v>
      </c>
      <c r="I1876" s="2">
        <v>0.79513888888888884</v>
      </c>
      <c r="J1876" s="4" t="str">
        <f>IF(Table1[[#This Row],[processing_time_hours]]&gt;1.5,"Slow", "Fast")</f>
        <v>Fast</v>
      </c>
      <c r="K1876" t="s">
        <v>2821</v>
      </c>
      <c r="L1876" s="3">
        <v>0</v>
      </c>
      <c r="M1876" t="str">
        <f>IF(Table1[[#This Row],[delayed]]=1,"Delayed","On Time")</f>
        <v>On Time</v>
      </c>
      <c r="N1876" t="str">
        <f>IF(AND(Table1[[#This Row],[delayed]]=1,Table1[[#This Row],[weather_condition]]="Storm"),"High Risk", IF(Table1[[#This Row],[delayed]]=1,"Medium Risk","Low Risk"))</f>
        <v>Low Risk</v>
      </c>
    </row>
    <row r="1877" spans="1:14" x14ac:dyDescent="0.35">
      <c r="A1877">
        <v>1876</v>
      </c>
      <c r="B1877" s="1">
        <v>45005.125</v>
      </c>
      <c r="C1877" s="2">
        <v>6.8749999999999992E-2</v>
      </c>
      <c r="D1877" s="3">
        <v>1506</v>
      </c>
      <c r="E1877" s="3">
        <v>350</v>
      </c>
      <c r="F1877" s="2">
        <v>74.126388888888883</v>
      </c>
      <c r="G1877" t="s">
        <v>2815</v>
      </c>
      <c r="H1877" t="s">
        <v>2820</v>
      </c>
      <c r="I1877" s="2">
        <v>1.7548611111111112</v>
      </c>
      <c r="J1877" s="4" t="str">
        <f>IF(Table1[[#This Row],[processing_time_hours]]&gt;1.5,"Slow", "Fast")</f>
        <v>Slow</v>
      </c>
      <c r="K1877" t="s">
        <v>2814</v>
      </c>
      <c r="L1877" s="3">
        <v>0</v>
      </c>
      <c r="M1877" t="str">
        <f>IF(Table1[[#This Row],[delayed]]=1,"Delayed","On Time")</f>
        <v>On Time</v>
      </c>
      <c r="N1877" t="str">
        <f>IF(AND(Table1[[#This Row],[delayed]]=1,Table1[[#This Row],[weather_condition]]="Storm"),"High Risk", IF(Table1[[#This Row],[delayed]]=1,"Medium Risk","Low Risk"))</f>
        <v>Low Risk</v>
      </c>
    </row>
    <row r="1878" spans="1:14" x14ac:dyDescent="0.35">
      <c r="A1878">
        <v>1877</v>
      </c>
      <c r="B1878" s="1">
        <v>45005.166666666664</v>
      </c>
      <c r="C1878" s="2">
        <v>5.6944444444444443E-2</v>
      </c>
      <c r="D1878" s="3">
        <v>1675</v>
      </c>
      <c r="E1878" s="3">
        <v>107</v>
      </c>
      <c r="F1878" s="2">
        <v>81.504861111111111</v>
      </c>
      <c r="G1878" t="s">
        <v>2812</v>
      </c>
      <c r="H1878" t="s">
        <v>2817</v>
      </c>
      <c r="I1878" s="2">
        <v>1.2520833333333334</v>
      </c>
      <c r="J1878" s="4" t="str">
        <f>IF(Table1[[#This Row],[processing_time_hours]]&gt;1.5,"Slow", "Fast")</f>
        <v>Fast</v>
      </c>
      <c r="K1878" t="s">
        <v>2821</v>
      </c>
      <c r="L1878" s="3">
        <v>0</v>
      </c>
      <c r="M1878" t="str">
        <f>IF(Table1[[#This Row],[delayed]]=1,"Delayed","On Time")</f>
        <v>On Time</v>
      </c>
      <c r="N1878" t="str">
        <f>IF(AND(Table1[[#This Row],[delayed]]=1,Table1[[#This Row],[weather_condition]]="Storm"),"High Risk", IF(Table1[[#This Row],[delayed]]=1,"Medium Risk","Low Risk"))</f>
        <v>Low Risk</v>
      </c>
    </row>
    <row r="1879" spans="1:14" x14ac:dyDescent="0.35">
      <c r="A1879">
        <v>1878</v>
      </c>
      <c r="B1879" s="1">
        <v>45005.208333333336</v>
      </c>
      <c r="C1879" s="2">
        <v>4.9305555555555554E-2</v>
      </c>
      <c r="D1879" s="3">
        <v>4665</v>
      </c>
      <c r="E1879" s="3">
        <v>451</v>
      </c>
      <c r="F1879" s="2">
        <v>36.797222222222224</v>
      </c>
      <c r="G1879" t="s">
        <v>2815</v>
      </c>
      <c r="H1879" t="s">
        <v>2820</v>
      </c>
      <c r="I1879" s="2">
        <v>2.5013888888888887</v>
      </c>
      <c r="J1879" s="4" t="str">
        <f>IF(Table1[[#This Row],[processing_time_hours]]&gt;1.5,"Slow", "Fast")</f>
        <v>Slow</v>
      </c>
      <c r="K1879" t="s">
        <v>2814</v>
      </c>
      <c r="L1879" s="3">
        <v>1</v>
      </c>
      <c r="M1879" t="str">
        <f>IF(Table1[[#This Row],[delayed]]=1,"Delayed","On Time")</f>
        <v>Delayed</v>
      </c>
      <c r="N1879" t="str">
        <f>IF(AND(Table1[[#This Row],[delayed]]=1,Table1[[#This Row],[weather_condition]]="Storm"),"High Risk", IF(Table1[[#This Row],[delayed]]=1,"Medium Risk","Low Risk"))</f>
        <v>Medium Risk</v>
      </c>
    </row>
    <row r="1880" spans="1:14" x14ac:dyDescent="0.35">
      <c r="A1880">
        <v>1879</v>
      </c>
      <c r="B1880" s="1">
        <v>45005.25</v>
      </c>
      <c r="C1880" s="2">
        <v>5.6250000000000001E-2</v>
      </c>
      <c r="D1880" s="3">
        <v>1573</v>
      </c>
      <c r="E1880" s="3">
        <v>91</v>
      </c>
      <c r="F1880" s="2">
        <v>5.5854166666666671</v>
      </c>
      <c r="G1880" t="s">
        <v>2816</v>
      </c>
      <c r="H1880" t="s">
        <v>2822</v>
      </c>
      <c r="I1880" s="2">
        <v>0.21111111111111111</v>
      </c>
      <c r="J1880" s="4" t="str">
        <f>IF(Table1[[#This Row],[processing_time_hours]]&gt;1.5,"Slow", "Fast")</f>
        <v>Fast</v>
      </c>
      <c r="K1880" t="s">
        <v>2821</v>
      </c>
      <c r="L1880" s="3">
        <v>0</v>
      </c>
      <c r="M1880" t="str">
        <f>IF(Table1[[#This Row],[delayed]]=1,"Delayed","On Time")</f>
        <v>On Time</v>
      </c>
      <c r="N1880" t="str">
        <f>IF(AND(Table1[[#This Row],[delayed]]=1,Table1[[#This Row],[weather_condition]]="Storm"),"High Risk", IF(Table1[[#This Row],[delayed]]=1,"Medium Risk","Low Risk"))</f>
        <v>Low Risk</v>
      </c>
    </row>
    <row r="1881" spans="1:14" x14ac:dyDescent="0.35">
      <c r="A1881">
        <v>1880</v>
      </c>
      <c r="B1881" s="1">
        <v>45005.291666666664</v>
      </c>
      <c r="C1881" s="2">
        <v>6.6666666666666666E-2</v>
      </c>
      <c r="D1881" s="3">
        <v>3672</v>
      </c>
      <c r="E1881" s="3">
        <v>267</v>
      </c>
      <c r="F1881" s="2">
        <v>12.21111111111111</v>
      </c>
      <c r="G1881" t="s">
        <v>2819</v>
      </c>
      <c r="H1881" t="s">
        <v>2813</v>
      </c>
      <c r="I1881" s="2">
        <v>1.3395833333333333</v>
      </c>
      <c r="J1881" s="4" t="str">
        <f>IF(Table1[[#This Row],[processing_time_hours]]&gt;1.5,"Slow", "Fast")</f>
        <v>Fast</v>
      </c>
      <c r="K1881" t="s">
        <v>2818</v>
      </c>
      <c r="L1881" s="3">
        <v>0</v>
      </c>
      <c r="M1881" t="str">
        <f>IF(Table1[[#This Row],[delayed]]=1,"Delayed","On Time")</f>
        <v>On Time</v>
      </c>
      <c r="N1881" t="str">
        <f>IF(AND(Table1[[#This Row],[delayed]]=1,Table1[[#This Row],[weather_condition]]="Storm"),"High Risk", IF(Table1[[#This Row],[delayed]]=1,"Medium Risk","Low Risk"))</f>
        <v>Low Risk</v>
      </c>
    </row>
    <row r="1882" spans="1:14" x14ac:dyDescent="0.35">
      <c r="A1882">
        <v>1881</v>
      </c>
      <c r="B1882" s="1">
        <v>45005.333333333336</v>
      </c>
      <c r="C1882" s="2">
        <v>6.805555555555555E-2</v>
      </c>
      <c r="D1882" s="3">
        <v>653</v>
      </c>
      <c r="E1882" s="3">
        <v>52</v>
      </c>
      <c r="F1882" s="2">
        <v>80.214583333333337</v>
      </c>
      <c r="G1882" t="s">
        <v>2816</v>
      </c>
      <c r="H1882" t="s">
        <v>2820</v>
      </c>
      <c r="I1882" s="2">
        <v>1.0881944444444445</v>
      </c>
      <c r="J1882" s="4" t="str">
        <f>IF(Table1[[#This Row],[processing_time_hours]]&gt;1.5,"Slow", "Fast")</f>
        <v>Fast</v>
      </c>
      <c r="K1882" t="s">
        <v>2821</v>
      </c>
      <c r="L1882" s="3">
        <v>0</v>
      </c>
      <c r="M1882" t="str">
        <f>IF(Table1[[#This Row],[delayed]]=1,"Delayed","On Time")</f>
        <v>On Time</v>
      </c>
      <c r="N1882" t="str">
        <f>IF(AND(Table1[[#This Row],[delayed]]=1,Table1[[#This Row],[weather_condition]]="Storm"),"High Risk", IF(Table1[[#This Row],[delayed]]=1,"Medium Risk","Low Risk"))</f>
        <v>Low Risk</v>
      </c>
    </row>
    <row r="1883" spans="1:14" x14ac:dyDescent="0.35">
      <c r="A1883">
        <v>1882</v>
      </c>
      <c r="B1883" s="1">
        <v>45005.375</v>
      </c>
      <c r="C1883" s="2">
        <v>5.2777777777777778E-2</v>
      </c>
      <c r="D1883" s="3">
        <v>3905</v>
      </c>
      <c r="E1883" s="3">
        <v>237</v>
      </c>
      <c r="F1883" s="2">
        <v>22.920138888888889</v>
      </c>
      <c r="G1883" t="s">
        <v>2816</v>
      </c>
      <c r="H1883" t="s">
        <v>2822</v>
      </c>
      <c r="I1883" s="2">
        <v>2.1284722222222223</v>
      </c>
      <c r="J1883" s="4" t="str">
        <f>IF(Table1[[#This Row],[processing_time_hours]]&gt;1.5,"Slow", "Fast")</f>
        <v>Slow</v>
      </c>
      <c r="K1883" t="s">
        <v>2814</v>
      </c>
      <c r="L1883" s="3">
        <v>0</v>
      </c>
      <c r="M1883" t="str">
        <f>IF(Table1[[#This Row],[delayed]]=1,"Delayed","On Time")</f>
        <v>On Time</v>
      </c>
      <c r="N1883" t="str">
        <f>IF(AND(Table1[[#This Row],[delayed]]=1,Table1[[#This Row],[weather_condition]]="Storm"),"High Risk", IF(Table1[[#This Row],[delayed]]=1,"Medium Risk","Low Risk"))</f>
        <v>Low Risk</v>
      </c>
    </row>
    <row r="1884" spans="1:14" x14ac:dyDescent="0.35">
      <c r="A1884">
        <v>1883</v>
      </c>
      <c r="B1884" s="1">
        <v>45005.416666666664</v>
      </c>
      <c r="C1884" s="2">
        <v>5.486111111111111E-2</v>
      </c>
      <c r="D1884" s="3">
        <v>1184</v>
      </c>
      <c r="E1884" s="3">
        <v>107</v>
      </c>
      <c r="F1884" s="2">
        <v>1.7916666666666667</v>
      </c>
      <c r="G1884" t="s">
        <v>2815</v>
      </c>
      <c r="H1884" t="s">
        <v>2822</v>
      </c>
      <c r="I1884" s="2">
        <v>0.37708333333333338</v>
      </c>
      <c r="J1884" s="4" t="str">
        <f>IF(Table1[[#This Row],[processing_time_hours]]&gt;1.5,"Slow", "Fast")</f>
        <v>Fast</v>
      </c>
      <c r="K1884" t="s">
        <v>2818</v>
      </c>
      <c r="L1884" s="3">
        <v>0</v>
      </c>
      <c r="M1884" t="str">
        <f>IF(Table1[[#This Row],[delayed]]=1,"Delayed","On Time")</f>
        <v>On Time</v>
      </c>
      <c r="N1884" t="str">
        <f>IF(AND(Table1[[#This Row],[delayed]]=1,Table1[[#This Row],[weather_condition]]="Storm"),"High Risk", IF(Table1[[#This Row],[delayed]]=1,"Medium Risk","Low Risk"))</f>
        <v>Low Risk</v>
      </c>
    </row>
    <row r="1885" spans="1:14" x14ac:dyDescent="0.35">
      <c r="A1885">
        <v>1884</v>
      </c>
      <c r="B1885" s="1">
        <v>45005.458333333336</v>
      </c>
      <c r="C1885" s="2">
        <v>6.3888888888888898E-2</v>
      </c>
      <c r="D1885" s="3">
        <v>2635</v>
      </c>
      <c r="E1885" s="3">
        <v>308</v>
      </c>
      <c r="F1885" s="2">
        <v>32.834027777777777</v>
      </c>
      <c r="G1885" t="s">
        <v>2815</v>
      </c>
      <c r="H1885" t="s">
        <v>2813</v>
      </c>
      <c r="I1885" s="2">
        <v>0.66666666666666663</v>
      </c>
      <c r="J1885" s="4" t="str">
        <f>IF(Table1[[#This Row],[processing_time_hours]]&gt;1.5,"Slow", "Fast")</f>
        <v>Fast</v>
      </c>
      <c r="K1885" t="s">
        <v>2814</v>
      </c>
      <c r="L1885" s="3">
        <v>1</v>
      </c>
      <c r="M1885" t="str">
        <f>IF(Table1[[#This Row],[delayed]]=1,"Delayed","On Time")</f>
        <v>Delayed</v>
      </c>
      <c r="N1885" t="str">
        <f>IF(AND(Table1[[#This Row],[delayed]]=1,Table1[[#This Row],[weather_condition]]="Storm"),"High Risk", IF(Table1[[#This Row],[delayed]]=1,"Medium Risk","Low Risk"))</f>
        <v>Medium Risk</v>
      </c>
    </row>
    <row r="1886" spans="1:14" x14ac:dyDescent="0.35">
      <c r="A1886">
        <v>1885</v>
      </c>
      <c r="B1886" s="1">
        <v>45005.5</v>
      </c>
      <c r="C1886" s="2">
        <v>5.2777777777777778E-2</v>
      </c>
      <c r="D1886" s="3">
        <v>4938</v>
      </c>
      <c r="E1886" s="3">
        <v>19</v>
      </c>
      <c r="F1886" s="2">
        <v>1.625</v>
      </c>
      <c r="G1886" t="s">
        <v>2815</v>
      </c>
      <c r="H1886" t="s">
        <v>2817</v>
      </c>
      <c r="I1886" s="2">
        <v>1.3784722222222223</v>
      </c>
      <c r="J1886" s="4" t="str">
        <f>IF(Table1[[#This Row],[processing_time_hours]]&gt;1.5,"Slow", "Fast")</f>
        <v>Fast</v>
      </c>
      <c r="K1886" t="s">
        <v>2821</v>
      </c>
      <c r="L1886" s="3">
        <v>1</v>
      </c>
      <c r="M1886" t="str">
        <f>IF(Table1[[#This Row],[delayed]]=1,"Delayed","On Time")</f>
        <v>Delayed</v>
      </c>
      <c r="N1886" t="str">
        <f>IF(AND(Table1[[#This Row],[delayed]]=1,Table1[[#This Row],[weather_condition]]="Storm"),"High Risk", IF(Table1[[#This Row],[delayed]]=1,"Medium Risk","Low Risk"))</f>
        <v>High Risk</v>
      </c>
    </row>
    <row r="1887" spans="1:14" x14ac:dyDescent="0.35">
      <c r="A1887">
        <v>1886</v>
      </c>
      <c r="B1887" s="1">
        <v>45005.541666666664</v>
      </c>
      <c r="C1887" s="2">
        <v>4.8611111111111112E-3</v>
      </c>
      <c r="D1887" s="3">
        <v>1542</v>
      </c>
      <c r="E1887" s="3">
        <v>338</v>
      </c>
      <c r="F1887" s="2">
        <v>19.879861111111111</v>
      </c>
      <c r="G1887" t="s">
        <v>2816</v>
      </c>
      <c r="H1887" t="s">
        <v>2820</v>
      </c>
      <c r="I1887" s="2">
        <v>2.504861111111111</v>
      </c>
      <c r="J1887" s="4" t="str">
        <f>IF(Table1[[#This Row],[processing_time_hours]]&gt;1.5,"Slow", "Fast")</f>
        <v>Slow</v>
      </c>
      <c r="K1887" t="s">
        <v>2821</v>
      </c>
      <c r="L1887" s="3">
        <v>0</v>
      </c>
      <c r="M1887" t="str">
        <f>IF(Table1[[#This Row],[delayed]]=1,"Delayed","On Time")</f>
        <v>On Time</v>
      </c>
      <c r="N1887" t="str">
        <f>IF(AND(Table1[[#This Row],[delayed]]=1,Table1[[#This Row],[weather_condition]]="Storm"),"High Risk", IF(Table1[[#This Row],[delayed]]=1,"Medium Risk","Low Risk"))</f>
        <v>Low Risk</v>
      </c>
    </row>
    <row r="1888" spans="1:14" x14ac:dyDescent="0.35">
      <c r="A1888">
        <v>1887</v>
      </c>
      <c r="B1888" s="1">
        <v>45005.583333333336</v>
      </c>
      <c r="C1888" s="2">
        <v>4.9305555555555554E-2</v>
      </c>
      <c r="D1888" s="3">
        <v>2135</v>
      </c>
      <c r="E1888" s="3">
        <v>23</v>
      </c>
      <c r="F1888" s="2">
        <v>81.418750000000003</v>
      </c>
      <c r="G1888" t="s">
        <v>2819</v>
      </c>
      <c r="H1888" t="s">
        <v>2822</v>
      </c>
      <c r="I1888" s="2">
        <v>2.9215277777777775</v>
      </c>
      <c r="J1888" s="4" t="str">
        <f>IF(Table1[[#This Row],[processing_time_hours]]&gt;1.5,"Slow", "Fast")</f>
        <v>Slow</v>
      </c>
      <c r="K1888" t="s">
        <v>2814</v>
      </c>
      <c r="L1888" s="3">
        <v>0</v>
      </c>
      <c r="M1888" t="str">
        <f>IF(Table1[[#This Row],[delayed]]=1,"Delayed","On Time")</f>
        <v>On Time</v>
      </c>
      <c r="N1888" t="str">
        <f>IF(AND(Table1[[#This Row],[delayed]]=1,Table1[[#This Row],[weather_condition]]="Storm"),"High Risk", IF(Table1[[#This Row],[delayed]]=1,"Medium Risk","Low Risk"))</f>
        <v>Low Risk</v>
      </c>
    </row>
    <row r="1889" spans="1:14" x14ac:dyDescent="0.35">
      <c r="A1889">
        <v>1888</v>
      </c>
      <c r="B1889" s="1">
        <v>45005.625</v>
      </c>
      <c r="C1889" s="2">
        <v>5.486111111111111E-2</v>
      </c>
      <c r="D1889" s="3">
        <v>2181</v>
      </c>
      <c r="E1889" s="3">
        <v>364</v>
      </c>
      <c r="F1889" s="2">
        <v>1.6680555555555554</v>
      </c>
      <c r="G1889" t="s">
        <v>2816</v>
      </c>
      <c r="H1889" t="s">
        <v>2817</v>
      </c>
      <c r="I1889" s="2">
        <v>2.0854166666666667</v>
      </c>
      <c r="J1889" s="4" t="str">
        <f>IF(Table1[[#This Row],[processing_time_hours]]&gt;1.5,"Slow", "Fast")</f>
        <v>Slow</v>
      </c>
      <c r="K1889" t="s">
        <v>2821</v>
      </c>
      <c r="L1889" s="3">
        <v>0</v>
      </c>
      <c r="M1889" t="str">
        <f>IF(Table1[[#This Row],[delayed]]=1,"Delayed","On Time")</f>
        <v>On Time</v>
      </c>
      <c r="N1889" t="str">
        <f>IF(AND(Table1[[#This Row],[delayed]]=1,Table1[[#This Row],[weather_condition]]="Storm"),"High Risk", IF(Table1[[#This Row],[delayed]]=1,"Medium Risk","Low Risk"))</f>
        <v>Low Risk</v>
      </c>
    </row>
    <row r="1890" spans="1:14" x14ac:dyDescent="0.35">
      <c r="A1890">
        <v>1889</v>
      </c>
      <c r="B1890" s="1">
        <v>45005.666666666664</v>
      </c>
      <c r="C1890" s="2">
        <v>4.8611111111111112E-3</v>
      </c>
      <c r="D1890" s="3">
        <v>2459</v>
      </c>
      <c r="E1890" s="3">
        <v>351</v>
      </c>
      <c r="F1890" s="2">
        <v>31.547916666666666</v>
      </c>
      <c r="G1890" t="s">
        <v>2812</v>
      </c>
      <c r="H1890" t="s">
        <v>2822</v>
      </c>
      <c r="I1890" s="2">
        <v>2.4583333333333335</v>
      </c>
      <c r="J1890" s="4" t="str">
        <f>IF(Table1[[#This Row],[processing_time_hours]]&gt;1.5,"Slow", "Fast")</f>
        <v>Slow</v>
      </c>
      <c r="K1890" t="s">
        <v>2818</v>
      </c>
      <c r="L1890" s="3">
        <v>0</v>
      </c>
      <c r="M1890" t="str">
        <f>IF(Table1[[#This Row],[delayed]]=1,"Delayed","On Time")</f>
        <v>On Time</v>
      </c>
      <c r="N1890" t="str">
        <f>IF(AND(Table1[[#This Row],[delayed]]=1,Table1[[#This Row],[weather_condition]]="Storm"),"High Risk", IF(Table1[[#This Row],[delayed]]=1,"Medium Risk","Low Risk"))</f>
        <v>Low Risk</v>
      </c>
    </row>
    <row r="1891" spans="1:14" x14ac:dyDescent="0.35">
      <c r="A1891">
        <v>1890</v>
      </c>
      <c r="B1891" s="1">
        <v>45005.708333333336</v>
      </c>
      <c r="C1891" s="2">
        <v>6.3194444444444442E-2</v>
      </c>
      <c r="D1891" s="3">
        <v>3497</v>
      </c>
      <c r="E1891" s="3">
        <v>71</v>
      </c>
      <c r="F1891" s="2">
        <v>16.631249999999998</v>
      </c>
      <c r="G1891" t="s">
        <v>2812</v>
      </c>
      <c r="H1891" t="s">
        <v>2817</v>
      </c>
      <c r="I1891" s="2">
        <v>2.1680555555555556</v>
      </c>
      <c r="J1891" s="4" t="str">
        <f>IF(Table1[[#This Row],[processing_time_hours]]&gt;1.5,"Slow", "Fast")</f>
        <v>Slow</v>
      </c>
      <c r="K1891" t="s">
        <v>2818</v>
      </c>
      <c r="L1891" s="3">
        <v>1</v>
      </c>
      <c r="M1891" t="str">
        <f>IF(Table1[[#This Row],[delayed]]=1,"Delayed","On Time")</f>
        <v>Delayed</v>
      </c>
      <c r="N1891" t="str">
        <f>IF(AND(Table1[[#This Row],[delayed]]=1,Table1[[#This Row],[weather_condition]]="Storm"),"High Risk", IF(Table1[[#This Row],[delayed]]=1,"Medium Risk","Low Risk"))</f>
        <v>High Risk</v>
      </c>
    </row>
    <row r="1892" spans="1:14" x14ac:dyDescent="0.35">
      <c r="A1892">
        <v>1891</v>
      </c>
      <c r="B1892" s="1">
        <v>45005.75</v>
      </c>
      <c r="C1892" s="2">
        <v>6.0416666666666667E-2</v>
      </c>
      <c r="D1892" s="3">
        <v>2214</v>
      </c>
      <c r="E1892" s="3">
        <v>22</v>
      </c>
      <c r="F1892" s="2">
        <v>64.21319444444444</v>
      </c>
      <c r="G1892" t="s">
        <v>2815</v>
      </c>
      <c r="H1892" t="s">
        <v>2817</v>
      </c>
      <c r="I1892" s="2">
        <v>0.29722222222222222</v>
      </c>
      <c r="J1892" s="4" t="str">
        <f>IF(Table1[[#This Row],[processing_time_hours]]&gt;1.5,"Slow", "Fast")</f>
        <v>Fast</v>
      </c>
      <c r="K1892" t="s">
        <v>2814</v>
      </c>
      <c r="L1892" s="3">
        <v>0</v>
      </c>
      <c r="M1892" t="str">
        <f>IF(Table1[[#This Row],[delayed]]=1,"Delayed","On Time")</f>
        <v>On Time</v>
      </c>
      <c r="N1892" t="str">
        <f>IF(AND(Table1[[#This Row],[delayed]]=1,Table1[[#This Row],[weather_condition]]="Storm"),"High Risk", IF(Table1[[#This Row],[delayed]]=1,"Medium Risk","Low Risk"))</f>
        <v>Low Risk</v>
      </c>
    </row>
    <row r="1893" spans="1:14" x14ac:dyDescent="0.35">
      <c r="A1893">
        <v>1892</v>
      </c>
      <c r="B1893" s="1">
        <v>45005.791666666664</v>
      </c>
      <c r="C1893" s="2">
        <v>6.7361111111111108E-2</v>
      </c>
      <c r="D1893" s="3">
        <v>4826</v>
      </c>
      <c r="E1893" s="3">
        <v>354</v>
      </c>
      <c r="F1893" s="2">
        <v>81.627083333333331</v>
      </c>
      <c r="G1893" t="s">
        <v>2819</v>
      </c>
      <c r="H1893" t="s">
        <v>2813</v>
      </c>
      <c r="I1893" s="2">
        <v>2.2097222222222221</v>
      </c>
      <c r="J1893" s="4" t="str">
        <f>IF(Table1[[#This Row],[processing_time_hours]]&gt;1.5,"Slow", "Fast")</f>
        <v>Slow</v>
      </c>
      <c r="K1893" t="s">
        <v>2814</v>
      </c>
      <c r="L1893" s="3">
        <v>1</v>
      </c>
      <c r="M1893" t="str">
        <f>IF(Table1[[#This Row],[delayed]]=1,"Delayed","On Time")</f>
        <v>Delayed</v>
      </c>
      <c r="N1893" t="str">
        <f>IF(AND(Table1[[#This Row],[delayed]]=1,Table1[[#This Row],[weather_condition]]="Storm"),"High Risk", IF(Table1[[#This Row],[delayed]]=1,"Medium Risk","Low Risk"))</f>
        <v>Medium Risk</v>
      </c>
    </row>
    <row r="1894" spans="1:14" x14ac:dyDescent="0.35">
      <c r="A1894">
        <v>1893</v>
      </c>
      <c r="B1894" s="1">
        <v>45005.833333333336</v>
      </c>
      <c r="C1894" s="2">
        <v>6.2499999999999995E-3</v>
      </c>
      <c r="D1894" s="3">
        <v>997</v>
      </c>
      <c r="E1894" s="3">
        <v>370</v>
      </c>
      <c r="F1894" s="2">
        <v>29.253472222222225</v>
      </c>
      <c r="G1894" t="s">
        <v>2819</v>
      </c>
      <c r="H1894" t="s">
        <v>2817</v>
      </c>
      <c r="I1894" s="2">
        <v>2.2951388888888888</v>
      </c>
      <c r="J1894" s="4" t="str">
        <f>IF(Table1[[#This Row],[processing_time_hours]]&gt;1.5,"Slow", "Fast")</f>
        <v>Slow</v>
      </c>
      <c r="K1894" t="s">
        <v>2818</v>
      </c>
      <c r="L1894" s="3">
        <v>0</v>
      </c>
      <c r="M1894" t="str">
        <f>IF(Table1[[#This Row],[delayed]]=1,"Delayed","On Time")</f>
        <v>On Time</v>
      </c>
      <c r="N1894" t="str">
        <f>IF(AND(Table1[[#This Row],[delayed]]=1,Table1[[#This Row],[weather_condition]]="Storm"),"High Risk", IF(Table1[[#This Row],[delayed]]=1,"Medium Risk","Low Risk"))</f>
        <v>Low Risk</v>
      </c>
    </row>
    <row r="1895" spans="1:14" x14ac:dyDescent="0.35">
      <c r="A1895">
        <v>1894</v>
      </c>
      <c r="B1895" s="1">
        <v>45005.875</v>
      </c>
      <c r="C1895" s="2">
        <v>5.4166666666666669E-2</v>
      </c>
      <c r="D1895" s="3">
        <v>2902</v>
      </c>
      <c r="E1895" s="3">
        <v>140</v>
      </c>
      <c r="F1895" s="2">
        <v>36.045833333333334</v>
      </c>
      <c r="G1895" t="s">
        <v>2819</v>
      </c>
      <c r="H1895" t="s">
        <v>2822</v>
      </c>
      <c r="I1895" s="2">
        <v>1.4215277777777777</v>
      </c>
      <c r="J1895" s="4" t="str">
        <f>IF(Table1[[#This Row],[processing_time_hours]]&gt;1.5,"Slow", "Fast")</f>
        <v>Fast</v>
      </c>
      <c r="K1895" t="s">
        <v>2814</v>
      </c>
      <c r="L1895" s="3">
        <v>0</v>
      </c>
      <c r="M1895" t="str">
        <f>IF(Table1[[#This Row],[delayed]]=1,"Delayed","On Time")</f>
        <v>On Time</v>
      </c>
      <c r="N1895" t="str">
        <f>IF(AND(Table1[[#This Row],[delayed]]=1,Table1[[#This Row],[weather_condition]]="Storm"),"High Risk", IF(Table1[[#This Row],[delayed]]=1,"Medium Risk","Low Risk"))</f>
        <v>Low Risk</v>
      </c>
    </row>
    <row r="1896" spans="1:14" x14ac:dyDescent="0.35">
      <c r="A1896">
        <v>1895</v>
      </c>
      <c r="B1896" s="1">
        <v>45005.916666666664</v>
      </c>
      <c r="C1896" s="2">
        <v>4.6527777777777779E-2</v>
      </c>
      <c r="D1896" s="3">
        <v>784</v>
      </c>
      <c r="E1896" s="3">
        <v>440</v>
      </c>
      <c r="F1896" s="2">
        <v>63.71319444444444</v>
      </c>
      <c r="G1896" t="s">
        <v>2815</v>
      </c>
      <c r="H1896" t="s">
        <v>2817</v>
      </c>
      <c r="I1896" s="2">
        <v>2.3812500000000001</v>
      </c>
      <c r="J1896" s="4" t="str">
        <f>IF(Table1[[#This Row],[processing_time_hours]]&gt;1.5,"Slow", "Fast")</f>
        <v>Slow</v>
      </c>
      <c r="K1896" t="s">
        <v>2814</v>
      </c>
      <c r="L1896" s="3">
        <v>0</v>
      </c>
      <c r="M1896" t="str">
        <f>IF(Table1[[#This Row],[delayed]]=1,"Delayed","On Time")</f>
        <v>On Time</v>
      </c>
      <c r="N1896" t="str">
        <f>IF(AND(Table1[[#This Row],[delayed]]=1,Table1[[#This Row],[weather_condition]]="Storm"),"High Risk", IF(Table1[[#This Row],[delayed]]=1,"Medium Risk","Low Risk"))</f>
        <v>Low Risk</v>
      </c>
    </row>
    <row r="1897" spans="1:14" x14ac:dyDescent="0.35">
      <c r="A1897">
        <v>1896</v>
      </c>
      <c r="B1897" s="1">
        <v>45005.958333333336</v>
      </c>
      <c r="C1897" s="2">
        <v>4.7916666666666663E-2</v>
      </c>
      <c r="D1897" s="3">
        <v>1320</v>
      </c>
      <c r="E1897" s="3">
        <v>478</v>
      </c>
      <c r="F1897" s="2">
        <v>70.628472222222214</v>
      </c>
      <c r="G1897" t="s">
        <v>2815</v>
      </c>
      <c r="H1897" t="s">
        <v>2822</v>
      </c>
      <c r="I1897" s="2">
        <v>2.7944444444444443</v>
      </c>
      <c r="J1897" s="4" t="str">
        <f>IF(Table1[[#This Row],[processing_time_hours]]&gt;1.5,"Slow", "Fast")</f>
        <v>Slow</v>
      </c>
      <c r="K1897" t="s">
        <v>2814</v>
      </c>
      <c r="L1897" s="3">
        <v>0</v>
      </c>
      <c r="M1897" t="str">
        <f>IF(Table1[[#This Row],[delayed]]=1,"Delayed","On Time")</f>
        <v>On Time</v>
      </c>
      <c r="N1897" t="str">
        <f>IF(AND(Table1[[#This Row],[delayed]]=1,Table1[[#This Row],[weather_condition]]="Storm"),"High Risk", IF(Table1[[#This Row],[delayed]]=1,"Medium Risk","Low Risk"))</f>
        <v>Low Risk</v>
      </c>
    </row>
    <row r="1898" spans="1:14" x14ac:dyDescent="0.35">
      <c r="A1898">
        <v>1897</v>
      </c>
      <c r="B1898" s="1">
        <v>45006</v>
      </c>
      <c r="C1898" s="2">
        <v>6.5972222222222224E-2</v>
      </c>
      <c r="D1898" s="3">
        <v>2197</v>
      </c>
      <c r="E1898" s="3">
        <v>237</v>
      </c>
      <c r="F1898" s="2">
        <v>67.293750000000003</v>
      </c>
      <c r="G1898" t="s">
        <v>2812</v>
      </c>
      <c r="H1898" t="s">
        <v>2813</v>
      </c>
      <c r="I1898" s="2">
        <v>2.1284722222222223</v>
      </c>
      <c r="J1898" s="4" t="str">
        <f>IF(Table1[[#This Row],[processing_time_hours]]&gt;1.5,"Slow", "Fast")</f>
        <v>Slow</v>
      </c>
      <c r="K1898" t="s">
        <v>2818</v>
      </c>
      <c r="L1898" s="3">
        <v>1</v>
      </c>
      <c r="M1898" t="str">
        <f>IF(Table1[[#This Row],[delayed]]=1,"Delayed","On Time")</f>
        <v>Delayed</v>
      </c>
      <c r="N1898" t="str">
        <f>IF(AND(Table1[[#This Row],[delayed]]=1,Table1[[#This Row],[weather_condition]]="Storm"),"High Risk", IF(Table1[[#This Row],[delayed]]=1,"Medium Risk","Low Risk"))</f>
        <v>Medium Risk</v>
      </c>
    </row>
    <row r="1899" spans="1:14" x14ac:dyDescent="0.35">
      <c r="A1899">
        <v>1898</v>
      </c>
      <c r="B1899" s="1">
        <v>45006.041666666664</v>
      </c>
      <c r="C1899" s="2">
        <v>5.9027777777777783E-2</v>
      </c>
      <c r="D1899" s="3">
        <v>1624</v>
      </c>
      <c r="E1899" s="3">
        <v>103</v>
      </c>
      <c r="F1899" s="2">
        <v>37.62777777777778</v>
      </c>
      <c r="G1899" t="s">
        <v>2816</v>
      </c>
      <c r="H1899" t="s">
        <v>2817</v>
      </c>
      <c r="I1899" s="2">
        <v>1.1715277777777777</v>
      </c>
      <c r="J1899" s="4" t="str">
        <f>IF(Table1[[#This Row],[processing_time_hours]]&gt;1.5,"Slow", "Fast")</f>
        <v>Fast</v>
      </c>
      <c r="K1899" t="s">
        <v>2818</v>
      </c>
      <c r="L1899" s="3">
        <v>0</v>
      </c>
      <c r="M1899" t="str">
        <f>IF(Table1[[#This Row],[delayed]]=1,"Delayed","On Time")</f>
        <v>On Time</v>
      </c>
      <c r="N1899" t="str">
        <f>IF(AND(Table1[[#This Row],[delayed]]=1,Table1[[#This Row],[weather_condition]]="Storm"),"High Risk", IF(Table1[[#This Row],[delayed]]=1,"Medium Risk","Low Risk"))</f>
        <v>Low Risk</v>
      </c>
    </row>
    <row r="1900" spans="1:14" x14ac:dyDescent="0.35">
      <c r="A1900">
        <v>1899</v>
      </c>
      <c r="B1900" s="1">
        <v>45006.083333333336</v>
      </c>
      <c r="C1900" s="2">
        <v>4.4444444444444446E-2</v>
      </c>
      <c r="D1900" s="3">
        <v>4489</v>
      </c>
      <c r="E1900" s="3">
        <v>331</v>
      </c>
      <c r="F1900" s="2">
        <v>4.1298611111111105</v>
      </c>
      <c r="G1900" t="s">
        <v>2815</v>
      </c>
      <c r="H1900" t="s">
        <v>2817</v>
      </c>
      <c r="I1900" s="2">
        <v>1.0881944444444445</v>
      </c>
      <c r="J1900" s="4" t="str">
        <f>IF(Table1[[#This Row],[processing_time_hours]]&gt;1.5,"Slow", "Fast")</f>
        <v>Fast</v>
      </c>
      <c r="K1900" t="s">
        <v>2818</v>
      </c>
      <c r="L1900" s="3">
        <v>0</v>
      </c>
      <c r="M1900" t="str">
        <f>IF(Table1[[#This Row],[delayed]]=1,"Delayed","On Time")</f>
        <v>On Time</v>
      </c>
      <c r="N1900" t="str">
        <f>IF(AND(Table1[[#This Row],[delayed]]=1,Table1[[#This Row],[weather_condition]]="Storm"),"High Risk", IF(Table1[[#This Row],[delayed]]=1,"Medium Risk","Low Risk"))</f>
        <v>Low Risk</v>
      </c>
    </row>
    <row r="1901" spans="1:14" x14ac:dyDescent="0.35">
      <c r="A1901">
        <v>1900</v>
      </c>
      <c r="B1901" s="1">
        <v>45006.125</v>
      </c>
      <c r="C1901" s="2">
        <v>5.5555555555555558E-3</v>
      </c>
      <c r="D1901" s="3">
        <v>1142</v>
      </c>
      <c r="E1901" s="3">
        <v>205</v>
      </c>
      <c r="F1901" s="2">
        <v>50.836111111111109</v>
      </c>
      <c r="G1901" t="s">
        <v>2819</v>
      </c>
      <c r="H1901" t="s">
        <v>2822</v>
      </c>
      <c r="I1901" s="2">
        <v>2.6277777777777778</v>
      </c>
      <c r="J1901" s="4" t="str">
        <f>IF(Table1[[#This Row],[processing_time_hours]]&gt;1.5,"Slow", "Fast")</f>
        <v>Slow</v>
      </c>
      <c r="K1901" t="s">
        <v>2818</v>
      </c>
      <c r="L1901" s="3">
        <v>0</v>
      </c>
      <c r="M1901" t="str">
        <f>IF(Table1[[#This Row],[delayed]]=1,"Delayed","On Time")</f>
        <v>On Time</v>
      </c>
      <c r="N1901" t="str">
        <f>IF(AND(Table1[[#This Row],[delayed]]=1,Table1[[#This Row],[weather_condition]]="Storm"),"High Risk", IF(Table1[[#This Row],[delayed]]=1,"Medium Risk","Low Risk"))</f>
        <v>Low Risk</v>
      </c>
    </row>
    <row r="1902" spans="1:14" x14ac:dyDescent="0.35">
      <c r="A1902">
        <v>1901</v>
      </c>
      <c r="B1902" s="1">
        <v>45006.166666666664</v>
      </c>
      <c r="C1902" s="2">
        <v>6.3194444444444442E-2</v>
      </c>
      <c r="D1902" s="3">
        <v>2996</v>
      </c>
      <c r="E1902" s="3">
        <v>493</v>
      </c>
      <c r="F1902" s="2">
        <v>37.631250000000001</v>
      </c>
      <c r="G1902" t="s">
        <v>2812</v>
      </c>
      <c r="H1902" t="s">
        <v>2817</v>
      </c>
      <c r="I1902" s="2">
        <v>4.3055555555555562E-2</v>
      </c>
      <c r="J1902" s="4" t="str">
        <f>IF(Table1[[#This Row],[processing_time_hours]]&gt;1.5,"Slow", "Fast")</f>
        <v>Fast</v>
      </c>
      <c r="K1902" t="s">
        <v>2814</v>
      </c>
      <c r="L1902" s="3">
        <v>0</v>
      </c>
      <c r="M1902" t="str">
        <f>IF(Table1[[#This Row],[delayed]]=1,"Delayed","On Time")</f>
        <v>On Time</v>
      </c>
      <c r="N1902" t="str">
        <f>IF(AND(Table1[[#This Row],[delayed]]=1,Table1[[#This Row],[weather_condition]]="Storm"),"High Risk", IF(Table1[[#This Row],[delayed]]=1,"Medium Risk","Low Risk"))</f>
        <v>Low Risk</v>
      </c>
    </row>
    <row r="1903" spans="1:14" x14ac:dyDescent="0.35">
      <c r="A1903">
        <v>1902</v>
      </c>
      <c r="B1903" s="1">
        <v>45006.208333333336</v>
      </c>
      <c r="C1903" s="2">
        <v>6.3888888888888898E-2</v>
      </c>
      <c r="D1903" s="3">
        <v>3589</v>
      </c>
      <c r="E1903" s="3">
        <v>377</v>
      </c>
      <c r="F1903" s="2">
        <v>11.084722222222224</v>
      </c>
      <c r="G1903" t="s">
        <v>2812</v>
      </c>
      <c r="H1903" t="s">
        <v>2822</v>
      </c>
      <c r="I1903" s="2">
        <v>1.9597222222222221</v>
      </c>
      <c r="J1903" s="4" t="str">
        <f>IF(Table1[[#This Row],[processing_time_hours]]&gt;1.5,"Slow", "Fast")</f>
        <v>Slow</v>
      </c>
      <c r="K1903" t="s">
        <v>2814</v>
      </c>
      <c r="L1903" s="3">
        <v>0</v>
      </c>
      <c r="M1903" t="str">
        <f>IF(Table1[[#This Row],[delayed]]=1,"Delayed","On Time")</f>
        <v>On Time</v>
      </c>
      <c r="N1903" t="str">
        <f>IF(AND(Table1[[#This Row],[delayed]]=1,Table1[[#This Row],[weather_condition]]="Storm"),"High Risk", IF(Table1[[#This Row],[delayed]]=1,"Medium Risk","Low Risk"))</f>
        <v>Low Risk</v>
      </c>
    </row>
    <row r="1904" spans="1:14" x14ac:dyDescent="0.35">
      <c r="A1904">
        <v>1903</v>
      </c>
      <c r="B1904" s="1">
        <v>45006.25</v>
      </c>
      <c r="C1904" s="2">
        <v>6.5277777777777782E-2</v>
      </c>
      <c r="D1904" s="3">
        <v>3267</v>
      </c>
      <c r="E1904" s="3">
        <v>282</v>
      </c>
      <c r="F1904" s="2">
        <v>70.750694444444449</v>
      </c>
      <c r="G1904" t="s">
        <v>2816</v>
      </c>
      <c r="H1904" t="s">
        <v>2817</v>
      </c>
      <c r="I1904" s="2">
        <v>1.877777777777778</v>
      </c>
      <c r="J1904" s="4" t="str">
        <f>IF(Table1[[#This Row],[processing_time_hours]]&gt;1.5,"Slow", "Fast")</f>
        <v>Slow</v>
      </c>
      <c r="K1904" t="s">
        <v>2814</v>
      </c>
      <c r="L1904" s="3">
        <v>0</v>
      </c>
      <c r="M1904" t="str">
        <f>IF(Table1[[#This Row],[delayed]]=1,"Delayed","On Time")</f>
        <v>On Time</v>
      </c>
      <c r="N1904" t="str">
        <f>IF(AND(Table1[[#This Row],[delayed]]=1,Table1[[#This Row],[weather_condition]]="Storm"),"High Risk", IF(Table1[[#This Row],[delayed]]=1,"Medium Risk","Low Risk"))</f>
        <v>Low Risk</v>
      </c>
    </row>
    <row r="1905" spans="1:14" x14ac:dyDescent="0.35">
      <c r="A1905">
        <v>1904</v>
      </c>
      <c r="B1905" s="1">
        <v>45006.291666666664</v>
      </c>
      <c r="C1905" s="2">
        <v>6.6666666666666666E-2</v>
      </c>
      <c r="D1905" s="3">
        <v>1284</v>
      </c>
      <c r="E1905" s="3">
        <v>184</v>
      </c>
      <c r="F1905" s="2">
        <v>82.375</v>
      </c>
      <c r="G1905" t="s">
        <v>2815</v>
      </c>
      <c r="H1905" t="s">
        <v>2817</v>
      </c>
      <c r="I1905" s="2">
        <v>1.8791666666666667</v>
      </c>
      <c r="J1905" s="4" t="str">
        <f>IF(Table1[[#This Row],[processing_time_hours]]&gt;1.5,"Slow", "Fast")</f>
        <v>Slow</v>
      </c>
      <c r="K1905" t="s">
        <v>2814</v>
      </c>
      <c r="L1905" s="3">
        <v>0</v>
      </c>
      <c r="M1905" t="str">
        <f>IF(Table1[[#This Row],[delayed]]=1,"Delayed","On Time")</f>
        <v>On Time</v>
      </c>
      <c r="N1905" t="str">
        <f>IF(AND(Table1[[#This Row],[delayed]]=1,Table1[[#This Row],[weather_condition]]="Storm"),"High Risk", IF(Table1[[#This Row],[delayed]]=1,"Medium Risk","Low Risk"))</f>
        <v>Low Risk</v>
      </c>
    </row>
    <row r="1906" spans="1:14" x14ac:dyDescent="0.35">
      <c r="A1906">
        <v>1905</v>
      </c>
      <c r="B1906" s="1">
        <v>45006.333333333336</v>
      </c>
      <c r="C1906" s="2">
        <v>5.486111111111111E-2</v>
      </c>
      <c r="D1906" s="3">
        <v>2428</v>
      </c>
      <c r="E1906" s="3">
        <v>106</v>
      </c>
      <c r="F1906" s="2">
        <v>63.5</v>
      </c>
      <c r="G1906" t="s">
        <v>2815</v>
      </c>
      <c r="H1906" t="s">
        <v>2817</v>
      </c>
      <c r="I1906" s="2">
        <v>0.96111111111111114</v>
      </c>
      <c r="J1906" s="4" t="str">
        <f>IF(Table1[[#This Row],[processing_time_hours]]&gt;1.5,"Slow", "Fast")</f>
        <v>Fast</v>
      </c>
      <c r="K1906" t="s">
        <v>2821</v>
      </c>
      <c r="L1906" s="3">
        <v>1</v>
      </c>
      <c r="M1906" t="str">
        <f>IF(Table1[[#This Row],[delayed]]=1,"Delayed","On Time")</f>
        <v>Delayed</v>
      </c>
      <c r="N1906" t="str">
        <f>IF(AND(Table1[[#This Row],[delayed]]=1,Table1[[#This Row],[weather_condition]]="Storm"),"High Risk", IF(Table1[[#This Row],[delayed]]=1,"Medium Risk","Low Risk"))</f>
        <v>High Risk</v>
      </c>
    </row>
    <row r="1907" spans="1:14" x14ac:dyDescent="0.35">
      <c r="A1907">
        <v>1906</v>
      </c>
      <c r="B1907" s="1">
        <v>45006.375</v>
      </c>
      <c r="C1907" s="2">
        <v>6.0416666666666667E-2</v>
      </c>
      <c r="D1907" s="3">
        <v>1086</v>
      </c>
      <c r="E1907" s="3">
        <v>23</v>
      </c>
      <c r="F1907" s="2">
        <v>52.709027777777777</v>
      </c>
      <c r="G1907" t="s">
        <v>2819</v>
      </c>
      <c r="H1907" t="s">
        <v>2822</v>
      </c>
      <c r="I1907" s="2">
        <v>1.6722222222222223</v>
      </c>
      <c r="J1907" s="4" t="str">
        <f>IF(Table1[[#This Row],[processing_time_hours]]&gt;1.5,"Slow", "Fast")</f>
        <v>Slow</v>
      </c>
      <c r="K1907" t="s">
        <v>2814</v>
      </c>
      <c r="L1907" s="3">
        <v>1</v>
      </c>
      <c r="M1907" t="str">
        <f>IF(Table1[[#This Row],[delayed]]=1,"Delayed","On Time")</f>
        <v>Delayed</v>
      </c>
      <c r="N1907" t="str">
        <f>IF(AND(Table1[[#This Row],[delayed]]=1,Table1[[#This Row],[weather_condition]]="Storm"),"High Risk", IF(Table1[[#This Row],[delayed]]=1,"Medium Risk","Low Risk"))</f>
        <v>Medium Risk</v>
      </c>
    </row>
    <row r="1908" spans="1:14" x14ac:dyDescent="0.35">
      <c r="A1908">
        <v>1907</v>
      </c>
      <c r="B1908" s="1">
        <v>45006.416666666664</v>
      </c>
      <c r="C1908" s="2">
        <v>4.3750000000000004E-2</v>
      </c>
      <c r="D1908" s="3">
        <v>1768</v>
      </c>
      <c r="E1908" s="3">
        <v>426</v>
      </c>
      <c r="F1908" s="2">
        <v>69.086805555555557</v>
      </c>
      <c r="G1908" t="s">
        <v>2812</v>
      </c>
      <c r="H1908" t="s">
        <v>2813</v>
      </c>
      <c r="I1908" s="2">
        <v>1.5861111111111112</v>
      </c>
      <c r="J1908" s="4" t="str">
        <f>IF(Table1[[#This Row],[processing_time_hours]]&gt;1.5,"Slow", "Fast")</f>
        <v>Slow</v>
      </c>
      <c r="K1908" t="s">
        <v>2814</v>
      </c>
      <c r="L1908" s="3">
        <v>0</v>
      </c>
      <c r="M1908" t="str">
        <f>IF(Table1[[#This Row],[delayed]]=1,"Delayed","On Time")</f>
        <v>On Time</v>
      </c>
      <c r="N1908" t="str">
        <f>IF(AND(Table1[[#This Row],[delayed]]=1,Table1[[#This Row],[weather_condition]]="Storm"),"High Risk", IF(Table1[[#This Row],[delayed]]=1,"Medium Risk","Low Risk"))</f>
        <v>Low Risk</v>
      </c>
    </row>
    <row r="1909" spans="1:14" x14ac:dyDescent="0.35">
      <c r="A1909">
        <v>1908</v>
      </c>
      <c r="B1909" s="1">
        <v>45006.458333333336</v>
      </c>
      <c r="C1909" s="2">
        <v>5.9722222222222225E-2</v>
      </c>
      <c r="D1909" s="3">
        <v>3795</v>
      </c>
      <c r="E1909" s="3">
        <v>116</v>
      </c>
      <c r="F1909" s="2">
        <v>67.042361111111106</v>
      </c>
      <c r="G1909" t="s">
        <v>2815</v>
      </c>
      <c r="H1909" t="s">
        <v>2817</v>
      </c>
      <c r="I1909" s="2">
        <v>2.6270833333333332</v>
      </c>
      <c r="J1909" s="4" t="str">
        <f>IF(Table1[[#This Row],[processing_time_hours]]&gt;1.5,"Slow", "Fast")</f>
        <v>Slow</v>
      </c>
      <c r="K1909" t="s">
        <v>2814</v>
      </c>
      <c r="L1909" s="3">
        <v>0</v>
      </c>
      <c r="M1909" t="str">
        <f>IF(Table1[[#This Row],[delayed]]=1,"Delayed","On Time")</f>
        <v>On Time</v>
      </c>
      <c r="N1909" t="str">
        <f>IF(AND(Table1[[#This Row],[delayed]]=1,Table1[[#This Row],[weather_condition]]="Storm"),"High Risk", IF(Table1[[#This Row],[delayed]]=1,"Medium Risk","Low Risk"))</f>
        <v>Low Risk</v>
      </c>
    </row>
    <row r="1910" spans="1:14" x14ac:dyDescent="0.35">
      <c r="A1910">
        <v>1909</v>
      </c>
      <c r="B1910" s="1">
        <v>45006.5</v>
      </c>
      <c r="C1910" s="2">
        <v>5.6250000000000001E-2</v>
      </c>
      <c r="D1910" s="3">
        <v>517</v>
      </c>
      <c r="E1910" s="3">
        <v>444</v>
      </c>
      <c r="F1910" s="2">
        <v>28.172916666666666</v>
      </c>
      <c r="G1910" t="s">
        <v>2819</v>
      </c>
      <c r="H1910" t="s">
        <v>2817</v>
      </c>
      <c r="I1910" s="2">
        <v>2.8777777777777778</v>
      </c>
      <c r="J1910" s="4" t="str">
        <f>IF(Table1[[#This Row],[processing_time_hours]]&gt;1.5,"Slow", "Fast")</f>
        <v>Slow</v>
      </c>
      <c r="K1910" t="s">
        <v>2821</v>
      </c>
      <c r="L1910" s="3">
        <v>0</v>
      </c>
      <c r="M1910" t="str">
        <f>IF(Table1[[#This Row],[delayed]]=1,"Delayed","On Time")</f>
        <v>On Time</v>
      </c>
      <c r="N1910" t="str">
        <f>IF(AND(Table1[[#This Row],[delayed]]=1,Table1[[#This Row],[weather_condition]]="Storm"),"High Risk", IF(Table1[[#This Row],[delayed]]=1,"Medium Risk","Low Risk"))</f>
        <v>Low Risk</v>
      </c>
    </row>
    <row r="1911" spans="1:14" x14ac:dyDescent="0.35">
      <c r="A1911">
        <v>1910</v>
      </c>
      <c r="B1911" s="1">
        <v>45006.541666666664</v>
      </c>
      <c r="C1911" s="2">
        <v>4.7916666666666663E-2</v>
      </c>
      <c r="D1911" s="3">
        <v>69</v>
      </c>
      <c r="E1911" s="3">
        <v>474</v>
      </c>
      <c r="F1911" s="2">
        <v>58.25555555555556</v>
      </c>
      <c r="G1911" t="s">
        <v>2816</v>
      </c>
      <c r="H1911" t="s">
        <v>2817</v>
      </c>
      <c r="I1911" s="2">
        <v>1.2097222222222224</v>
      </c>
      <c r="J1911" s="4" t="str">
        <f>IF(Table1[[#This Row],[processing_time_hours]]&gt;1.5,"Slow", "Fast")</f>
        <v>Fast</v>
      </c>
      <c r="K1911" t="s">
        <v>2814</v>
      </c>
      <c r="L1911" s="3">
        <v>0</v>
      </c>
      <c r="M1911" t="str">
        <f>IF(Table1[[#This Row],[delayed]]=1,"Delayed","On Time")</f>
        <v>On Time</v>
      </c>
      <c r="N1911" t="str">
        <f>IF(AND(Table1[[#This Row],[delayed]]=1,Table1[[#This Row],[weather_condition]]="Storm"),"High Risk", IF(Table1[[#This Row],[delayed]]=1,"Medium Risk","Low Risk"))</f>
        <v>Low Risk</v>
      </c>
    </row>
    <row r="1912" spans="1:14" x14ac:dyDescent="0.35">
      <c r="A1912">
        <v>1911</v>
      </c>
      <c r="B1912" s="1">
        <v>45006.583333333336</v>
      </c>
      <c r="C1912" s="2">
        <v>4.8611111111111112E-3</v>
      </c>
      <c r="D1912" s="3">
        <v>3992</v>
      </c>
      <c r="E1912" s="3">
        <v>313</v>
      </c>
      <c r="F1912" s="2">
        <v>9.8361111111111104</v>
      </c>
      <c r="G1912" t="s">
        <v>2819</v>
      </c>
      <c r="H1912" t="s">
        <v>2813</v>
      </c>
      <c r="I1912" s="2">
        <v>2.5868055555555558</v>
      </c>
      <c r="J1912" s="4" t="str">
        <f>IF(Table1[[#This Row],[processing_time_hours]]&gt;1.5,"Slow", "Fast")</f>
        <v>Slow</v>
      </c>
      <c r="K1912" t="s">
        <v>2821</v>
      </c>
      <c r="L1912" s="3">
        <v>0</v>
      </c>
      <c r="M1912" t="str">
        <f>IF(Table1[[#This Row],[delayed]]=1,"Delayed","On Time")</f>
        <v>On Time</v>
      </c>
      <c r="N1912" t="str">
        <f>IF(AND(Table1[[#This Row],[delayed]]=1,Table1[[#This Row],[weather_condition]]="Storm"),"High Risk", IF(Table1[[#This Row],[delayed]]=1,"Medium Risk","Low Risk"))</f>
        <v>Low Risk</v>
      </c>
    </row>
    <row r="1913" spans="1:14" x14ac:dyDescent="0.35">
      <c r="A1913">
        <v>1912</v>
      </c>
      <c r="B1913" s="1">
        <v>45006.625</v>
      </c>
      <c r="C1913" s="2">
        <v>6.1111111111111109E-2</v>
      </c>
      <c r="D1913" s="3">
        <v>1502</v>
      </c>
      <c r="E1913" s="3">
        <v>56</v>
      </c>
      <c r="F1913" s="2">
        <v>33.212499999999999</v>
      </c>
      <c r="G1913" t="s">
        <v>2816</v>
      </c>
      <c r="H1913" t="s">
        <v>2817</v>
      </c>
      <c r="I1913" s="2">
        <v>1.4597222222222221</v>
      </c>
      <c r="J1913" s="4" t="str">
        <f>IF(Table1[[#This Row],[processing_time_hours]]&gt;1.5,"Slow", "Fast")</f>
        <v>Fast</v>
      </c>
      <c r="K1913" t="s">
        <v>2821</v>
      </c>
      <c r="L1913" s="3">
        <v>0</v>
      </c>
      <c r="M1913" t="str">
        <f>IF(Table1[[#This Row],[delayed]]=1,"Delayed","On Time")</f>
        <v>On Time</v>
      </c>
      <c r="N1913" t="str">
        <f>IF(AND(Table1[[#This Row],[delayed]]=1,Table1[[#This Row],[weather_condition]]="Storm"),"High Risk", IF(Table1[[#This Row],[delayed]]=1,"Medium Risk","Low Risk"))</f>
        <v>Low Risk</v>
      </c>
    </row>
    <row r="1914" spans="1:14" x14ac:dyDescent="0.35">
      <c r="A1914">
        <v>1913</v>
      </c>
      <c r="B1914" s="1">
        <v>45006.666666666664</v>
      </c>
      <c r="C1914" s="2">
        <v>4.7916666666666663E-2</v>
      </c>
      <c r="D1914" s="3">
        <v>2328</v>
      </c>
      <c r="E1914" s="3">
        <v>352</v>
      </c>
      <c r="F1914" s="2">
        <v>65.75</v>
      </c>
      <c r="G1914" t="s">
        <v>2815</v>
      </c>
      <c r="H1914" t="s">
        <v>2813</v>
      </c>
      <c r="I1914" s="2">
        <v>2.4645833333333331</v>
      </c>
      <c r="J1914" s="4" t="str">
        <f>IF(Table1[[#This Row],[processing_time_hours]]&gt;1.5,"Slow", "Fast")</f>
        <v>Slow</v>
      </c>
      <c r="K1914" t="s">
        <v>2821</v>
      </c>
      <c r="L1914" s="3">
        <v>0</v>
      </c>
      <c r="M1914" t="str">
        <f>IF(Table1[[#This Row],[delayed]]=1,"Delayed","On Time")</f>
        <v>On Time</v>
      </c>
      <c r="N1914" t="str">
        <f>IF(AND(Table1[[#This Row],[delayed]]=1,Table1[[#This Row],[weather_condition]]="Storm"),"High Risk", IF(Table1[[#This Row],[delayed]]=1,"Medium Risk","Low Risk"))</f>
        <v>Low Risk</v>
      </c>
    </row>
    <row r="1915" spans="1:14" x14ac:dyDescent="0.35">
      <c r="A1915">
        <v>1914</v>
      </c>
      <c r="B1915" s="1">
        <v>45006.708333333336</v>
      </c>
      <c r="C1915" s="2">
        <v>5.1388888888888894E-2</v>
      </c>
      <c r="D1915" s="3">
        <v>4532</v>
      </c>
      <c r="E1915" s="3">
        <v>315</v>
      </c>
      <c r="F1915" s="2">
        <v>2.4583333333333335</v>
      </c>
      <c r="G1915" t="s">
        <v>2816</v>
      </c>
      <c r="H1915" t="s">
        <v>2817</v>
      </c>
      <c r="I1915" s="2">
        <v>0.75416666666666676</v>
      </c>
      <c r="J1915" s="4" t="str">
        <f>IF(Table1[[#This Row],[processing_time_hours]]&gt;1.5,"Slow", "Fast")</f>
        <v>Fast</v>
      </c>
      <c r="K1915" t="s">
        <v>2821</v>
      </c>
      <c r="L1915" s="3">
        <v>1</v>
      </c>
      <c r="M1915" t="str">
        <f>IF(Table1[[#This Row],[delayed]]=1,"Delayed","On Time")</f>
        <v>Delayed</v>
      </c>
      <c r="N1915" t="str">
        <f>IF(AND(Table1[[#This Row],[delayed]]=1,Table1[[#This Row],[weather_condition]]="Storm"),"High Risk", IF(Table1[[#This Row],[delayed]]=1,"Medium Risk","Low Risk"))</f>
        <v>High Risk</v>
      </c>
    </row>
    <row r="1916" spans="1:14" x14ac:dyDescent="0.35">
      <c r="A1916">
        <v>1915</v>
      </c>
      <c r="B1916" s="1">
        <v>45006.75</v>
      </c>
      <c r="C1916" s="2">
        <v>5.2083333333333336E-2</v>
      </c>
      <c r="D1916" s="3">
        <v>608</v>
      </c>
      <c r="E1916" s="3">
        <v>310</v>
      </c>
      <c r="F1916" s="2">
        <v>37.295833333333334</v>
      </c>
      <c r="G1916" t="s">
        <v>2815</v>
      </c>
      <c r="H1916" t="s">
        <v>2820</v>
      </c>
      <c r="I1916" s="2">
        <v>1.7923611111111111</v>
      </c>
      <c r="J1916" s="4" t="str">
        <f>IF(Table1[[#This Row],[processing_time_hours]]&gt;1.5,"Slow", "Fast")</f>
        <v>Slow</v>
      </c>
      <c r="K1916" t="s">
        <v>2814</v>
      </c>
      <c r="L1916" s="3">
        <v>1</v>
      </c>
      <c r="M1916" t="str">
        <f>IF(Table1[[#This Row],[delayed]]=1,"Delayed","On Time")</f>
        <v>Delayed</v>
      </c>
      <c r="N1916" t="str">
        <f>IF(AND(Table1[[#This Row],[delayed]]=1,Table1[[#This Row],[weather_condition]]="Storm"),"High Risk", IF(Table1[[#This Row],[delayed]]=1,"Medium Risk","Low Risk"))</f>
        <v>Medium Risk</v>
      </c>
    </row>
    <row r="1917" spans="1:14" x14ac:dyDescent="0.35">
      <c r="A1917">
        <v>1916</v>
      </c>
      <c r="B1917" s="1">
        <v>45006.791666666664</v>
      </c>
      <c r="C1917" s="2">
        <v>6.2499999999999995E-3</v>
      </c>
      <c r="D1917" s="3">
        <v>2040</v>
      </c>
      <c r="E1917" s="3">
        <v>251</v>
      </c>
      <c r="F1917" s="2">
        <v>31.292361111111109</v>
      </c>
      <c r="G1917" t="s">
        <v>2815</v>
      </c>
      <c r="H1917" t="s">
        <v>2820</v>
      </c>
      <c r="I1917" s="2">
        <v>0.21458333333333335</v>
      </c>
      <c r="J1917" s="4" t="str">
        <f>IF(Table1[[#This Row],[processing_time_hours]]&gt;1.5,"Slow", "Fast")</f>
        <v>Fast</v>
      </c>
      <c r="K1917" t="s">
        <v>2814</v>
      </c>
      <c r="L1917" s="3">
        <v>0</v>
      </c>
      <c r="M1917" t="str">
        <f>IF(Table1[[#This Row],[delayed]]=1,"Delayed","On Time")</f>
        <v>On Time</v>
      </c>
      <c r="N1917" t="str">
        <f>IF(AND(Table1[[#This Row],[delayed]]=1,Table1[[#This Row],[weather_condition]]="Storm"),"High Risk", IF(Table1[[#This Row],[delayed]]=1,"Medium Risk","Low Risk"))</f>
        <v>Low Risk</v>
      </c>
    </row>
    <row r="1918" spans="1:14" x14ac:dyDescent="0.35">
      <c r="A1918">
        <v>1917</v>
      </c>
      <c r="B1918" s="1">
        <v>45006.833333333336</v>
      </c>
      <c r="C1918" s="2">
        <v>4.7222222222222221E-2</v>
      </c>
      <c r="D1918" s="3">
        <v>3909</v>
      </c>
      <c r="E1918" s="3">
        <v>229</v>
      </c>
      <c r="F1918" s="2">
        <v>47.627777777777773</v>
      </c>
      <c r="G1918" t="s">
        <v>2816</v>
      </c>
      <c r="H1918" t="s">
        <v>2820</v>
      </c>
      <c r="I1918" s="2">
        <v>0.50277777777777777</v>
      </c>
      <c r="J1918" s="4" t="str">
        <f>IF(Table1[[#This Row],[processing_time_hours]]&gt;1.5,"Slow", "Fast")</f>
        <v>Fast</v>
      </c>
      <c r="K1918" t="s">
        <v>2821</v>
      </c>
      <c r="L1918" s="3">
        <v>0</v>
      </c>
      <c r="M1918" t="str">
        <f>IF(Table1[[#This Row],[delayed]]=1,"Delayed","On Time")</f>
        <v>On Time</v>
      </c>
      <c r="N1918" t="str">
        <f>IF(AND(Table1[[#This Row],[delayed]]=1,Table1[[#This Row],[weather_condition]]="Storm"),"High Risk", IF(Table1[[#This Row],[delayed]]=1,"Medium Risk","Low Risk"))</f>
        <v>Low Risk</v>
      </c>
    </row>
    <row r="1919" spans="1:14" x14ac:dyDescent="0.35">
      <c r="A1919">
        <v>1918</v>
      </c>
      <c r="B1919" s="1">
        <v>45006.875</v>
      </c>
      <c r="C1919" s="2">
        <v>4.3750000000000004E-2</v>
      </c>
      <c r="D1919" s="3">
        <v>2133</v>
      </c>
      <c r="E1919" s="3">
        <v>139</v>
      </c>
      <c r="F1919" s="2">
        <v>8.3812499999999996</v>
      </c>
      <c r="G1919" t="s">
        <v>2815</v>
      </c>
      <c r="H1919" t="s">
        <v>2817</v>
      </c>
      <c r="I1919" s="2">
        <v>1.9638888888888888</v>
      </c>
      <c r="J1919" s="4" t="str">
        <f>IF(Table1[[#This Row],[processing_time_hours]]&gt;1.5,"Slow", "Fast")</f>
        <v>Slow</v>
      </c>
      <c r="K1919" t="s">
        <v>2818</v>
      </c>
      <c r="L1919" s="3">
        <v>0</v>
      </c>
      <c r="M1919" t="str">
        <f>IF(Table1[[#This Row],[delayed]]=1,"Delayed","On Time")</f>
        <v>On Time</v>
      </c>
      <c r="N1919" t="str">
        <f>IF(AND(Table1[[#This Row],[delayed]]=1,Table1[[#This Row],[weather_condition]]="Storm"),"High Risk", IF(Table1[[#This Row],[delayed]]=1,"Medium Risk","Low Risk"))</f>
        <v>Low Risk</v>
      </c>
    </row>
    <row r="1920" spans="1:14" x14ac:dyDescent="0.35">
      <c r="A1920">
        <v>1919</v>
      </c>
      <c r="B1920" s="1">
        <v>45006.916666666664</v>
      </c>
      <c r="C1920" s="2">
        <v>4.6527777777777779E-2</v>
      </c>
      <c r="D1920" s="3">
        <v>2004</v>
      </c>
      <c r="E1920" s="3">
        <v>242</v>
      </c>
      <c r="F1920" s="2">
        <v>66.672222222222231</v>
      </c>
      <c r="G1920" t="s">
        <v>2812</v>
      </c>
      <c r="H1920" t="s">
        <v>2820</v>
      </c>
      <c r="I1920" s="2">
        <v>0.37638888888888888</v>
      </c>
      <c r="J1920" s="4" t="str">
        <f>IF(Table1[[#This Row],[processing_time_hours]]&gt;1.5,"Slow", "Fast")</f>
        <v>Fast</v>
      </c>
      <c r="K1920" t="s">
        <v>2814</v>
      </c>
      <c r="L1920" s="3">
        <v>0</v>
      </c>
      <c r="M1920" t="str">
        <f>IF(Table1[[#This Row],[delayed]]=1,"Delayed","On Time")</f>
        <v>On Time</v>
      </c>
      <c r="N1920" t="str">
        <f>IF(AND(Table1[[#This Row],[delayed]]=1,Table1[[#This Row],[weather_condition]]="Storm"),"High Risk", IF(Table1[[#This Row],[delayed]]=1,"Medium Risk","Low Risk"))</f>
        <v>Low Risk</v>
      </c>
    </row>
    <row r="1921" spans="1:14" x14ac:dyDescent="0.35">
      <c r="A1921">
        <v>1920</v>
      </c>
      <c r="B1921" s="1">
        <v>45006.958333333336</v>
      </c>
      <c r="C1921" s="2">
        <v>6.1805555555555558E-2</v>
      </c>
      <c r="D1921" s="3">
        <v>1987</v>
      </c>
      <c r="E1921" s="3">
        <v>103</v>
      </c>
      <c r="F1921" s="2">
        <v>34.255555555555553</v>
      </c>
      <c r="G1921" t="s">
        <v>2812</v>
      </c>
      <c r="H1921" t="s">
        <v>2817</v>
      </c>
      <c r="I1921" s="2">
        <v>0.88055555555555554</v>
      </c>
      <c r="J1921" s="4" t="str">
        <f>IF(Table1[[#This Row],[processing_time_hours]]&gt;1.5,"Slow", "Fast")</f>
        <v>Fast</v>
      </c>
      <c r="K1921" t="s">
        <v>2821</v>
      </c>
      <c r="L1921" s="3">
        <v>0</v>
      </c>
      <c r="M1921" t="str">
        <f>IF(Table1[[#This Row],[delayed]]=1,"Delayed","On Time")</f>
        <v>On Time</v>
      </c>
      <c r="N1921" t="str">
        <f>IF(AND(Table1[[#This Row],[delayed]]=1,Table1[[#This Row],[weather_condition]]="Storm"),"High Risk", IF(Table1[[#This Row],[delayed]]=1,"Medium Risk","Low Risk"))</f>
        <v>Low Risk</v>
      </c>
    </row>
    <row r="1922" spans="1:14" x14ac:dyDescent="0.35">
      <c r="A1922">
        <v>1921</v>
      </c>
      <c r="B1922" s="1">
        <v>45007</v>
      </c>
      <c r="C1922" s="2">
        <v>4.3055555555555562E-2</v>
      </c>
      <c r="D1922" s="3">
        <v>575</v>
      </c>
      <c r="E1922" s="3">
        <v>302</v>
      </c>
      <c r="F1922" s="2">
        <v>64.918055555555554</v>
      </c>
      <c r="G1922" t="s">
        <v>2816</v>
      </c>
      <c r="H1922" t="s">
        <v>2820</v>
      </c>
      <c r="I1922" s="2">
        <v>8.7500000000000008E-2</v>
      </c>
      <c r="J1922" s="4" t="str">
        <f>IF(Table1[[#This Row],[processing_time_hours]]&gt;1.5,"Slow", "Fast")</f>
        <v>Fast</v>
      </c>
      <c r="K1922" t="s">
        <v>2818</v>
      </c>
      <c r="L1922" s="3">
        <v>0</v>
      </c>
      <c r="M1922" t="str">
        <f>IF(Table1[[#This Row],[delayed]]=1,"Delayed","On Time")</f>
        <v>On Time</v>
      </c>
      <c r="N1922" t="str">
        <f>IF(AND(Table1[[#This Row],[delayed]]=1,Table1[[#This Row],[weather_condition]]="Storm"),"High Risk", IF(Table1[[#This Row],[delayed]]=1,"Medium Risk","Low Risk"))</f>
        <v>Low Risk</v>
      </c>
    </row>
    <row r="1923" spans="1:14" x14ac:dyDescent="0.35">
      <c r="A1923">
        <v>1922</v>
      </c>
      <c r="B1923" s="1">
        <v>45007.041666666664</v>
      </c>
      <c r="C1923" s="2">
        <v>5.6944444444444443E-2</v>
      </c>
      <c r="D1923" s="3">
        <v>4012</v>
      </c>
      <c r="E1923" s="3">
        <v>170</v>
      </c>
      <c r="F1923" s="2">
        <v>36.5</v>
      </c>
      <c r="G1923" t="s">
        <v>2815</v>
      </c>
      <c r="H1923" t="s">
        <v>2820</v>
      </c>
      <c r="I1923" s="2">
        <v>0.67291666666666661</v>
      </c>
      <c r="J1923" s="4" t="str">
        <f>IF(Table1[[#This Row],[processing_time_hours]]&gt;1.5,"Slow", "Fast")</f>
        <v>Fast</v>
      </c>
      <c r="K1923" t="s">
        <v>2814</v>
      </c>
      <c r="L1923" s="3">
        <v>0</v>
      </c>
      <c r="M1923" t="str">
        <f>IF(Table1[[#This Row],[delayed]]=1,"Delayed","On Time")</f>
        <v>On Time</v>
      </c>
      <c r="N1923" t="str">
        <f>IF(AND(Table1[[#This Row],[delayed]]=1,Table1[[#This Row],[weather_condition]]="Storm"),"High Risk", IF(Table1[[#This Row],[delayed]]=1,"Medium Risk","Low Risk"))</f>
        <v>Low Risk</v>
      </c>
    </row>
    <row r="1924" spans="1:14" x14ac:dyDescent="0.35">
      <c r="A1924">
        <v>1923</v>
      </c>
      <c r="B1924" s="1">
        <v>45007.083333333336</v>
      </c>
      <c r="C1924" s="2">
        <v>5.5555555555555558E-3</v>
      </c>
      <c r="D1924" s="3">
        <v>899</v>
      </c>
      <c r="E1924" s="3">
        <v>29</v>
      </c>
      <c r="F1924" s="2">
        <v>67.836111111111109</v>
      </c>
      <c r="G1924" t="s">
        <v>2815</v>
      </c>
      <c r="H1924" t="s">
        <v>2817</v>
      </c>
      <c r="I1924" s="2">
        <v>1.4229166666666666</v>
      </c>
      <c r="J1924" s="4" t="str">
        <f>IF(Table1[[#This Row],[processing_time_hours]]&gt;1.5,"Slow", "Fast")</f>
        <v>Fast</v>
      </c>
      <c r="K1924" t="s">
        <v>2821</v>
      </c>
      <c r="L1924" s="3">
        <v>0</v>
      </c>
      <c r="M1924" t="str">
        <f>IF(Table1[[#This Row],[delayed]]=1,"Delayed","On Time")</f>
        <v>On Time</v>
      </c>
      <c r="N1924" t="str">
        <f>IF(AND(Table1[[#This Row],[delayed]]=1,Table1[[#This Row],[weather_condition]]="Storm"),"High Risk", IF(Table1[[#This Row],[delayed]]=1,"Medium Risk","Low Risk"))</f>
        <v>Low Risk</v>
      </c>
    </row>
    <row r="1925" spans="1:14" x14ac:dyDescent="0.35">
      <c r="A1925">
        <v>1924</v>
      </c>
      <c r="B1925" s="1">
        <v>45007.125</v>
      </c>
      <c r="C1925" s="2">
        <v>5.2083333333333336E-2</v>
      </c>
      <c r="D1925" s="3">
        <v>2833</v>
      </c>
      <c r="E1925" s="3">
        <v>453</v>
      </c>
      <c r="F1925" s="2">
        <v>45.129861111111104</v>
      </c>
      <c r="G1925" t="s">
        <v>2812</v>
      </c>
      <c r="H1925" t="s">
        <v>2817</v>
      </c>
      <c r="I1925" s="2">
        <v>1.9173611111111111</v>
      </c>
      <c r="J1925" s="4" t="str">
        <f>IF(Table1[[#This Row],[processing_time_hours]]&gt;1.5,"Slow", "Fast")</f>
        <v>Slow</v>
      </c>
      <c r="K1925" t="s">
        <v>2814</v>
      </c>
      <c r="L1925" s="3">
        <v>0</v>
      </c>
      <c r="M1925" t="str">
        <f>IF(Table1[[#This Row],[delayed]]=1,"Delayed","On Time")</f>
        <v>On Time</v>
      </c>
      <c r="N1925" t="str">
        <f>IF(AND(Table1[[#This Row],[delayed]]=1,Table1[[#This Row],[weather_condition]]="Storm"),"High Risk", IF(Table1[[#This Row],[delayed]]=1,"Medium Risk","Low Risk"))</f>
        <v>Low Risk</v>
      </c>
    </row>
    <row r="1926" spans="1:14" x14ac:dyDescent="0.35">
      <c r="A1926">
        <v>1925</v>
      </c>
      <c r="B1926" s="1">
        <v>45007.166666666664</v>
      </c>
      <c r="C1926" s="2">
        <v>5.1388888888888894E-2</v>
      </c>
      <c r="D1926" s="3">
        <v>3197</v>
      </c>
      <c r="E1926" s="3">
        <v>166</v>
      </c>
      <c r="F1926" s="2">
        <v>1.5479166666666666</v>
      </c>
      <c r="G1926" t="s">
        <v>2812</v>
      </c>
      <c r="H1926" t="s">
        <v>2822</v>
      </c>
      <c r="I1926" s="2">
        <v>0.79305555555555562</v>
      </c>
      <c r="J1926" s="4" t="str">
        <f>IF(Table1[[#This Row],[processing_time_hours]]&gt;1.5,"Slow", "Fast")</f>
        <v>Fast</v>
      </c>
      <c r="K1926" t="s">
        <v>2818</v>
      </c>
      <c r="L1926" s="3">
        <v>0</v>
      </c>
      <c r="M1926" t="str">
        <f>IF(Table1[[#This Row],[delayed]]=1,"Delayed","On Time")</f>
        <v>On Time</v>
      </c>
      <c r="N1926" t="str">
        <f>IF(AND(Table1[[#This Row],[delayed]]=1,Table1[[#This Row],[weather_condition]]="Storm"),"High Risk", IF(Table1[[#This Row],[delayed]]=1,"Medium Risk","Low Risk"))</f>
        <v>Low Risk</v>
      </c>
    </row>
    <row r="1927" spans="1:14" x14ac:dyDescent="0.35">
      <c r="A1927">
        <v>1926</v>
      </c>
      <c r="B1927" s="1">
        <v>45007.208333333336</v>
      </c>
      <c r="C1927" s="2">
        <v>5.6944444444444443E-2</v>
      </c>
      <c r="D1927" s="3">
        <v>4409</v>
      </c>
      <c r="E1927" s="3">
        <v>264</v>
      </c>
      <c r="F1927" s="2">
        <v>59.713888888888896</v>
      </c>
      <c r="G1927" t="s">
        <v>2816</v>
      </c>
      <c r="H1927" t="s">
        <v>2813</v>
      </c>
      <c r="I1927" s="2">
        <v>0.25555555555555559</v>
      </c>
      <c r="J1927" s="4" t="str">
        <f>IF(Table1[[#This Row],[processing_time_hours]]&gt;1.5,"Slow", "Fast")</f>
        <v>Fast</v>
      </c>
      <c r="K1927" t="s">
        <v>2814</v>
      </c>
      <c r="L1927" s="3">
        <v>0</v>
      </c>
      <c r="M1927" t="str">
        <f>IF(Table1[[#This Row],[delayed]]=1,"Delayed","On Time")</f>
        <v>On Time</v>
      </c>
      <c r="N1927" t="str">
        <f>IF(AND(Table1[[#This Row],[delayed]]=1,Table1[[#This Row],[weather_condition]]="Storm"),"High Risk", IF(Table1[[#This Row],[delayed]]=1,"Medium Risk","Low Risk"))</f>
        <v>Low Risk</v>
      </c>
    </row>
    <row r="1928" spans="1:14" x14ac:dyDescent="0.35">
      <c r="A1928">
        <v>1927</v>
      </c>
      <c r="B1928" s="1">
        <v>45007.25</v>
      </c>
      <c r="C1928" s="2">
        <v>4.3055555555555562E-2</v>
      </c>
      <c r="D1928" s="3">
        <v>537</v>
      </c>
      <c r="E1928" s="3">
        <v>385</v>
      </c>
      <c r="F1928" s="2">
        <v>65.839583333333337</v>
      </c>
      <c r="G1928" t="s">
        <v>2816</v>
      </c>
      <c r="H1928" t="s">
        <v>2813</v>
      </c>
      <c r="I1928" s="2">
        <v>2.8333333333333335</v>
      </c>
      <c r="J1928" s="4" t="str">
        <f>IF(Table1[[#This Row],[processing_time_hours]]&gt;1.5,"Slow", "Fast")</f>
        <v>Slow</v>
      </c>
      <c r="K1928" t="s">
        <v>2818</v>
      </c>
      <c r="L1928" s="3">
        <v>1</v>
      </c>
      <c r="M1928" t="str">
        <f>IF(Table1[[#This Row],[delayed]]=1,"Delayed","On Time")</f>
        <v>Delayed</v>
      </c>
      <c r="N1928" t="str">
        <f>IF(AND(Table1[[#This Row],[delayed]]=1,Table1[[#This Row],[weather_condition]]="Storm"),"High Risk", IF(Table1[[#This Row],[delayed]]=1,"Medium Risk","Low Risk"))</f>
        <v>Medium Risk</v>
      </c>
    </row>
    <row r="1929" spans="1:14" x14ac:dyDescent="0.35">
      <c r="A1929">
        <v>1928</v>
      </c>
      <c r="B1929" s="1">
        <v>45007.291666666664</v>
      </c>
      <c r="C1929" s="2">
        <v>5.0694444444444438E-2</v>
      </c>
      <c r="D1929" s="3">
        <v>335</v>
      </c>
      <c r="E1929" s="3">
        <v>171</v>
      </c>
      <c r="F1929" s="2">
        <v>47.004861111111104</v>
      </c>
      <c r="G1929" t="s">
        <v>2816</v>
      </c>
      <c r="H1929" t="s">
        <v>2813</v>
      </c>
      <c r="I1929" s="2">
        <v>2.1277777777777778</v>
      </c>
      <c r="J1929" s="4" t="str">
        <f>IF(Table1[[#This Row],[processing_time_hours]]&gt;1.5,"Slow", "Fast")</f>
        <v>Slow</v>
      </c>
      <c r="K1929" t="s">
        <v>2818</v>
      </c>
      <c r="L1929" s="3">
        <v>1</v>
      </c>
      <c r="M1929" t="str">
        <f>IF(Table1[[#This Row],[delayed]]=1,"Delayed","On Time")</f>
        <v>Delayed</v>
      </c>
      <c r="N1929" t="str">
        <f>IF(AND(Table1[[#This Row],[delayed]]=1,Table1[[#This Row],[weather_condition]]="Storm"),"High Risk", IF(Table1[[#This Row],[delayed]]=1,"Medium Risk","Low Risk"))</f>
        <v>Medium Risk</v>
      </c>
    </row>
    <row r="1930" spans="1:14" x14ac:dyDescent="0.35">
      <c r="A1930">
        <v>1929</v>
      </c>
      <c r="B1930" s="1">
        <v>45007.333333333336</v>
      </c>
      <c r="C1930" s="2">
        <v>5.3472222222222227E-2</v>
      </c>
      <c r="D1930" s="3">
        <v>2305</v>
      </c>
      <c r="E1930" s="3">
        <v>356</v>
      </c>
      <c r="F1930" s="2">
        <v>29.584722222222222</v>
      </c>
      <c r="G1930" t="s">
        <v>2819</v>
      </c>
      <c r="H1930" t="s">
        <v>2822</v>
      </c>
      <c r="I1930" s="2">
        <v>1.8798611111111112</v>
      </c>
      <c r="J1930" s="4" t="str">
        <f>IF(Table1[[#This Row],[processing_time_hours]]&gt;1.5,"Slow", "Fast")</f>
        <v>Slow</v>
      </c>
      <c r="K1930" t="s">
        <v>2818</v>
      </c>
      <c r="L1930" s="3">
        <v>0</v>
      </c>
      <c r="M1930" t="str">
        <f>IF(Table1[[#This Row],[delayed]]=1,"Delayed","On Time")</f>
        <v>On Time</v>
      </c>
      <c r="N1930" t="str">
        <f>IF(AND(Table1[[#This Row],[delayed]]=1,Table1[[#This Row],[weather_condition]]="Storm"),"High Risk", IF(Table1[[#This Row],[delayed]]=1,"Medium Risk","Low Risk"))</f>
        <v>Low Risk</v>
      </c>
    </row>
    <row r="1931" spans="1:14" x14ac:dyDescent="0.35">
      <c r="A1931">
        <v>1930</v>
      </c>
      <c r="B1931" s="1">
        <v>45007.375</v>
      </c>
      <c r="C1931" s="2">
        <v>4.5833333333333337E-2</v>
      </c>
      <c r="D1931" s="3">
        <v>4675</v>
      </c>
      <c r="E1931" s="3">
        <v>362</v>
      </c>
      <c r="F1931" s="2">
        <v>33.459722222222219</v>
      </c>
      <c r="G1931" t="s">
        <v>2816</v>
      </c>
      <c r="H1931" t="s">
        <v>2813</v>
      </c>
      <c r="I1931" s="2">
        <v>1.2506944444444443</v>
      </c>
      <c r="J1931" s="4" t="str">
        <f>IF(Table1[[#This Row],[processing_time_hours]]&gt;1.5,"Slow", "Fast")</f>
        <v>Fast</v>
      </c>
      <c r="K1931" t="s">
        <v>2814</v>
      </c>
      <c r="L1931" s="3">
        <v>0</v>
      </c>
      <c r="M1931" t="str">
        <f>IF(Table1[[#This Row],[delayed]]=1,"Delayed","On Time")</f>
        <v>On Time</v>
      </c>
      <c r="N1931" t="str">
        <f>IF(AND(Table1[[#This Row],[delayed]]=1,Table1[[#This Row],[weather_condition]]="Storm"),"High Risk", IF(Table1[[#This Row],[delayed]]=1,"Medium Risk","Low Risk"))</f>
        <v>Low Risk</v>
      </c>
    </row>
    <row r="1932" spans="1:14" x14ac:dyDescent="0.35">
      <c r="A1932">
        <v>1931</v>
      </c>
      <c r="B1932" s="1">
        <v>45007.416666666664</v>
      </c>
      <c r="C1932" s="2">
        <v>5.6250000000000001E-2</v>
      </c>
      <c r="D1932" s="3">
        <v>4790</v>
      </c>
      <c r="E1932" s="3">
        <v>435</v>
      </c>
      <c r="F1932" s="2">
        <v>25.920833333333334</v>
      </c>
      <c r="G1932" t="s">
        <v>2819</v>
      </c>
      <c r="H1932" t="s">
        <v>2822</v>
      </c>
      <c r="I1932" s="2">
        <v>0.66666666666666663</v>
      </c>
      <c r="J1932" s="4" t="str">
        <f>IF(Table1[[#This Row],[processing_time_hours]]&gt;1.5,"Slow", "Fast")</f>
        <v>Fast</v>
      </c>
      <c r="K1932" t="s">
        <v>2821</v>
      </c>
      <c r="L1932" s="3">
        <v>1</v>
      </c>
      <c r="M1932" t="str">
        <f>IF(Table1[[#This Row],[delayed]]=1,"Delayed","On Time")</f>
        <v>Delayed</v>
      </c>
      <c r="N1932" t="str">
        <f>IF(AND(Table1[[#This Row],[delayed]]=1,Table1[[#This Row],[weather_condition]]="Storm"),"High Risk", IF(Table1[[#This Row],[delayed]]=1,"Medium Risk","Low Risk"))</f>
        <v>Medium Risk</v>
      </c>
    </row>
    <row r="1933" spans="1:14" x14ac:dyDescent="0.35">
      <c r="A1933">
        <v>1932</v>
      </c>
      <c r="B1933" s="1">
        <v>45007.458333333336</v>
      </c>
      <c r="C1933" s="2">
        <v>4.9999999999999996E-2</v>
      </c>
      <c r="D1933" s="3">
        <v>1126</v>
      </c>
      <c r="E1933" s="3">
        <v>120</v>
      </c>
      <c r="F1933" s="2">
        <v>26.797222222222221</v>
      </c>
      <c r="G1933" t="s">
        <v>2812</v>
      </c>
      <c r="H1933" t="s">
        <v>2820</v>
      </c>
      <c r="I1933" s="2">
        <v>0.8354166666666667</v>
      </c>
      <c r="J1933" s="4" t="str">
        <f>IF(Table1[[#This Row],[processing_time_hours]]&gt;1.5,"Slow", "Fast")</f>
        <v>Fast</v>
      </c>
      <c r="K1933" t="s">
        <v>2814</v>
      </c>
      <c r="L1933" s="3">
        <v>0</v>
      </c>
      <c r="M1933" t="str">
        <f>IF(Table1[[#This Row],[delayed]]=1,"Delayed","On Time")</f>
        <v>On Time</v>
      </c>
      <c r="N1933" t="str">
        <f>IF(AND(Table1[[#This Row],[delayed]]=1,Table1[[#This Row],[weather_condition]]="Storm"),"High Risk", IF(Table1[[#This Row],[delayed]]=1,"Medium Risk","Low Risk"))</f>
        <v>Low Risk</v>
      </c>
    </row>
    <row r="1934" spans="1:14" x14ac:dyDescent="0.35">
      <c r="A1934">
        <v>1933</v>
      </c>
      <c r="B1934" s="1">
        <v>45007.5</v>
      </c>
      <c r="C1934" s="2">
        <v>4.3750000000000004E-2</v>
      </c>
      <c r="D1934" s="3">
        <v>4352</v>
      </c>
      <c r="E1934" s="3">
        <v>404</v>
      </c>
      <c r="F1934" s="2">
        <v>29.041666666666668</v>
      </c>
      <c r="G1934" t="s">
        <v>2819</v>
      </c>
      <c r="H1934" t="s">
        <v>2822</v>
      </c>
      <c r="I1934" s="2">
        <v>1.3347222222222221</v>
      </c>
      <c r="J1934" s="4" t="str">
        <f>IF(Table1[[#This Row],[processing_time_hours]]&gt;1.5,"Slow", "Fast")</f>
        <v>Fast</v>
      </c>
      <c r="K1934" t="s">
        <v>2814</v>
      </c>
      <c r="L1934" s="3">
        <v>0</v>
      </c>
      <c r="M1934" t="str">
        <f>IF(Table1[[#This Row],[delayed]]=1,"Delayed","On Time")</f>
        <v>On Time</v>
      </c>
      <c r="N1934" t="str">
        <f>IF(AND(Table1[[#This Row],[delayed]]=1,Table1[[#This Row],[weather_condition]]="Storm"),"High Risk", IF(Table1[[#This Row],[delayed]]=1,"Medium Risk","Low Risk"))</f>
        <v>Low Risk</v>
      </c>
    </row>
    <row r="1935" spans="1:14" x14ac:dyDescent="0.35">
      <c r="A1935">
        <v>1934</v>
      </c>
      <c r="B1935" s="1">
        <v>45007.541666666664</v>
      </c>
      <c r="C1935" s="2">
        <v>4.5138888888888888E-2</v>
      </c>
      <c r="D1935" s="3">
        <v>4584</v>
      </c>
      <c r="E1935" s="3">
        <v>361</v>
      </c>
      <c r="F1935" s="2">
        <v>73.58819444444444</v>
      </c>
      <c r="G1935" t="s">
        <v>2816</v>
      </c>
      <c r="H1935" t="s">
        <v>2813</v>
      </c>
      <c r="I1935" s="2">
        <v>2.6708333333333329</v>
      </c>
      <c r="J1935" s="4" t="str">
        <f>IF(Table1[[#This Row],[processing_time_hours]]&gt;1.5,"Slow", "Fast")</f>
        <v>Slow</v>
      </c>
      <c r="K1935" t="s">
        <v>2821</v>
      </c>
      <c r="L1935" s="3">
        <v>0</v>
      </c>
      <c r="M1935" t="str">
        <f>IF(Table1[[#This Row],[delayed]]=1,"Delayed","On Time")</f>
        <v>On Time</v>
      </c>
      <c r="N1935" t="str">
        <f>IF(AND(Table1[[#This Row],[delayed]]=1,Table1[[#This Row],[weather_condition]]="Storm"),"High Risk", IF(Table1[[#This Row],[delayed]]=1,"Medium Risk","Low Risk"))</f>
        <v>Low Risk</v>
      </c>
    </row>
    <row r="1936" spans="1:14" x14ac:dyDescent="0.35">
      <c r="A1936">
        <v>1935</v>
      </c>
      <c r="B1936" s="1">
        <v>45007.583333333336</v>
      </c>
      <c r="C1936" s="2">
        <v>5.0694444444444438E-2</v>
      </c>
      <c r="D1936" s="3">
        <v>2149</v>
      </c>
      <c r="E1936" s="3">
        <v>128</v>
      </c>
      <c r="F1936" s="2">
        <v>49.297222222222224</v>
      </c>
      <c r="G1936" t="s">
        <v>2815</v>
      </c>
      <c r="H1936" t="s">
        <v>2817</v>
      </c>
      <c r="I1936" s="2">
        <v>2.3347222222222221</v>
      </c>
      <c r="J1936" s="4" t="str">
        <f>IF(Table1[[#This Row],[processing_time_hours]]&gt;1.5,"Slow", "Fast")</f>
        <v>Slow</v>
      </c>
      <c r="K1936" t="s">
        <v>2821</v>
      </c>
      <c r="L1936" s="3">
        <v>1</v>
      </c>
      <c r="M1936" t="str">
        <f>IF(Table1[[#This Row],[delayed]]=1,"Delayed","On Time")</f>
        <v>Delayed</v>
      </c>
      <c r="N1936" t="str">
        <f>IF(AND(Table1[[#This Row],[delayed]]=1,Table1[[#This Row],[weather_condition]]="Storm"),"High Risk", IF(Table1[[#This Row],[delayed]]=1,"Medium Risk","Low Risk"))</f>
        <v>High Risk</v>
      </c>
    </row>
    <row r="1937" spans="1:14" x14ac:dyDescent="0.35">
      <c r="A1937">
        <v>1936</v>
      </c>
      <c r="B1937" s="1">
        <v>45007.625</v>
      </c>
      <c r="C1937" s="2">
        <v>5.9722222222222225E-2</v>
      </c>
      <c r="D1937" s="3">
        <v>2480</v>
      </c>
      <c r="E1937" s="3">
        <v>239</v>
      </c>
      <c r="F1937" s="2">
        <v>46.919444444444444</v>
      </c>
      <c r="G1937" t="s">
        <v>2819</v>
      </c>
      <c r="H1937" t="s">
        <v>2820</v>
      </c>
      <c r="I1937" s="2">
        <v>2.6715277777777775</v>
      </c>
      <c r="J1937" s="4" t="str">
        <f>IF(Table1[[#This Row],[processing_time_hours]]&gt;1.5,"Slow", "Fast")</f>
        <v>Slow</v>
      </c>
      <c r="K1937" t="s">
        <v>2814</v>
      </c>
      <c r="L1937" s="3">
        <v>0</v>
      </c>
      <c r="M1937" t="str">
        <f>IF(Table1[[#This Row],[delayed]]=1,"Delayed","On Time")</f>
        <v>On Time</v>
      </c>
      <c r="N1937" t="str">
        <f>IF(AND(Table1[[#This Row],[delayed]]=1,Table1[[#This Row],[weather_condition]]="Storm"),"High Risk", IF(Table1[[#This Row],[delayed]]=1,"Medium Risk","Low Risk"))</f>
        <v>Low Risk</v>
      </c>
    </row>
    <row r="1938" spans="1:14" x14ac:dyDescent="0.35">
      <c r="A1938">
        <v>1937</v>
      </c>
      <c r="B1938" s="1">
        <v>45007.666666666664</v>
      </c>
      <c r="C1938" s="2">
        <v>6.3888888888888898E-2</v>
      </c>
      <c r="D1938" s="3">
        <v>381</v>
      </c>
      <c r="E1938" s="3">
        <v>109</v>
      </c>
      <c r="F1938" s="2">
        <v>15.000694444444443</v>
      </c>
      <c r="G1938" t="s">
        <v>2816</v>
      </c>
      <c r="H1938" t="s">
        <v>2817</v>
      </c>
      <c r="I1938" s="2">
        <v>0.25277777777777777</v>
      </c>
      <c r="J1938" s="4" t="str">
        <f>IF(Table1[[#This Row],[processing_time_hours]]&gt;1.5,"Slow", "Fast")</f>
        <v>Fast</v>
      </c>
      <c r="K1938" t="s">
        <v>2821</v>
      </c>
      <c r="L1938" s="3">
        <v>0</v>
      </c>
      <c r="M1938" t="str">
        <f>IF(Table1[[#This Row],[delayed]]=1,"Delayed","On Time")</f>
        <v>On Time</v>
      </c>
      <c r="N1938" t="str">
        <f>IF(AND(Table1[[#This Row],[delayed]]=1,Table1[[#This Row],[weather_condition]]="Storm"),"High Risk", IF(Table1[[#This Row],[delayed]]=1,"Medium Risk","Low Risk"))</f>
        <v>Low Risk</v>
      </c>
    </row>
    <row r="1939" spans="1:14" x14ac:dyDescent="0.35">
      <c r="A1939">
        <v>1938</v>
      </c>
      <c r="B1939" s="1">
        <v>45007.708333333336</v>
      </c>
      <c r="C1939" s="2">
        <v>5.486111111111111E-2</v>
      </c>
      <c r="D1939" s="3">
        <v>1842</v>
      </c>
      <c r="E1939" s="3">
        <v>452</v>
      </c>
      <c r="F1939" s="2">
        <v>12.5</v>
      </c>
      <c r="G1939" t="s">
        <v>2815</v>
      </c>
      <c r="H1939" t="s">
        <v>2820</v>
      </c>
      <c r="I1939" s="2">
        <v>2.6694444444444443</v>
      </c>
      <c r="J1939" s="4" t="str">
        <f>IF(Table1[[#This Row],[processing_time_hours]]&gt;1.5,"Slow", "Fast")</f>
        <v>Slow</v>
      </c>
      <c r="K1939" t="s">
        <v>2821</v>
      </c>
      <c r="L1939" s="3">
        <v>0</v>
      </c>
      <c r="M1939" t="str">
        <f>IF(Table1[[#This Row],[delayed]]=1,"Delayed","On Time")</f>
        <v>On Time</v>
      </c>
      <c r="N1939" t="str">
        <f>IF(AND(Table1[[#This Row],[delayed]]=1,Table1[[#This Row],[weather_condition]]="Storm"),"High Risk", IF(Table1[[#This Row],[delayed]]=1,"Medium Risk","Low Risk"))</f>
        <v>Low Risk</v>
      </c>
    </row>
    <row r="1940" spans="1:14" x14ac:dyDescent="0.35">
      <c r="A1940">
        <v>1939</v>
      </c>
      <c r="B1940" s="1">
        <v>45007.75</v>
      </c>
      <c r="C1940" s="2">
        <v>4.3055555555555562E-2</v>
      </c>
      <c r="D1940" s="3">
        <v>1017</v>
      </c>
      <c r="E1940" s="3">
        <v>430</v>
      </c>
      <c r="F1940" s="2">
        <v>70.006250000000009</v>
      </c>
      <c r="G1940" t="s">
        <v>2815</v>
      </c>
      <c r="H1940" t="s">
        <v>2817</v>
      </c>
      <c r="I1940" s="2">
        <v>1.7562499999999999</v>
      </c>
      <c r="J1940" s="4" t="str">
        <f>IF(Table1[[#This Row],[processing_time_hours]]&gt;1.5,"Slow", "Fast")</f>
        <v>Slow</v>
      </c>
      <c r="K1940" t="s">
        <v>2814</v>
      </c>
      <c r="L1940" s="3">
        <v>0</v>
      </c>
      <c r="M1940" t="str">
        <f>IF(Table1[[#This Row],[delayed]]=1,"Delayed","On Time")</f>
        <v>On Time</v>
      </c>
      <c r="N1940" t="str">
        <f>IF(AND(Table1[[#This Row],[delayed]]=1,Table1[[#This Row],[weather_condition]]="Storm"),"High Risk", IF(Table1[[#This Row],[delayed]]=1,"Medium Risk","Low Risk"))</f>
        <v>Low Risk</v>
      </c>
    </row>
    <row r="1941" spans="1:14" x14ac:dyDescent="0.35">
      <c r="A1941">
        <v>1940</v>
      </c>
      <c r="B1941" s="1">
        <v>45007.791666666664</v>
      </c>
      <c r="C1941" s="2">
        <v>5.8333333333333327E-2</v>
      </c>
      <c r="D1941" s="3">
        <v>4678</v>
      </c>
      <c r="E1941" s="3">
        <v>304</v>
      </c>
      <c r="F1941" s="2">
        <v>32.755555555555553</v>
      </c>
      <c r="G1941" t="s">
        <v>2815</v>
      </c>
      <c r="H1941" t="s">
        <v>2817</v>
      </c>
      <c r="I1941" s="2">
        <v>0.96388888888888891</v>
      </c>
      <c r="J1941" s="4" t="str">
        <f>IF(Table1[[#This Row],[processing_time_hours]]&gt;1.5,"Slow", "Fast")</f>
        <v>Fast</v>
      </c>
      <c r="K1941" t="s">
        <v>2818</v>
      </c>
      <c r="L1941" s="3">
        <v>1</v>
      </c>
      <c r="M1941" t="str">
        <f>IF(Table1[[#This Row],[delayed]]=1,"Delayed","On Time")</f>
        <v>Delayed</v>
      </c>
      <c r="N1941" t="str">
        <f>IF(AND(Table1[[#This Row],[delayed]]=1,Table1[[#This Row],[weather_condition]]="Storm"),"High Risk", IF(Table1[[#This Row],[delayed]]=1,"Medium Risk","Low Risk"))</f>
        <v>High Risk</v>
      </c>
    </row>
    <row r="1942" spans="1:14" x14ac:dyDescent="0.35">
      <c r="A1942">
        <v>1941</v>
      </c>
      <c r="B1942" s="1">
        <v>45007.833333333336</v>
      </c>
      <c r="C1942" s="2">
        <v>6.6666666666666666E-2</v>
      </c>
      <c r="D1942" s="3">
        <v>3783</v>
      </c>
      <c r="E1942" s="3">
        <v>495</v>
      </c>
      <c r="F1942" s="2">
        <v>80.211111111111109</v>
      </c>
      <c r="G1942" t="s">
        <v>2815</v>
      </c>
      <c r="H1942" t="s">
        <v>2817</v>
      </c>
      <c r="I1942" s="2">
        <v>0.62916666666666665</v>
      </c>
      <c r="J1942" s="4" t="str">
        <f>IF(Table1[[#This Row],[processing_time_hours]]&gt;1.5,"Slow", "Fast")</f>
        <v>Fast</v>
      </c>
      <c r="K1942" t="s">
        <v>2821</v>
      </c>
      <c r="L1942" s="3">
        <v>1</v>
      </c>
      <c r="M1942" t="str">
        <f>IF(Table1[[#This Row],[delayed]]=1,"Delayed","On Time")</f>
        <v>Delayed</v>
      </c>
      <c r="N1942" t="str">
        <f>IF(AND(Table1[[#This Row],[delayed]]=1,Table1[[#This Row],[weather_condition]]="Storm"),"High Risk", IF(Table1[[#This Row],[delayed]]=1,"Medium Risk","Low Risk"))</f>
        <v>High Risk</v>
      </c>
    </row>
    <row r="1943" spans="1:14" x14ac:dyDescent="0.35">
      <c r="A1943">
        <v>1942</v>
      </c>
      <c r="B1943" s="1">
        <v>45007.875</v>
      </c>
      <c r="C1943" s="2">
        <v>4.3055555555555562E-2</v>
      </c>
      <c r="D1943" s="3">
        <v>575</v>
      </c>
      <c r="E1943" s="3">
        <v>490</v>
      </c>
      <c r="F1943" s="2">
        <v>8.7138888888888886</v>
      </c>
      <c r="G1943" t="s">
        <v>2816</v>
      </c>
      <c r="H1943" t="s">
        <v>2813</v>
      </c>
      <c r="I1943" s="2">
        <v>2.6277777777777778</v>
      </c>
      <c r="J1943" s="4" t="str">
        <f>IF(Table1[[#This Row],[processing_time_hours]]&gt;1.5,"Slow", "Fast")</f>
        <v>Slow</v>
      </c>
      <c r="K1943" t="s">
        <v>2821</v>
      </c>
      <c r="L1943" s="3">
        <v>0</v>
      </c>
      <c r="M1943" t="str">
        <f>IF(Table1[[#This Row],[delayed]]=1,"Delayed","On Time")</f>
        <v>On Time</v>
      </c>
      <c r="N1943" t="str">
        <f>IF(AND(Table1[[#This Row],[delayed]]=1,Table1[[#This Row],[weather_condition]]="Storm"),"High Risk", IF(Table1[[#This Row],[delayed]]=1,"Medium Risk","Low Risk"))</f>
        <v>Low Risk</v>
      </c>
    </row>
    <row r="1944" spans="1:14" x14ac:dyDescent="0.35">
      <c r="A1944">
        <v>1943</v>
      </c>
      <c r="B1944" s="1">
        <v>45007.916666666664</v>
      </c>
      <c r="C1944" s="2">
        <v>5.1388888888888894E-2</v>
      </c>
      <c r="D1944" s="3">
        <v>186</v>
      </c>
      <c r="E1944" s="3">
        <v>168</v>
      </c>
      <c r="F1944" s="2">
        <v>37.922916666666666</v>
      </c>
      <c r="G1944" t="s">
        <v>2812</v>
      </c>
      <c r="H1944" t="s">
        <v>2817</v>
      </c>
      <c r="I1944" s="2">
        <v>0.71250000000000002</v>
      </c>
      <c r="J1944" s="4" t="str">
        <f>IF(Table1[[#This Row],[processing_time_hours]]&gt;1.5,"Slow", "Fast")</f>
        <v>Fast</v>
      </c>
      <c r="K1944" t="s">
        <v>2814</v>
      </c>
      <c r="L1944" s="3">
        <v>0</v>
      </c>
      <c r="M1944" t="str">
        <f>IF(Table1[[#This Row],[delayed]]=1,"Delayed","On Time")</f>
        <v>On Time</v>
      </c>
      <c r="N1944" t="str">
        <f>IF(AND(Table1[[#This Row],[delayed]]=1,Table1[[#This Row],[weather_condition]]="Storm"),"High Risk", IF(Table1[[#This Row],[delayed]]=1,"Medium Risk","Low Risk"))</f>
        <v>Low Risk</v>
      </c>
    </row>
    <row r="1945" spans="1:14" x14ac:dyDescent="0.35">
      <c r="A1945">
        <v>1944</v>
      </c>
      <c r="B1945" s="1">
        <v>45007.958333333336</v>
      </c>
      <c r="C1945" s="2">
        <v>4.2361111111111106E-2</v>
      </c>
      <c r="D1945" s="3">
        <v>2693</v>
      </c>
      <c r="E1945" s="3">
        <v>4</v>
      </c>
      <c r="F1945" s="2">
        <v>64.294444444444437</v>
      </c>
      <c r="G1945" t="s">
        <v>2812</v>
      </c>
      <c r="H1945" t="s">
        <v>2813</v>
      </c>
      <c r="I1945" s="2">
        <v>0.87777777777777777</v>
      </c>
      <c r="J1945" s="4" t="str">
        <f>IF(Table1[[#This Row],[processing_time_hours]]&gt;1.5,"Slow", "Fast")</f>
        <v>Fast</v>
      </c>
      <c r="K1945" t="s">
        <v>2814</v>
      </c>
      <c r="L1945" s="3">
        <v>0</v>
      </c>
      <c r="M1945" t="str">
        <f>IF(Table1[[#This Row],[delayed]]=1,"Delayed","On Time")</f>
        <v>On Time</v>
      </c>
      <c r="N1945" t="str">
        <f>IF(AND(Table1[[#This Row],[delayed]]=1,Table1[[#This Row],[weather_condition]]="Storm"),"High Risk", IF(Table1[[#This Row],[delayed]]=1,"Medium Risk","Low Risk"))</f>
        <v>Low Risk</v>
      </c>
    </row>
    <row r="1946" spans="1:14" x14ac:dyDescent="0.35">
      <c r="A1946">
        <v>1945</v>
      </c>
      <c r="B1946" s="1">
        <v>45008</v>
      </c>
      <c r="C1946" s="2">
        <v>5.7638888888888885E-2</v>
      </c>
      <c r="D1946" s="3">
        <v>3457</v>
      </c>
      <c r="E1946" s="3">
        <v>135</v>
      </c>
      <c r="F1946" s="2">
        <v>29.214583333333334</v>
      </c>
      <c r="G1946" t="s">
        <v>2819</v>
      </c>
      <c r="H1946" t="s">
        <v>2817</v>
      </c>
      <c r="I1946" s="2">
        <v>2.2513888888888887</v>
      </c>
      <c r="J1946" s="4" t="str">
        <f>IF(Table1[[#This Row],[processing_time_hours]]&gt;1.5,"Slow", "Fast")</f>
        <v>Slow</v>
      </c>
      <c r="K1946" t="s">
        <v>2821</v>
      </c>
      <c r="L1946" s="3">
        <v>1</v>
      </c>
      <c r="M1946" t="str">
        <f>IF(Table1[[#This Row],[delayed]]=1,"Delayed","On Time")</f>
        <v>Delayed</v>
      </c>
      <c r="N1946" t="str">
        <f>IF(AND(Table1[[#This Row],[delayed]]=1,Table1[[#This Row],[weather_condition]]="Storm"),"High Risk", IF(Table1[[#This Row],[delayed]]=1,"Medium Risk","Low Risk"))</f>
        <v>High Risk</v>
      </c>
    </row>
    <row r="1947" spans="1:14" x14ac:dyDescent="0.35">
      <c r="A1947">
        <v>1946</v>
      </c>
      <c r="B1947" s="1">
        <v>45008.041666666664</v>
      </c>
      <c r="C1947" s="2">
        <v>4.4444444444444446E-2</v>
      </c>
      <c r="D1947" s="3">
        <v>421</v>
      </c>
      <c r="E1947" s="3">
        <v>284</v>
      </c>
      <c r="F1947" s="2">
        <v>50</v>
      </c>
      <c r="G1947" t="s">
        <v>2816</v>
      </c>
      <c r="H1947" t="s">
        <v>2817</v>
      </c>
      <c r="I1947" s="2">
        <v>1.1722222222222223</v>
      </c>
      <c r="J1947" s="4" t="str">
        <f>IF(Table1[[#This Row],[processing_time_hours]]&gt;1.5,"Slow", "Fast")</f>
        <v>Fast</v>
      </c>
      <c r="K1947" t="s">
        <v>2814</v>
      </c>
      <c r="L1947" s="3">
        <v>0</v>
      </c>
      <c r="M1947" t="str">
        <f>IF(Table1[[#This Row],[delayed]]=1,"Delayed","On Time")</f>
        <v>On Time</v>
      </c>
      <c r="N1947" t="str">
        <f>IF(AND(Table1[[#This Row],[delayed]]=1,Table1[[#This Row],[weather_condition]]="Storm"),"High Risk", IF(Table1[[#This Row],[delayed]]=1,"Medium Risk","Low Risk"))</f>
        <v>Low Risk</v>
      </c>
    </row>
    <row r="1948" spans="1:14" x14ac:dyDescent="0.35">
      <c r="A1948">
        <v>1947</v>
      </c>
      <c r="B1948" s="1">
        <v>45008.083333333336</v>
      </c>
      <c r="C1948" s="2">
        <v>6.805555555555555E-2</v>
      </c>
      <c r="D1948" s="3">
        <v>4483</v>
      </c>
      <c r="E1948" s="3">
        <v>344</v>
      </c>
      <c r="F1948" s="2">
        <v>47.089583333333337</v>
      </c>
      <c r="G1948" t="s">
        <v>2815</v>
      </c>
      <c r="H1948" t="s">
        <v>2813</v>
      </c>
      <c r="I1948" s="2">
        <v>0.46111111111111108</v>
      </c>
      <c r="J1948" s="4" t="str">
        <f>IF(Table1[[#This Row],[processing_time_hours]]&gt;1.5,"Slow", "Fast")</f>
        <v>Fast</v>
      </c>
      <c r="K1948" t="s">
        <v>2814</v>
      </c>
      <c r="L1948" s="3">
        <v>0</v>
      </c>
      <c r="M1948" t="str">
        <f>IF(Table1[[#This Row],[delayed]]=1,"Delayed","On Time")</f>
        <v>On Time</v>
      </c>
      <c r="N1948" t="str">
        <f>IF(AND(Table1[[#This Row],[delayed]]=1,Table1[[#This Row],[weather_condition]]="Storm"),"High Risk", IF(Table1[[#This Row],[delayed]]=1,"Medium Risk","Low Risk"))</f>
        <v>Low Risk</v>
      </c>
    </row>
    <row r="1949" spans="1:14" x14ac:dyDescent="0.35">
      <c r="A1949">
        <v>1948</v>
      </c>
      <c r="B1949" s="1">
        <v>45008.125</v>
      </c>
      <c r="C1949" s="2">
        <v>5.2777777777777778E-2</v>
      </c>
      <c r="D1949" s="3">
        <v>4568</v>
      </c>
      <c r="E1949" s="3">
        <v>307</v>
      </c>
      <c r="F1949" s="2">
        <v>28.752083333333331</v>
      </c>
      <c r="G1949" t="s">
        <v>2815</v>
      </c>
      <c r="H1949" t="s">
        <v>2820</v>
      </c>
      <c r="I1949" s="2">
        <v>1.9597222222222221</v>
      </c>
      <c r="J1949" s="4" t="str">
        <f>IF(Table1[[#This Row],[processing_time_hours]]&gt;1.5,"Slow", "Fast")</f>
        <v>Slow</v>
      </c>
      <c r="K1949" t="s">
        <v>2818</v>
      </c>
      <c r="L1949" s="3">
        <v>1</v>
      </c>
      <c r="M1949" t="str">
        <f>IF(Table1[[#This Row],[delayed]]=1,"Delayed","On Time")</f>
        <v>Delayed</v>
      </c>
      <c r="N1949" t="str">
        <f>IF(AND(Table1[[#This Row],[delayed]]=1,Table1[[#This Row],[weather_condition]]="Storm"),"High Risk", IF(Table1[[#This Row],[delayed]]=1,"Medium Risk","Low Risk"))</f>
        <v>Medium Risk</v>
      </c>
    </row>
    <row r="1950" spans="1:14" x14ac:dyDescent="0.35">
      <c r="A1950">
        <v>1949</v>
      </c>
      <c r="B1950" s="1">
        <v>45008.166666666664</v>
      </c>
      <c r="C1950" s="2">
        <v>5.9027777777777783E-2</v>
      </c>
      <c r="D1950" s="3">
        <v>647</v>
      </c>
      <c r="E1950" s="3">
        <v>482</v>
      </c>
      <c r="F1950" s="2">
        <v>74.297222222222231</v>
      </c>
      <c r="G1950" t="s">
        <v>2816</v>
      </c>
      <c r="H1950" t="s">
        <v>2820</v>
      </c>
      <c r="I1950" s="2">
        <v>0.29305555555555557</v>
      </c>
      <c r="J1950" s="4" t="str">
        <f>IF(Table1[[#This Row],[processing_time_hours]]&gt;1.5,"Slow", "Fast")</f>
        <v>Fast</v>
      </c>
      <c r="K1950" t="s">
        <v>2814</v>
      </c>
      <c r="L1950" s="3">
        <v>0</v>
      </c>
      <c r="M1950" t="str">
        <f>IF(Table1[[#This Row],[delayed]]=1,"Delayed","On Time")</f>
        <v>On Time</v>
      </c>
      <c r="N1950" t="str">
        <f>IF(AND(Table1[[#This Row],[delayed]]=1,Table1[[#This Row],[weather_condition]]="Storm"),"High Risk", IF(Table1[[#This Row],[delayed]]=1,"Medium Risk","Low Risk"))</f>
        <v>Low Risk</v>
      </c>
    </row>
    <row r="1951" spans="1:14" x14ac:dyDescent="0.35">
      <c r="A1951">
        <v>1950</v>
      </c>
      <c r="B1951" s="1">
        <v>45008.208333333336</v>
      </c>
      <c r="C1951" s="2">
        <v>5.0694444444444438E-2</v>
      </c>
      <c r="D1951" s="3">
        <v>4128</v>
      </c>
      <c r="E1951" s="3">
        <v>198</v>
      </c>
      <c r="F1951" s="2">
        <v>25.752083333333331</v>
      </c>
      <c r="G1951" t="s">
        <v>2812</v>
      </c>
      <c r="H1951" t="s">
        <v>2820</v>
      </c>
      <c r="I1951" s="2">
        <v>2.3812500000000001</v>
      </c>
      <c r="J1951" s="4" t="str">
        <f>IF(Table1[[#This Row],[processing_time_hours]]&gt;1.5,"Slow", "Fast")</f>
        <v>Slow</v>
      </c>
      <c r="K1951" t="s">
        <v>2821</v>
      </c>
      <c r="L1951" s="3">
        <v>0</v>
      </c>
      <c r="M1951" t="str">
        <f>IF(Table1[[#This Row],[delayed]]=1,"Delayed","On Time")</f>
        <v>On Time</v>
      </c>
      <c r="N1951" t="str">
        <f>IF(AND(Table1[[#This Row],[delayed]]=1,Table1[[#This Row],[weather_condition]]="Storm"),"High Risk", IF(Table1[[#This Row],[delayed]]=1,"Medium Risk","Low Risk"))</f>
        <v>Low Risk</v>
      </c>
    </row>
    <row r="1952" spans="1:14" x14ac:dyDescent="0.35">
      <c r="A1952">
        <v>1951</v>
      </c>
      <c r="B1952" s="1">
        <v>45008.25</v>
      </c>
      <c r="C1952" s="2">
        <v>5.0694444444444438E-2</v>
      </c>
      <c r="D1952" s="3">
        <v>533</v>
      </c>
      <c r="E1952" s="3">
        <v>35</v>
      </c>
      <c r="F1952" s="2">
        <v>77.958333333333329</v>
      </c>
      <c r="G1952" t="s">
        <v>2812</v>
      </c>
      <c r="H1952" t="s">
        <v>2817</v>
      </c>
      <c r="I1952" s="2">
        <v>0.13055555555555556</v>
      </c>
      <c r="J1952" s="4" t="str">
        <f>IF(Table1[[#This Row],[processing_time_hours]]&gt;1.5,"Slow", "Fast")</f>
        <v>Fast</v>
      </c>
      <c r="K1952" t="s">
        <v>2818</v>
      </c>
      <c r="L1952" s="3">
        <v>0</v>
      </c>
      <c r="M1952" t="str">
        <f>IF(Table1[[#This Row],[delayed]]=1,"Delayed","On Time")</f>
        <v>On Time</v>
      </c>
      <c r="N1952" t="str">
        <f>IF(AND(Table1[[#This Row],[delayed]]=1,Table1[[#This Row],[weather_condition]]="Storm"),"High Risk", IF(Table1[[#This Row],[delayed]]=1,"Medium Risk","Low Risk"))</f>
        <v>Low Risk</v>
      </c>
    </row>
    <row r="1953" spans="1:14" x14ac:dyDescent="0.35">
      <c r="A1953">
        <v>1952</v>
      </c>
      <c r="B1953" s="1">
        <v>45008.291666666664</v>
      </c>
      <c r="C1953" s="2">
        <v>4.1666666666666666E-3</v>
      </c>
      <c r="D1953" s="3">
        <v>3762</v>
      </c>
      <c r="E1953" s="3">
        <v>268</v>
      </c>
      <c r="F1953" s="2">
        <v>65.336111111111109</v>
      </c>
      <c r="G1953" t="s">
        <v>2815</v>
      </c>
      <c r="H1953" t="s">
        <v>2813</v>
      </c>
      <c r="I1953" s="2">
        <v>0.9604166666666667</v>
      </c>
      <c r="J1953" s="4" t="str">
        <f>IF(Table1[[#This Row],[processing_time_hours]]&gt;1.5,"Slow", "Fast")</f>
        <v>Fast</v>
      </c>
      <c r="K1953" t="s">
        <v>2814</v>
      </c>
      <c r="L1953" s="3">
        <v>0</v>
      </c>
      <c r="M1953" t="str">
        <f>IF(Table1[[#This Row],[delayed]]=1,"Delayed","On Time")</f>
        <v>On Time</v>
      </c>
      <c r="N1953" t="str">
        <f>IF(AND(Table1[[#This Row],[delayed]]=1,Table1[[#This Row],[weather_condition]]="Storm"),"High Risk", IF(Table1[[#This Row],[delayed]]=1,"Medium Risk","Low Risk"))</f>
        <v>Low Risk</v>
      </c>
    </row>
    <row r="1954" spans="1:14" x14ac:dyDescent="0.35">
      <c r="A1954">
        <v>1953</v>
      </c>
      <c r="B1954" s="1">
        <v>45008.333333333336</v>
      </c>
      <c r="C1954" s="2">
        <v>6.5972222222222224E-2</v>
      </c>
      <c r="D1954" s="3">
        <v>413</v>
      </c>
      <c r="E1954" s="3">
        <v>489</v>
      </c>
      <c r="F1954" s="2">
        <v>39.62638888888889</v>
      </c>
      <c r="G1954" t="s">
        <v>2812</v>
      </c>
      <c r="H1954" t="s">
        <v>2822</v>
      </c>
      <c r="I1954" s="2">
        <v>2.3791666666666669</v>
      </c>
      <c r="J1954" s="4" t="str">
        <f>IF(Table1[[#This Row],[processing_time_hours]]&gt;1.5,"Slow", "Fast")</f>
        <v>Slow</v>
      </c>
      <c r="K1954" t="s">
        <v>2821</v>
      </c>
      <c r="L1954" s="3">
        <v>0</v>
      </c>
      <c r="M1954" t="str">
        <f>IF(Table1[[#This Row],[delayed]]=1,"Delayed","On Time")</f>
        <v>On Time</v>
      </c>
      <c r="N1954" t="str">
        <f>IF(AND(Table1[[#This Row],[delayed]]=1,Table1[[#This Row],[weather_condition]]="Storm"),"High Risk", IF(Table1[[#This Row],[delayed]]=1,"Medium Risk","Low Risk"))</f>
        <v>Low Risk</v>
      </c>
    </row>
    <row r="1955" spans="1:14" x14ac:dyDescent="0.35">
      <c r="A1955">
        <v>1954</v>
      </c>
      <c r="B1955" s="1">
        <v>45008.375</v>
      </c>
      <c r="C1955" s="2">
        <v>4.9305555555555554E-2</v>
      </c>
      <c r="D1955" s="3">
        <v>1231</v>
      </c>
      <c r="E1955" s="3">
        <v>463</v>
      </c>
      <c r="F1955" s="2">
        <v>79.75277777777778</v>
      </c>
      <c r="G1955" t="s">
        <v>2819</v>
      </c>
      <c r="H1955" t="s">
        <v>2817</v>
      </c>
      <c r="I1955" s="2">
        <v>1.54375</v>
      </c>
      <c r="J1955" s="4" t="str">
        <f>IF(Table1[[#This Row],[processing_time_hours]]&gt;1.5,"Slow", "Fast")</f>
        <v>Slow</v>
      </c>
      <c r="K1955" t="s">
        <v>2818</v>
      </c>
      <c r="L1955" s="3">
        <v>1</v>
      </c>
      <c r="M1955" t="str">
        <f>IF(Table1[[#This Row],[delayed]]=1,"Delayed","On Time")</f>
        <v>Delayed</v>
      </c>
      <c r="N1955" t="str">
        <f>IF(AND(Table1[[#This Row],[delayed]]=1,Table1[[#This Row],[weather_condition]]="Storm"),"High Risk", IF(Table1[[#This Row],[delayed]]=1,"Medium Risk","Low Risk"))</f>
        <v>High Risk</v>
      </c>
    </row>
    <row r="1956" spans="1:14" x14ac:dyDescent="0.35">
      <c r="A1956">
        <v>1955</v>
      </c>
      <c r="B1956" s="1">
        <v>45008.416666666664</v>
      </c>
      <c r="C1956" s="2">
        <v>4.8611111111111112E-3</v>
      </c>
      <c r="D1956" s="3">
        <v>4895</v>
      </c>
      <c r="E1956" s="3">
        <v>96</v>
      </c>
      <c r="F1956" s="2">
        <v>30.794444444444448</v>
      </c>
      <c r="G1956" t="s">
        <v>2812</v>
      </c>
      <c r="H1956" t="s">
        <v>2822</v>
      </c>
      <c r="I1956" s="2">
        <v>2.8777777777777778</v>
      </c>
      <c r="J1956" s="4" t="str">
        <f>IF(Table1[[#This Row],[processing_time_hours]]&gt;1.5,"Slow", "Fast")</f>
        <v>Slow</v>
      </c>
      <c r="K1956" t="s">
        <v>2818</v>
      </c>
      <c r="L1956" s="3">
        <v>0</v>
      </c>
      <c r="M1956" t="str">
        <f>IF(Table1[[#This Row],[delayed]]=1,"Delayed","On Time")</f>
        <v>On Time</v>
      </c>
      <c r="N1956" t="str">
        <f>IF(AND(Table1[[#This Row],[delayed]]=1,Table1[[#This Row],[weather_condition]]="Storm"),"High Risk", IF(Table1[[#This Row],[delayed]]=1,"Medium Risk","Low Risk"))</f>
        <v>Low Risk</v>
      </c>
    </row>
    <row r="1957" spans="1:14" x14ac:dyDescent="0.35">
      <c r="A1957">
        <v>1956</v>
      </c>
      <c r="B1957" s="1">
        <v>45008.458333333336</v>
      </c>
      <c r="C1957" s="2">
        <v>5.1388888888888894E-2</v>
      </c>
      <c r="D1957" s="3">
        <v>62</v>
      </c>
      <c r="E1957" s="3">
        <v>305</v>
      </c>
      <c r="F1957" s="2">
        <v>66.045138888888886</v>
      </c>
      <c r="G1957" t="s">
        <v>2819</v>
      </c>
      <c r="H1957" t="s">
        <v>2822</v>
      </c>
      <c r="I1957" s="2">
        <v>1.8368055555555556</v>
      </c>
      <c r="J1957" s="4" t="str">
        <f>IF(Table1[[#This Row],[processing_time_hours]]&gt;1.5,"Slow", "Fast")</f>
        <v>Slow</v>
      </c>
      <c r="K1957" t="s">
        <v>2814</v>
      </c>
      <c r="L1957" s="3">
        <v>0</v>
      </c>
      <c r="M1957" t="str">
        <f>IF(Table1[[#This Row],[delayed]]=1,"Delayed","On Time")</f>
        <v>On Time</v>
      </c>
      <c r="N1957" t="str">
        <f>IF(AND(Table1[[#This Row],[delayed]]=1,Table1[[#This Row],[weather_condition]]="Storm"),"High Risk", IF(Table1[[#This Row],[delayed]]=1,"Medium Risk","Low Risk"))</f>
        <v>Low Risk</v>
      </c>
    </row>
    <row r="1958" spans="1:14" x14ac:dyDescent="0.35">
      <c r="A1958">
        <v>1957</v>
      </c>
      <c r="B1958" s="1">
        <v>45008.5</v>
      </c>
      <c r="C1958" s="2">
        <v>4.6527777777777779E-2</v>
      </c>
      <c r="D1958" s="3">
        <v>832</v>
      </c>
      <c r="E1958" s="3">
        <v>359</v>
      </c>
      <c r="F1958" s="2">
        <v>60.295833333333327</v>
      </c>
      <c r="G1958" t="s">
        <v>2819</v>
      </c>
      <c r="H1958" t="s">
        <v>2817</v>
      </c>
      <c r="I1958" s="2">
        <v>1.9194444444444445</v>
      </c>
      <c r="J1958" s="4" t="str">
        <f>IF(Table1[[#This Row],[processing_time_hours]]&gt;1.5,"Slow", "Fast")</f>
        <v>Slow</v>
      </c>
      <c r="K1958" t="s">
        <v>2814</v>
      </c>
      <c r="L1958" s="3">
        <v>0</v>
      </c>
      <c r="M1958" t="str">
        <f>IF(Table1[[#This Row],[delayed]]=1,"Delayed","On Time")</f>
        <v>On Time</v>
      </c>
      <c r="N1958" t="str">
        <f>IF(AND(Table1[[#This Row],[delayed]]=1,Table1[[#This Row],[weather_condition]]="Storm"),"High Risk", IF(Table1[[#This Row],[delayed]]=1,"Medium Risk","Low Risk"))</f>
        <v>Low Risk</v>
      </c>
    </row>
    <row r="1959" spans="1:14" x14ac:dyDescent="0.35">
      <c r="A1959">
        <v>1958</v>
      </c>
      <c r="B1959" s="1">
        <v>45008.541666666664</v>
      </c>
      <c r="C1959" s="2">
        <v>4.9999999999999996E-2</v>
      </c>
      <c r="D1959" s="3">
        <v>1132</v>
      </c>
      <c r="E1959" s="3">
        <v>168</v>
      </c>
      <c r="F1959" s="2">
        <v>15.709722222222224</v>
      </c>
      <c r="G1959" t="s">
        <v>2815</v>
      </c>
      <c r="H1959" t="s">
        <v>2813</v>
      </c>
      <c r="I1959" s="2">
        <v>2.5465277777777779</v>
      </c>
      <c r="J1959" s="4" t="str">
        <f>IF(Table1[[#This Row],[processing_time_hours]]&gt;1.5,"Slow", "Fast")</f>
        <v>Slow</v>
      </c>
      <c r="K1959" t="s">
        <v>2814</v>
      </c>
      <c r="L1959" s="3">
        <v>0</v>
      </c>
      <c r="M1959" t="str">
        <f>IF(Table1[[#This Row],[delayed]]=1,"Delayed","On Time")</f>
        <v>On Time</v>
      </c>
      <c r="N1959" t="str">
        <f>IF(AND(Table1[[#This Row],[delayed]]=1,Table1[[#This Row],[weather_condition]]="Storm"),"High Risk", IF(Table1[[#This Row],[delayed]]=1,"Medium Risk","Low Risk"))</f>
        <v>Low Risk</v>
      </c>
    </row>
    <row r="1960" spans="1:14" x14ac:dyDescent="0.35">
      <c r="A1960">
        <v>1959</v>
      </c>
      <c r="B1960" s="1">
        <v>45008.583333333336</v>
      </c>
      <c r="C1960" s="2">
        <v>4.9305555555555554E-2</v>
      </c>
      <c r="D1960" s="3">
        <v>3467</v>
      </c>
      <c r="E1960" s="3">
        <v>32</v>
      </c>
      <c r="F1960" s="2">
        <v>51.418749999999996</v>
      </c>
      <c r="G1960" t="s">
        <v>2815</v>
      </c>
      <c r="H1960" t="s">
        <v>2822</v>
      </c>
      <c r="I1960" s="2">
        <v>2.7951388888888888</v>
      </c>
      <c r="J1960" s="4" t="str">
        <f>IF(Table1[[#This Row],[processing_time_hours]]&gt;1.5,"Slow", "Fast")</f>
        <v>Slow</v>
      </c>
      <c r="K1960" t="s">
        <v>2818</v>
      </c>
      <c r="L1960" s="3">
        <v>0</v>
      </c>
      <c r="M1960" t="str">
        <f>IF(Table1[[#This Row],[delayed]]=1,"Delayed","On Time")</f>
        <v>On Time</v>
      </c>
      <c r="N1960" t="str">
        <f>IF(AND(Table1[[#This Row],[delayed]]=1,Table1[[#This Row],[weather_condition]]="Storm"),"High Risk", IF(Table1[[#This Row],[delayed]]=1,"Medium Risk","Low Risk"))</f>
        <v>Low Risk</v>
      </c>
    </row>
    <row r="1961" spans="1:14" x14ac:dyDescent="0.35">
      <c r="A1961">
        <v>1960</v>
      </c>
      <c r="B1961" s="1">
        <v>45008.625</v>
      </c>
      <c r="C1961" s="2">
        <v>6.8749999999999992E-2</v>
      </c>
      <c r="D1961" s="3">
        <v>217</v>
      </c>
      <c r="E1961" s="3">
        <v>299</v>
      </c>
      <c r="F1961" s="2">
        <v>13.211805555555555</v>
      </c>
      <c r="G1961" t="s">
        <v>2812</v>
      </c>
      <c r="H1961" t="s">
        <v>2817</v>
      </c>
      <c r="I1961" s="2">
        <v>0.25138888888888888</v>
      </c>
      <c r="J1961" s="4" t="str">
        <f>IF(Table1[[#This Row],[processing_time_hours]]&gt;1.5,"Slow", "Fast")</f>
        <v>Fast</v>
      </c>
      <c r="K1961" t="s">
        <v>2818</v>
      </c>
      <c r="L1961" s="3">
        <v>0</v>
      </c>
      <c r="M1961" t="str">
        <f>IF(Table1[[#This Row],[delayed]]=1,"Delayed","On Time")</f>
        <v>On Time</v>
      </c>
      <c r="N1961" t="str">
        <f>IF(AND(Table1[[#This Row],[delayed]]=1,Table1[[#This Row],[weather_condition]]="Storm"),"High Risk", IF(Table1[[#This Row],[delayed]]=1,"Medium Risk","Low Risk"))</f>
        <v>Low Risk</v>
      </c>
    </row>
    <row r="1962" spans="1:14" x14ac:dyDescent="0.35">
      <c r="A1962">
        <v>1961</v>
      </c>
      <c r="B1962" s="1">
        <v>45008.666666666664</v>
      </c>
      <c r="C1962" s="2">
        <v>6.5972222222222224E-2</v>
      </c>
      <c r="D1962" s="3">
        <v>363</v>
      </c>
      <c r="E1962" s="3">
        <v>453</v>
      </c>
      <c r="F1962" s="2">
        <v>62.460416666666667</v>
      </c>
      <c r="G1962" t="s">
        <v>2815</v>
      </c>
      <c r="H1962" t="s">
        <v>2822</v>
      </c>
      <c r="I1962" s="2">
        <v>2.6291666666666669</v>
      </c>
      <c r="J1962" s="4" t="str">
        <f>IF(Table1[[#This Row],[processing_time_hours]]&gt;1.5,"Slow", "Fast")</f>
        <v>Slow</v>
      </c>
      <c r="K1962" t="s">
        <v>2821</v>
      </c>
      <c r="L1962" s="3">
        <v>0</v>
      </c>
      <c r="M1962" t="str">
        <f>IF(Table1[[#This Row],[delayed]]=1,"Delayed","On Time")</f>
        <v>On Time</v>
      </c>
      <c r="N1962" t="str">
        <f>IF(AND(Table1[[#This Row],[delayed]]=1,Table1[[#This Row],[weather_condition]]="Storm"),"High Risk", IF(Table1[[#This Row],[delayed]]=1,"Medium Risk","Low Risk"))</f>
        <v>Low Risk</v>
      </c>
    </row>
    <row r="1963" spans="1:14" x14ac:dyDescent="0.35">
      <c r="A1963">
        <v>1962</v>
      </c>
      <c r="B1963" s="1">
        <v>45008.708333333336</v>
      </c>
      <c r="C1963" s="2">
        <v>4.9305555555555554E-2</v>
      </c>
      <c r="D1963" s="3">
        <v>4260</v>
      </c>
      <c r="E1963" s="3">
        <v>230</v>
      </c>
      <c r="F1963" s="2">
        <v>72.791666666666671</v>
      </c>
      <c r="G1963" t="s">
        <v>2815</v>
      </c>
      <c r="H1963" t="s">
        <v>2813</v>
      </c>
      <c r="I1963" s="2">
        <v>2.2937499999999997</v>
      </c>
      <c r="J1963" s="4" t="str">
        <f>IF(Table1[[#This Row],[processing_time_hours]]&gt;1.5,"Slow", "Fast")</f>
        <v>Slow</v>
      </c>
      <c r="K1963" t="s">
        <v>2818</v>
      </c>
      <c r="L1963" s="3">
        <v>1</v>
      </c>
      <c r="M1963" t="str">
        <f>IF(Table1[[#This Row],[delayed]]=1,"Delayed","On Time")</f>
        <v>Delayed</v>
      </c>
      <c r="N1963" t="str">
        <f>IF(AND(Table1[[#This Row],[delayed]]=1,Table1[[#This Row],[weather_condition]]="Storm"),"High Risk", IF(Table1[[#This Row],[delayed]]=1,"Medium Risk","Low Risk"))</f>
        <v>Medium Risk</v>
      </c>
    </row>
    <row r="1964" spans="1:14" x14ac:dyDescent="0.35">
      <c r="A1964">
        <v>1963</v>
      </c>
      <c r="B1964" s="1">
        <v>45008.75</v>
      </c>
      <c r="C1964" s="2">
        <v>6.5277777777777782E-2</v>
      </c>
      <c r="D1964" s="3">
        <v>432</v>
      </c>
      <c r="E1964" s="3">
        <v>42</v>
      </c>
      <c r="F1964" s="2">
        <v>69.833333333333329</v>
      </c>
      <c r="G1964" t="s">
        <v>2819</v>
      </c>
      <c r="H1964" t="s">
        <v>2817</v>
      </c>
      <c r="I1964" s="2">
        <v>2.5430555555555556</v>
      </c>
      <c r="J1964" s="4" t="str">
        <f>IF(Table1[[#This Row],[processing_time_hours]]&gt;1.5,"Slow", "Fast")</f>
        <v>Slow</v>
      </c>
      <c r="K1964" t="s">
        <v>2821</v>
      </c>
      <c r="L1964" s="3">
        <v>1</v>
      </c>
      <c r="M1964" t="str">
        <f>IF(Table1[[#This Row],[delayed]]=1,"Delayed","On Time")</f>
        <v>Delayed</v>
      </c>
      <c r="N1964" t="str">
        <f>IF(AND(Table1[[#This Row],[delayed]]=1,Table1[[#This Row],[weather_condition]]="Storm"),"High Risk", IF(Table1[[#This Row],[delayed]]=1,"Medium Risk","Low Risk"))</f>
        <v>High Risk</v>
      </c>
    </row>
    <row r="1965" spans="1:14" x14ac:dyDescent="0.35">
      <c r="A1965">
        <v>1964</v>
      </c>
      <c r="B1965" s="1">
        <v>45008.791666666664</v>
      </c>
      <c r="C1965" s="2">
        <v>4.3055555555555562E-2</v>
      </c>
      <c r="D1965" s="3">
        <v>1759</v>
      </c>
      <c r="E1965" s="3">
        <v>158</v>
      </c>
      <c r="F1965" s="2">
        <v>59.627083333333331</v>
      </c>
      <c r="G1965" t="s">
        <v>2816</v>
      </c>
      <c r="H1965" t="s">
        <v>2820</v>
      </c>
      <c r="I1965" s="2">
        <v>2.2972222222222221</v>
      </c>
      <c r="J1965" s="4" t="str">
        <f>IF(Table1[[#This Row],[processing_time_hours]]&gt;1.5,"Slow", "Fast")</f>
        <v>Slow</v>
      </c>
      <c r="K1965" t="s">
        <v>2814</v>
      </c>
      <c r="L1965" s="3">
        <v>1</v>
      </c>
      <c r="M1965" t="str">
        <f>IF(Table1[[#This Row],[delayed]]=1,"Delayed","On Time")</f>
        <v>Delayed</v>
      </c>
      <c r="N1965" t="str">
        <f>IF(AND(Table1[[#This Row],[delayed]]=1,Table1[[#This Row],[weather_condition]]="Storm"),"High Risk", IF(Table1[[#This Row],[delayed]]=1,"Medium Risk","Low Risk"))</f>
        <v>Medium Risk</v>
      </c>
    </row>
    <row r="1966" spans="1:14" x14ac:dyDescent="0.35">
      <c r="A1966">
        <v>1965</v>
      </c>
      <c r="B1966" s="1">
        <v>45008.833333333336</v>
      </c>
      <c r="C1966" s="2">
        <v>5.7638888888888885E-2</v>
      </c>
      <c r="D1966" s="3">
        <v>4218</v>
      </c>
      <c r="E1966" s="3">
        <v>314</v>
      </c>
      <c r="F1966" s="2">
        <v>12.25</v>
      </c>
      <c r="G1966" t="s">
        <v>2812</v>
      </c>
      <c r="H1966" t="s">
        <v>2817</v>
      </c>
      <c r="I1966" s="2">
        <v>2.4590277777777776</v>
      </c>
      <c r="J1966" s="4" t="str">
        <f>IF(Table1[[#This Row],[processing_time_hours]]&gt;1.5,"Slow", "Fast")</f>
        <v>Slow</v>
      </c>
      <c r="K1966" t="s">
        <v>2818</v>
      </c>
      <c r="L1966" s="3">
        <v>0</v>
      </c>
      <c r="M1966" t="str">
        <f>IF(Table1[[#This Row],[delayed]]=1,"Delayed","On Time")</f>
        <v>On Time</v>
      </c>
      <c r="N1966" t="str">
        <f>IF(AND(Table1[[#This Row],[delayed]]=1,Table1[[#This Row],[weather_condition]]="Storm"),"High Risk", IF(Table1[[#This Row],[delayed]]=1,"Medium Risk","Low Risk"))</f>
        <v>Low Risk</v>
      </c>
    </row>
    <row r="1967" spans="1:14" x14ac:dyDescent="0.35">
      <c r="A1967">
        <v>1966</v>
      </c>
      <c r="B1967" s="1">
        <v>45008.875</v>
      </c>
      <c r="C1967" s="2">
        <v>6.5972222222222224E-2</v>
      </c>
      <c r="D1967" s="3">
        <v>1845</v>
      </c>
      <c r="E1967" s="3">
        <v>117</v>
      </c>
      <c r="F1967" s="2">
        <v>44.71180555555555</v>
      </c>
      <c r="G1967" t="s">
        <v>2816</v>
      </c>
      <c r="H1967" t="s">
        <v>2817</v>
      </c>
      <c r="I1967" s="2">
        <v>0.25069444444444444</v>
      </c>
      <c r="J1967" s="4" t="str">
        <f>IF(Table1[[#This Row],[processing_time_hours]]&gt;1.5,"Slow", "Fast")</f>
        <v>Fast</v>
      </c>
      <c r="K1967" t="s">
        <v>2818</v>
      </c>
      <c r="L1967" s="3">
        <v>0</v>
      </c>
      <c r="M1967" t="str">
        <f>IF(Table1[[#This Row],[delayed]]=1,"Delayed","On Time")</f>
        <v>On Time</v>
      </c>
      <c r="N1967" t="str">
        <f>IF(AND(Table1[[#This Row],[delayed]]=1,Table1[[#This Row],[weather_condition]]="Storm"),"High Risk", IF(Table1[[#This Row],[delayed]]=1,"Medium Risk","Low Risk"))</f>
        <v>Low Risk</v>
      </c>
    </row>
    <row r="1968" spans="1:14" x14ac:dyDescent="0.35">
      <c r="A1968">
        <v>1967</v>
      </c>
      <c r="B1968" s="1">
        <v>45008.916666666664</v>
      </c>
      <c r="C1968" s="2">
        <v>4.7916666666666663E-2</v>
      </c>
      <c r="D1968" s="3">
        <v>3102</v>
      </c>
      <c r="E1968" s="3">
        <v>56</v>
      </c>
      <c r="F1968" s="2">
        <v>69.172222222222231</v>
      </c>
      <c r="G1968" t="s">
        <v>2816</v>
      </c>
      <c r="H1968" t="s">
        <v>2817</v>
      </c>
      <c r="I1968" s="2">
        <v>2.25</v>
      </c>
      <c r="J1968" s="4" t="str">
        <f>IF(Table1[[#This Row],[processing_time_hours]]&gt;1.5,"Slow", "Fast")</f>
        <v>Slow</v>
      </c>
      <c r="K1968" t="s">
        <v>2818</v>
      </c>
      <c r="L1968" s="3">
        <v>1</v>
      </c>
      <c r="M1968" t="str">
        <f>IF(Table1[[#This Row],[delayed]]=1,"Delayed","On Time")</f>
        <v>Delayed</v>
      </c>
      <c r="N1968" t="str">
        <f>IF(AND(Table1[[#This Row],[delayed]]=1,Table1[[#This Row],[weather_condition]]="Storm"),"High Risk", IF(Table1[[#This Row],[delayed]]=1,"Medium Risk","Low Risk"))</f>
        <v>High Risk</v>
      </c>
    </row>
    <row r="1969" spans="1:14" x14ac:dyDescent="0.35">
      <c r="A1969">
        <v>1968</v>
      </c>
      <c r="B1969" s="1">
        <v>45008.958333333336</v>
      </c>
      <c r="C1969" s="2">
        <v>4.5833333333333337E-2</v>
      </c>
      <c r="D1969" s="3">
        <v>3190</v>
      </c>
      <c r="E1969" s="3">
        <v>469</v>
      </c>
      <c r="F1969" s="2">
        <v>34.00277777777778</v>
      </c>
      <c r="G1969" t="s">
        <v>2812</v>
      </c>
      <c r="H1969" t="s">
        <v>2822</v>
      </c>
      <c r="I1969" s="2">
        <v>0.67013888888888884</v>
      </c>
      <c r="J1969" s="4" t="str">
        <f>IF(Table1[[#This Row],[processing_time_hours]]&gt;1.5,"Slow", "Fast")</f>
        <v>Fast</v>
      </c>
      <c r="K1969" t="s">
        <v>2818</v>
      </c>
      <c r="L1969" s="3">
        <v>0</v>
      </c>
      <c r="M1969" t="str">
        <f>IF(Table1[[#This Row],[delayed]]=1,"Delayed","On Time")</f>
        <v>On Time</v>
      </c>
      <c r="N1969" t="str">
        <f>IF(AND(Table1[[#This Row],[delayed]]=1,Table1[[#This Row],[weather_condition]]="Storm"),"High Risk", IF(Table1[[#This Row],[delayed]]=1,"Medium Risk","Low Risk"))</f>
        <v>Low Risk</v>
      </c>
    </row>
    <row r="1970" spans="1:14" x14ac:dyDescent="0.35">
      <c r="A1970">
        <v>1969</v>
      </c>
      <c r="B1970" s="1">
        <v>45009</v>
      </c>
      <c r="C1970" s="2">
        <v>6.3888888888888898E-2</v>
      </c>
      <c r="D1970" s="3">
        <v>1999</v>
      </c>
      <c r="E1970" s="3">
        <v>165</v>
      </c>
      <c r="F1970" s="2">
        <v>22.255555555555556</v>
      </c>
      <c r="G1970" t="s">
        <v>2819</v>
      </c>
      <c r="H1970" t="s">
        <v>2820</v>
      </c>
      <c r="I1970" s="2">
        <v>2.4604166666666667</v>
      </c>
      <c r="J1970" s="4" t="str">
        <f>IF(Table1[[#This Row],[processing_time_hours]]&gt;1.5,"Slow", "Fast")</f>
        <v>Slow</v>
      </c>
      <c r="K1970" t="s">
        <v>2814</v>
      </c>
      <c r="L1970" s="3">
        <v>0</v>
      </c>
      <c r="M1970" t="str">
        <f>IF(Table1[[#This Row],[delayed]]=1,"Delayed","On Time")</f>
        <v>On Time</v>
      </c>
      <c r="N1970" t="str">
        <f>IF(AND(Table1[[#This Row],[delayed]]=1,Table1[[#This Row],[weather_condition]]="Storm"),"High Risk", IF(Table1[[#This Row],[delayed]]=1,"Medium Risk","Low Risk"))</f>
        <v>Low Risk</v>
      </c>
    </row>
    <row r="1971" spans="1:14" x14ac:dyDescent="0.35">
      <c r="A1971">
        <v>1970</v>
      </c>
      <c r="B1971" s="1">
        <v>45009.041666666664</v>
      </c>
      <c r="C1971" s="2">
        <v>5.9722222222222225E-2</v>
      </c>
      <c r="D1971" s="3">
        <v>3163</v>
      </c>
      <c r="E1971" s="3">
        <v>349</v>
      </c>
      <c r="F1971" s="2">
        <v>1.3395833333333333</v>
      </c>
      <c r="G1971" t="s">
        <v>2819</v>
      </c>
      <c r="H1971" t="s">
        <v>2817</v>
      </c>
      <c r="I1971" s="2">
        <v>0.71250000000000002</v>
      </c>
      <c r="J1971" s="4" t="str">
        <f>IF(Table1[[#This Row],[processing_time_hours]]&gt;1.5,"Slow", "Fast")</f>
        <v>Fast</v>
      </c>
      <c r="K1971" t="s">
        <v>2821</v>
      </c>
      <c r="L1971" s="3">
        <v>1</v>
      </c>
      <c r="M1971" t="str">
        <f>IF(Table1[[#This Row],[delayed]]=1,"Delayed","On Time")</f>
        <v>Delayed</v>
      </c>
      <c r="N1971" t="str">
        <f>IF(AND(Table1[[#This Row],[delayed]]=1,Table1[[#This Row],[weather_condition]]="Storm"),"High Risk", IF(Table1[[#This Row],[delayed]]=1,"Medium Risk","Low Risk"))</f>
        <v>High Risk</v>
      </c>
    </row>
    <row r="1972" spans="1:14" x14ac:dyDescent="0.35">
      <c r="A1972">
        <v>1971</v>
      </c>
      <c r="B1972" s="1">
        <v>45009.083333333336</v>
      </c>
      <c r="C1972" s="2">
        <v>6.8749999999999992E-2</v>
      </c>
      <c r="D1972" s="3">
        <v>3364</v>
      </c>
      <c r="E1972" s="3">
        <v>339</v>
      </c>
      <c r="F1972" s="2">
        <v>9.9180555555555561</v>
      </c>
      <c r="G1972" t="s">
        <v>2815</v>
      </c>
      <c r="H1972" t="s">
        <v>2817</v>
      </c>
      <c r="I1972" s="2">
        <v>1.2923611111111111</v>
      </c>
      <c r="J1972" s="4" t="str">
        <f>IF(Table1[[#This Row],[processing_time_hours]]&gt;1.5,"Slow", "Fast")</f>
        <v>Fast</v>
      </c>
      <c r="K1972" t="s">
        <v>2814</v>
      </c>
      <c r="L1972" s="3">
        <v>0</v>
      </c>
      <c r="M1972" t="str">
        <f>IF(Table1[[#This Row],[delayed]]=1,"Delayed","On Time")</f>
        <v>On Time</v>
      </c>
      <c r="N1972" t="str">
        <f>IF(AND(Table1[[#This Row],[delayed]]=1,Table1[[#This Row],[weather_condition]]="Storm"),"High Risk", IF(Table1[[#This Row],[delayed]]=1,"Medium Risk","Low Risk"))</f>
        <v>Low Risk</v>
      </c>
    </row>
    <row r="1973" spans="1:14" x14ac:dyDescent="0.35">
      <c r="A1973">
        <v>1972</v>
      </c>
      <c r="B1973" s="1">
        <v>45009.125</v>
      </c>
      <c r="C1973" s="2">
        <v>4.5833333333333337E-2</v>
      </c>
      <c r="D1973" s="3">
        <v>1028</v>
      </c>
      <c r="E1973" s="3">
        <v>57</v>
      </c>
      <c r="F1973" s="2">
        <v>63.087499999999999</v>
      </c>
      <c r="G1973" t="s">
        <v>2815</v>
      </c>
      <c r="H1973" t="s">
        <v>2813</v>
      </c>
      <c r="I1973" s="2">
        <v>2.8333333333333335</v>
      </c>
      <c r="J1973" s="4" t="str">
        <f>IF(Table1[[#This Row],[processing_time_hours]]&gt;1.5,"Slow", "Fast")</f>
        <v>Slow</v>
      </c>
      <c r="K1973" t="s">
        <v>2818</v>
      </c>
      <c r="L1973" s="3">
        <v>1</v>
      </c>
      <c r="M1973" t="str">
        <f>IF(Table1[[#This Row],[delayed]]=1,"Delayed","On Time")</f>
        <v>Delayed</v>
      </c>
      <c r="N1973" t="str">
        <f>IF(AND(Table1[[#This Row],[delayed]]=1,Table1[[#This Row],[weather_condition]]="Storm"),"High Risk", IF(Table1[[#This Row],[delayed]]=1,"Medium Risk","Low Risk"))</f>
        <v>Medium Risk</v>
      </c>
    </row>
    <row r="1974" spans="1:14" x14ac:dyDescent="0.35">
      <c r="A1974">
        <v>1973</v>
      </c>
      <c r="B1974" s="1">
        <v>45009.166666666664</v>
      </c>
      <c r="C1974" s="2">
        <v>4.5833333333333337E-2</v>
      </c>
      <c r="D1974" s="3">
        <v>810</v>
      </c>
      <c r="E1974" s="3">
        <v>445</v>
      </c>
      <c r="F1974" s="2">
        <v>71.714583333333337</v>
      </c>
      <c r="G1974" t="s">
        <v>2815</v>
      </c>
      <c r="H1974" t="s">
        <v>2822</v>
      </c>
      <c r="I1974" s="2">
        <v>1.7541666666666667</v>
      </c>
      <c r="J1974" s="4" t="str">
        <f>IF(Table1[[#This Row],[processing_time_hours]]&gt;1.5,"Slow", "Fast")</f>
        <v>Slow</v>
      </c>
      <c r="K1974" t="s">
        <v>2818</v>
      </c>
      <c r="L1974" s="3">
        <v>0</v>
      </c>
      <c r="M1974" t="str">
        <f>IF(Table1[[#This Row],[delayed]]=1,"Delayed","On Time")</f>
        <v>On Time</v>
      </c>
      <c r="N1974" t="str">
        <f>IF(AND(Table1[[#This Row],[delayed]]=1,Table1[[#This Row],[weather_condition]]="Storm"),"High Risk", IF(Table1[[#This Row],[delayed]]=1,"Medium Risk","Low Risk"))</f>
        <v>Low Risk</v>
      </c>
    </row>
    <row r="1975" spans="1:14" x14ac:dyDescent="0.35">
      <c r="A1975">
        <v>1974</v>
      </c>
      <c r="B1975" s="1">
        <v>45009.208333333336</v>
      </c>
      <c r="C1975" s="2">
        <v>4.3055555555555562E-2</v>
      </c>
      <c r="D1975" s="3">
        <v>2679</v>
      </c>
      <c r="E1975" s="3">
        <v>485</v>
      </c>
      <c r="F1975" s="2">
        <v>42.003472222222221</v>
      </c>
      <c r="G1975" t="s">
        <v>2812</v>
      </c>
      <c r="H1975" t="s">
        <v>2813</v>
      </c>
      <c r="I1975" s="2">
        <v>2.5041666666666669</v>
      </c>
      <c r="J1975" s="4" t="str">
        <f>IF(Table1[[#This Row],[processing_time_hours]]&gt;1.5,"Slow", "Fast")</f>
        <v>Slow</v>
      </c>
      <c r="K1975" t="s">
        <v>2818</v>
      </c>
      <c r="L1975" s="3">
        <v>1</v>
      </c>
      <c r="M1975" t="str">
        <f>IF(Table1[[#This Row],[delayed]]=1,"Delayed","On Time")</f>
        <v>Delayed</v>
      </c>
      <c r="N1975" t="str">
        <f>IF(AND(Table1[[#This Row],[delayed]]=1,Table1[[#This Row],[weather_condition]]="Storm"),"High Risk", IF(Table1[[#This Row],[delayed]]=1,"Medium Risk","Low Risk"))</f>
        <v>Medium Risk</v>
      </c>
    </row>
    <row r="1976" spans="1:14" x14ac:dyDescent="0.35">
      <c r="A1976">
        <v>1975</v>
      </c>
      <c r="B1976" s="1">
        <v>45009.25</v>
      </c>
      <c r="C1976" s="2">
        <v>5.0694444444444438E-2</v>
      </c>
      <c r="D1976" s="3">
        <v>56</v>
      </c>
      <c r="E1976" s="3">
        <v>423</v>
      </c>
      <c r="F1976" s="2">
        <v>17.752083333333335</v>
      </c>
      <c r="G1976" t="s">
        <v>2812</v>
      </c>
      <c r="H1976" t="s">
        <v>2813</v>
      </c>
      <c r="I1976" s="2">
        <v>0.7090277777777777</v>
      </c>
      <c r="J1976" s="4" t="str">
        <f>IF(Table1[[#This Row],[processing_time_hours]]&gt;1.5,"Slow", "Fast")</f>
        <v>Fast</v>
      </c>
      <c r="K1976" t="s">
        <v>2814</v>
      </c>
      <c r="L1976" s="3">
        <v>0</v>
      </c>
      <c r="M1976" t="str">
        <f>IF(Table1[[#This Row],[delayed]]=1,"Delayed","On Time")</f>
        <v>On Time</v>
      </c>
      <c r="N1976" t="str">
        <f>IF(AND(Table1[[#This Row],[delayed]]=1,Table1[[#This Row],[weather_condition]]="Storm"),"High Risk", IF(Table1[[#This Row],[delayed]]=1,"Medium Risk","Low Risk"))</f>
        <v>Low Risk</v>
      </c>
    </row>
    <row r="1977" spans="1:14" x14ac:dyDescent="0.35">
      <c r="A1977">
        <v>1976</v>
      </c>
      <c r="B1977" s="1">
        <v>45009.291666666664</v>
      </c>
      <c r="C1977" s="2">
        <v>4.3055555555555562E-2</v>
      </c>
      <c r="D1977" s="3">
        <v>1728</v>
      </c>
      <c r="E1977" s="3">
        <v>307</v>
      </c>
      <c r="F1977" s="2">
        <v>71.46319444444444</v>
      </c>
      <c r="G1977" t="s">
        <v>2816</v>
      </c>
      <c r="H1977" t="s">
        <v>2822</v>
      </c>
      <c r="I1977" s="2">
        <v>1.7972222222222223</v>
      </c>
      <c r="J1977" s="4" t="str">
        <f>IF(Table1[[#This Row],[processing_time_hours]]&gt;1.5,"Slow", "Fast")</f>
        <v>Slow</v>
      </c>
      <c r="K1977" t="s">
        <v>2821</v>
      </c>
      <c r="L1977" s="3">
        <v>0</v>
      </c>
      <c r="M1977" t="str">
        <f>IF(Table1[[#This Row],[delayed]]=1,"Delayed","On Time")</f>
        <v>On Time</v>
      </c>
      <c r="N1977" t="str">
        <f>IF(AND(Table1[[#This Row],[delayed]]=1,Table1[[#This Row],[weather_condition]]="Storm"),"High Risk", IF(Table1[[#This Row],[delayed]]=1,"Medium Risk","Low Risk"))</f>
        <v>Low Risk</v>
      </c>
    </row>
    <row r="1978" spans="1:14" x14ac:dyDescent="0.35">
      <c r="A1978">
        <v>1977</v>
      </c>
      <c r="B1978" s="1">
        <v>45009.333333333336</v>
      </c>
      <c r="C1978" s="2">
        <v>5.9027777777777783E-2</v>
      </c>
      <c r="D1978" s="3">
        <v>1920</v>
      </c>
      <c r="E1978" s="3">
        <v>375</v>
      </c>
      <c r="F1978" s="2">
        <v>30.211111111111112</v>
      </c>
      <c r="G1978" t="s">
        <v>2819</v>
      </c>
      <c r="H1978" t="s">
        <v>2820</v>
      </c>
      <c r="I1978" s="2">
        <v>1.3388888888888888</v>
      </c>
      <c r="J1978" s="4" t="str">
        <f>IF(Table1[[#This Row],[processing_time_hours]]&gt;1.5,"Slow", "Fast")</f>
        <v>Fast</v>
      </c>
      <c r="K1978" t="s">
        <v>2821</v>
      </c>
      <c r="L1978" s="3">
        <v>0</v>
      </c>
      <c r="M1978" t="str">
        <f>IF(Table1[[#This Row],[delayed]]=1,"Delayed","On Time")</f>
        <v>On Time</v>
      </c>
      <c r="N1978" t="str">
        <f>IF(AND(Table1[[#This Row],[delayed]]=1,Table1[[#This Row],[weather_condition]]="Storm"),"High Risk", IF(Table1[[#This Row],[delayed]]=1,"Medium Risk","Low Risk"))</f>
        <v>Low Risk</v>
      </c>
    </row>
    <row r="1979" spans="1:14" x14ac:dyDescent="0.35">
      <c r="A1979">
        <v>1978</v>
      </c>
      <c r="B1979" s="1">
        <v>45009.375</v>
      </c>
      <c r="C1979" s="2">
        <v>4.3750000000000004E-2</v>
      </c>
      <c r="D1979" s="3">
        <v>957</v>
      </c>
      <c r="E1979" s="3">
        <v>328</v>
      </c>
      <c r="F1979" s="2">
        <v>45.670833333333327</v>
      </c>
      <c r="G1979" t="s">
        <v>2815</v>
      </c>
      <c r="H1979" t="s">
        <v>2817</v>
      </c>
      <c r="I1979" s="2">
        <v>0.83611111111111114</v>
      </c>
      <c r="J1979" s="4" t="str">
        <f>IF(Table1[[#This Row],[processing_time_hours]]&gt;1.5,"Slow", "Fast")</f>
        <v>Fast</v>
      </c>
      <c r="K1979" t="s">
        <v>2814</v>
      </c>
      <c r="L1979" s="3">
        <v>0</v>
      </c>
      <c r="M1979" t="str">
        <f>IF(Table1[[#This Row],[delayed]]=1,"Delayed","On Time")</f>
        <v>On Time</v>
      </c>
      <c r="N1979" t="str">
        <f>IF(AND(Table1[[#This Row],[delayed]]=1,Table1[[#This Row],[weather_condition]]="Storm"),"High Risk", IF(Table1[[#This Row],[delayed]]=1,"Medium Risk","Low Risk"))</f>
        <v>Low Risk</v>
      </c>
    </row>
    <row r="1980" spans="1:14" x14ac:dyDescent="0.35">
      <c r="A1980">
        <v>1979</v>
      </c>
      <c r="B1980" s="1">
        <v>45009.416666666664</v>
      </c>
      <c r="C1980" s="2">
        <v>5.4166666666666669E-2</v>
      </c>
      <c r="D1980" s="3">
        <v>1117</v>
      </c>
      <c r="E1980" s="3">
        <v>339</v>
      </c>
      <c r="F1980" s="2">
        <v>76.502083333333331</v>
      </c>
      <c r="G1980" t="s">
        <v>2812</v>
      </c>
      <c r="H1980" t="s">
        <v>2817</v>
      </c>
      <c r="I1980" s="2">
        <v>0.25347222222222221</v>
      </c>
      <c r="J1980" s="4" t="str">
        <f>IF(Table1[[#This Row],[processing_time_hours]]&gt;1.5,"Slow", "Fast")</f>
        <v>Fast</v>
      </c>
      <c r="K1980" t="s">
        <v>2818</v>
      </c>
      <c r="L1980" s="3">
        <v>0</v>
      </c>
      <c r="M1980" t="str">
        <f>IF(Table1[[#This Row],[delayed]]=1,"Delayed","On Time")</f>
        <v>On Time</v>
      </c>
      <c r="N1980" t="str">
        <f>IF(AND(Table1[[#This Row],[delayed]]=1,Table1[[#This Row],[weather_condition]]="Storm"),"High Risk", IF(Table1[[#This Row],[delayed]]=1,"Medium Risk","Low Risk"))</f>
        <v>Low Risk</v>
      </c>
    </row>
    <row r="1981" spans="1:14" x14ac:dyDescent="0.35">
      <c r="A1981">
        <v>1980</v>
      </c>
      <c r="B1981" s="1">
        <v>45009.458333333336</v>
      </c>
      <c r="C1981" s="2">
        <v>5.6250000000000001E-2</v>
      </c>
      <c r="D1981" s="3">
        <v>3844</v>
      </c>
      <c r="E1981" s="3">
        <v>32</v>
      </c>
      <c r="F1981" s="2">
        <v>80.420833333333334</v>
      </c>
      <c r="G1981" t="s">
        <v>2819</v>
      </c>
      <c r="H1981" t="s">
        <v>2817</v>
      </c>
      <c r="I1981" s="2">
        <v>1.91875</v>
      </c>
      <c r="J1981" s="4" t="str">
        <f>IF(Table1[[#This Row],[processing_time_hours]]&gt;1.5,"Slow", "Fast")</f>
        <v>Slow</v>
      </c>
      <c r="K1981" t="s">
        <v>2821</v>
      </c>
      <c r="L1981" s="3">
        <v>1</v>
      </c>
      <c r="M1981" t="str">
        <f>IF(Table1[[#This Row],[delayed]]=1,"Delayed","On Time")</f>
        <v>Delayed</v>
      </c>
      <c r="N1981" t="str">
        <f>IF(AND(Table1[[#This Row],[delayed]]=1,Table1[[#This Row],[weather_condition]]="Storm"),"High Risk", IF(Table1[[#This Row],[delayed]]=1,"Medium Risk","Low Risk"))</f>
        <v>High Risk</v>
      </c>
    </row>
    <row r="1982" spans="1:14" x14ac:dyDescent="0.35">
      <c r="A1982">
        <v>1981</v>
      </c>
      <c r="B1982" s="1">
        <v>45009.5</v>
      </c>
      <c r="C1982" s="2">
        <v>4.3750000000000004E-2</v>
      </c>
      <c r="D1982" s="3">
        <v>3453</v>
      </c>
      <c r="E1982" s="3">
        <v>174</v>
      </c>
      <c r="F1982" s="2">
        <v>76.418750000000003</v>
      </c>
      <c r="G1982" t="s">
        <v>2815</v>
      </c>
      <c r="H1982" t="s">
        <v>2820</v>
      </c>
      <c r="I1982" s="2">
        <v>2.629861111111111</v>
      </c>
      <c r="J1982" s="4" t="str">
        <f>IF(Table1[[#This Row],[processing_time_hours]]&gt;1.5,"Slow", "Fast")</f>
        <v>Slow</v>
      </c>
      <c r="K1982" t="s">
        <v>2818</v>
      </c>
      <c r="L1982" s="3">
        <v>0</v>
      </c>
      <c r="M1982" t="str">
        <f>IF(Table1[[#This Row],[delayed]]=1,"Delayed","On Time")</f>
        <v>On Time</v>
      </c>
      <c r="N1982" t="str">
        <f>IF(AND(Table1[[#This Row],[delayed]]=1,Table1[[#This Row],[weather_condition]]="Storm"),"High Risk", IF(Table1[[#This Row],[delayed]]=1,"Medium Risk","Low Risk"))</f>
        <v>Low Risk</v>
      </c>
    </row>
    <row r="1983" spans="1:14" x14ac:dyDescent="0.35">
      <c r="A1983">
        <v>1982</v>
      </c>
      <c r="B1983" s="1">
        <v>45009.541666666664</v>
      </c>
      <c r="C1983" s="2">
        <v>6.1111111111111109E-2</v>
      </c>
      <c r="D1983" s="3">
        <v>3501</v>
      </c>
      <c r="E1983" s="3">
        <v>345</v>
      </c>
      <c r="F1983" s="2">
        <v>16.793749999999999</v>
      </c>
      <c r="G1983" t="s">
        <v>2819</v>
      </c>
      <c r="H1983" t="s">
        <v>2822</v>
      </c>
      <c r="I1983" s="2">
        <v>0.67083333333333339</v>
      </c>
      <c r="J1983" s="4" t="str">
        <f>IF(Table1[[#This Row],[processing_time_hours]]&gt;1.5,"Slow", "Fast")</f>
        <v>Fast</v>
      </c>
      <c r="K1983" t="s">
        <v>2814</v>
      </c>
      <c r="L1983" s="3">
        <v>0</v>
      </c>
      <c r="M1983" t="str">
        <f>IF(Table1[[#This Row],[delayed]]=1,"Delayed","On Time")</f>
        <v>On Time</v>
      </c>
      <c r="N1983" t="str">
        <f>IF(AND(Table1[[#This Row],[delayed]]=1,Table1[[#This Row],[weather_condition]]="Storm"),"High Risk", IF(Table1[[#This Row],[delayed]]=1,"Medium Risk","Low Risk"))</f>
        <v>Low Risk</v>
      </c>
    </row>
    <row r="1984" spans="1:14" x14ac:dyDescent="0.35">
      <c r="A1984">
        <v>1983</v>
      </c>
      <c r="B1984" s="1">
        <v>45009.583333333336</v>
      </c>
      <c r="C1984" s="2">
        <v>4.1666666666666664E-2</v>
      </c>
      <c r="D1984" s="3">
        <v>642</v>
      </c>
      <c r="E1984" s="3">
        <v>431</v>
      </c>
      <c r="F1984" s="2">
        <v>16.458333333333332</v>
      </c>
      <c r="G1984" t="s">
        <v>2815</v>
      </c>
      <c r="H1984" t="s">
        <v>2817</v>
      </c>
      <c r="I1984" s="2">
        <v>0.13055555555555556</v>
      </c>
      <c r="J1984" s="4" t="str">
        <f>IF(Table1[[#This Row],[processing_time_hours]]&gt;1.5,"Slow", "Fast")</f>
        <v>Fast</v>
      </c>
      <c r="K1984" t="s">
        <v>2821</v>
      </c>
      <c r="L1984" s="3">
        <v>1</v>
      </c>
      <c r="M1984" t="str">
        <f>IF(Table1[[#This Row],[delayed]]=1,"Delayed","On Time")</f>
        <v>Delayed</v>
      </c>
      <c r="N1984" t="str">
        <f>IF(AND(Table1[[#This Row],[delayed]]=1,Table1[[#This Row],[weather_condition]]="Storm"),"High Risk", IF(Table1[[#This Row],[delayed]]=1,"Medium Risk","Low Risk"))</f>
        <v>High Risk</v>
      </c>
    </row>
    <row r="1985" spans="1:14" x14ac:dyDescent="0.35">
      <c r="A1985">
        <v>1984</v>
      </c>
      <c r="B1985" s="1">
        <v>45009.625</v>
      </c>
      <c r="C1985" s="2">
        <v>5.2777777777777778E-2</v>
      </c>
      <c r="D1985" s="3">
        <v>4590</v>
      </c>
      <c r="E1985" s="3">
        <v>33</v>
      </c>
      <c r="F1985" s="2">
        <v>24.875</v>
      </c>
      <c r="G1985" t="s">
        <v>2815</v>
      </c>
      <c r="H1985" t="s">
        <v>2813</v>
      </c>
      <c r="I1985" s="2">
        <v>0.20833333333333334</v>
      </c>
      <c r="J1985" s="4" t="str">
        <f>IF(Table1[[#This Row],[processing_time_hours]]&gt;1.5,"Slow", "Fast")</f>
        <v>Fast</v>
      </c>
      <c r="K1985" t="s">
        <v>2821</v>
      </c>
      <c r="L1985" s="3">
        <v>1</v>
      </c>
      <c r="M1985" t="str">
        <f>IF(Table1[[#This Row],[delayed]]=1,"Delayed","On Time")</f>
        <v>Delayed</v>
      </c>
      <c r="N1985" t="str">
        <f>IF(AND(Table1[[#This Row],[delayed]]=1,Table1[[#This Row],[weather_condition]]="Storm"),"High Risk", IF(Table1[[#This Row],[delayed]]=1,"Medium Risk","Low Risk"))</f>
        <v>Medium Risk</v>
      </c>
    </row>
    <row r="1986" spans="1:14" x14ac:dyDescent="0.35">
      <c r="A1986">
        <v>1985</v>
      </c>
      <c r="B1986" s="1">
        <v>45009.666666666664</v>
      </c>
      <c r="C1986" s="2">
        <v>5.6250000000000001E-2</v>
      </c>
      <c r="D1986" s="3">
        <v>515</v>
      </c>
      <c r="E1986" s="3">
        <v>117</v>
      </c>
      <c r="F1986" s="2">
        <v>13.541666666666666</v>
      </c>
      <c r="G1986" t="s">
        <v>2819</v>
      </c>
      <c r="H1986" t="s">
        <v>2817</v>
      </c>
      <c r="I1986" s="2">
        <v>1.627777777777778</v>
      </c>
      <c r="J1986" s="4" t="str">
        <f>IF(Table1[[#This Row],[processing_time_hours]]&gt;1.5,"Slow", "Fast")</f>
        <v>Slow</v>
      </c>
      <c r="K1986" t="s">
        <v>2821</v>
      </c>
      <c r="L1986" s="3">
        <v>0</v>
      </c>
      <c r="M1986" t="str">
        <f>IF(Table1[[#This Row],[delayed]]=1,"Delayed","On Time")</f>
        <v>On Time</v>
      </c>
      <c r="N1986" t="str">
        <f>IF(AND(Table1[[#This Row],[delayed]]=1,Table1[[#This Row],[weather_condition]]="Storm"),"High Risk", IF(Table1[[#This Row],[delayed]]=1,"Medium Risk","Low Risk"))</f>
        <v>Low Risk</v>
      </c>
    </row>
    <row r="1987" spans="1:14" x14ac:dyDescent="0.35">
      <c r="A1987">
        <v>1986</v>
      </c>
      <c r="B1987" s="1">
        <v>45009.708333333336</v>
      </c>
      <c r="C1987" s="2">
        <v>5.2083333333333336E-2</v>
      </c>
      <c r="D1987" s="3">
        <v>2992</v>
      </c>
      <c r="E1987" s="3">
        <v>444</v>
      </c>
      <c r="F1987" s="2">
        <v>0.50208333333333333</v>
      </c>
      <c r="G1987" t="s">
        <v>2819</v>
      </c>
      <c r="H1987" t="s">
        <v>2822</v>
      </c>
      <c r="I1987" s="2">
        <v>0.21111111111111111</v>
      </c>
      <c r="J1987" s="4" t="str">
        <f>IF(Table1[[#This Row],[processing_time_hours]]&gt;1.5,"Slow", "Fast")</f>
        <v>Fast</v>
      </c>
      <c r="K1987" t="s">
        <v>2821</v>
      </c>
      <c r="L1987" s="3">
        <v>0</v>
      </c>
      <c r="M1987" t="str">
        <f>IF(Table1[[#This Row],[delayed]]=1,"Delayed","On Time")</f>
        <v>On Time</v>
      </c>
      <c r="N1987" t="str">
        <f>IF(AND(Table1[[#This Row],[delayed]]=1,Table1[[#This Row],[weather_condition]]="Storm"),"High Risk", IF(Table1[[#This Row],[delayed]]=1,"Medium Risk","Low Risk"))</f>
        <v>Low Risk</v>
      </c>
    </row>
    <row r="1988" spans="1:14" x14ac:dyDescent="0.35">
      <c r="A1988">
        <v>1987</v>
      </c>
      <c r="B1988" s="1">
        <v>45009.75</v>
      </c>
      <c r="C1988" s="2">
        <v>6.8749999999999992E-2</v>
      </c>
      <c r="D1988" s="3">
        <v>505</v>
      </c>
      <c r="E1988" s="3">
        <v>381</v>
      </c>
      <c r="F1988" s="2">
        <v>59.047222222222224</v>
      </c>
      <c r="G1988" t="s">
        <v>2819</v>
      </c>
      <c r="H1988" t="s">
        <v>2817</v>
      </c>
      <c r="I1988" s="2">
        <v>2.0833333333333335</v>
      </c>
      <c r="J1988" s="4" t="str">
        <f>IF(Table1[[#This Row],[processing_time_hours]]&gt;1.5,"Slow", "Fast")</f>
        <v>Slow</v>
      </c>
      <c r="K1988" t="s">
        <v>2814</v>
      </c>
      <c r="L1988" s="3">
        <v>0</v>
      </c>
      <c r="M1988" t="str">
        <f>IF(Table1[[#This Row],[delayed]]=1,"Delayed","On Time")</f>
        <v>On Time</v>
      </c>
      <c r="N1988" t="str">
        <f>IF(AND(Table1[[#This Row],[delayed]]=1,Table1[[#This Row],[weather_condition]]="Storm"),"High Risk", IF(Table1[[#This Row],[delayed]]=1,"Medium Risk","Low Risk"))</f>
        <v>Low Risk</v>
      </c>
    </row>
    <row r="1989" spans="1:14" x14ac:dyDescent="0.35">
      <c r="A1989">
        <v>1988</v>
      </c>
      <c r="B1989" s="1">
        <v>45009.791666666664</v>
      </c>
      <c r="C1989" s="2">
        <v>6.5277777777777782E-2</v>
      </c>
      <c r="D1989" s="3">
        <v>927</v>
      </c>
      <c r="E1989" s="3">
        <v>370</v>
      </c>
      <c r="F1989" s="2">
        <v>2.5868055555555558</v>
      </c>
      <c r="G1989" t="s">
        <v>2815</v>
      </c>
      <c r="H1989" t="s">
        <v>2822</v>
      </c>
      <c r="I1989" s="2">
        <v>1.7097222222222221</v>
      </c>
      <c r="J1989" s="4" t="str">
        <f>IF(Table1[[#This Row],[processing_time_hours]]&gt;1.5,"Slow", "Fast")</f>
        <v>Slow</v>
      </c>
      <c r="K1989" t="s">
        <v>2814</v>
      </c>
      <c r="L1989" s="3">
        <v>0</v>
      </c>
      <c r="M1989" t="str">
        <f>IF(Table1[[#This Row],[delayed]]=1,"Delayed","On Time")</f>
        <v>On Time</v>
      </c>
      <c r="N1989" t="str">
        <f>IF(AND(Table1[[#This Row],[delayed]]=1,Table1[[#This Row],[weather_condition]]="Storm"),"High Risk", IF(Table1[[#This Row],[delayed]]=1,"Medium Risk","Low Risk"))</f>
        <v>Low Risk</v>
      </c>
    </row>
    <row r="1990" spans="1:14" x14ac:dyDescent="0.35">
      <c r="A1990">
        <v>1989</v>
      </c>
      <c r="B1990" s="1">
        <v>45009.833333333336</v>
      </c>
      <c r="C1990" s="2">
        <v>6.8749999999999992E-2</v>
      </c>
      <c r="D1990" s="3">
        <v>618</v>
      </c>
      <c r="E1990" s="3">
        <v>208</v>
      </c>
      <c r="F1990" s="2">
        <v>5.8763888888888891</v>
      </c>
      <c r="G1990" t="s">
        <v>2812</v>
      </c>
      <c r="H1990" t="s">
        <v>2820</v>
      </c>
      <c r="I1990" s="2">
        <v>1.1270833333333334</v>
      </c>
      <c r="J1990" s="4" t="str">
        <f>IF(Table1[[#This Row],[processing_time_hours]]&gt;1.5,"Slow", "Fast")</f>
        <v>Fast</v>
      </c>
      <c r="K1990" t="s">
        <v>2821</v>
      </c>
      <c r="L1990" s="3">
        <v>1</v>
      </c>
      <c r="M1990" t="str">
        <f>IF(Table1[[#This Row],[delayed]]=1,"Delayed","On Time")</f>
        <v>Delayed</v>
      </c>
      <c r="N1990" t="str">
        <f>IF(AND(Table1[[#This Row],[delayed]]=1,Table1[[#This Row],[weather_condition]]="Storm"),"High Risk", IF(Table1[[#This Row],[delayed]]=1,"Medium Risk","Low Risk"))</f>
        <v>Medium Risk</v>
      </c>
    </row>
    <row r="1991" spans="1:14" x14ac:dyDescent="0.35">
      <c r="A1991">
        <v>1990</v>
      </c>
      <c r="B1991" s="1">
        <v>45009.875</v>
      </c>
      <c r="C1991" s="2">
        <v>5.2083333333333336E-2</v>
      </c>
      <c r="D1991" s="3">
        <v>3504</v>
      </c>
      <c r="E1991" s="3">
        <v>363</v>
      </c>
      <c r="F1991" s="2">
        <v>61.172222222222224</v>
      </c>
      <c r="G1991" t="s">
        <v>2816</v>
      </c>
      <c r="H1991" t="s">
        <v>2820</v>
      </c>
      <c r="I1991" s="2">
        <v>1.0055555555555555</v>
      </c>
      <c r="J1991" s="4" t="str">
        <f>IF(Table1[[#This Row],[processing_time_hours]]&gt;1.5,"Slow", "Fast")</f>
        <v>Fast</v>
      </c>
      <c r="K1991" t="s">
        <v>2814</v>
      </c>
      <c r="L1991" s="3">
        <v>1</v>
      </c>
      <c r="M1991" t="str">
        <f>IF(Table1[[#This Row],[delayed]]=1,"Delayed","On Time")</f>
        <v>Delayed</v>
      </c>
      <c r="N1991" t="str">
        <f>IF(AND(Table1[[#This Row],[delayed]]=1,Table1[[#This Row],[weather_condition]]="Storm"),"High Risk", IF(Table1[[#This Row],[delayed]]=1,"Medium Risk","Low Risk"))</f>
        <v>Medium Risk</v>
      </c>
    </row>
    <row r="1992" spans="1:14" x14ac:dyDescent="0.35">
      <c r="A1992">
        <v>1991</v>
      </c>
      <c r="B1992" s="1">
        <v>45009.916666666664</v>
      </c>
      <c r="C1992" s="2">
        <v>5.0694444444444438E-2</v>
      </c>
      <c r="D1992" s="3">
        <v>521</v>
      </c>
      <c r="E1992" s="3">
        <v>158</v>
      </c>
      <c r="F1992" s="2">
        <v>51.795833333333327</v>
      </c>
      <c r="G1992" t="s">
        <v>2812</v>
      </c>
      <c r="H1992" t="s">
        <v>2820</v>
      </c>
      <c r="I1992" s="2">
        <v>2.4645833333333331</v>
      </c>
      <c r="J1992" s="4" t="str">
        <f>IF(Table1[[#This Row],[processing_time_hours]]&gt;1.5,"Slow", "Fast")</f>
        <v>Slow</v>
      </c>
      <c r="K1992" t="s">
        <v>2818</v>
      </c>
      <c r="L1992" s="3">
        <v>0</v>
      </c>
      <c r="M1992" t="str">
        <f>IF(Table1[[#This Row],[delayed]]=1,"Delayed","On Time")</f>
        <v>On Time</v>
      </c>
      <c r="N1992" t="str">
        <f>IF(AND(Table1[[#This Row],[delayed]]=1,Table1[[#This Row],[weather_condition]]="Storm"),"High Risk", IF(Table1[[#This Row],[delayed]]=1,"Medium Risk","Low Risk"))</f>
        <v>Low Risk</v>
      </c>
    </row>
    <row r="1993" spans="1:14" x14ac:dyDescent="0.35">
      <c r="A1993">
        <v>1992</v>
      </c>
      <c r="B1993" s="1">
        <v>45009.958333333336</v>
      </c>
      <c r="C1993" s="2">
        <v>4.2361111111111106E-2</v>
      </c>
      <c r="D1993" s="3">
        <v>4849</v>
      </c>
      <c r="E1993" s="3">
        <v>414</v>
      </c>
      <c r="F1993" s="2">
        <v>76.921527777777769</v>
      </c>
      <c r="G1993" t="s">
        <v>2819</v>
      </c>
      <c r="H1993" t="s">
        <v>2817</v>
      </c>
      <c r="I1993" s="2">
        <v>2.0416666666666665</v>
      </c>
      <c r="J1993" s="4" t="str">
        <f>IF(Table1[[#This Row],[processing_time_hours]]&gt;1.5,"Slow", "Fast")</f>
        <v>Slow</v>
      </c>
      <c r="K1993" t="s">
        <v>2818</v>
      </c>
      <c r="L1993" s="3">
        <v>1</v>
      </c>
      <c r="M1993" t="str">
        <f>IF(Table1[[#This Row],[delayed]]=1,"Delayed","On Time")</f>
        <v>Delayed</v>
      </c>
      <c r="N1993" t="str">
        <f>IF(AND(Table1[[#This Row],[delayed]]=1,Table1[[#This Row],[weather_condition]]="Storm"),"High Risk", IF(Table1[[#This Row],[delayed]]=1,"Medium Risk","Low Risk"))</f>
        <v>High Risk</v>
      </c>
    </row>
    <row r="1994" spans="1:14" x14ac:dyDescent="0.35">
      <c r="A1994">
        <v>1993</v>
      </c>
      <c r="B1994" s="1">
        <v>45010</v>
      </c>
      <c r="C1994" s="2">
        <v>4.3750000000000004E-2</v>
      </c>
      <c r="D1994" s="3">
        <v>1005</v>
      </c>
      <c r="E1994" s="3">
        <v>246</v>
      </c>
      <c r="F1994" s="2">
        <v>75.751388888888883</v>
      </c>
      <c r="G1994" t="s">
        <v>2816</v>
      </c>
      <c r="H1994" t="s">
        <v>2817</v>
      </c>
      <c r="I1994" s="2">
        <v>1.0041666666666667</v>
      </c>
      <c r="J1994" s="4" t="str">
        <f>IF(Table1[[#This Row],[processing_time_hours]]&gt;1.5,"Slow", "Fast")</f>
        <v>Fast</v>
      </c>
      <c r="K1994" t="s">
        <v>2814</v>
      </c>
      <c r="L1994" s="3">
        <v>0</v>
      </c>
      <c r="M1994" t="str">
        <f>IF(Table1[[#This Row],[delayed]]=1,"Delayed","On Time")</f>
        <v>On Time</v>
      </c>
      <c r="N1994" t="str">
        <f>IF(AND(Table1[[#This Row],[delayed]]=1,Table1[[#This Row],[weather_condition]]="Storm"),"High Risk", IF(Table1[[#This Row],[delayed]]=1,"Medium Risk","Low Risk"))</f>
        <v>Low Risk</v>
      </c>
    </row>
    <row r="1995" spans="1:14" x14ac:dyDescent="0.35">
      <c r="A1995">
        <v>1994</v>
      </c>
      <c r="B1995" s="1">
        <v>45010.041666666664</v>
      </c>
      <c r="C1995" s="2">
        <v>6.805555555555555E-2</v>
      </c>
      <c r="D1995" s="3">
        <v>2153</v>
      </c>
      <c r="E1995" s="3">
        <v>76</v>
      </c>
      <c r="F1995" s="2">
        <v>58.254166666666663</v>
      </c>
      <c r="G1995" t="s">
        <v>2815</v>
      </c>
      <c r="H1995" t="s">
        <v>2820</v>
      </c>
      <c r="I1995" s="2">
        <v>0.37638888888888888</v>
      </c>
      <c r="J1995" s="4" t="str">
        <f>IF(Table1[[#This Row],[processing_time_hours]]&gt;1.5,"Slow", "Fast")</f>
        <v>Fast</v>
      </c>
      <c r="K1995" t="s">
        <v>2818</v>
      </c>
      <c r="L1995" s="3">
        <v>0</v>
      </c>
      <c r="M1995" t="str">
        <f>IF(Table1[[#This Row],[delayed]]=1,"Delayed","On Time")</f>
        <v>On Time</v>
      </c>
      <c r="N1995" t="str">
        <f>IF(AND(Table1[[#This Row],[delayed]]=1,Table1[[#This Row],[weather_condition]]="Storm"),"High Risk", IF(Table1[[#This Row],[delayed]]=1,"Medium Risk","Low Risk"))</f>
        <v>Low Risk</v>
      </c>
    </row>
    <row r="1996" spans="1:14" x14ac:dyDescent="0.35">
      <c r="A1996">
        <v>1995</v>
      </c>
      <c r="B1996" s="1">
        <v>45010.083333333336</v>
      </c>
      <c r="C1996" s="2">
        <v>5.7638888888888885E-2</v>
      </c>
      <c r="D1996" s="3">
        <v>3157</v>
      </c>
      <c r="E1996" s="3">
        <v>238</v>
      </c>
      <c r="F1996" s="2">
        <v>51.835416666666667</v>
      </c>
      <c r="G1996" t="s">
        <v>2816</v>
      </c>
      <c r="H1996" t="s">
        <v>2817</v>
      </c>
      <c r="I1996" s="2">
        <v>1.1715277777777777</v>
      </c>
      <c r="J1996" s="4" t="str">
        <f>IF(Table1[[#This Row],[processing_time_hours]]&gt;1.5,"Slow", "Fast")</f>
        <v>Fast</v>
      </c>
      <c r="K1996" t="s">
        <v>2821</v>
      </c>
      <c r="L1996" s="3">
        <v>0</v>
      </c>
      <c r="M1996" t="str">
        <f>IF(Table1[[#This Row],[delayed]]=1,"Delayed","On Time")</f>
        <v>On Time</v>
      </c>
      <c r="N1996" t="str">
        <f>IF(AND(Table1[[#This Row],[delayed]]=1,Table1[[#This Row],[weather_condition]]="Storm"),"High Risk", IF(Table1[[#This Row],[delayed]]=1,"Medium Risk","Low Risk"))</f>
        <v>Low Risk</v>
      </c>
    </row>
    <row r="1997" spans="1:14" x14ac:dyDescent="0.35">
      <c r="A1997">
        <v>1996</v>
      </c>
      <c r="B1997" s="1">
        <v>45010.125</v>
      </c>
      <c r="C1997" s="2">
        <v>5.4166666666666669E-2</v>
      </c>
      <c r="D1997" s="3">
        <v>1794</v>
      </c>
      <c r="E1997" s="3">
        <v>12</v>
      </c>
      <c r="F1997" s="2">
        <v>23.837500000000002</v>
      </c>
      <c r="G1997" t="s">
        <v>2816</v>
      </c>
      <c r="H1997" t="s">
        <v>2820</v>
      </c>
      <c r="I1997" s="2">
        <v>1.2104166666666667</v>
      </c>
      <c r="J1997" s="4" t="str">
        <f>IF(Table1[[#This Row],[processing_time_hours]]&gt;1.5,"Slow", "Fast")</f>
        <v>Fast</v>
      </c>
      <c r="K1997" t="s">
        <v>2818</v>
      </c>
      <c r="L1997" s="3">
        <v>0</v>
      </c>
      <c r="M1997" t="str">
        <f>IF(Table1[[#This Row],[delayed]]=1,"Delayed","On Time")</f>
        <v>On Time</v>
      </c>
      <c r="N1997" t="str">
        <f>IF(AND(Table1[[#This Row],[delayed]]=1,Table1[[#This Row],[weather_condition]]="Storm"),"High Risk", IF(Table1[[#This Row],[delayed]]=1,"Medium Risk","Low Risk"))</f>
        <v>Low Risk</v>
      </c>
    </row>
    <row r="1998" spans="1:14" x14ac:dyDescent="0.35">
      <c r="A1998">
        <v>1997</v>
      </c>
      <c r="B1998" s="1">
        <v>45010.166666666664</v>
      </c>
      <c r="C1998" s="2">
        <v>4.5833333333333337E-2</v>
      </c>
      <c r="D1998" s="3">
        <v>1013</v>
      </c>
      <c r="E1998" s="3">
        <v>350</v>
      </c>
      <c r="F1998" s="2">
        <v>6.833333333333333</v>
      </c>
      <c r="G1998" t="s">
        <v>2819</v>
      </c>
      <c r="H1998" t="s">
        <v>2822</v>
      </c>
      <c r="I1998" s="2">
        <v>0.42083333333333334</v>
      </c>
      <c r="J1998" s="4" t="str">
        <f>IF(Table1[[#This Row],[processing_time_hours]]&gt;1.5,"Slow", "Fast")</f>
        <v>Fast</v>
      </c>
      <c r="K1998" t="s">
        <v>2821</v>
      </c>
      <c r="L1998" s="3">
        <v>0</v>
      </c>
      <c r="M1998" t="str">
        <f>IF(Table1[[#This Row],[delayed]]=1,"Delayed","On Time")</f>
        <v>On Time</v>
      </c>
      <c r="N1998" t="str">
        <f>IF(AND(Table1[[#This Row],[delayed]]=1,Table1[[#This Row],[weather_condition]]="Storm"),"High Risk", IF(Table1[[#This Row],[delayed]]=1,"Medium Risk","Low Risk"))</f>
        <v>Low Risk</v>
      </c>
    </row>
    <row r="1999" spans="1:14" x14ac:dyDescent="0.35">
      <c r="A1999">
        <v>1998</v>
      </c>
      <c r="B1999" s="1">
        <v>45010.208333333336</v>
      </c>
      <c r="C1999" s="2">
        <v>6.805555555555555E-2</v>
      </c>
      <c r="D1999" s="3">
        <v>792</v>
      </c>
      <c r="E1999" s="3">
        <v>10</v>
      </c>
      <c r="F1999" s="2">
        <v>63.50138888888889</v>
      </c>
      <c r="G1999" t="s">
        <v>2819</v>
      </c>
      <c r="H1999" t="s">
        <v>2813</v>
      </c>
      <c r="I1999" s="2">
        <v>0.9194444444444444</v>
      </c>
      <c r="J1999" s="4" t="str">
        <f>IF(Table1[[#This Row],[processing_time_hours]]&gt;1.5,"Slow", "Fast")</f>
        <v>Fast</v>
      </c>
      <c r="K1999" t="s">
        <v>2814</v>
      </c>
      <c r="L1999" s="3">
        <v>1</v>
      </c>
      <c r="M1999" t="str">
        <f>IF(Table1[[#This Row],[delayed]]=1,"Delayed","On Time")</f>
        <v>Delayed</v>
      </c>
      <c r="N1999" t="str">
        <f>IF(AND(Table1[[#This Row],[delayed]]=1,Table1[[#This Row],[weather_condition]]="Storm"),"High Risk", IF(Table1[[#This Row],[delayed]]=1,"Medium Risk","Low Risk"))</f>
        <v>Medium Risk</v>
      </c>
    </row>
    <row r="2000" spans="1:14" x14ac:dyDescent="0.35">
      <c r="A2000">
        <v>1999</v>
      </c>
      <c r="B2000" s="1">
        <v>45010.25</v>
      </c>
      <c r="C2000" s="2">
        <v>4.3055555555555562E-2</v>
      </c>
      <c r="D2000" s="3">
        <v>246</v>
      </c>
      <c r="E2000" s="3">
        <v>168</v>
      </c>
      <c r="F2000" s="2">
        <v>44.754166666666663</v>
      </c>
      <c r="G2000" t="s">
        <v>2816</v>
      </c>
      <c r="H2000" t="s">
        <v>2817</v>
      </c>
      <c r="I2000" s="2">
        <v>1.0458333333333334</v>
      </c>
      <c r="J2000" s="4" t="str">
        <f>IF(Table1[[#This Row],[processing_time_hours]]&gt;1.5,"Slow", "Fast")</f>
        <v>Fast</v>
      </c>
      <c r="K2000" t="s">
        <v>2818</v>
      </c>
      <c r="L2000" s="3">
        <v>0</v>
      </c>
      <c r="M2000" t="str">
        <f>IF(Table1[[#This Row],[delayed]]=1,"Delayed","On Time")</f>
        <v>On Time</v>
      </c>
      <c r="N2000" t="str">
        <f>IF(AND(Table1[[#This Row],[delayed]]=1,Table1[[#This Row],[weather_condition]]="Storm"),"High Risk", IF(Table1[[#This Row],[delayed]]=1,"Medium Risk","Low Risk"))</f>
        <v>Low Risk</v>
      </c>
    </row>
    <row r="2001" spans="1:14" x14ac:dyDescent="0.35">
      <c r="A2001">
        <v>2000</v>
      </c>
      <c r="B2001" s="1">
        <v>45010.291666666664</v>
      </c>
      <c r="C2001" s="2">
        <v>5.9722222222222225E-2</v>
      </c>
      <c r="D2001" s="3">
        <v>4712</v>
      </c>
      <c r="E2001" s="3">
        <v>468</v>
      </c>
      <c r="F2001" s="2">
        <v>57.041666666666664</v>
      </c>
      <c r="G2001" t="s">
        <v>2815</v>
      </c>
      <c r="H2001" t="s">
        <v>2822</v>
      </c>
      <c r="I2001" s="2">
        <v>1.2958333333333334</v>
      </c>
      <c r="J2001" s="4" t="str">
        <f>IF(Table1[[#This Row],[processing_time_hours]]&gt;1.5,"Slow", "Fast")</f>
        <v>Fast</v>
      </c>
      <c r="K2001" t="s">
        <v>2818</v>
      </c>
      <c r="L2001" s="3">
        <v>0</v>
      </c>
      <c r="M2001" t="str">
        <f>IF(Table1[[#This Row],[delayed]]=1,"Delayed","On Time")</f>
        <v>On Time</v>
      </c>
      <c r="N2001" t="str">
        <f>IF(AND(Table1[[#This Row],[delayed]]=1,Table1[[#This Row],[weather_condition]]="Storm"),"High Risk", IF(Table1[[#This Row],[delayed]]=1,"Medium Risk","Low Risk"))</f>
        <v>Low Risk</v>
      </c>
    </row>
    <row r="2002" spans="1:14" x14ac:dyDescent="0.35">
      <c r="A2002">
        <v>2001</v>
      </c>
      <c r="B2002" s="1">
        <v>45010.333333333336</v>
      </c>
      <c r="C2002" s="2">
        <v>5.8333333333333327E-2</v>
      </c>
      <c r="D2002" s="3">
        <v>2830</v>
      </c>
      <c r="E2002" s="3">
        <v>56</v>
      </c>
      <c r="F2002" s="2">
        <v>1.3805555555555555</v>
      </c>
      <c r="G2002" t="s">
        <v>2819</v>
      </c>
      <c r="H2002" t="s">
        <v>2820</v>
      </c>
      <c r="I2002" s="2">
        <v>2.0881944444444445</v>
      </c>
      <c r="J2002" s="4" t="str">
        <f>IF(Table1[[#This Row],[processing_time_hours]]&gt;1.5,"Slow", "Fast")</f>
        <v>Slow</v>
      </c>
      <c r="K2002" t="s">
        <v>2821</v>
      </c>
      <c r="L2002" s="3">
        <v>0</v>
      </c>
      <c r="M2002" t="str">
        <f>IF(Table1[[#This Row],[delayed]]=1,"Delayed","On Time")</f>
        <v>On Time</v>
      </c>
      <c r="N2002" t="str">
        <f>IF(AND(Table1[[#This Row],[delayed]]=1,Table1[[#This Row],[weather_condition]]="Storm"),"High Risk", IF(Table1[[#This Row],[delayed]]=1,"Medium Risk","Low Risk"))</f>
        <v>Low Risk</v>
      </c>
    </row>
    <row r="2003" spans="1:14" x14ac:dyDescent="0.35">
      <c r="A2003">
        <v>2002</v>
      </c>
      <c r="B2003" s="1">
        <v>45010.375</v>
      </c>
      <c r="C2003" s="2">
        <v>6.1805555555555558E-2</v>
      </c>
      <c r="D2003" s="3">
        <v>4379</v>
      </c>
      <c r="E2003" s="3">
        <v>243</v>
      </c>
      <c r="F2003" s="2">
        <v>32.211111111111116</v>
      </c>
      <c r="G2003" t="s">
        <v>2816</v>
      </c>
      <c r="H2003" t="s">
        <v>2822</v>
      </c>
      <c r="I2003" s="2">
        <v>1.3763888888888889</v>
      </c>
      <c r="J2003" s="4" t="str">
        <f>IF(Table1[[#This Row],[processing_time_hours]]&gt;1.5,"Slow", "Fast")</f>
        <v>Fast</v>
      </c>
      <c r="K2003" t="s">
        <v>2821</v>
      </c>
      <c r="L2003" s="3">
        <v>0</v>
      </c>
      <c r="M2003" t="str">
        <f>IF(Table1[[#This Row],[delayed]]=1,"Delayed","On Time")</f>
        <v>On Time</v>
      </c>
      <c r="N2003" t="str">
        <f>IF(AND(Table1[[#This Row],[delayed]]=1,Table1[[#This Row],[weather_condition]]="Storm"),"High Risk", IF(Table1[[#This Row],[delayed]]=1,"Medium Risk","Low Risk"))</f>
        <v>Low Risk</v>
      </c>
    </row>
    <row r="2004" spans="1:14" x14ac:dyDescent="0.35">
      <c r="A2004">
        <v>2003</v>
      </c>
      <c r="B2004" s="1">
        <v>45010.416666666664</v>
      </c>
      <c r="C2004" s="2">
        <v>6.2499999999999995E-3</v>
      </c>
      <c r="D2004" s="3">
        <v>3979</v>
      </c>
      <c r="E2004" s="3">
        <v>365</v>
      </c>
      <c r="F2004" s="2">
        <v>61.293055555555554</v>
      </c>
      <c r="G2004" t="s">
        <v>2812</v>
      </c>
      <c r="H2004" t="s">
        <v>2813</v>
      </c>
      <c r="I2004" s="2">
        <v>1.7118055555555556</v>
      </c>
      <c r="J2004" s="4" t="str">
        <f>IF(Table1[[#This Row],[processing_time_hours]]&gt;1.5,"Slow", "Fast")</f>
        <v>Slow</v>
      </c>
      <c r="K2004" t="s">
        <v>2818</v>
      </c>
      <c r="L2004" s="3">
        <v>0</v>
      </c>
      <c r="M2004" t="str">
        <f>IF(Table1[[#This Row],[delayed]]=1,"Delayed","On Time")</f>
        <v>On Time</v>
      </c>
      <c r="N2004" t="str">
        <f>IF(AND(Table1[[#This Row],[delayed]]=1,Table1[[#This Row],[weather_condition]]="Storm"),"High Risk", IF(Table1[[#This Row],[delayed]]=1,"Medium Risk","Low Risk"))</f>
        <v>Low Risk</v>
      </c>
    </row>
    <row r="2005" spans="1:14" x14ac:dyDescent="0.35">
      <c r="A2005">
        <v>2004</v>
      </c>
      <c r="B2005" s="1">
        <v>45010.458333333336</v>
      </c>
      <c r="C2005" s="2">
        <v>6.0416666666666667E-2</v>
      </c>
      <c r="D2005" s="3">
        <v>3815</v>
      </c>
      <c r="E2005" s="3">
        <v>454</v>
      </c>
      <c r="F2005" s="2">
        <v>49.795138888888886</v>
      </c>
      <c r="G2005" t="s">
        <v>2812</v>
      </c>
      <c r="H2005" t="s">
        <v>2813</v>
      </c>
      <c r="I2005" s="2">
        <v>0.7944444444444444</v>
      </c>
      <c r="J2005" s="4" t="str">
        <f>IF(Table1[[#This Row],[processing_time_hours]]&gt;1.5,"Slow", "Fast")</f>
        <v>Fast</v>
      </c>
      <c r="K2005" t="s">
        <v>2814</v>
      </c>
      <c r="L2005" s="3">
        <v>0</v>
      </c>
      <c r="M2005" t="str">
        <f>IF(Table1[[#This Row],[delayed]]=1,"Delayed","On Time")</f>
        <v>On Time</v>
      </c>
      <c r="N2005" t="str">
        <f>IF(AND(Table1[[#This Row],[delayed]]=1,Table1[[#This Row],[weather_condition]]="Storm"),"High Risk", IF(Table1[[#This Row],[delayed]]=1,"Medium Risk","Low Risk"))</f>
        <v>Low Risk</v>
      </c>
    </row>
    <row r="2006" spans="1:14" x14ac:dyDescent="0.35">
      <c r="A2006">
        <v>2005</v>
      </c>
      <c r="B2006" s="1">
        <v>45010.5</v>
      </c>
      <c r="C2006" s="2">
        <v>5.6944444444444443E-2</v>
      </c>
      <c r="D2006" s="3">
        <v>3996</v>
      </c>
      <c r="E2006" s="3">
        <v>265</v>
      </c>
      <c r="F2006" s="2">
        <v>47.21319444444444</v>
      </c>
      <c r="G2006" t="s">
        <v>2816</v>
      </c>
      <c r="H2006" t="s">
        <v>2813</v>
      </c>
      <c r="I2006" s="2">
        <v>2.3777777777777778</v>
      </c>
      <c r="J2006" s="4" t="str">
        <f>IF(Table1[[#This Row],[processing_time_hours]]&gt;1.5,"Slow", "Fast")</f>
        <v>Slow</v>
      </c>
      <c r="K2006" t="s">
        <v>2821</v>
      </c>
      <c r="L2006" s="3">
        <v>0</v>
      </c>
      <c r="M2006" t="str">
        <f>IF(Table1[[#This Row],[delayed]]=1,"Delayed","On Time")</f>
        <v>On Time</v>
      </c>
      <c r="N2006" t="str">
        <f>IF(AND(Table1[[#This Row],[delayed]]=1,Table1[[#This Row],[weather_condition]]="Storm"),"High Risk", IF(Table1[[#This Row],[delayed]]=1,"Medium Risk","Low Risk"))</f>
        <v>Low Risk</v>
      </c>
    </row>
    <row r="2007" spans="1:14" x14ac:dyDescent="0.35">
      <c r="A2007">
        <v>2006</v>
      </c>
      <c r="B2007" s="1">
        <v>45010.541666666664</v>
      </c>
      <c r="C2007" s="2">
        <v>5.3472222222222227E-2</v>
      </c>
      <c r="D2007" s="3">
        <v>4330</v>
      </c>
      <c r="E2007" s="3">
        <v>285</v>
      </c>
      <c r="F2007" s="2">
        <v>62.420833333333327</v>
      </c>
      <c r="G2007" t="s">
        <v>2815</v>
      </c>
      <c r="H2007" t="s">
        <v>2822</v>
      </c>
      <c r="I2007" s="2">
        <v>1.8368055555555556</v>
      </c>
      <c r="J2007" s="4" t="str">
        <f>IF(Table1[[#This Row],[processing_time_hours]]&gt;1.5,"Slow", "Fast")</f>
        <v>Slow</v>
      </c>
      <c r="K2007" t="s">
        <v>2818</v>
      </c>
      <c r="L2007" s="3">
        <v>0</v>
      </c>
      <c r="M2007" t="str">
        <f>IF(Table1[[#This Row],[delayed]]=1,"Delayed","On Time")</f>
        <v>On Time</v>
      </c>
      <c r="N2007" t="str">
        <f>IF(AND(Table1[[#This Row],[delayed]]=1,Table1[[#This Row],[weather_condition]]="Storm"),"High Risk", IF(Table1[[#This Row],[delayed]]=1,"Medium Risk","Low Risk"))</f>
        <v>Low Risk</v>
      </c>
    </row>
    <row r="2008" spans="1:14" x14ac:dyDescent="0.35">
      <c r="A2008">
        <v>2007</v>
      </c>
      <c r="B2008" s="1">
        <v>45010.583333333336</v>
      </c>
      <c r="C2008" s="2">
        <v>6.3888888888888898E-2</v>
      </c>
      <c r="D2008" s="3">
        <v>1123</v>
      </c>
      <c r="E2008" s="3">
        <v>76</v>
      </c>
      <c r="F2008" s="2">
        <v>72.211805555555557</v>
      </c>
      <c r="G2008" t="s">
        <v>2812</v>
      </c>
      <c r="H2008" t="s">
        <v>2817</v>
      </c>
      <c r="I2008" s="2">
        <v>2.0416666666666665</v>
      </c>
      <c r="J2008" s="4" t="str">
        <f>IF(Table1[[#This Row],[processing_time_hours]]&gt;1.5,"Slow", "Fast")</f>
        <v>Slow</v>
      </c>
      <c r="K2008" t="s">
        <v>2821</v>
      </c>
      <c r="L2008" s="3">
        <v>0</v>
      </c>
      <c r="M2008" t="str">
        <f>IF(Table1[[#This Row],[delayed]]=1,"Delayed","On Time")</f>
        <v>On Time</v>
      </c>
      <c r="N2008" t="str">
        <f>IF(AND(Table1[[#This Row],[delayed]]=1,Table1[[#This Row],[weather_condition]]="Storm"),"High Risk", IF(Table1[[#This Row],[delayed]]=1,"Medium Risk","Low Risk"))</f>
        <v>Low Risk</v>
      </c>
    </row>
    <row r="2009" spans="1:14" x14ac:dyDescent="0.35">
      <c r="A2009">
        <v>2008</v>
      </c>
      <c r="B2009" s="1">
        <v>45010.625</v>
      </c>
      <c r="C2009" s="2">
        <v>4.5138888888888888E-2</v>
      </c>
      <c r="D2009" s="3">
        <v>2639</v>
      </c>
      <c r="E2009" s="3">
        <v>280</v>
      </c>
      <c r="F2009" s="2">
        <v>13.37638888888889</v>
      </c>
      <c r="G2009" t="s">
        <v>2816</v>
      </c>
      <c r="H2009" t="s">
        <v>2822</v>
      </c>
      <c r="I2009" s="2">
        <v>1.3388888888888888</v>
      </c>
      <c r="J2009" s="4" t="str">
        <f>IF(Table1[[#This Row],[processing_time_hours]]&gt;1.5,"Slow", "Fast")</f>
        <v>Fast</v>
      </c>
      <c r="K2009" t="s">
        <v>2818</v>
      </c>
      <c r="L2009" s="3">
        <v>0</v>
      </c>
      <c r="M2009" t="str">
        <f>IF(Table1[[#This Row],[delayed]]=1,"Delayed","On Time")</f>
        <v>On Time</v>
      </c>
      <c r="N2009" t="str">
        <f>IF(AND(Table1[[#This Row],[delayed]]=1,Table1[[#This Row],[weather_condition]]="Storm"),"High Risk", IF(Table1[[#This Row],[delayed]]=1,"Medium Risk","Low Risk"))</f>
        <v>Low Risk</v>
      </c>
    </row>
    <row r="2010" spans="1:14" x14ac:dyDescent="0.35">
      <c r="A2010">
        <v>2009</v>
      </c>
      <c r="B2010" s="1">
        <v>45010.666666666664</v>
      </c>
      <c r="C2010" s="2">
        <v>4.9305555555555554E-2</v>
      </c>
      <c r="D2010" s="3">
        <v>924</v>
      </c>
      <c r="E2010" s="3">
        <v>372</v>
      </c>
      <c r="F2010" s="2">
        <v>15.584027777777777</v>
      </c>
      <c r="G2010" t="s">
        <v>2816</v>
      </c>
      <c r="H2010" t="s">
        <v>2822</v>
      </c>
      <c r="I2010" s="2">
        <v>0.25069444444444444</v>
      </c>
      <c r="J2010" s="4" t="str">
        <f>IF(Table1[[#This Row],[processing_time_hours]]&gt;1.5,"Slow", "Fast")</f>
        <v>Fast</v>
      </c>
      <c r="K2010" t="s">
        <v>2814</v>
      </c>
      <c r="L2010" s="3">
        <v>0</v>
      </c>
      <c r="M2010" t="str">
        <f>IF(Table1[[#This Row],[delayed]]=1,"Delayed","On Time")</f>
        <v>On Time</v>
      </c>
      <c r="N2010" t="str">
        <f>IF(AND(Table1[[#This Row],[delayed]]=1,Table1[[#This Row],[weather_condition]]="Storm"),"High Risk", IF(Table1[[#This Row],[delayed]]=1,"Medium Risk","Low Risk"))</f>
        <v>Low Risk</v>
      </c>
    </row>
    <row r="2011" spans="1:14" x14ac:dyDescent="0.35">
      <c r="A2011">
        <v>2010</v>
      </c>
      <c r="B2011" s="1">
        <v>45010.708333333336</v>
      </c>
      <c r="C2011" s="2">
        <v>6.3194444444444442E-2</v>
      </c>
      <c r="D2011" s="3">
        <v>1626</v>
      </c>
      <c r="E2011" s="3">
        <v>117</v>
      </c>
      <c r="F2011" s="2">
        <v>35.83958333333333</v>
      </c>
      <c r="G2011" t="s">
        <v>2816</v>
      </c>
      <c r="H2011" t="s">
        <v>2813</v>
      </c>
      <c r="I2011" s="2">
        <v>1.8805555555555555</v>
      </c>
      <c r="J2011" s="4" t="str">
        <f>IF(Table1[[#This Row],[processing_time_hours]]&gt;1.5,"Slow", "Fast")</f>
        <v>Slow</v>
      </c>
      <c r="K2011" t="s">
        <v>2818</v>
      </c>
      <c r="L2011" s="3">
        <v>0</v>
      </c>
      <c r="M2011" t="str">
        <f>IF(Table1[[#This Row],[delayed]]=1,"Delayed","On Time")</f>
        <v>On Time</v>
      </c>
      <c r="N2011" t="str">
        <f>IF(AND(Table1[[#This Row],[delayed]]=1,Table1[[#This Row],[weather_condition]]="Storm"),"High Risk", IF(Table1[[#This Row],[delayed]]=1,"Medium Risk","Low Risk"))</f>
        <v>Low Risk</v>
      </c>
    </row>
    <row r="2012" spans="1:14" x14ac:dyDescent="0.35">
      <c r="A2012">
        <v>2011</v>
      </c>
      <c r="B2012" s="1">
        <v>45010.75</v>
      </c>
      <c r="C2012" s="2">
        <v>6.6666666666666666E-2</v>
      </c>
      <c r="D2012" s="3">
        <v>2643</v>
      </c>
      <c r="E2012" s="3">
        <v>215</v>
      </c>
      <c r="F2012" s="2">
        <v>4.0062500000000005</v>
      </c>
      <c r="G2012" t="s">
        <v>2816</v>
      </c>
      <c r="H2012" t="s">
        <v>2820</v>
      </c>
      <c r="I2012" s="2">
        <v>1.7090277777777778</v>
      </c>
      <c r="J2012" s="4" t="str">
        <f>IF(Table1[[#This Row],[processing_time_hours]]&gt;1.5,"Slow", "Fast")</f>
        <v>Slow</v>
      </c>
      <c r="K2012" t="s">
        <v>2821</v>
      </c>
      <c r="L2012" s="3">
        <v>0</v>
      </c>
      <c r="M2012" t="str">
        <f>IF(Table1[[#This Row],[delayed]]=1,"Delayed","On Time")</f>
        <v>On Time</v>
      </c>
      <c r="N2012" t="str">
        <f>IF(AND(Table1[[#This Row],[delayed]]=1,Table1[[#This Row],[weather_condition]]="Storm"),"High Risk", IF(Table1[[#This Row],[delayed]]=1,"Medium Risk","Low Risk"))</f>
        <v>Low Risk</v>
      </c>
    </row>
    <row r="2013" spans="1:14" x14ac:dyDescent="0.35">
      <c r="A2013">
        <v>2012</v>
      </c>
      <c r="B2013" s="1">
        <v>45010.791666666664</v>
      </c>
      <c r="C2013" s="2">
        <v>5.9722222222222225E-2</v>
      </c>
      <c r="D2013" s="3">
        <v>1098</v>
      </c>
      <c r="E2013" s="3">
        <v>477</v>
      </c>
      <c r="F2013" s="2">
        <v>66.213888888888889</v>
      </c>
      <c r="G2013" t="s">
        <v>2816</v>
      </c>
      <c r="H2013" t="s">
        <v>2813</v>
      </c>
      <c r="I2013" s="2">
        <v>2.4215277777777779</v>
      </c>
      <c r="J2013" s="4" t="str">
        <f>IF(Table1[[#This Row],[processing_time_hours]]&gt;1.5,"Slow", "Fast")</f>
        <v>Slow</v>
      </c>
      <c r="K2013" t="s">
        <v>2821</v>
      </c>
      <c r="L2013" s="3">
        <v>1</v>
      </c>
      <c r="M2013" t="str">
        <f>IF(Table1[[#This Row],[delayed]]=1,"Delayed","On Time")</f>
        <v>Delayed</v>
      </c>
      <c r="N2013" t="str">
        <f>IF(AND(Table1[[#This Row],[delayed]]=1,Table1[[#This Row],[weather_condition]]="Storm"),"High Risk", IF(Table1[[#This Row],[delayed]]=1,"Medium Risk","Low Risk"))</f>
        <v>Medium Risk</v>
      </c>
    </row>
    <row r="2014" spans="1:14" x14ac:dyDescent="0.35">
      <c r="A2014">
        <v>2013</v>
      </c>
      <c r="B2014" s="1">
        <v>45010.833333333336</v>
      </c>
      <c r="C2014" s="2">
        <v>4.3055555555555562E-2</v>
      </c>
      <c r="D2014" s="3">
        <v>1636</v>
      </c>
      <c r="E2014" s="3">
        <v>125</v>
      </c>
      <c r="F2014" s="2">
        <v>45.834722222222219</v>
      </c>
      <c r="G2014" t="s">
        <v>2815</v>
      </c>
      <c r="H2014" t="s">
        <v>2813</v>
      </c>
      <c r="I2014" s="2">
        <v>1.7548611111111112</v>
      </c>
      <c r="J2014" s="4" t="str">
        <f>IF(Table1[[#This Row],[processing_time_hours]]&gt;1.5,"Slow", "Fast")</f>
        <v>Slow</v>
      </c>
      <c r="K2014" t="s">
        <v>2821</v>
      </c>
      <c r="L2014" s="3">
        <v>0</v>
      </c>
      <c r="M2014" t="str">
        <f>IF(Table1[[#This Row],[delayed]]=1,"Delayed","On Time")</f>
        <v>On Time</v>
      </c>
      <c r="N2014" t="str">
        <f>IF(AND(Table1[[#This Row],[delayed]]=1,Table1[[#This Row],[weather_condition]]="Storm"),"High Risk", IF(Table1[[#This Row],[delayed]]=1,"Medium Risk","Low Risk"))</f>
        <v>Low Risk</v>
      </c>
    </row>
    <row r="2015" spans="1:14" x14ac:dyDescent="0.35">
      <c r="A2015">
        <v>2014</v>
      </c>
      <c r="B2015" s="1">
        <v>45010.875</v>
      </c>
      <c r="C2015" s="2">
        <v>6.458333333333334E-2</v>
      </c>
      <c r="D2015" s="3">
        <v>4294</v>
      </c>
      <c r="E2015" s="3">
        <v>497</v>
      </c>
      <c r="F2015" s="2">
        <v>46.712499999999999</v>
      </c>
      <c r="G2015" t="s">
        <v>2819</v>
      </c>
      <c r="H2015" t="s">
        <v>2817</v>
      </c>
      <c r="I2015" s="2">
        <v>2.5881944444444445</v>
      </c>
      <c r="J2015" s="4" t="str">
        <f>IF(Table1[[#This Row],[processing_time_hours]]&gt;1.5,"Slow", "Fast")</f>
        <v>Slow</v>
      </c>
      <c r="K2015" t="s">
        <v>2821</v>
      </c>
      <c r="L2015" s="3">
        <v>0</v>
      </c>
      <c r="M2015" t="str">
        <f>IF(Table1[[#This Row],[delayed]]=1,"Delayed","On Time")</f>
        <v>On Time</v>
      </c>
      <c r="N2015" t="str">
        <f>IF(AND(Table1[[#This Row],[delayed]]=1,Table1[[#This Row],[weather_condition]]="Storm"),"High Risk", IF(Table1[[#This Row],[delayed]]=1,"Medium Risk","Low Risk"))</f>
        <v>Low Risk</v>
      </c>
    </row>
    <row r="2016" spans="1:14" x14ac:dyDescent="0.35">
      <c r="A2016">
        <v>2015</v>
      </c>
      <c r="B2016" s="1">
        <v>45010.916666666664</v>
      </c>
      <c r="C2016" s="2">
        <v>6.8749999999999992E-2</v>
      </c>
      <c r="D2016" s="3">
        <v>3851</v>
      </c>
      <c r="E2016" s="3">
        <v>85</v>
      </c>
      <c r="F2016" s="2">
        <v>27.880555555555556</v>
      </c>
      <c r="G2016" t="s">
        <v>2819</v>
      </c>
      <c r="H2016" t="s">
        <v>2820</v>
      </c>
      <c r="I2016" s="2">
        <v>1.8340277777777778</v>
      </c>
      <c r="J2016" s="4" t="str">
        <f>IF(Table1[[#This Row],[processing_time_hours]]&gt;1.5,"Slow", "Fast")</f>
        <v>Slow</v>
      </c>
      <c r="K2016" t="s">
        <v>2821</v>
      </c>
      <c r="L2016" s="3">
        <v>0</v>
      </c>
      <c r="M2016" t="str">
        <f>IF(Table1[[#This Row],[delayed]]=1,"Delayed","On Time")</f>
        <v>On Time</v>
      </c>
      <c r="N2016" t="str">
        <f>IF(AND(Table1[[#This Row],[delayed]]=1,Table1[[#This Row],[weather_condition]]="Storm"),"High Risk", IF(Table1[[#This Row],[delayed]]=1,"Medium Risk","Low Risk"))</f>
        <v>Low Risk</v>
      </c>
    </row>
    <row r="2017" spans="1:14" x14ac:dyDescent="0.35">
      <c r="A2017">
        <v>2016</v>
      </c>
      <c r="B2017" s="1">
        <v>45010.958333333336</v>
      </c>
      <c r="C2017" s="2">
        <v>5.4166666666666669E-2</v>
      </c>
      <c r="D2017" s="3">
        <v>3185</v>
      </c>
      <c r="E2017" s="3">
        <v>313</v>
      </c>
      <c r="F2017" s="2">
        <v>7.5854166666666671</v>
      </c>
      <c r="G2017" t="s">
        <v>2816</v>
      </c>
      <c r="H2017" t="s">
        <v>2813</v>
      </c>
      <c r="I2017" s="2">
        <v>0.62638888888888888</v>
      </c>
      <c r="J2017" s="4" t="str">
        <f>IF(Table1[[#This Row],[processing_time_hours]]&gt;1.5,"Slow", "Fast")</f>
        <v>Fast</v>
      </c>
      <c r="K2017" t="s">
        <v>2818</v>
      </c>
      <c r="L2017" s="3">
        <v>1</v>
      </c>
      <c r="M2017" t="str">
        <f>IF(Table1[[#This Row],[delayed]]=1,"Delayed","On Time")</f>
        <v>Delayed</v>
      </c>
      <c r="N2017" t="str">
        <f>IF(AND(Table1[[#This Row],[delayed]]=1,Table1[[#This Row],[weather_condition]]="Storm"),"High Risk", IF(Table1[[#This Row],[delayed]]=1,"Medium Risk","Low Risk"))</f>
        <v>Medium Risk</v>
      </c>
    </row>
    <row r="2018" spans="1:14" x14ac:dyDescent="0.35">
      <c r="A2018">
        <v>2017</v>
      </c>
      <c r="B2018" s="1">
        <v>45011</v>
      </c>
      <c r="C2018" s="2">
        <v>5.2777777777777778E-2</v>
      </c>
      <c r="D2018" s="3">
        <v>654</v>
      </c>
      <c r="E2018" s="3">
        <v>147</v>
      </c>
      <c r="F2018" s="2">
        <v>53.378472222222221</v>
      </c>
      <c r="G2018" t="s">
        <v>2815</v>
      </c>
      <c r="H2018" t="s">
        <v>2820</v>
      </c>
      <c r="I2018" s="2">
        <v>2.8791666666666664</v>
      </c>
      <c r="J2018" s="4" t="str">
        <f>IF(Table1[[#This Row],[processing_time_hours]]&gt;1.5,"Slow", "Fast")</f>
        <v>Slow</v>
      </c>
      <c r="K2018" t="s">
        <v>2821</v>
      </c>
      <c r="L2018" s="3">
        <v>0</v>
      </c>
      <c r="M2018" t="str">
        <f>IF(Table1[[#This Row],[delayed]]=1,"Delayed","On Time")</f>
        <v>On Time</v>
      </c>
      <c r="N2018" t="str">
        <f>IF(AND(Table1[[#This Row],[delayed]]=1,Table1[[#This Row],[weather_condition]]="Storm"),"High Risk", IF(Table1[[#This Row],[delayed]]=1,"Medium Risk","Low Risk"))</f>
        <v>Low Risk</v>
      </c>
    </row>
    <row r="2019" spans="1:14" x14ac:dyDescent="0.35">
      <c r="A2019">
        <v>2018</v>
      </c>
      <c r="B2019" s="1">
        <v>45011.041666666664</v>
      </c>
      <c r="C2019" s="2">
        <v>5.1388888888888894E-2</v>
      </c>
      <c r="D2019" s="3">
        <v>3289</v>
      </c>
      <c r="E2019" s="3">
        <v>4</v>
      </c>
      <c r="F2019" s="2">
        <v>60.213888888888896</v>
      </c>
      <c r="G2019" t="s">
        <v>2819</v>
      </c>
      <c r="H2019" t="s">
        <v>2822</v>
      </c>
      <c r="I2019" s="2">
        <v>2.0062500000000001</v>
      </c>
      <c r="J2019" s="4" t="str">
        <f>IF(Table1[[#This Row],[processing_time_hours]]&gt;1.5,"Slow", "Fast")</f>
        <v>Slow</v>
      </c>
      <c r="K2019" t="s">
        <v>2814</v>
      </c>
      <c r="L2019" s="3">
        <v>1</v>
      </c>
      <c r="M2019" t="str">
        <f>IF(Table1[[#This Row],[delayed]]=1,"Delayed","On Time")</f>
        <v>Delayed</v>
      </c>
      <c r="N2019" t="str">
        <f>IF(AND(Table1[[#This Row],[delayed]]=1,Table1[[#This Row],[weather_condition]]="Storm"),"High Risk", IF(Table1[[#This Row],[delayed]]=1,"Medium Risk","Low Risk"))</f>
        <v>Medium Risk</v>
      </c>
    </row>
    <row r="2020" spans="1:14" x14ac:dyDescent="0.35">
      <c r="A2020">
        <v>2019</v>
      </c>
      <c r="B2020" s="1">
        <v>45011.083333333336</v>
      </c>
      <c r="C2020" s="2">
        <v>5.8333333333333327E-2</v>
      </c>
      <c r="D2020" s="3">
        <v>3890</v>
      </c>
      <c r="E2020" s="3">
        <v>378</v>
      </c>
      <c r="F2020" s="2">
        <v>76.709722222222226</v>
      </c>
      <c r="G2020" t="s">
        <v>2815</v>
      </c>
      <c r="H2020" t="s">
        <v>2813</v>
      </c>
      <c r="I2020" s="2">
        <v>1</v>
      </c>
      <c r="J2020" s="4" t="str">
        <f>IF(Table1[[#This Row],[processing_time_hours]]&gt;1.5,"Slow", "Fast")</f>
        <v>Fast</v>
      </c>
      <c r="K2020" t="s">
        <v>2821</v>
      </c>
      <c r="L2020" s="3">
        <v>0</v>
      </c>
      <c r="M2020" t="str">
        <f>IF(Table1[[#This Row],[delayed]]=1,"Delayed","On Time")</f>
        <v>On Time</v>
      </c>
      <c r="N2020" t="str">
        <f>IF(AND(Table1[[#This Row],[delayed]]=1,Table1[[#This Row],[weather_condition]]="Storm"),"High Risk", IF(Table1[[#This Row],[delayed]]=1,"Medium Risk","Low Risk"))</f>
        <v>Low Risk</v>
      </c>
    </row>
    <row r="2021" spans="1:14" x14ac:dyDescent="0.35">
      <c r="A2021">
        <v>2020</v>
      </c>
      <c r="B2021" s="1">
        <v>45011.125</v>
      </c>
      <c r="C2021" s="2">
        <v>4.6527777777777779E-2</v>
      </c>
      <c r="D2021" s="3">
        <v>433</v>
      </c>
      <c r="E2021" s="3">
        <v>494</v>
      </c>
      <c r="F2021" s="2">
        <v>8.7965277777777775</v>
      </c>
      <c r="G2021" t="s">
        <v>2812</v>
      </c>
      <c r="H2021" t="s">
        <v>2820</v>
      </c>
      <c r="I2021" s="2">
        <v>0.83611111111111114</v>
      </c>
      <c r="J2021" s="4" t="str">
        <f>IF(Table1[[#This Row],[processing_time_hours]]&gt;1.5,"Slow", "Fast")</f>
        <v>Fast</v>
      </c>
      <c r="K2021" t="s">
        <v>2821</v>
      </c>
      <c r="L2021" s="3">
        <v>1</v>
      </c>
      <c r="M2021" t="str">
        <f>IF(Table1[[#This Row],[delayed]]=1,"Delayed","On Time")</f>
        <v>Delayed</v>
      </c>
      <c r="N2021" t="str">
        <f>IF(AND(Table1[[#This Row],[delayed]]=1,Table1[[#This Row],[weather_condition]]="Storm"),"High Risk", IF(Table1[[#This Row],[delayed]]=1,"Medium Risk","Low Risk"))</f>
        <v>Medium Risk</v>
      </c>
    </row>
    <row r="2022" spans="1:14" x14ac:dyDescent="0.35">
      <c r="A2022">
        <v>2021</v>
      </c>
      <c r="B2022" s="1">
        <v>45011.166666666664</v>
      </c>
      <c r="C2022" s="2">
        <v>4.5138888888888888E-2</v>
      </c>
      <c r="D2022" s="3">
        <v>3198</v>
      </c>
      <c r="E2022" s="3">
        <v>450</v>
      </c>
      <c r="F2022" s="2">
        <v>6.7541666666666664</v>
      </c>
      <c r="G2022" t="s">
        <v>2819</v>
      </c>
      <c r="H2022" t="s">
        <v>2820</v>
      </c>
      <c r="I2022" s="2">
        <v>2.8347222222222221</v>
      </c>
      <c r="J2022" s="4" t="str">
        <f>IF(Table1[[#This Row],[processing_time_hours]]&gt;1.5,"Slow", "Fast")</f>
        <v>Slow</v>
      </c>
      <c r="K2022" t="s">
        <v>2814</v>
      </c>
      <c r="L2022" s="3">
        <v>0</v>
      </c>
      <c r="M2022" t="str">
        <f>IF(Table1[[#This Row],[delayed]]=1,"Delayed","On Time")</f>
        <v>On Time</v>
      </c>
      <c r="N2022" t="str">
        <f>IF(AND(Table1[[#This Row],[delayed]]=1,Table1[[#This Row],[weather_condition]]="Storm"),"High Risk", IF(Table1[[#This Row],[delayed]]=1,"Medium Risk","Low Risk"))</f>
        <v>Low Risk</v>
      </c>
    </row>
    <row r="2023" spans="1:14" x14ac:dyDescent="0.35">
      <c r="A2023">
        <v>2022</v>
      </c>
      <c r="B2023" s="1">
        <v>45011.208333333336</v>
      </c>
      <c r="C2023" s="2">
        <v>4.1666666666666664E-2</v>
      </c>
      <c r="D2023" s="3">
        <v>4898</v>
      </c>
      <c r="E2023" s="3">
        <v>324</v>
      </c>
      <c r="F2023" s="2">
        <v>79.920138888888886</v>
      </c>
      <c r="G2023" t="s">
        <v>2819</v>
      </c>
      <c r="H2023" t="s">
        <v>2813</v>
      </c>
      <c r="I2023" s="2">
        <v>2.8395833333333336</v>
      </c>
      <c r="J2023" s="4" t="str">
        <f>IF(Table1[[#This Row],[processing_time_hours]]&gt;1.5,"Slow", "Fast")</f>
        <v>Slow</v>
      </c>
      <c r="K2023" t="s">
        <v>2821</v>
      </c>
      <c r="L2023" s="3">
        <v>1</v>
      </c>
      <c r="M2023" t="str">
        <f>IF(Table1[[#This Row],[delayed]]=1,"Delayed","On Time")</f>
        <v>Delayed</v>
      </c>
      <c r="N2023" t="str">
        <f>IF(AND(Table1[[#This Row],[delayed]]=1,Table1[[#This Row],[weather_condition]]="Storm"),"High Risk", IF(Table1[[#This Row],[delayed]]=1,"Medium Risk","Low Risk"))</f>
        <v>Medium Risk</v>
      </c>
    </row>
    <row r="2024" spans="1:14" x14ac:dyDescent="0.35">
      <c r="A2024">
        <v>2023</v>
      </c>
      <c r="B2024" s="1">
        <v>45011.25</v>
      </c>
      <c r="C2024" s="2">
        <v>5.5555555555555558E-3</v>
      </c>
      <c r="D2024" s="3">
        <v>2341</v>
      </c>
      <c r="E2024" s="3">
        <v>370</v>
      </c>
      <c r="F2024" s="2">
        <v>81.547222222222231</v>
      </c>
      <c r="G2024" t="s">
        <v>2812</v>
      </c>
      <c r="H2024" t="s">
        <v>2813</v>
      </c>
      <c r="I2024" s="2">
        <v>2.4229166666666666</v>
      </c>
      <c r="J2024" s="4" t="str">
        <f>IF(Table1[[#This Row],[processing_time_hours]]&gt;1.5,"Slow", "Fast")</f>
        <v>Slow</v>
      </c>
      <c r="K2024" t="s">
        <v>2818</v>
      </c>
      <c r="L2024" s="3">
        <v>0</v>
      </c>
      <c r="M2024" t="str">
        <f>IF(Table1[[#This Row],[delayed]]=1,"Delayed","On Time")</f>
        <v>On Time</v>
      </c>
      <c r="N2024" t="str">
        <f>IF(AND(Table1[[#This Row],[delayed]]=1,Table1[[#This Row],[weather_condition]]="Storm"),"High Risk", IF(Table1[[#This Row],[delayed]]=1,"Medium Risk","Low Risk"))</f>
        <v>Low Risk</v>
      </c>
    </row>
    <row r="2025" spans="1:14" x14ac:dyDescent="0.35">
      <c r="A2025">
        <v>2024</v>
      </c>
      <c r="B2025" s="1">
        <v>45011.291666666664</v>
      </c>
      <c r="C2025" s="2">
        <v>5.6250000000000001E-2</v>
      </c>
      <c r="D2025" s="3">
        <v>1391</v>
      </c>
      <c r="E2025" s="3">
        <v>463</v>
      </c>
      <c r="F2025" s="2">
        <v>74.129166666666663</v>
      </c>
      <c r="G2025" t="s">
        <v>2816</v>
      </c>
      <c r="H2025" t="s">
        <v>2813</v>
      </c>
      <c r="I2025" s="2">
        <v>1.0423611111111111</v>
      </c>
      <c r="J2025" s="4" t="str">
        <f>IF(Table1[[#This Row],[processing_time_hours]]&gt;1.5,"Slow", "Fast")</f>
        <v>Fast</v>
      </c>
      <c r="K2025" t="s">
        <v>2821</v>
      </c>
      <c r="L2025" s="3">
        <v>0</v>
      </c>
      <c r="M2025" t="str">
        <f>IF(Table1[[#This Row],[delayed]]=1,"Delayed","On Time")</f>
        <v>On Time</v>
      </c>
      <c r="N2025" t="str">
        <f>IF(AND(Table1[[#This Row],[delayed]]=1,Table1[[#This Row],[weather_condition]]="Storm"),"High Risk", IF(Table1[[#This Row],[delayed]]=1,"Medium Risk","Low Risk"))</f>
        <v>Low Risk</v>
      </c>
    </row>
    <row r="2026" spans="1:14" x14ac:dyDescent="0.35">
      <c r="A2026">
        <v>2025</v>
      </c>
      <c r="B2026" s="1">
        <v>45011.333333333336</v>
      </c>
      <c r="C2026" s="2">
        <v>4.9999999999999996E-2</v>
      </c>
      <c r="D2026" s="3">
        <v>2469</v>
      </c>
      <c r="E2026" s="3">
        <v>119</v>
      </c>
      <c r="F2026" s="2">
        <v>64.588888888888889</v>
      </c>
      <c r="G2026" t="s">
        <v>2812</v>
      </c>
      <c r="H2026" t="s">
        <v>2813</v>
      </c>
      <c r="I2026" s="2">
        <v>1.6701388888888891</v>
      </c>
      <c r="J2026" s="4" t="str">
        <f>IF(Table1[[#This Row],[processing_time_hours]]&gt;1.5,"Slow", "Fast")</f>
        <v>Slow</v>
      </c>
      <c r="K2026" t="s">
        <v>2818</v>
      </c>
      <c r="L2026" s="3">
        <v>1</v>
      </c>
      <c r="M2026" t="str">
        <f>IF(Table1[[#This Row],[delayed]]=1,"Delayed","On Time")</f>
        <v>Delayed</v>
      </c>
      <c r="N2026" t="str">
        <f>IF(AND(Table1[[#This Row],[delayed]]=1,Table1[[#This Row],[weather_condition]]="Storm"),"High Risk", IF(Table1[[#This Row],[delayed]]=1,"Medium Risk","Low Risk"))</f>
        <v>Medium Risk</v>
      </c>
    </row>
    <row r="2027" spans="1:14" x14ac:dyDescent="0.35">
      <c r="A2027">
        <v>2026</v>
      </c>
      <c r="B2027" s="1">
        <v>45011.375</v>
      </c>
      <c r="C2027" s="2">
        <v>4.3055555555555562E-2</v>
      </c>
      <c r="D2027" s="3">
        <v>274</v>
      </c>
      <c r="E2027" s="3">
        <v>452</v>
      </c>
      <c r="F2027" s="2">
        <v>44.46319444444444</v>
      </c>
      <c r="G2027" t="s">
        <v>2819</v>
      </c>
      <c r="H2027" t="s">
        <v>2820</v>
      </c>
      <c r="I2027" s="2">
        <v>2.7124999999999999</v>
      </c>
      <c r="J2027" s="4" t="str">
        <f>IF(Table1[[#This Row],[processing_time_hours]]&gt;1.5,"Slow", "Fast")</f>
        <v>Slow</v>
      </c>
      <c r="K2027" t="s">
        <v>2818</v>
      </c>
      <c r="L2027" s="3">
        <v>0</v>
      </c>
      <c r="M2027" t="str">
        <f>IF(Table1[[#This Row],[delayed]]=1,"Delayed","On Time")</f>
        <v>On Time</v>
      </c>
      <c r="N2027" t="str">
        <f>IF(AND(Table1[[#This Row],[delayed]]=1,Table1[[#This Row],[weather_condition]]="Storm"),"High Risk", IF(Table1[[#This Row],[delayed]]=1,"Medium Risk","Low Risk"))</f>
        <v>Low Risk</v>
      </c>
    </row>
    <row r="2028" spans="1:14" x14ac:dyDescent="0.35">
      <c r="A2028">
        <v>2027</v>
      </c>
      <c r="B2028" s="1">
        <v>45011.416666666664</v>
      </c>
      <c r="C2028" s="2">
        <v>4.3750000000000004E-2</v>
      </c>
      <c r="D2028" s="3">
        <v>4504</v>
      </c>
      <c r="E2028" s="3">
        <v>407</v>
      </c>
      <c r="F2028" s="2">
        <v>17.333333333333332</v>
      </c>
      <c r="G2028" t="s">
        <v>2812</v>
      </c>
      <c r="H2028" t="s">
        <v>2813</v>
      </c>
      <c r="I2028" s="2">
        <v>1.3333333333333333</v>
      </c>
      <c r="J2028" s="4" t="str">
        <f>IF(Table1[[#This Row],[processing_time_hours]]&gt;1.5,"Slow", "Fast")</f>
        <v>Fast</v>
      </c>
      <c r="K2028" t="s">
        <v>2821</v>
      </c>
      <c r="L2028" s="3">
        <v>0</v>
      </c>
      <c r="M2028" t="str">
        <f>IF(Table1[[#This Row],[delayed]]=1,"Delayed","On Time")</f>
        <v>On Time</v>
      </c>
      <c r="N2028" t="str">
        <f>IF(AND(Table1[[#This Row],[delayed]]=1,Table1[[#This Row],[weather_condition]]="Storm"),"High Risk", IF(Table1[[#This Row],[delayed]]=1,"Medium Risk","Low Risk"))</f>
        <v>Low Risk</v>
      </c>
    </row>
    <row r="2029" spans="1:14" x14ac:dyDescent="0.35">
      <c r="A2029">
        <v>2028</v>
      </c>
      <c r="B2029" s="1">
        <v>45011.458333333336</v>
      </c>
      <c r="C2029" s="2">
        <v>4.3055555555555562E-2</v>
      </c>
      <c r="D2029" s="3">
        <v>4167</v>
      </c>
      <c r="E2029" s="3">
        <v>203</v>
      </c>
      <c r="F2029" s="2">
        <v>23.043055555555554</v>
      </c>
      <c r="G2029" t="s">
        <v>2816</v>
      </c>
      <c r="H2029" t="s">
        <v>2822</v>
      </c>
      <c r="I2029" s="2">
        <v>2.25</v>
      </c>
      <c r="J2029" s="4" t="str">
        <f>IF(Table1[[#This Row],[processing_time_hours]]&gt;1.5,"Slow", "Fast")</f>
        <v>Slow</v>
      </c>
      <c r="K2029" t="s">
        <v>2818</v>
      </c>
      <c r="L2029" s="3">
        <v>0</v>
      </c>
      <c r="M2029" t="str">
        <f>IF(Table1[[#This Row],[delayed]]=1,"Delayed","On Time")</f>
        <v>On Time</v>
      </c>
      <c r="N2029" t="str">
        <f>IF(AND(Table1[[#This Row],[delayed]]=1,Table1[[#This Row],[weather_condition]]="Storm"),"High Risk", IF(Table1[[#This Row],[delayed]]=1,"Medium Risk","Low Risk"))</f>
        <v>Low Risk</v>
      </c>
    </row>
    <row r="2030" spans="1:14" x14ac:dyDescent="0.35">
      <c r="A2030">
        <v>2029</v>
      </c>
      <c r="B2030" s="1">
        <v>45011.5</v>
      </c>
      <c r="C2030" s="2">
        <v>6.1111111111111109E-2</v>
      </c>
      <c r="D2030" s="3">
        <v>3132</v>
      </c>
      <c r="E2030" s="3">
        <v>27</v>
      </c>
      <c r="F2030" s="2">
        <v>68.047916666666666</v>
      </c>
      <c r="G2030" t="s">
        <v>2819</v>
      </c>
      <c r="H2030" t="s">
        <v>2822</v>
      </c>
      <c r="I2030" s="2">
        <v>0.95833333333333337</v>
      </c>
      <c r="J2030" s="4" t="str">
        <f>IF(Table1[[#This Row],[processing_time_hours]]&gt;1.5,"Slow", "Fast")</f>
        <v>Fast</v>
      </c>
      <c r="K2030" t="s">
        <v>2818</v>
      </c>
      <c r="L2030" s="3">
        <v>1</v>
      </c>
      <c r="M2030" t="str">
        <f>IF(Table1[[#This Row],[delayed]]=1,"Delayed","On Time")</f>
        <v>Delayed</v>
      </c>
      <c r="N2030" t="str">
        <f>IF(AND(Table1[[#This Row],[delayed]]=1,Table1[[#This Row],[weather_condition]]="Storm"),"High Risk", IF(Table1[[#This Row],[delayed]]=1,"Medium Risk","Low Risk"))</f>
        <v>Medium Risk</v>
      </c>
    </row>
    <row r="2031" spans="1:14" x14ac:dyDescent="0.35">
      <c r="A2031">
        <v>2030</v>
      </c>
      <c r="B2031" s="1">
        <v>45011.541666666664</v>
      </c>
      <c r="C2031" s="2">
        <v>6.3194444444444442E-2</v>
      </c>
      <c r="D2031" s="3">
        <v>580</v>
      </c>
      <c r="E2031" s="3">
        <v>188</v>
      </c>
      <c r="F2031" s="2">
        <v>50.713888888888896</v>
      </c>
      <c r="G2031" t="s">
        <v>2819</v>
      </c>
      <c r="H2031" t="s">
        <v>2822</v>
      </c>
      <c r="I2031" s="2">
        <v>0.42222222222222222</v>
      </c>
      <c r="J2031" s="4" t="str">
        <f>IF(Table1[[#This Row],[processing_time_hours]]&gt;1.5,"Slow", "Fast")</f>
        <v>Fast</v>
      </c>
      <c r="K2031" t="s">
        <v>2821</v>
      </c>
      <c r="L2031" s="3">
        <v>1</v>
      </c>
      <c r="M2031" t="str">
        <f>IF(Table1[[#This Row],[delayed]]=1,"Delayed","On Time")</f>
        <v>Delayed</v>
      </c>
      <c r="N2031" t="str">
        <f>IF(AND(Table1[[#This Row],[delayed]]=1,Table1[[#This Row],[weather_condition]]="Storm"),"High Risk", IF(Table1[[#This Row],[delayed]]=1,"Medium Risk","Low Risk"))</f>
        <v>Medium Risk</v>
      </c>
    </row>
    <row r="2032" spans="1:14" x14ac:dyDescent="0.35">
      <c r="A2032">
        <v>2031</v>
      </c>
      <c r="B2032" s="1">
        <v>45011.583333333336</v>
      </c>
      <c r="C2032" s="2">
        <v>6.805555555555555E-2</v>
      </c>
      <c r="D2032" s="3">
        <v>3219</v>
      </c>
      <c r="E2032" s="3">
        <v>163</v>
      </c>
      <c r="F2032" s="2">
        <v>22.209027777777777</v>
      </c>
      <c r="G2032" t="s">
        <v>2815</v>
      </c>
      <c r="H2032" t="s">
        <v>2813</v>
      </c>
      <c r="I2032" s="2">
        <v>1.5472222222222223</v>
      </c>
      <c r="J2032" s="4" t="str">
        <f>IF(Table1[[#This Row],[processing_time_hours]]&gt;1.5,"Slow", "Fast")</f>
        <v>Slow</v>
      </c>
      <c r="K2032" t="s">
        <v>2818</v>
      </c>
      <c r="L2032" s="3">
        <v>0</v>
      </c>
      <c r="M2032" t="str">
        <f>IF(Table1[[#This Row],[delayed]]=1,"Delayed","On Time")</f>
        <v>On Time</v>
      </c>
      <c r="N2032" t="str">
        <f>IF(AND(Table1[[#This Row],[delayed]]=1,Table1[[#This Row],[weather_condition]]="Storm"),"High Risk", IF(Table1[[#This Row],[delayed]]=1,"Medium Risk","Low Risk"))</f>
        <v>Low Risk</v>
      </c>
    </row>
    <row r="2033" spans="1:14" x14ac:dyDescent="0.35">
      <c r="A2033">
        <v>2032</v>
      </c>
      <c r="B2033" s="1">
        <v>45011.625</v>
      </c>
      <c r="C2033" s="2">
        <v>6.8749999999999992E-2</v>
      </c>
      <c r="D2033" s="3">
        <v>1914</v>
      </c>
      <c r="E2033" s="3">
        <v>135</v>
      </c>
      <c r="F2033" s="2">
        <v>29.836805555555557</v>
      </c>
      <c r="G2033" t="s">
        <v>2815</v>
      </c>
      <c r="H2033" t="s">
        <v>2817</v>
      </c>
      <c r="I2033" s="2">
        <v>2.0874999999999999</v>
      </c>
      <c r="J2033" s="4" t="str">
        <f>IF(Table1[[#This Row],[processing_time_hours]]&gt;1.5,"Slow", "Fast")</f>
        <v>Slow</v>
      </c>
      <c r="K2033" t="s">
        <v>2821</v>
      </c>
      <c r="L2033" s="3">
        <v>0</v>
      </c>
      <c r="M2033" t="str">
        <f>IF(Table1[[#This Row],[delayed]]=1,"Delayed","On Time")</f>
        <v>On Time</v>
      </c>
      <c r="N2033" t="str">
        <f>IF(AND(Table1[[#This Row],[delayed]]=1,Table1[[#This Row],[weather_condition]]="Storm"),"High Risk", IF(Table1[[#This Row],[delayed]]=1,"Medium Risk","Low Risk"))</f>
        <v>Low Risk</v>
      </c>
    </row>
    <row r="2034" spans="1:14" x14ac:dyDescent="0.35">
      <c r="A2034">
        <v>2033</v>
      </c>
      <c r="B2034" s="1">
        <v>45011.666666666664</v>
      </c>
      <c r="C2034" s="2">
        <v>4.5833333333333337E-2</v>
      </c>
      <c r="D2034" s="3">
        <v>3059</v>
      </c>
      <c r="E2034" s="3">
        <v>466</v>
      </c>
      <c r="F2034" s="2">
        <v>40.130555555555553</v>
      </c>
      <c r="G2034" t="s">
        <v>2812</v>
      </c>
      <c r="H2034" t="s">
        <v>2820</v>
      </c>
      <c r="I2034" s="2">
        <v>1.3381944444444445</v>
      </c>
      <c r="J2034" s="4" t="str">
        <f>IF(Table1[[#This Row],[processing_time_hours]]&gt;1.5,"Slow", "Fast")</f>
        <v>Fast</v>
      </c>
      <c r="K2034" t="s">
        <v>2814</v>
      </c>
      <c r="L2034" s="3">
        <v>0</v>
      </c>
      <c r="M2034" t="str">
        <f>IF(Table1[[#This Row],[delayed]]=1,"Delayed","On Time")</f>
        <v>On Time</v>
      </c>
      <c r="N2034" t="str">
        <f>IF(AND(Table1[[#This Row],[delayed]]=1,Table1[[#This Row],[weather_condition]]="Storm"),"High Risk", IF(Table1[[#This Row],[delayed]]=1,"Medium Risk","Low Risk"))</f>
        <v>Low Risk</v>
      </c>
    </row>
    <row r="2035" spans="1:14" x14ac:dyDescent="0.35">
      <c r="A2035">
        <v>2034</v>
      </c>
      <c r="B2035" s="1">
        <v>45011.708333333336</v>
      </c>
      <c r="C2035" s="2">
        <v>4.2361111111111106E-2</v>
      </c>
      <c r="D2035" s="3">
        <v>1355</v>
      </c>
      <c r="E2035" s="3">
        <v>458</v>
      </c>
      <c r="F2035" s="2">
        <v>81.459722222222226</v>
      </c>
      <c r="G2035" t="s">
        <v>2815</v>
      </c>
      <c r="H2035" t="s">
        <v>2817</v>
      </c>
      <c r="I2035" s="2">
        <v>0.62916666666666665</v>
      </c>
      <c r="J2035" s="4" t="str">
        <f>IF(Table1[[#This Row],[processing_time_hours]]&gt;1.5,"Slow", "Fast")</f>
        <v>Fast</v>
      </c>
      <c r="K2035" t="s">
        <v>2818</v>
      </c>
      <c r="L2035" s="3">
        <v>0</v>
      </c>
      <c r="M2035" t="str">
        <f>IF(Table1[[#This Row],[delayed]]=1,"Delayed","On Time")</f>
        <v>On Time</v>
      </c>
      <c r="N2035" t="str">
        <f>IF(AND(Table1[[#This Row],[delayed]]=1,Table1[[#This Row],[weather_condition]]="Storm"),"High Risk", IF(Table1[[#This Row],[delayed]]=1,"Medium Risk","Low Risk"))</f>
        <v>Low Risk</v>
      </c>
    </row>
    <row r="2036" spans="1:14" x14ac:dyDescent="0.35">
      <c r="A2036">
        <v>2035</v>
      </c>
      <c r="B2036" s="1">
        <v>45011.75</v>
      </c>
      <c r="C2036" s="2">
        <v>6.0416666666666667E-2</v>
      </c>
      <c r="D2036" s="3">
        <v>1086</v>
      </c>
      <c r="E2036" s="3">
        <v>56</v>
      </c>
      <c r="F2036" s="2">
        <v>57.417361111111113</v>
      </c>
      <c r="G2036" t="s">
        <v>2816</v>
      </c>
      <c r="H2036" t="s">
        <v>2813</v>
      </c>
      <c r="I2036" s="2">
        <v>0.125</v>
      </c>
      <c r="J2036" s="4" t="str">
        <f>IF(Table1[[#This Row],[processing_time_hours]]&gt;1.5,"Slow", "Fast")</f>
        <v>Fast</v>
      </c>
      <c r="K2036" t="s">
        <v>2814</v>
      </c>
      <c r="L2036" s="3">
        <v>0</v>
      </c>
      <c r="M2036" t="str">
        <f>IF(Table1[[#This Row],[delayed]]=1,"Delayed","On Time")</f>
        <v>On Time</v>
      </c>
      <c r="N2036" t="str">
        <f>IF(AND(Table1[[#This Row],[delayed]]=1,Table1[[#This Row],[weather_condition]]="Storm"),"High Risk", IF(Table1[[#This Row],[delayed]]=1,"Medium Risk","Low Risk"))</f>
        <v>Low Risk</v>
      </c>
    </row>
    <row r="2037" spans="1:14" x14ac:dyDescent="0.35">
      <c r="A2037">
        <v>2036</v>
      </c>
      <c r="B2037" s="1">
        <v>45011.791666666664</v>
      </c>
      <c r="C2037" s="2">
        <v>4.9999999999999996E-2</v>
      </c>
      <c r="D2037" s="3">
        <v>1854</v>
      </c>
      <c r="E2037" s="3">
        <v>176</v>
      </c>
      <c r="F2037" s="2">
        <v>5.2118055555555554</v>
      </c>
      <c r="G2037" t="s">
        <v>2815</v>
      </c>
      <c r="H2037" t="s">
        <v>2813</v>
      </c>
      <c r="I2037" s="2">
        <v>2.7965277777777775</v>
      </c>
      <c r="J2037" s="4" t="str">
        <f>IF(Table1[[#This Row],[processing_time_hours]]&gt;1.5,"Slow", "Fast")</f>
        <v>Slow</v>
      </c>
      <c r="K2037" t="s">
        <v>2818</v>
      </c>
      <c r="L2037" s="3">
        <v>1</v>
      </c>
      <c r="M2037" t="str">
        <f>IF(Table1[[#This Row],[delayed]]=1,"Delayed","On Time")</f>
        <v>Delayed</v>
      </c>
      <c r="N2037" t="str">
        <f>IF(AND(Table1[[#This Row],[delayed]]=1,Table1[[#This Row],[weather_condition]]="Storm"),"High Risk", IF(Table1[[#This Row],[delayed]]=1,"Medium Risk","Low Risk"))</f>
        <v>Medium Risk</v>
      </c>
    </row>
    <row r="2038" spans="1:14" x14ac:dyDescent="0.35">
      <c r="A2038">
        <v>2037</v>
      </c>
      <c r="B2038" s="1">
        <v>45011.833333333336</v>
      </c>
      <c r="C2038" s="2">
        <v>6.7361111111111108E-2</v>
      </c>
      <c r="D2038" s="3">
        <v>3152</v>
      </c>
      <c r="E2038" s="3">
        <v>20</v>
      </c>
      <c r="F2038" s="2">
        <v>79.294444444444437</v>
      </c>
      <c r="G2038" t="s">
        <v>2816</v>
      </c>
      <c r="H2038" t="s">
        <v>2817</v>
      </c>
      <c r="I2038" s="2">
        <v>1.7090277777777778</v>
      </c>
      <c r="J2038" s="4" t="str">
        <f>IF(Table1[[#This Row],[processing_time_hours]]&gt;1.5,"Slow", "Fast")</f>
        <v>Slow</v>
      </c>
      <c r="K2038" t="s">
        <v>2814</v>
      </c>
      <c r="L2038" s="3">
        <v>0</v>
      </c>
      <c r="M2038" t="str">
        <f>IF(Table1[[#This Row],[delayed]]=1,"Delayed","On Time")</f>
        <v>On Time</v>
      </c>
      <c r="N2038" t="str">
        <f>IF(AND(Table1[[#This Row],[delayed]]=1,Table1[[#This Row],[weather_condition]]="Storm"),"High Risk", IF(Table1[[#This Row],[delayed]]=1,"Medium Risk","Low Risk"))</f>
        <v>Low Risk</v>
      </c>
    </row>
    <row r="2039" spans="1:14" x14ac:dyDescent="0.35">
      <c r="A2039">
        <v>2038</v>
      </c>
      <c r="B2039" s="1">
        <v>45011.875</v>
      </c>
      <c r="C2039" s="2">
        <v>5.5555555555555558E-3</v>
      </c>
      <c r="D2039" s="3">
        <v>2490</v>
      </c>
      <c r="E2039" s="3">
        <v>482</v>
      </c>
      <c r="F2039" s="2">
        <v>38.12916666666667</v>
      </c>
      <c r="G2039" t="s">
        <v>2815</v>
      </c>
      <c r="H2039" t="s">
        <v>2813</v>
      </c>
      <c r="I2039" s="2">
        <v>0.79513888888888884</v>
      </c>
      <c r="J2039" s="4" t="str">
        <f>IF(Table1[[#This Row],[processing_time_hours]]&gt;1.5,"Slow", "Fast")</f>
        <v>Fast</v>
      </c>
      <c r="K2039" t="s">
        <v>2814</v>
      </c>
      <c r="L2039" s="3">
        <v>1</v>
      </c>
      <c r="M2039" t="str">
        <f>IF(Table1[[#This Row],[delayed]]=1,"Delayed","On Time")</f>
        <v>Delayed</v>
      </c>
      <c r="N2039" t="str">
        <f>IF(AND(Table1[[#This Row],[delayed]]=1,Table1[[#This Row],[weather_condition]]="Storm"),"High Risk", IF(Table1[[#This Row],[delayed]]=1,"Medium Risk","Low Risk"))</f>
        <v>Medium Risk</v>
      </c>
    </row>
    <row r="2040" spans="1:14" x14ac:dyDescent="0.35">
      <c r="A2040">
        <v>2039</v>
      </c>
      <c r="B2040" s="1">
        <v>45011.916666666664</v>
      </c>
      <c r="C2040" s="2">
        <v>5.4166666666666669E-2</v>
      </c>
      <c r="D2040" s="3">
        <v>2277</v>
      </c>
      <c r="E2040" s="3">
        <v>280</v>
      </c>
      <c r="F2040" s="2">
        <v>62.334027777777777</v>
      </c>
      <c r="G2040" t="s">
        <v>2816</v>
      </c>
      <c r="H2040" t="s">
        <v>2817</v>
      </c>
      <c r="I2040" s="2">
        <v>1.0055555555555555</v>
      </c>
      <c r="J2040" s="4" t="str">
        <f>IF(Table1[[#This Row],[processing_time_hours]]&gt;1.5,"Slow", "Fast")</f>
        <v>Fast</v>
      </c>
      <c r="K2040" t="s">
        <v>2821</v>
      </c>
      <c r="L2040" s="3">
        <v>1</v>
      </c>
      <c r="M2040" t="str">
        <f>IF(Table1[[#This Row],[delayed]]=1,"Delayed","On Time")</f>
        <v>Delayed</v>
      </c>
      <c r="N2040" t="str">
        <f>IF(AND(Table1[[#This Row],[delayed]]=1,Table1[[#This Row],[weather_condition]]="Storm"),"High Risk", IF(Table1[[#This Row],[delayed]]=1,"Medium Risk","Low Risk"))</f>
        <v>High Risk</v>
      </c>
    </row>
    <row r="2041" spans="1:14" x14ac:dyDescent="0.35">
      <c r="A2041">
        <v>2040</v>
      </c>
      <c r="B2041" s="1">
        <v>45011.958333333336</v>
      </c>
      <c r="C2041" s="2">
        <v>5.3472222222222227E-2</v>
      </c>
      <c r="D2041" s="3">
        <v>822</v>
      </c>
      <c r="E2041" s="3">
        <v>417</v>
      </c>
      <c r="F2041" s="2">
        <v>67.631250000000009</v>
      </c>
      <c r="G2041" t="s">
        <v>2815</v>
      </c>
      <c r="H2041" t="s">
        <v>2813</v>
      </c>
      <c r="I2041" s="2">
        <v>2.5041666666666669</v>
      </c>
      <c r="J2041" s="4" t="str">
        <f>IF(Table1[[#This Row],[processing_time_hours]]&gt;1.5,"Slow", "Fast")</f>
        <v>Slow</v>
      </c>
      <c r="K2041" t="s">
        <v>2814</v>
      </c>
      <c r="L2041" s="3">
        <v>0</v>
      </c>
      <c r="M2041" t="str">
        <f>IF(Table1[[#This Row],[delayed]]=1,"Delayed","On Time")</f>
        <v>On Time</v>
      </c>
      <c r="N2041" t="str">
        <f>IF(AND(Table1[[#This Row],[delayed]]=1,Table1[[#This Row],[weather_condition]]="Storm"),"High Risk", IF(Table1[[#This Row],[delayed]]=1,"Medium Risk","Low Risk"))</f>
        <v>Low Risk</v>
      </c>
    </row>
    <row r="2042" spans="1:14" x14ac:dyDescent="0.35">
      <c r="A2042">
        <v>2041</v>
      </c>
      <c r="B2042" s="1">
        <v>45012</v>
      </c>
      <c r="C2042" s="2">
        <v>4.9999999999999996E-2</v>
      </c>
      <c r="D2042" s="3">
        <v>2600</v>
      </c>
      <c r="E2042" s="3">
        <v>38</v>
      </c>
      <c r="F2042" s="2">
        <v>34.668749999999996</v>
      </c>
      <c r="G2042" t="s">
        <v>2816</v>
      </c>
      <c r="H2042" t="s">
        <v>2822</v>
      </c>
      <c r="I2042" s="2">
        <v>2.5020833333333332</v>
      </c>
      <c r="J2042" s="4" t="str">
        <f>IF(Table1[[#This Row],[processing_time_hours]]&gt;1.5,"Slow", "Fast")</f>
        <v>Slow</v>
      </c>
      <c r="K2042" t="s">
        <v>2814</v>
      </c>
      <c r="L2042" s="3">
        <v>0</v>
      </c>
      <c r="M2042" t="str">
        <f>IF(Table1[[#This Row],[delayed]]=1,"Delayed","On Time")</f>
        <v>On Time</v>
      </c>
      <c r="N2042" t="str">
        <f>IF(AND(Table1[[#This Row],[delayed]]=1,Table1[[#This Row],[weather_condition]]="Storm"),"High Risk", IF(Table1[[#This Row],[delayed]]=1,"Medium Risk","Low Risk"))</f>
        <v>Low Risk</v>
      </c>
    </row>
    <row r="2043" spans="1:14" x14ac:dyDescent="0.35">
      <c r="A2043">
        <v>2042</v>
      </c>
      <c r="B2043" s="1">
        <v>45012.041666666664</v>
      </c>
      <c r="C2043" s="2">
        <v>5.7638888888888885E-2</v>
      </c>
      <c r="D2043" s="3">
        <v>4377</v>
      </c>
      <c r="E2043" s="3">
        <v>428</v>
      </c>
      <c r="F2043" s="2">
        <v>79.418055555555554</v>
      </c>
      <c r="G2043" t="s">
        <v>2812</v>
      </c>
      <c r="H2043" t="s">
        <v>2822</v>
      </c>
      <c r="I2043" s="2">
        <v>0.54583333333333328</v>
      </c>
      <c r="J2043" s="4" t="str">
        <f>IF(Table1[[#This Row],[processing_time_hours]]&gt;1.5,"Slow", "Fast")</f>
        <v>Fast</v>
      </c>
      <c r="K2043" t="s">
        <v>2821</v>
      </c>
      <c r="L2043" s="3">
        <v>0</v>
      </c>
      <c r="M2043" t="str">
        <f>IF(Table1[[#This Row],[delayed]]=1,"Delayed","On Time")</f>
        <v>On Time</v>
      </c>
      <c r="N2043" t="str">
        <f>IF(AND(Table1[[#This Row],[delayed]]=1,Table1[[#This Row],[weather_condition]]="Storm"),"High Risk", IF(Table1[[#This Row],[delayed]]=1,"Medium Risk","Low Risk"))</f>
        <v>Low Risk</v>
      </c>
    </row>
    <row r="2044" spans="1:14" x14ac:dyDescent="0.35">
      <c r="A2044">
        <v>2043</v>
      </c>
      <c r="B2044" s="1">
        <v>45012.083333333336</v>
      </c>
      <c r="C2044" s="2">
        <v>4.6527777777777779E-2</v>
      </c>
      <c r="D2044" s="3">
        <v>2882</v>
      </c>
      <c r="E2044" s="3">
        <v>98</v>
      </c>
      <c r="F2044" s="2">
        <v>9.7125000000000004</v>
      </c>
      <c r="G2044" t="s">
        <v>2819</v>
      </c>
      <c r="H2044" t="s">
        <v>2813</v>
      </c>
      <c r="I2044" s="2">
        <v>2.0062500000000001</v>
      </c>
      <c r="J2044" s="4" t="str">
        <f>IF(Table1[[#This Row],[processing_time_hours]]&gt;1.5,"Slow", "Fast")</f>
        <v>Slow</v>
      </c>
      <c r="K2044" t="s">
        <v>2814</v>
      </c>
      <c r="L2044" s="3">
        <v>0</v>
      </c>
      <c r="M2044" t="str">
        <f>IF(Table1[[#This Row],[delayed]]=1,"Delayed","On Time")</f>
        <v>On Time</v>
      </c>
      <c r="N2044" t="str">
        <f>IF(AND(Table1[[#This Row],[delayed]]=1,Table1[[#This Row],[weather_condition]]="Storm"),"High Risk", IF(Table1[[#This Row],[delayed]]=1,"Medium Risk","Low Risk"))</f>
        <v>Low Risk</v>
      </c>
    </row>
    <row r="2045" spans="1:14" x14ac:dyDescent="0.35">
      <c r="A2045">
        <v>2044</v>
      </c>
      <c r="B2045" s="1">
        <v>45012.125</v>
      </c>
      <c r="C2045" s="2">
        <v>6.8749999999999992E-2</v>
      </c>
      <c r="D2045" s="3">
        <v>3793</v>
      </c>
      <c r="E2045" s="3">
        <v>323</v>
      </c>
      <c r="F2045" s="2">
        <v>47.46319444444444</v>
      </c>
      <c r="G2045" t="s">
        <v>2812</v>
      </c>
      <c r="H2045" t="s">
        <v>2813</v>
      </c>
      <c r="I2045" s="2">
        <v>0.66666666666666663</v>
      </c>
      <c r="J2045" s="4" t="str">
        <f>IF(Table1[[#This Row],[processing_time_hours]]&gt;1.5,"Slow", "Fast")</f>
        <v>Fast</v>
      </c>
      <c r="K2045" t="s">
        <v>2818</v>
      </c>
      <c r="L2045" s="3">
        <v>1</v>
      </c>
      <c r="M2045" t="str">
        <f>IF(Table1[[#This Row],[delayed]]=1,"Delayed","On Time")</f>
        <v>Delayed</v>
      </c>
      <c r="N2045" t="str">
        <f>IF(AND(Table1[[#This Row],[delayed]]=1,Table1[[#This Row],[weather_condition]]="Storm"),"High Risk", IF(Table1[[#This Row],[delayed]]=1,"Medium Risk","Low Risk"))</f>
        <v>Medium Risk</v>
      </c>
    </row>
    <row r="2046" spans="1:14" x14ac:dyDescent="0.35">
      <c r="A2046">
        <v>2045</v>
      </c>
      <c r="B2046" s="1">
        <v>45012.166666666664</v>
      </c>
      <c r="C2046" s="2">
        <v>6.3888888888888898E-2</v>
      </c>
      <c r="D2046" s="3">
        <v>3424</v>
      </c>
      <c r="E2046" s="3">
        <v>73</v>
      </c>
      <c r="F2046" s="2">
        <v>16.379861111111111</v>
      </c>
      <c r="G2046" t="s">
        <v>2816</v>
      </c>
      <c r="H2046" t="s">
        <v>2813</v>
      </c>
      <c r="I2046" s="2">
        <v>1.2979166666666666</v>
      </c>
      <c r="J2046" s="4" t="str">
        <f>IF(Table1[[#This Row],[processing_time_hours]]&gt;1.5,"Slow", "Fast")</f>
        <v>Fast</v>
      </c>
      <c r="K2046" t="s">
        <v>2821</v>
      </c>
      <c r="L2046" s="3">
        <v>0</v>
      </c>
      <c r="M2046" t="str">
        <f>IF(Table1[[#This Row],[delayed]]=1,"Delayed","On Time")</f>
        <v>On Time</v>
      </c>
      <c r="N2046" t="str">
        <f>IF(AND(Table1[[#This Row],[delayed]]=1,Table1[[#This Row],[weather_condition]]="Storm"),"High Risk", IF(Table1[[#This Row],[delayed]]=1,"Medium Risk","Low Risk"))</f>
        <v>Low Risk</v>
      </c>
    </row>
    <row r="2047" spans="1:14" x14ac:dyDescent="0.35">
      <c r="A2047">
        <v>2046</v>
      </c>
      <c r="B2047" s="1">
        <v>45012.208333333336</v>
      </c>
      <c r="C2047" s="2">
        <v>6.5277777777777782E-2</v>
      </c>
      <c r="D2047" s="3">
        <v>128</v>
      </c>
      <c r="E2047" s="3">
        <v>276</v>
      </c>
      <c r="F2047" s="2">
        <v>34.58958333333333</v>
      </c>
      <c r="G2047" t="s">
        <v>2815</v>
      </c>
      <c r="H2047" t="s">
        <v>2822</v>
      </c>
      <c r="I2047" s="2">
        <v>1.4215277777777777</v>
      </c>
      <c r="J2047" s="4" t="str">
        <f>IF(Table1[[#This Row],[processing_time_hours]]&gt;1.5,"Slow", "Fast")</f>
        <v>Fast</v>
      </c>
      <c r="K2047" t="s">
        <v>2818</v>
      </c>
      <c r="L2047" s="3">
        <v>0</v>
      </c>
      <c r="M2047" t="str">
        <f>IF(Table1[[#This Row],[delayed]]=1,"Delayed","On Time")</f>
        <v>On Time</v>
      </c>
      <c r="N2047" t="str">
        <f>IF(AND(Table1[[#This Row],[delayed]]=1,Table1[[#This Row],[weather_condition]]="Storm"),"High Risk", IF(Table1[[#This Row],[delayed]]=1,"Medium Risk","Low Risk"))</f>
        <v>Low Risk</v>
      </c>
    </row>
    <row r="2048" spans="1:14" x14ac:dyDescent="0.35">
      <c r="A2048">
        <v>2047</v>
      </c>
      <c r="B2048" s="1">
        <v>45012.25</v>
      </c>
      <c r="C2048" s="2">
        <v>6.805555555555555E-2</v>
      </c>
      <c r="D2048" s="3">
        <v>4944</v>
      </c>
      <c r="E2048" s="3">
        <v>388</v>
      </c>
      <c r="F2048" s="2">
        <v>12.834027777777777</v>
      </c>
      <c r="G2048" t="s">
        <v>2812</v>
      </c>
      <c r="H2048" t="s">
        <v>2820</v>
      </c>
      <c r="I2048" s="2">
        <v>1.3361111111111112</v>
      </c>
      <c r="J2048" s="4" t="str">
        <f>IF(Table1[[#This Row],[processing_time_hours]]&gt;1.5,"Slow", "Fast")</f>
        <v>Fast</v>
      </c>
      <c r="K2048" t="s">
        <v>2818</v>
      </c>
      <c r="L2048" s="3">
        <v>1</v>
      </c>
      <c r="M2048" t="str">
        <f>IF(Table1[[#This Row],[delayed]]=1,"Delayed","On Time")</f>
        <v>Delayed</v>
      </c>
      <c r="N2048" t="str">
        <f>IF(AND(Table1[[#This Row],[delayed]]=1,Table1[[#This Row],[weather_condition]]="Storm"),"High Risk", IF(Table1[[#This Row],[delayed]]=1,"Medium Risk","Low Risk"))</f>
        <v>Medium Risk</v>
      </c>
    </row>
    <row r="2049" spans="1:14" x14ac:dyDescent="0.35">
      <c r="A2049">
        <v>2048</v>
      </c>
      <c r="B2049" s="1">
        <v>45012.291666666664</v>
      </c>
      <c r="C2049" s="2">
        <v>6.0416666666666667E-2</v>
      </c>
      <c r="D2049" s="3">
        <v>2225</v>
      </c>
      <c r="E2049" s="3">
        <v>311</v>
      </c>
      <c r="F2049" s="2">
        <v>18.875694444444445</v>
      </c>
      <c r="G2049" t="s">
        <v>2816</v>
      </c>
      <c r="H2049" t="s">
        <v>2822</v>
      </c>
      <c r="I2049" s="2">
        <v>1.2923611111111111</v>
      </c>
      <c r="J2049" s="4" t="str">
        <f>IF(Table1[[#This Row],[processing_time_hours]]&gt;1.5,"Slow", "Fast")</f>
        <v>Fast</v>
      </c>
      <c r="K2049" t="s">
        <v>2814</v>
      </c>
      <c r="L2049" s="3">
        <v>0</v>
      </c>
      <c r="M2049" t="str">
        <f>IF(Table1[[#This Row],[delayed]]=1,"Delayed","On Time")</f>
        <v>On Time</v>
      </c>
      <c r="N2049" t="str">
        <f>IF(AND(Table1[[#This Row],[delayed]]=1,Table1[[#This Row],[weather_condition]]="Storm"),"High Risk", IF(Table1[[#This Row],[delayed]]=1,"Medium Risk","Low Risk"))</f>
        <v>Low Risk</v>
      </c>
    </row>
    <row r="2050" spans="1:14" x14ac:dyDescent="0.35">
      <c r="A2050">
        <v>2049</v>
      </c>
      <c r="B2050" s="1">
        <v>45012.333333333336</v>
      </c>
      <c r="C2050" s="2">
        <v>6.6666666666666666E-2</v>
      </c>
      <c r="D2050" s="3">
        <v>419</v>
      </c>
      <c r="E2050" s="3">
        <v>299</v>
      </c>
      <c r="F2050" s="2">
        <v>72.709722222222226</v>
      </c>
      <c r="G2050" t="s">
        <v>2816</v>
      </c>
      <c r="H2050" t="s">
        <v>2822</v>
      </c>
      <c r="I2050" s="2">
        <v>2.7534722222222219</v>
      </c>
      <c r="J2050" s="4" t="str">
        <f>IF(Table1[[#This Row],[processing_time_hours]]&gt;1.5,"Slow", "Fast")</f>
        <v>Slow</v>
      </c>
      <c r="K2050" t="s">
        <v>2821</v>
      </c>
      <c r="L2050" s="3">
        <v>1</v>
      </c>
      <c r="M2050" t="str">
        <f>IF(Table1[[#This Row],[delayed]]=1,"Delayed","On Time")</f>
        <v>Delayed</v>
      </c>
      <c r="N2050" t="str">
        <f>IF(AND(Table1[[#This Row],[delayed]]=1,Table1[[#This Row],[weather_condition]]="Storm"),"High Risk", IF(Table1[[#This Row],[delayed]]=1,"Medium Risk","Low Risk"))</f>
        <v>Medium Risk</v>
      </c>
    </row>
    <row r="2051" spans="1:14" x14ac:dyDescent="0.35">
      <c r="A2051">
        <v>2050</v>
      </c>
      <c r="B2051" s="1">
        <v>45012.375</v>
      </c>
      <c r="C2051" s="2">
        <v>6.2499999999999995E-3</v>
      </c>
      <c r="D2051" s="3">
        <v>739</v>
      </c>
      <c r="E2051" s="3">
        <v>190</v>
      </c>
      <c r="F2051" s="2">
        <v>8.0458333333333325</v>
      </c>
      <c r="G2051" t="s">
        <v>2819</v>
      </c>
      <c r="H2051" t="s">
        <v>2817</v>
      </c>
      <c r="I2051" s="2">
        <v>1.2930555555555556</v>
      </c>
      <c r="J2051" s="4" t="str">
        <f>IF(Table1[[#This Row],[processing_time_hours]]&gt;1.5,"Slow", "Fast")</f>
        <v>Fast</v>
      </c>
      <c r="K2051" t="s">
        <v>2821</v>
      </c>
      <c r="L2051" s="3">
        <v>0</v>
      </c>
      <c r="M2051" t="str">
        <f>IF(Table1[[#This Row],[delayed]]=1,"Delayed","On Time")</f>
        <v>On Time</v>
      </c>
      <c r="N2051" t="str">
        <f>IF(AND(Table1[[#This Row],[delayed]]=1,Table1[[#This Row],[weather_condition]]="Storm"),"High Risk", IF(Table1[[#This Row],[delayed]]=1,"Medium Risk","Low Risk"))</f>
        <v>Low Risk</v>
      </c>
    </row>
    <row r="2052" spans="1:14" x14ac:dyDescent="0.35">
      <c r="A2052">
        <v>2051</v>
      </c>
      <c r="B2052" s="1">
        <v>45012.416666666664</v>
      </c>
      <c r="C2052" s="2">
        <v>5.486111111111111E-2</v>
      </c>
      <c r="D2052" s="3">
        <v>82</v>
      </c>
      <c r="E2052" s="3">
        <v>402</v>
      </c>
      <c r="F2052" s="2">
        <v>2.0458333333333334</v>
      </c>
      <c r="G2052" t="s">
        <v>2815</v>
      </c>
      <c r="H2052" t="s">
        <v>2813</v>
      </c>
      <c r="I2052" s="2">
        <v>1.5847222222222221</v>
      </c>
      <c r="J2052" s="4" t="str">
        <f>IF(Table1[[#This Row],[processing_time_hours]]&gt;1.5,"Slow", "Fast")</f>
        <v>Slow</v>
      </c>
      <c r="K2052" t="s">
        <v>2814</v>
      </c>
      <c r="L2052" s="3">
        <v>0</v>
      </c>
      <c r="M2052" t="str">
        <f>IF(Table1[[#This Row],[delayed]]=1,"Delayed","On Time")</f>
        <v>On Time</v>
      </c>
      <c r="N2052" t="str">
        <f>IF(AND(Table1[[#This Row],[delayed]]=1,Table1[[#This Row],[weather_condition]]="Storm"),"High Risk", IF(Table1[[#This Row],[delayed]]=1,"Medium Risk","Low Risk"))</f>
        <v>Low Risk</v>
      </c>
    </row>
    <row r="2053" spans="1:14" x14ac:dyDescent="0.35">
      <c r="A2053">
        <v>2052</v>
      </c>
      <c r="B2053" s="1">
        <v>45012.458333333336</v>
      </c>
      <c r="C2053" s="2">
        <v>4.2361111111111106E-2</v>
      </c>
      <c r="D2053" s="3">
        <v>2699</v>
      </c>
      <c r="E2053" s="3">
        <v>155</v>
      </c>
      <c r="F2053" s="2">
        <v>58.293749999999996</v>
      </c>
      <c r="G2053" t="s">
        <v>2816</v>
      </c>
      <c r="H2053" t="s">
        <v>2817</v>
      </c>
      <c r="I2053" s="2">
        <v>1.5840277777777778</v>
      </c>
      <c r="J2053" s="4" t="str">
        <f>IF(Table1[[#This Row],[processing_time_hours]]&gt;1.5,"Slow", "Fast")</f>
        <v>Slow</v>
      </c>
      <c r="K2053" t="s">
        <v>2818</v>
      </c>
      <c r="L2053" s="3">
        <v>0</v>
      </c>
      <c r="M2053" t="str">
        <f>IF(Table1[[#This Row],[delayed]]=1,"Delayed","On Time")</f>
        <v>On Time</v>
      </c>
      <c r="N2053" t="str">
        <f>IF(AND(Table1[[#This Row],[delayed]]=1,Table1[[#This Row],[weather_condition]]="Storm"),"High Risk", IF(Table1[[#This Row],[delayed]]=1,"Medium Risk","Low Risk"))</f>
        <v>Low Risk</v>
      </c>
    </row>
    <row r="2054" spans="1:14" x14ac:dyDescent="0.35">
      <c r="A2054">
        <v>2053</v>
      </c>
      <c r="B2054" s="1">
        <v>45012.5</v>
      </c>
      <c r="C2054" s="2">
        <v>5.6250000000000001E-2</v>
      </c>
      <c r="D2054" s="3">
        <v>4829</v>
      </c>
      <c r="E2054" s="3">
        <v>24</v>
      </c>
      <c r="F2054" s="2">
        <v>66.172916666666666</v>
      </c>
      <c r="G2054" t="s">
        <v>2816</v>
      </c>
      <c r="H2054" t="s">
        <v>2817</v>
      </c>
      <c r="I2054" s="2">
        <v>2.125</v>
      </c>
      <c r="J2054" s="4" t="str">
        <f>IF(Table1[[#This Row],[processing_time_hours]]&gt;1.5,"Slow", "Fast")</f>
        <v>Slow</v>
      </c>
      <c r="K2054" t="s">
        <v>2818</v>
      </c>
      <c r="L2054" s="3">
        <v>0</v>
      </c>
      <c r="M2054" t="str">
        <f>IF(Table1[[#This Row],[delayed]]=1,"Delayed","On Time")</f>
        <v>On Time</v>
      </c>
      <c r="N2054" t="str">
        <f>IF(AND(Table1[[#This Row],[delayed]]=1,Table1[[#This Row],[weather_condition]]="Storm"),"High Risk", IF(Table1[[#This Row],[delayed]]=1,"Medium Risk","Low Risk"))</f>
        <v>Low Risk</v>
      </c>
    </row>
    <row r="2055" spans="1:14" x14ac:dyDescent="0.35">
      <c r="A2055">
        <v>2054</v>
      </c>
      <c r="B2055" s="1">
        <v>45012.541666666664</v>
      </c>
      <c r="C2055" s="2">
        <v>5.6944444444444443E-2</v>
      </c>
      <c r="D2055" s="3">
        <v>1306</v>
      </c>
      <c r="E2055" s="3">
        <v>140</v>
      </c>
      <c r="F2055" s="2">
        <v>26.166666666666668</v>
      </c>
      <c r="G2055" t="s">
        <v>2819</v>
      </c>
      <c r="H2055" t="s">
        <v>2813</v>
      </c>
      <c r="I2055" s="2">
        <v>2.2930555555555556</v>
      </c>
      <c r="J2055" s="4" t="str">
        <f>IF(Table1[[#This Row],[processing_time_hours]]&gt;1.5,"Slow", "Fast")</f>
        <v>Slow</v>
      </c>
      <c r="K2055" t="s">
        <v>2818</v>
      </c>
      <c r="L2055" s="3">
        <v>0</v>
      </c>
      <c r="M2055" t="str">
        <f>IF(Table1[[#This Row],[delayed]]=1,"Delayed","On Time")</f>
        <v>On Time</v>
      </c>
      <c r="N2055" t="str">
        <f>IF(AND(Table1[[#This Row],[delayed]]=1,Table1[[#This Row],[weather_condition]]="Storm"),"High Risk", IF(Table1[[#This Row],[delayed]]=1,"Medium Risk","Low Risk"))</f>
        <v>Low Risk</v>
      </c>
    </row>
    <row r="2056" spans="1:14" x14ac:dyDescent="0.35">
      <c r="A2056">
        <v>2055</v>
      </c>
      <c r="B2056" s="1">
        <v>45012.583333333336</v>
      </c>
      <c r="C2056" s="2">
        <v>6.1805555555555558E-2</v>
      </c>
      <c r="D2056" s="3">
        <v>1763</v>
      </c>
      <c r="E2056" s="3">
        <v>12</v>
      </c>
      <c r="F2056" s="2">
        <v>12.797222222222222</v>
      </c>
      <c r="G2056" t="s">
        <v>2816</v>
      </c>
      <c r="H2056" t="s">
        <v>2813</v>
      </c>
      <c r="I2056" s="2">
        <v>2.2527777777777778</v>
      </c>
      <c r="J2056" s="4" t="str">
        <f>IF(Table1[[#This Row],[processing_time_hours]]&gt;1.5,"Slow", "Fast")</f>
        <v>Slow</v>
      </c>
      <c r="K2056" t="s">
        <v>2814</v>
      </c>
      <c r="L2056" s="3">
        <v>0</v>
      </c>
      <c r="M2056" t="str">
        <f>IF(Table1[[#This Row],[delayed]]=1,"Delayed","On Time")</f>
        <v>On Time</v>
      </c>
      <c r="N2056" t="str">
        <f>IF(AND(Table1[[#This Row],[delayed]]=1,Table1[[#This Row],[weather_condition]]="Storm"),"High Risk", IF(Table1[[#This Row],[delayed]]=1,"Medium Risk","Low Risk"))</f>
        <v>Low Risk</v>
      </c>
    </row>
    <row r="2057" spans="1:14" x14ac:dyDescent="0.35">
      <c r="A2057">
        <v>2056</v>
      </c>
      <c r="B2057" s="1">
        <v>45012.625</v>
      </c>
      <c r="C2057" s="2">
        <v>6.5972222222222224E-2</v>
      </c>
      <c r="D2057" s="3">
        <v>2316</v>
      </c>
      <c r="E2057" s="3">
        <v>299</v>
      </c>
      <c r="F2057" s="2">
        <v>29.083333333333332</v>
      </c>
      <c r="G2057" t="s">
        <v>2812</v>
      </c>
      <c r="H2057" t="s">
        <v>2820</v>
      </c>
      <c r="I2057" s="2">
        <v>1.2083333333333333</v>
      </c>
      <c r="J2057" s="4" t="str">
        <f>IF(Table1[[#This Row],[processing_time_hours]]&gt;1.5,"Slow", "Fast")</f>
        <v>Fast</v>
      </c>
      <c r="K2057" t="s">
        <v>2814</v>
      </c>
      <c r="L2057" s="3">
        <v>0</v>
      </c>
      <c r="M2057" t="str">
        <f>IF(Table1[[#This Row],[delayed]]=1,"Delayed","On Time")</f>
        <v>On Time</v>
      </c>
      <c r="N2057" t="str">
        <f>IF(AND(Table1[[#This Row],[delayed]]=1,Table1[[#This Row],[weather_condition]]="Storm"),"High Risk", IF(Table1[[#This Row],[delayed]]=1,"Medium Risk","Low Risk"))</f>
        <v>Low Risk</v>
      </c>
    </row>
    <row r="2058" spans="1:14" x14ac:dyDescent="0.35">
      <c r="A2058">
        <v>2057</v>
      </c>
      <c r="B2058" s="1">
        <v>45012.666666666664</v>
      </c>
      <c r="C2058" s="2">
        <v>5.9027777777777783E-2</v>
      </c>
      <c r="D2058" s="3">
        <v>377</v>
      </c>
      <c r="E2058" s="3">
        <v>487</v>
      </c>
      <c r="F2058" s="2">
        <v>72.21041666666666</v>
      </c>
      <c r="G2058" t="s">
        <v>2816</v>
      </c>
      <c r="H2058" t="s">
        <v>2820</v>
      </c>
      <c r="I2058" s="2">
        <v>1.3791666666666667</v>
      </c>
      <c r="J2058" s="4" t="str">
        <f>IF(Table1[[#This Row],[processing_time_hours]]&gt;1.5,"Slow", "Fast")</f>
        <v>Fast</v>
      </c>
      <c r="K2058" t="s">
        <v>2821</v>
      </c>
      <c r="L2058" s="3">
        <v>1</v>
      </c>
      <c r="M2058" t="str">
        <f>IF(Table1[[#This Row],[delayed]]=1,"Delayed","On Time")</f>
        <v>Delayed</v>
      </c>
      <c r="N2058" t="str">
        <f>IF(AND(Table1[[#This Row],[delayed]]=1,Table1[[#This Row],[weather_condition]]="Storm"),"High Risk", IF(Table1[[#This Row],[delayed]]=1,"Medium Risk","Low Risk"))</f>
        <v>Medium Risk</v>
      </c>
    </row>
    <row r="2059" spans="1:14" x14ac:dyDescent="0.35">
      <c r="A2059">
        <v>2058</v>
      </c>
      <c r="B2059" s="1">
        <v>45012.708333333336</v>
      </c>
      <c r="C2059" s="2">
        <v>4.3750000000000004E-2</v>
      </c>
      <c r="D2059" s="3">
        <v>4387</v>
      </c>
      <c r="E2059" s="3">
        <v>215</v>
      </c>
      <c r="F2059" s="2">
        <v>50.627777777777773</v>
      </c>
      <c r="G2059" t="s">
        <v>2819</v>
      </c>
      <c r="H2059" t="s">
        <v>2822</v>
      </c>
      <c r="I2059" s="2">
        <v>0.25</v>
      </c>
      <c r="J2059" s="4" t="str">
        <f>IF(Table1[[#This Row],[processing_time_hours]]&gt;1.5,"Slow", "Fast")</f>
        <v>Fast</v>
      </c>
      <c r="K2059" t="s">
        <v>2818</v>
      </c>
      <c r="L2059" s="3">
        <v>0</v>
      </c>
      <c r="M2059" t="str">
        <f>IF(Table1[[#This Row],[delayed]]=1,"Delayed","On Time")</f>
        <v>On Time</v>
      </c>
      <c r="N2059" t="str">
        <f>IF(AND(Table1[[#This Row],[delayed]]=1,Table1[[#This Row],[weather_condition]]="Storm"),"High Risk", IF(Table1[[#This Row],[delayed]]=1,"Medium Risk","Low Risk"))</f>
        <v>Low Risk</v>
      </c>
    </row>
    <row r="2060" spans="1:14" x14ac:dyDescent="0.35">
      <c r="A2060">
        <v>2059</v>
      </c>
      <c r="B2060" s="1">
        <v>45012.75</v>
      </c>
      <c r="C2060" s="2">
        <v>4.4444444444444446E-2</v>
      </c>
      <c r="D2060" s="3">
        <v>4284</v>
      </c>
      <c r="E2060" s="3">
        <v>178</v>
      </c>
      <c r="F2060" s="2">
        <v>32.880555555555553</v>
      </c>
      <c r="G2060" t="s">
        <v>2819</v>
      </c>
      <c r="H2060" t="s">
        <v>2820</v>
      </c>
      <c r="I2060" s="2">
        <v>2.2097222222222221</v>
      </c>
      <c r="J2060" s="4" t="str">
        <f>IF(Table1[[#This Row],[processing_time_hours]]&gt;1.5,"Slow", "Fast")</f>
        <v>Slow</v>
      </c>
      <c r="K2060" t="s">
        <v>2821</v>
      </c>
      <c r="L2060" s="3">
        <v>1</v>
      </c>
      <c r="M2060" t="str">
        <f>IF(Table1[[#This Row],[delayed]]=1,"Delayed","On Time")</f>
        <v>Delayed</v>
      </c>
      <c r="N2060" t="str">
        <f>IF(AND(Table1[[#This Row],[delayed]]=1,Table1[[#This Row],[weather_condition]]="Storm"),"High Risk", IF(Table1[[#This Row],[delayed]]=1,"Medium Risk","Low Risk"))</f>
        <v>Medium Risk</v>
      </c>
    </row>
    <row r="2061" spans="1:14" x14ac:dyDescent="0.35">
      <c r="A2061">
        <v>2060</v>
      </c>
      <c r="B2061" s="1">
        <v>45012.791666666664</v>
      </c>
      <c r="C2061" s="2">
        <v>6.5972222222222224E-2</v>
      </c>
      <c r="D2061" s="3">
        <v>164</v>
      </c>
      <c r="E2061" s="3">
        <v>490</v>
      </c>
      <c r="F2061" s="2">
        <v>40.045833333333334</v>
      </c>
      <c r="G2061" t="s">
        <v>2812</v>
      </c>
      <c r="H2061" t="s">
        <v>2817</v>
      </c>
      <c r="I2061" s="2">
        <v>0.58402777777777781</v>
      </c>
      <c r="J2061" s="4" t="str">
        <f>IF(Table1[[#This Row],[processing_time_hours]]&gt;1.5,"Slow", "Fast")</f>
        <v>Fast</v>
      </c>
      <c r="K2061" t="s">
        <v>2818</v>
      </c>
      <c r="L2061" s="3">
        <v>0</v>
      </c>
      <c r="M2061" t="str">
        <f>IF(Table1[[#This Row],[delayed]]=1,"Delayed","On Time")</f>
        <v>On Time</v>
      </c>
      <c r="N2061" t="str">
        <f>IF(AND(Table1[[#This Row],[delayed]]=1,Table1[[#This Row],[weather_condition]]="Storm"),"High Risk", IF(Table1[[#This Row],[delayed]]=1,"Medium Risk","Low Risk"))</f>
        <v>Low Risk</v>
      </c>
    </row>
    <row r="2062" spans="1:14" x14ac:dyDescent="0.35">
      <c r="A2062">
        <v>2061</v>
      </c>
      <c r="B2062" s="1">
        <v>45012.833333333336</v>
      </c>
      <c r="C2062" s="2">
        <v>6.5972222222222224E-2</v>
      </c>
      <c r="D2062" s="3">
        <v>2427</v>
      </c>
      <c r="E2062" s="3">
        <v>67</v>
      </c>
      <c r="F2062" s="2">
        <v>15.964583333333332</v>
      </c>
      <c r="G2062" t="s">
        <v>2819</v>
      </c>
      <c r="H2062" t="s">
        <v>2813</v>
      </c>
      <c r="I2062" s="2">
        <v>0.91875000000000007</v>
      </c>
      <c r="J2062" s="4" t="str">
        <f>IF(Table1[[#This Row],[processing_time_hours]]&gt;1.5,"Slow", "Fast")</f>
        <v>Fast</v>
      </c>
      <c r="K2062" t="s">
        <v>2818</v>
      </c>
      <c r="L2062" s="3">
        <v>0</v>
      </c>
      <c r="M2062" t="str">
        <f>IF(Table1[[#This Row],[delayed]]=1,"Delayed","On Time")</f>
        <v>On Time</v>
      </c>
      <c r="N2062" t="str">
        <f>IF(AND(Table1[[#This Row],[delayed]]=1,Table1[[#This Row],[weather_condition]]="Storm"),"High Risk", IF(Table1[[#This Row],[delayed]]=1,"Medium Risk","Low Risk"))</f>
        <v>Low Risk</v>
      </c>
    </row>
    <row r="2063" spans="1:14" x14ac:dyDescent="0.35">
      <c r="A2063">
        <v>2062</v>
      </c>
      <c r="B2063" s="1">
        <v>45012.875</v>
      </c>
      <c r="C2063" s="2">
        <v>5.2777777777777778E-2</v>
      </c>
      <c r="D2063" s="3">
        <v>2431</v>
      </c>
      <c r="E2063" s="3">
        <v>278</v>
      </c>
      <c r="F2063" s="2">
        <v>49.213888888888896</v>
      </c>
      <c r="G2063" t="s">
        <v>2815</v>
      </c>
      <c r="H2063" t="s">
        <v>2820</v>
      </c>
      <c r="I2063" s="2">
        <v>8.4027777777777771E-2</v>
      </c>
      <c r="J2063" s="4" t="str">
        <f>IF(Table1[[#This Row],[processing_time_hours]]&gt;1.5,"Slow", "Fast")</f>
        <v>Fast</v>
      </c>
      <c r="K2063" t="s">
        <v>2814</v>
      </c>
      <c r="L2063" s="3">
        <v>0</v>
      </c>
      <c r="M2063" t="str">
        <f>IF(Table1[[#This Row],[delayed]]=1,"Delayed","On Time")</f>
        <v>On Time</v>
      </c>
      <c r="N2063" t="str">
        <f>IF(AND(Table1[[#This Row],[delayed]]=1,Table1[[#This Row],[weather_condition]]="Storm"),"High Risk", IF(Table1[[#This Row],[delayed]]=1,"Medium Risk","Low Risk"))</f>
        <v>Low Risk</v>
      </c>
    </row>
    <row r="2064" spans="1:14" x14ac:dyDescent="0.35">
      <c r="A2064">
        <v>2063</v>
      </c>
      <c r="B2064" s="1">
        <v>45012.916666666664</v>
      </c>
      <c r="C2064" s="2">
        <v>4.3750000000000004E-2</v>
      </c>
      <c r="D2064" s="3">
        <v>3572</v>
      </c>
      <c r="E2064" s="3">
        <v>73</v>
      </c>
      <c r="F2064" s="2">
        <v>74.211805555555557</v>
      </c>
      <c r="G2064" t="s">
        <v>2819</v>
      </c>
      <c r="H2064" t="s">
        <v>2813</v>
      </c>
      <c r="I2064" s="2">
        <v>2.5020833333333332</v>
      </c>
      <c r="J2064" s="4" t="str">
        <f>IF(Table1[[#This Row],[processing_time_hours]]&gt;1.5,"Slow", "Fast")</f>
        <v>Slow</v>
      </c>
      <c r="K2064" t="s">
        <v>2818</v>
      </c>
      <c r="L2064" s="3">
        <v>1</v>
      </c>
      <c r="M2064" t="str">
        <f>IF(Table1[[#This Row],[delayed]]=1,"Delayed","On Time")</f>
        <v>Delayed</v>
      </c>
      <c r="N2064" t="str">
        <f>IF(AND(Table1[[#This Row],[delayed]]=1,Table1[[#This Row],[weather_condition]]="Storm"),"High Risk", IF(Table1[[#This Row],[delayed]]=1,"Medium Risk","Low Risk"))</f>
        <v>Medium Risk</v>
      </c>
    </row>
    <row r="2065" spans="1:14" x14ac:dyDescent="0.35">
      <c r="A2065">
        <v>2064</v>
      </c>
      <c r="B2065" s="1">
        <v>45012.958333333336</v>
      </c>
      <c r="C2065" s="2">
        <v>4.4444444444444446E-2</v>
      </c>
      <c r="D2065" s="3">
        <v>2596</v>
      </c>
      <c r="E2065" s="3">
        <v>151</v>
      </c>
      <c r="F2065" s="2">
        <v>43.504861111111104</v>
      </c>
      <c r="G2065" t="s">
        <v>2815</v>
      </c>
      <c r="H2065" t="s">
        <v>2813</v>
      </c>
      <c r="I2065" s="2">
        <v>8.3333333333333329E-2</v>
      </c>
      <c r="J2065" s="4" t="str">
        <f>IF(Table1[[#This Row],[processing_time_hours]]&gt;1.5,"Slow", "Fast")</f>
        <v>Fast</v>
      </c>
      <c r="K2065" t="s">
        <v>2814</v>
      </c>
      <c r="L2065" s="3">
        <v>1</v>
      </c>
      <c r="M2065" t="str">
        <f>IF(Table1[[#This Row],[delayed]]=1,"Delayed","On Time")</f>
        <v>Delayed</v>
      </c>
      <c r="N2065" t="str">
        <f>IF(AND(Table1[[#This Row],[delayed]]=1,Table1[[#This Row],[weather_condition]]="Storm"),"High Risk", IF(Table1[[#This Row],[delayed]]=1,"Medium Risk","Low Risk"))</f>
        <v>Medium Risk</v>
      </c>
    </row>
    <row r="2066" spans="1:14" x14ac:dyDescent="0.35">
      <c r="A2066">
        <v>2065</v>
      </c>
      <c r="B2066" s="1">
        <v>45013</v>
      </c>
      <c r="C2066" s="2">
        <v>4.5138888888888888E-2</v>
      </c>
      <c r="D2066" s="3">
        <v>1901</v>
      </c>
      <c r="E2066" s="3">
        <v>37</v>
      </c>
      <c r="F2066" s="2">
        <v>31.463194444444444</v>
      </c>
      <c r="G2066" t="s">
        <v>2816</v>
      </c>
      <c r="H2066" t="s">
        <v>2820</v>
      </c>
      <c r="I2066" s="2">
        <v>2.1305555555555555</v>
      </c>
      <c r="J2066" s="4" t="str">
        <f>IF(Table1[[#This Row],[processing_time_hours]]&gt;1.5,"Slow", "Fast")</f>
        <v>Slow</v>
      </c>
      <c r="K2066" t="s">
        <v>2818</v>
      </c>
      <c r="L2066" s="3">
        <v>0</v>
      </c>
      <c r="M2066" t="str">
        <f>IF(Table1[[#This Row],[delayed]]=1,"Delayed","On Time")</f>
        <v>On Time</v>
      </c>
      <c r="N2066" t="str">
        <f>IF(AND(Table1[[#This Row],[delayed]]=1,Table1[[#This Row],[weather_condition]]="Storm"),"High Risk", IF(Table1[[#This Row],[delayed]]=1,"Medium Risk","Low Risk"))</f>
        <v>Low Risk</v>
      </c>
    </row>
    <row r="2067" spans="1:14" x14ac:dyDescent="0.35">
      <c r="A2067">
        <v>2066</v>
      </c>
      <c r="B2067" s="1">
        <v>45013.041666666664</v>
      </c>
      <c r="C2067" s="2">
        <v>6.7361111111111108E-2</v>
      </c>
      <c r="D2067" s="3">
        <v>2686</v>
      </c>
      <c r="E2067" s="3">
        <v>226</v>
      </c>
      <c r="F2067" s="2">
        <v>19.75</v>
      </c>
      <c r="G2067" t="s">
        <v>2812</v>
      </c>
      <c r="H2067" t="s">
        <v>2822</v>
      </c>
      <c r="I2067" s="2">
        <v>0.87986111111111109</v>
      </c>
      <c r="J2067" s="4" t="str">
        <f>IF(Table1[[#This Row],[processing_time_hours]]&gt;1.5,"Slow", "Fast")</f>
        <v>Fast</v>
      </c>
      <c r="K2067" t="s">
        <v>2821</v>
      </c>
      <c r="L2067" s="3">
        <v>0</v>
      </c>
      <c r="M2067" t="str">
        <f>IF(Table1[[#This Row],[delayed]]=1,"Delayed","On Time")</f>
        <v>On Time</v>
      </c>
      <c r="N2067" t="str">
        <f>IF(AND(Table1[[#This Row],[delayed]]=1,Table1[[#This Row],[weather_condition]]="Storm"),"High Risk", IF(Table1[[#This Row],[delayed]]=1,"Medium Risk","Low Risk"))</f>
        <v>Low Risk</v>
      </c>
    </row>
    <row r="2068" spans="1:14" x14ac:dyDescent="0.35">
      <c r="A2068">
        <v>2067</v>
      </c>
      <c r="B2068" s="1">
        <v>45013.083333333336</v>
      </c>
      <c r="C2068" s="2">
        <v>5.2777777777777778E-2</v>
      </c>
      <c r="D2068" s="3">
        <v>4164</v>
      </c>
      <c r="E2068" s="3">
        <v>374</v>
      </c>
      <c r="F2068" s="2">
        <v>77.504861111111111</v>
      </c>
      <c r="G2068" t="s">
        <v>2816</v>
      </c>
      <c r="H2068" t="s">
        <v>2820</v>
      </c>
      <c r="I2068" s="2">
        <v>2.8333333333333335</v>
      </c>
      <c r="J2068" s="4" t="str">
        <f>IF(Table1[[#This Row],[processing_time_hours]]&gt;1.5,"Slow", "Fast")</f>
        <v>Slow</v>
      </c>
      <c r="K2068" t="s">
        <v>2818</v>
      </c>
      <c r="L2068" s="3">
        <v>0</v>
      </c>
      <c r="M2068" t="str">
        <f>IF(Table1[[#This Row],[delayed]]=1,"Delayed","On Time")</f>
        <v>On Time</v>
      </c>
      <c r="N2068" t="str">
        <f>IF(AND(Table1[[#This Row],[delayed]]=1,Table1[[#This Row],[weather_condition]]="Storm"),"High Risk", IF(Table1[[#This Row],[delayed]]=1,"Medium Risk","Low Risk"))</f>
        <v>Low Risk</v>
      </c>
    </row>
    <row r="2069" spans="1:14" x14ac:dyDescent="0.35">
      <c r="A2069">
        <v>2068</v>
      </c>
      <c r="B2069" s="1">
        <v>45013.125</v>
      </c>
      <c r="C2069" s="2">
        <v>5.486111111111111E-2</v>
      </c>
      <c r="D2069" s="3">
        <v>1134</v>
      </c>
      <c r="E2069" s="3">
        <v>125</v>
      </c>
      <c r="F2069" s="2">
        <v>49.128472222222221</v>
      </c>
      <c r="G2069" t="s">
        <v>2812</v>
      </c>
      <c r="H2069" t="s">
        <v>2822</v>
      </c>
      <c r="I2069" s="2">
        <v>2.338888888888889</v>
      </c>
      <c r="J2069" s="4" t="str">
        <f>IF(Table1[[#This Row],[processing_time_hours]]&gt;1.5,"Slow", "Fast")</f>
        <v>Slow</v>
      </c>
      <c r="K2069" t="s">
        <v>2821</v>
      </c>
      <c r="L2069" s="3">
        <v>0</v>
      </c>
      <c r="M2069" t="str">
        <f>IF(Table1[[#This Row],[delayed]]=1,"Delayed","On Time")</f>
        <v>On Time</v>
      </c>
      <c r="N2069" t="str">
        <f>IF(AND(Table1[[#This Row],[delayed]]=1,Table1[[#This Row],[weather_condition]]="Storm"),"High Risk", IF(Table1[[#This Row],[delayed]]=1,"Medium Risk","Low Risk"))</f>
        <v>Low Risk</v>
      </c>
    </row>
    <row r="2070" spans="1:14" x14ac:dyDescent="0.35">
      <c r="A2070">
        <v>2069</v>
      </c>
      <c r="B2070" s="1">
        <v>45013.166666666664</v>
      </c>
      <c r="C2070" s="2">
        <v>6.458333333333334E-2</v>
      </c>
      <c r="D2070" s="3">
        <v>4603</v>
      </c>
      <c r="E2070" s="3">
        <v>208</v>
      </c>
      <c r="F2070" s="2">
        <v>3.213888888888889</v>
      </c>
      <c r="G2070" t="s">
        <v>2812</v>
      </c>
      <c r="H2070" t="s">
        <v>2820</v>
      </c>
      <c r="I2070" s="2">
        <v>0.42222222222222222</v>
      </c>
      <c r="J2070" s="4" t="str">
        <f>IF(Table1[[#This Row],[processing_time_hours]]&gt;1.5,"Slow", "Fast")</f>
        <v>Fast</v>
      </c>
      <c r="K2070" t="s">
        <v>2821</v>
      </c>
      <c r="L2070" s="3">
        <v>0</v>
      </c>
      <c r="M2070" t="str">
        <f>IF(Table1[[#This Row],[delayed]]=1,"Delayed","On Time")</f>
        <v>On Time</v>
      </c>
      <c r="N2070" t="str">
        <f>IF(AND(Table1[[#This Row],[delayed]]=1,Table1[[#This Row],[weather_condition]]="Storm"),"High Risk", IF(Table1[[#This Row],[delayed]]=1,"Medium Risk","Low Risk"))</f>
        <v>Low Risk</v>
      </c>
    </row>
    <row r="2071" spans="1:14" x14ac:dyDescent="0.35">
      <c r="A2071">
        <v>2070</v>
      </c>
      <c r="B2071" s="1">
        <v>45013.208333333336</v>
      </c>
      <c r="C2071" s="2">
        <v>4.8611111111111112E-3</v>
      </c>
      <c r="D2071" s="3">
        <v>4654</v>
      </c>
      <c r="E2071" s="3">
        <v>438</v>
      </c>
      <c r="F2071" s="2">
        <v>58.710416666666667</v>
      </c>
      <c r="G2071" t="s">
        <v>2819</v>
      </c>
      <c r="H2071" t="s">
        <v>2822</v>
      </c>
      <c r="I2071" s="2">
        <v>2.1694444444444447</v>
      </c>
      <c r="J2071" s="4" t="str">
        <f>IF(Table1[[#This Row],[processing_time_hours]]&gt;1.5,"Slow", "Fast")</f>
        <v>Slow</v>
      </c>
      <c r="K2071" t="s">
        <v>2818</v>
      </c>
      <c r="L2071" s="3">
        <v>1</v>
      </c>
      <c r="M2071" t="str">
        <f>IF(Table1[[#This Row],[delayed]]=1,"Delayed","On Time")</f>
        <v>Delayed</v>
      </c>
      <c r="N2071" t="str">
        <f>IF(AND(Table1[[#This Row],[delayed]]=1,Table1[[#This Row],[weather_condition]]="Storm"),"High Risk", IF(Table1[[#This Row],[delayed]]=1,"Medium Risk","Low Risk"))</f>
        <v>Medium Risk</v>
      </c>
    </row>
    <row r="2072" spans="1:14" x14ac:dyDescent="0.35">
      <c r="A2072">
        <v>2071</v>
      </c>
      <c r="B2072" s="1">
        <v>45013.25</v>
      </c>
      <c r="C2072" s="2">
        <v>5.6250000000000001E-2</v>
      </c>
      <c r="D2072" s="3">
        <v>4347</v>
      </c>
      <c r="E2072" s="3">
        <v>194</v>
      </c>
      <c r="F2072" s="2">
        <v>81.836805555555557</v>
      </c>
      <c r="G2072" t="s">
        <v>2812</v>
      </c>
      <c r="H2072" t="s">
        <v>2822</v>
      </c>
      <c r="I2072" s="2">
        <v>1.3805555555555555</v>
      </c>
      <c r="J2072" s="4" t="str">
        <f>IF(Table1[[#This Row],[processing_time_hours]]&gt;1.5,"Slow", "Fast")</f>
        <v>Fast</v>
      </c>
      <c r="K2072" t="s">
        <v>2821</v>
      </c>
      <c r="L2072" s="3">
        <v>0</v>
      </c>
      <c r="M2072" t="str">
        <f>IF(Table1[[#This Row],[delayed]]=1,"Delayed","On Time")</f>
        <v>On Time</v>
      </c>
      <c r="N2072" t="str">
        <f>IF(AND(Table1[[#This Row],[delayed]]=1,Table1[[#This Row],[weather_condition]]="Storm"),"High Risk", IF(Table1[[#This Row],[delayed]]=1,"Medium Risk","Low Risk"))</f>
        <v>Low Risk</v>
      </c>
    </row>
    <row r="2073" spans="1:14" x14ac:dyDescent="0.35">
      <c r="A2073">
        <v>2072</v>
      </c>
      <c r="B2073" s="1">
        <v>45013.291666666664</v>
      </c>
      <c r="C2073" s="2">
        <v>5.7638888888888885E-2</v>
      </c>
      <c r="D2073" s="3">
        <v>3015</v>
      </c>
      <c r="E2073" s="3">
        <v>403</v>
      </c>
      <c r="F2073" s="2">
        <v>17.463888888888889</v>
      </c>
      <c r="G2073" t="s">
        <v>2815</v>
      </c>
      <c r="H2073" t="s">
        <v>2822</v>
      </c>
      <c r="I2073" s="2">
        <v>1.9201388888888891</v>
      </c>
      <c r="J2073" s="4" t="str">
        <f>IF(Table1[[#This Row],[processing_time_hours]]&gt;1.5,"Slow", "Fast")</f>
        <v>Slow</v>
      </c>
      <c r="K2073" t="s">
        <v>2814</v>
      </c>
      <c r="L2073" s="3">
        <v>1</v>
      </c>
      <c r="M2073" t="str">
        <f>IF(Table1[[#This Row],[delayed]]=1,"Delayed","On Time")</f>
        <v>Delayed</v>
      </c>
      <c r="N2073" t="str">
        <f>IF(AND(Table1[[#This Row],[delayed]]=1,Table1[[#This Row],[weather_condition]]="Storm"),"High Risk", IF(Table1[[#This Row],[delayed]]=1,"Medium Risk","Low Risk"))</f>
        <v>Medium Risk</v>
      </c>
    </row>
    <row r="2074" spans="1:14" x14ac:dyDescent="0.35">
      <c r="A2074">
        <v>2073</v>
      </c>
      <c r="B2074" s="1">
        <v>45013.333333333336</v>
      </c>
      <c r="C2074" s="2">
        <v>5.3472222222222227E-2</v>
      </c>
      <c r="D2074" s="3">
        <v>2110</v>
      </c>
      <c r="E2074" s="3">
        <v>119</v>
      </c>
      <c r="F2074" s="2">
        <v>47.003472222222221</v>
      </c>
      <c r="G2074" t="s">
        <v>2819</v>
      </c>
      <c r="H2074" t="s">
        <v>2817</v>
      </c>
      <c r="I2074" s="2">
        <v>1.2104166666666667</v>
      </c>
      <c r="J2074" s="4" t="str">
        <f>IF(Table1[[#This Row],[processing_time_hours]]&gt;1.5,"Slow", "Fast")</f>
        <v>Fast</v>
      </c>
      <c r="K2074" t="s">
        <v>2818</v>
      </c>
      <c r="L2074" s="3">
        <v>1</v>
      </c>
      <c r="M2074" t="str">
        <f>IF(Table1[[#This Row],[delayed]]=1,"Delayed","On Time")</f>
        <v>Delayed</v>
      </c>
      <c r="N2074" t="str">
        <f>IF(AND(Table1[[#This Row],[delayed]]=1,Table1[[#This Row],[weather_condition]]="Storm"),"High Risk", IF(Table1[[#This Row],[delayed]]=1,"Medium Risk","Low Risk"))</f>
        <v>High Risk</v>
      </c>
    </row>
    <row r="2075" spans="1:14" x14ac:dyDescent="0.35">
      <c r="A2075">
        <v>2074</v>
      </c>
      <c r="B2075" s="1">
        <v>45013.375</v>
      </c>
      <c r="C2075" s="2">
        <v>4.5138888888888888E-2</v>
      </c>
      <c r="D2075" s="3">
        <v>3064</v>
      </c>
      <c r="E2075" s="3">
        <v>11</v>
      </c>
      <c r="F2075" s="2">
        <v>44.959722222222219</v>
      </c>
      <c r="G2075" t="s">
        <v>2812</v>
      </c>
      <c r="H2075" t="s">
        <v>2813</v>
      </c>
      <c r="I2075" s="2">
        <v>1.0006944444444443</v>
      </c>
      <c r="J2075" s="4" t="str">
        <f>IF(Table1[[#This Row],[processing_time_hours]]&gt;1.5,"Slow", "Fast")</f>
        <v>Fast</v>
      </c>
      <c r="K2075" t="s">
        <v>2818</v>
      </c>
      <c r="L2075" s="3">
        <v>1</v>
      </c>
      <c r="M2075" t="str">
        <f>IF(Table1[[#This Row],[delayed]]=1,"Delayed","On Time")</f>
        <v>Delayed</v>
      </c>
      <c r="N2075" t="str">
        <f>IF(AND(Table1[[#This Row],[delayed]]=1,Table1[[#This Row],[weather_condition]]="Storm"),"High Risk", IF(Table1[[#This Row],[delayed]]=1,"Medium Risk","Low Risk"))</f>
        <v>Medium Risk</v>
      </c>
    </row>
    <row r="2076" spans="1:14" x14ac:dyDescent="0.35">
      <c r="A2076">
        <v>2075</v>
      </c>
      <c r="B2076" s="1">
        <v>45013.416666666664</v>
      </c>
      <c r="C2076" s="2">
        <v>5.3472222222222227E-2</v>
      </c>
      <c r="D2076" s="3">
        <v>1943</v>
      </c>
      <c r="E2076" s="3">
        <v>482</v>
      </c>
      <c r="F2076" s="2">
        <v>54.129166666666663</v>
      </c>
      <c r="G2076" t="s">
        <v>2812</v>
      </c>
      <c r="H2076" t="s">
        <v>2822</v>
      </c>
      <c r="I2076" s="2">
        <v>2.7944444444444443</v>
      </c>
      <c r="J2076" s="4" t="str">
        <f>IF(Table1[[#This Row],[processing_time_hours]]&gt;1.5,"Slow", "Fast")</f>
        <v>Slow</v>
      </c>
      <c r="K2076" t="s">
        <v>2814</v>
      </c>
      <c r="L2076" s="3">
        <v>1</v>
      </c>
      <c r="M2076" t="str">
        <f>IF(Table1[[#This Row],[delayed]]=1,"Delayed","On Time")</f>
        <v>Delayed</v>
      </c>
      <c r="N2076" t="str">
        <f>IF(AND(Table1[[#This Row],[delayed]]=1,Table1[[#This Row],[weather_condition]]="Storm"),"High Risk", IF(Table1[[#This Row],[delayed]]=1,"Medium Risk","Low Risk"))</f>
        <v>Medium Risk</v>
      </c>
    </row>
    <row r="2077" spans="1:14" x14ac:dyDescent="0.35">
      <c r="A2077">
        <v>2076</v>
      </c>
      <c r="B2077" s="1">
        <v>45013.458333333336</v>
      </c>
      <c r="C2077" s="2">
        <v>4.4444444444444446E-2</v>
      </c>
      <c r="D2077" s="3">
        <v>2257</v>
      </c>
      <c r="E2077" s="3">
        <v>204</v>
      </c>
      <c r="F2077" s="2">
        <v>32.210416666666667</v>
      </c>
      <c r="G2077" t="s">
        <v>2815</v>
      </c>
      <c r="H2077" t="s">
        <v>2822</v>
      </c>
      <c r="I2077" s="2">
        <v>1.3395833333333333</v>
      </c>
      <c r="J2077" s="4" t="str">
        <f>IF(Table1[[#This Row],[processing_time_hours]]&gt;1.5,"Slow", "Fast")</f>
        <v>Fast</v>
      </c>
      <c r="K2077" t="s">
        <v>2821</v>
      </c>
      <c r="L2077" s="3">
        <v>0</v>
      </c>
      <c r="M2077" t="str">
        <f>IF(Table1[[#This Row],[delayed]]=1,"Delayed","On Time")</f>
        <v>On Time</v>
      </c>
      <c r="N2077" t="str">
        <f>IF(AND(Table1[[#This Row],[delayed]]=1,Table1[[#This Row],[weather_condition]]="Storm"),"High Risk", IF(Table1[[#This Row],[delayed]]=1,"Medium Risk","Low Risk"))</f>
        <v>Low Risk</v>
      </c>
    </row>
    <row r="2078" spans="1:14" x14ac:dyDescent="0.35">
      <c r="A2078">
        <v>2077</v>
      </c>
      <c r="B2078" s="1">
        <v>45013.5</v>
      </c>
      <c r="C2078" s="2">
        <v>5.0694444444444438E-2</v>
      </c>
      <c r="D2078" s="3">
        <v>4231</v>
      </c>
      <c r="E2078" s="3">
        <v>348</v>
      </c>
      <c r="F2078" s="2">
        <v>40.459027777777777</v>
      </c>
      <c r="G2078" t="s">
        <v>2812</v>
      </c>
      <c r="H2078" t="s">
        <v>2822</v>
      </c>
      <c r="I2078" s="2">
        <v>0.92083333333333339</v>
      </c>
      <c r="J2078" s="4" t="str">
        <f>IF(Table1[[#This Row],[processing_time_hours]]&gt;1.5,"Slow", "Fast")</f>
        <v>Fast</v>
      </c>
      <c r="K2078" t="s">
        <v>2818</v>
      </c>
      <c r="L2078" s="3">
        <v>0</v>
      </c>
      <c r="M2078" t="str">
        <f>IF(Table1[[#This Row],[delayed]]=1,"Delayed","On Time")</f>
        <v>On Time</v>
      </c>
      <c r="N2078" t="str">
        <f>IF(AND(Table1[[#This Row],[delayed]]=1,Table1[[#This Row],[weather_condition]]="Storm"),"High Risk", IF(Table1[[#This Row],[delayed]]=1,"Medium Risk","Low Risk"))</f>
        <v>Low Risk</v>
      </c>
    </row>
    <row r="2079" spans="1:14" x14ac:dyDescent="0.35">
      <c r="A2079">
        <v>2078</v>
      </c>
      <c r="B2079" s="1">
        <v>45013.541666666664</v>
      </c>
      <c r="C2079" s="2">
        <v>5.2777777777777778E-2</v>
      </c>
      <c r="D2079" s="3">
        <v>2059</v>
      </c>
      <c r="E2079" s="3">
        <v>214</v>
      </c>
      <c r="F2079" s="2">
        <v>57.416666666666664</v>
      </c>
      <c r="G2079" t="s">
        <v>2816</v>
      </c>
      <c r="H2079" t="s">
        <v>2813</v>
      </c>
      <c r="I2079" s="2">
        <v>0.17222222222222225</v>
      </c>
      <c r="J2079" s="4" t="str">
        <f>IF(Table1[[#This Row],[processing_time_hours]]&gt;1.5,"Slow", "Fast")</f>
        <v>Fast</v>
      </c>
      <c r="K2079" t="s">
        <v>2818</v>
      </c>
      <c r="L2079" s="3">
        <v>0</v>
      </c>
      <c r="M2079" t="str">
        <f>IF(Table1[[#This Row],[delayed]]=1,"Delayed","On Time")</f>
        <v>On Time</v>
      </c>
      <c r="N2079" t="str">
        <f>IF(AND(Table1[[#This Row],[delayed]]=1,Table1[[#This Row],[weather_condition]]="Storm"),"High Risk", IF(Table1[[#This Row],[delayed]]=1,"Medium Risk","Low Risk"))</f>
        <v>Low Risk</v>
      </c>
    </row>
    <row r="2080" spans="1:14" x14ac:dyDescent="0.35">
      <c r="A2080">
        <v>2079</v>
      </c>
      <c r="B2080" s="1">
        <v>45013.583333333336</v>
      </c>
      <c r="C2080" s="2">
        <v>4.7222222222222221E-2</v>
      </c>
      <c r="D2080" s="3">
        <v>1608</v>
      </c>
      <c r="E2080" s="3">
        <v>184</v>
      </c>
      <c r="F2080" s="2">
        <v>33.417361111111113</v>
      </c>
      <c r="G2080" t="s">
        <v>2812</v>
      </c>
      <c r="H2080" t="s">
        <v>2817</v>
      </c>
      <c r="I2080" s="2">
        <v>0.54166666666666663</v>
      </c>
      <c r="J2080" s="4" t="str">
        <f>IF(Table1[[#This Row],[processing_time_hours]]&gt;1.5,"Slow", "Fast")</f>
        <v>Fast</v>
      </c>
      <c r="K2080" t="s">
        <v>2818</v>
      </c>
      <c r="L2080" s="3">
        <v>0</v>
      </c>
      <c r="M2080" t="str">
        <f>IF(Table1[[#This Row],[delayed]]=1,"Delayed","On Time")</f>
        <v>On Time</v>
      </c>
      <c r="N2080" t="str">
        <f>IF(AND(Table1[[#This Row],[delayed]]=1,Table1[[#This Row],[weather_condition]]="Storm"),"High Risk", IF(Table1[[#This Row],[delayed]]=1,"Medium Risk","Low Risk"))</f>
        <v>Low Risk</v>
      </c>
    </row>
    <row r="2081" spans="1:14" x14ac:dyDescent="0.35">
      <c r="A2081">
        <v>2080</v>
      </c>
      <c r="B2081" s="1">
        <v>45013.625</v>
      </c>
      <c r="C2081" s="2">
        <v>4.1666666666666664E-2</v>
      </c>
      <c r="D2081" s="3">
        <v>1250</v>
      </c>
      <c r="E2081" s="3">
        <v>364</v>
      </c>
      <c r="F2081" s="2">
        <v>6.7097222222222221</v>
      </c>
      <c r="G2081" t="s">
        <v>2812</v>
      </c>
      <c r="H2081" t="s">
        <v>2813</v>
      </c>
      <c r="I2081" s="2">
        <v>1.9645833333333333</v>
      </c>
      <c r="J2081" s="4" t="str">
        <f>IF(Table1[[#This Row],[processing_time_hours]]&gt;1.5,"Slow", "Fast")</f>
        <v>Slow</v>
      </c>
      <c r="K2081" t="s">
        <v>2818</v>
      </c>
      <c r="L2081" s="3">
        <v>0</v>
      </c>
      <c r="M2081" t="str">
        <f>IF(Table1[[#This Row],[delayed]]=1,"Delayed","On Time")</f>
        <v>On Time</v>
      </c>
      <c r="N2081" t="str">
        <f>IF(AND(Table1[[#This Row],[delayed]]=1,Table1[[#This Row],[weather_condition]]="Storm"),"High Risk", IF(Table1[[#This Row],[delayed]]=1,"Medium Risk","Low Risk"))</f>
        <v>Low Risk</v>
      </c>
    </row>
    <row r="2082" spans="1:14" x14ac:dyDescent="0.35">
      <c r="A2082">
        <v>2081</v>
      </c>
      <c r="B2082" s="1">
        <v>45013.666666666664</v>
      </c>
      <c r="C2082" s="2">
        <v>6.1111111111111109E-2</v>
      </c>
      <c r="D2082" s="3">
        <v>4937</v>
      </c>
      <c r="E2082" s="3">
        <v>465</v>
      </c>
      <c r="F2082" s="2">
        <v>42.37916666666667</v>
      </c>
      <c r="G2082" t="s">
        <v>2815</v>
      </c>
      <c r="H2082" t="s">
        <v>2813</v>
      </c>
      <c r="I2082" s="2">
        <v>1.2923611111111111</v>
      </c>
      <c r="J2082" s="4" t="str">
        <f>IF(Table1[[#This Row],[processing_time_hours]]&gt;1.5,"Slow", "Fast")</f>
        <v>Fast</v>
      </c>
      <c r="K2082" t="s">
        <v>2821</v>
      </c>
      <c r="L2082" s="3">
        <v>0</v>
      </c>
      <c r="M2082" t="str">
        <f>IF(Table1[[#This Row],[delayed]]=1,"Delayed","On Time")</f>
        <v>On Time</v>
      </c>
      <c r="N2082" t="str">
        <f>IF(AND(Table1[[#This Row],[delayed]]=1,Table1[[#This Row],[weather_condition]]="Storm"),"High Risk", IF(Table1[[#This Row],[delayed]]=1,"Medium Risk","Low Risk"))</f>
        <v>Low Risk</v>
      </c>
    </row>
    <row r="2083" spans="1:14" x14ac:dyDescent="0.35">
      <c r="A2083">
        <v>2082</v>
      </c>
      <c r="B2083" s="1">
        <v>45013.708333333336</v>
      </c>
      <c r="C2083" s="2">
        <v>6.7361111111111108E-2</v>
      </c>
      <c r="D2083" s="3">
        <v>554</v>
      </c>
      <c r="E2083" s="3">
        <v>357</v>
      </c>
      <c r="F2083" s="2">
        <v>52.33680555555555</v>
      </c>
      <c r="G2083" t="s">
        <v>2819</v>
      </c>
      <c r="H2083" t="s">
        <v>2817</v>
      </c>
      <c r="I2083" s="2">
        <v>1.5888888888888888</v>
      </c>
      <c r="J2083" s="4" t="str">
        <f>IF(Table1[[#This Row],[processing_time_hours]]&gt;1.5,"Slow", "Fast")</f>
        <v>Slow</v>
      </c>
      <c r="K2083" t="s">
        <v>2821</v>
      </c>
      <c r="L2083" s="3">
        <v>0</v>
      </c>
      <c r="M2083" t="str">
        <f>IF(Table1[[#This Row],[delayed]]=1,"Delayed","On Time")</f>
        <v>On Time</v>
      </c>
      <c r="N2083" t="str">
        <f>IF(AND(Table1[[#This Row],[delayed]]=1,Table1[[#This Row],[weather_condition]]="Storm"),"High Risk", IF(Table1[[#This Row],[delayed]]=1,"Medium Risk","Low Risk"))</f>
        <v>Low Risk</v>
      </c>
    </row>
    <row r="2084" spans="1:14" x14ac:dyDescent="0.35">
      <c r="A2084">
        <v>2083</v>
      </c>
      <c r="B2084" s="1">
        <v>45013.75</v>
      </c>
      <c r="C2084" s="2">
        <v>6.7361111111111108E-2</v>
      </c>
      <c r="D2084" s="3">
        <v>2859</v>
      </c>
      <c r="E2084" s="3">
        <v>462</v>
      </c>
      <c r="F2084" s="2">
        <v>38.838194444444447</v>
      </c>
      <c r="G2084" t="s">
        <v>2816</v>
      </c>
      <c r="H2084" t="s">
        <v>2817</v>
      </c>
      <c r="I2084" s="2">
        <v>1.7138888888888888</v>
      </c>
      <c r="J2084" s="4" t="str">
        <f>IF(Table1[[#This Row],[processing_time_hours]]&gt;1.5,"Slow", "Fast")</f>
        <v>Slow</v>
      </c>
      <c r="K2084" t="s">
        <v>2818</v>
      </c>
      <c r="L2084" s="3">
        <v>1</v>
      </c>
      <c r="M2084" t="str">
        <f>IF(Table1[[#This Row],[delayed]]=1,"Delayed","On Time")</f>
        <v>Delayed</v>
      </c>
      <c r="N2084" t="str">
        <f>IF(AND(Table1[[#This Row],[delayed]]=1,Table1[[#This Row],[weather_condition]]="Storm"),"High Risk", IF(Table1[[#This Row],[delayed]]=1,"Medium Risk","Low Risk"))</f>
        <v>High Risk</v>
      </c>
    </row>
    <row r="2085" spans="1:14" x14ac:dyDescent="0.35">
      <c r="A2085">
        <v>2084</v>
      </c>
      <c r="B2085" s="1">
        <v>45013.791666666664</v>
      </c>
      <c r="C2085" s="2">
        <v>4.9305555555555554E-2</v>
      </c>
      <c r="D2085" s="3">
        <v>3501</v>
      </c>
      <c r="E2085" s="3">
        <v>218</v>
      </c>
      <c r="F2085" s="2">
        <v>17.839583333333334</v>
      </c>
      <c r="G2085" t="s">
        <v>2816</v>
      </c>
      <c r="H2085" t="s">
        <v>2817</v>
      </c>
      <c r="I2085" s="2">
        <v>0.33749999999999997</v>
      </c>
      <c r="J2085" s="4" t="str">
        <f>IF(Table1[[#This Row],[processing_time_hours]]&gt;1.5,"Slow", "Fast")</f>
        <v>Fast</v>
      </c>
      <c r="K2085" t="s">
        <v>2821</v>
      </c>
      <c r="L2085" s="3">
        <v>1</v>
      </c>
      <c r="M2085" t="str">
        <f>IF(Table1[[#This Row],[delayed]]=1,"Delayed","On Time")</f>
        <v>Delayed</v>
      </c>
      <c r="N2085" t="str">
        <f>IF(AND(Table1[[#This Row],[delayed]]=1,Table1[[#This Row],[weather_condition]]="Storm"),"High Risk", IF(Table1[[#This Row],[delayed]]=1,"Medium Risk","Low Risk"))</f>
        <v>High Risk</v>
      </c>
    </row>
    <row r="2086" spans="1:14" x14ac:dyDescent="0.35">
      <c r="A2086">
        <v>2085</v>
      </c>
      <c r="B2086" s="1">
        <v>45013.833333333336</v>
      </c>
      <c r="C2086" s="2">
        <v>4.5833333333333337E-2</v>
      </c>
      <c r="D2086" s="3">
        <v>4972</v>
      </c>
      <c r="E2086" s="3">
        <v>302</v>
      </c>
      <c r="F2086" s="2">
        <v>12.255555555555555</v>
      </c>
      <c r="G2086" t="s">
        <v>2815</v>
      </c>
      <c r="H2086" t="s">
        <v>2813</v>
      </c>
      <c r="I2086" s="2">
        <v>1.7520833333333332</v>
      </c>
      <c r="J2086" s="4" t="str">
        <f>IF(Table1[[#This Row],[processing_time_hours]]&gt;1.5,"Slow", "Fast")</f>
        <v>Slow</v>
      </c>
      <c r="K2086" t="s">
        <v>2814</v>
      </c>
      <c r="L2086" s="3">
        <v>1</v>
      </c>
      <c r="M2086" t="str">
        <f>IF(Table1[[#This Row],[delayed]]=1,"Delayed","On Time")</f>
        <v>Delayed</v>
      </c>
      <c r="N2086" t="str">
        <f>IF(AND(Table1[[#This Row],[delayed]]=1,Table1[[#This Row],[weather_condition]]="Storm"),"High Risk", IF(Table1[[#This Row],[delayed]]=1,"Medium Risk","Low Risk"))</f>
        <v>Medium Risk</v>
      </c>
    </row>
    <row r="2087" spans="1:14" x14ac:dyDescent="0.35">
      <c r="A2087">
        <v>2086</v>
      </c>
      <c r="B2087" s="1">
        <v>45013.875</v>
      </c>
      <c r="C2087" s="2">
        <v>4.1666666666666664E-2</v>
      </c>
      <c r="D2087" s="3">
        <v>1003</v>
      </c>
      <c r="E2087" s="3">
        <v>76</v>
      </c>
      <c r="F2087" s="2">
        <v>2.7090277777777776</v>
      </c>
      <c r="G2087" t="s">
        <v>2815</v>
      </c>
      <c r="H2087" t="s">
        <v>2822</v>
      </c>
      <c r="I2087" s="2">
        <v>0.46111111111111108</v>
      </c>
      <c r="J2087" s="4" t="str">
        <f>IF(Table1[[#This Row],[processing_time_hours]]&gt;1.5,"Slow", "Fast")</f>
        <v>Fast</v>
      </c>
      <c r="K2087" t="s">
        <v>2821</v>
      </c>
      <c r="L2087" s="3">
        <v>0</v>
      </c>
      <c r="M2087" t="str">
        <f>IF(Table1[[#This Row],[delayed]]=1,"Delayed","On Time")</f>
        <v>On Time</v>
      </c>
      <c r="N2087" t="str">
        <f>IF(AND(Table1[[#This Row],[delayed]]=1,Table1[[#This Row],[weather_condition]]="Storm"),"High Risk", IF(Table1[[#This Row],[delayed]]=1,"Medium Risk","Low Risk"))</f>
        <v>Low Risk</v>
      </c>
    </row>
    <row r="2088" spans="1:14" x14ac:dyDescent="0.35">
      <c r="A2088">
        <v>2087</v>
      </c>
      <c r="B2088" s="1">
        <v>45013.916666666664</v>
      </c>
      <c r="C2088" s="2">
        <v>5.5555555555555558E-3</v>
      </c>
      <c r="D2088" s="3">
        <v>4151</v>
      </c>
      <c r="E2088" s="3">
        <v>304</v>
      </c>
      <c r="F2088" s="2">
        <v>52.043055555555554</v>
      </c>
      <c r="G2088" t="s">
        <v>2819</v>
      </c>
      <c r="H2088" t="s">
        <v>2820</v>
      </c>
      <c r="I2088" s="2">
        <v>2.1715277777777779</v>
      </c>
      <c r="J2088" s="4" t="str">
        <f>IF(Table1[[#This Row],[processing_time_hours]]&gt;1.5,"Slow", "Fast")</f>
        <v>Slow</v>
      </c>
      <c r="K2088" t="s">
        <v>2818</v>
      </c>
      <c r="L2088" s="3">
        <v>0</v>
      </c>
      <c r="M2088" t="str">
        <f>IF(Table1[[#This Row],[delayed]]=1,"Delayed","On Time")</f>
        <v>On Time</v>
      </c>
      <c r="N2088" t="str">
        <f>IF(AND(Table1[[#This Row],[delayed]]=1,Table1[[#This Row],[weather_condition]]="Storm"),"High Risk", IF(Table1[[#This Row],[delayed]]=1,"Medium Risk","Low Risk"))</f>
        <v>Low Risk</v>
      </c>
    </row>
    <row r="2089" spans="1:14" x14ac:dyDescent="0.35">
      <c r="A2089">
        <v>2088</v>
      </c>
      <c r="B2089" s="1">
        <v>45013.958333333336</v>
      </c>
      <c r="C2089" s="2">
        <v>6.0416666666666667E-2</v>
      </c>
      <c r="D2089" s="3">
        <v>2240</v>
      </c>
      <c r="E2089" s="3">
        <v>495</v>
      </c>
      <c r="F2089" s="2">
        <v>25.542361111111109</v>
      </c>
      <c r="G2089" t="s">
        <v>2812</v>
      </c>
      <c r="H2089" t="s">
        <v>2820</v>
      </c>
      <c r="I2089" s="2">
        <v>1.54375</v>
      </c>
      <c r="J2089" s="4" t="str">
        <f>IF(Table1[[#This Row],[processing_time_hours]]&gt;1.5,"Slow", "Fast")</f>
        <v>Slow</v>
      </c>
      <c r="K2089" t="s">
        <v>2821</v>
      </c>
      <c r="L2089" s="3">
        <v>1</v>
      </c>
      <c r="M2089" t="str">
        <f>IF(Table1[[#This Row],[delayed]]=1,"Delayed","On Time")</f>
        <v>Delayed</v>
      </c>
      <c r="N2089" t="str">
        <f>IF(AND(Table1[[#This Row],[delayed]]=1,Table1[[#This Row],[weather_condition]]="Storm"),"High Risk", IF(Table1[[#This Row],[delayed]]=1,"Medium Risk","Low Risk"))</f>
        <v>Medium Risk</v>
      </c>
    </row>
    <row r="2090" spans="1:14" x14ac:dyDescent="0.35">
      <c r="A2090">
        <v>2089</v>
      </c>
      <c r="B2090" s="1">
        <v>45014</v>
      </c>
      <c r="C2090" s="2">
        <v>6.5972222222222224E-2</v>
      </c>
      <c r="D2090" s="3">
        <v>1713</v>
      </c>
      <c r="E2090" s="3">
        <v>19</v>
      </c>
      <c r="F2090" s="2">
        <v>40.959027777777777</v>
      </c>
      <c r="G2090" t="s">
        <v>2816</v>
      </c>
      <c r="H2090" t="s">
        <v>2817</v>
      </c>
      <c r="I2090" s="2">
        <v>2.4194444444444447</v>
      </c>
      <c r="J2090" s="4" t="str">
        <f>IF(Table1[[#This Row],[processing_time_hours]]&gt;1.5,"Slow", "Fast")</f>
        <v>Slow</v>
      </c>
      <c r="K2090" t="s">
        <v>2821</v>
      </c>
      <c r="L2090" s="3">
        <v>1</v>
      </c>
      <c r="M2090" t="str">
        <f>IF(Table1[[#This Row],[delayed]]=1,"Delayed","On Time")</f>
        <v>Delayed</v>
      </c>
      <c r="N2090" t="str">
        <f>IF(AND(Table1[[#This Row],[delayed]]=1,Table1[[#This Row],[weather_condition]]="Storm"),"High Risk", IF(Table1[[#This Row],[delayed]]=1,"Medium Risk","Low Risk"))</f>
        <v>High Risk</v>
      </c>
    </row>
    <row r="2091" spans="1:14" x14ac:dyDescent="0.35">
      <c r="A2091">
        <v>2090</v>
      </c>
      <c r="B2091" s="1">
        <v>45014.041666666664</v>
      </c>
      <c r="C2091" s="2">
        <v>5.1388888888888894E-2</v>
      </c>
      <c r="D2091" s="3">
        <v>1516</v>
      </c>
      <c r="E2091" s="3">
        <v>371</v>
      </c>
      <c r="F2091" s="2">
        <v>6.875694444444445</v>
      </c>
      <c r="G2091" t="s">
        <v>2816</v>
      </c>
      <c r="H2091" t="s">
        <v>2813</v>
      </c>
      <c r="I2091" s="2">
        <v>0.46111111111111108</v>
      </c>
      <c r="J2091" s="4" t="str">
        <f>IF(Table1[[#This Row],[processing_time_hours]]&gt;1.5,"Slow", "Fast")</f>
        <v>Fast</v>
      </c>
      <c r="K2091" t="s">
        <v>2814</v>
      </c>
      <c r="L2091" s="3">
        <v>0</v>
      </c>
      <c r="M2091" t="str">
        <f>IF(Table1[[#This Row],[delayed]]=1,"Delayed","On Time")</f>
        <v>On Time</v>
      </c>
      <c r="N2091" t="str">
        <f>IF(AND(Table1[[#This Row],[delayed]]=1,Table1[[#This Row],[weather_condition]]="Storm"),"High Risk", IF(Table1[[#This Row],[delayed]]=1,"Medium Risk","Low Risk"))</f>
        <v>Low Risk</v>
      </c>
    </row>
    <row r="2092" spans="1:14" x14ac:dyDescent="0.35">
      <c r="A2092">
        <v>2091</v>
      </c>
      <c r="B2092" s="1">
        <v>45014.083333333336</v>
      </c>
      <c r="C2092" s="2">
        <v>5.8333333333333327E-2</v>
      </c>
      <c r="D2092" s="3">
        <v>2187</v>
      </c>
      <c r="E2092" s="3">
        <v>325</v>
      </c>
      <c r="F2092" s="2">
        <v>66.834722222222226</v>
      </c>
      <c r="G2092" t="s">
        <v>2819</v>
      </c>
      <c r="H2092" t="s">
        <v>2817</v>
      </c>
      <c r="I2092" s="2">
        <v>1.3375000000000001</v>
      </c>
      <c r="J2092" s="4" t="str">
        <f>IF(Table1[[#This Row],[processing_time_hours]]&gt;1.5,"Slow", "Fast")</f>
        <v>Fast</v>
      </c>
      <c r="K2092" t="s">
        <v>2814</v>
      </c>
      <c r="L2092" s="3">
        <v>1</v>
      </c>
      <c r="M2092" t="str">
        <f>IF(Table1[[#This Row],[delayed]]=1,"Delayed","On Time")</f>
        <v>Delayed</v>
      </c>
      <c r="N2092" t="str">
        <f>IF(AND(Table1[[#This Row],[delayed]]=1,Table1[[#This Row],[weather_condition]]="Storm"),"High Risk", IF(Table1[[#This Row],[delayed]]=1,"Medium Risk","Low Risk"))</f>
        <v>High Risk</v>
      </c>
    </row>
    <row r="2093" spans="1:14" x14ac:dyDescent="0.35">
      <c r="A2093">
        <v>2092</v>
      </c>
      <c r="B2093" s="1">
        <v>45014.125</v>
      </c>
      <c r="C2093" s="2">
        <v>4.9999999999999996E-2</v>
      </c>
      <c r="D2093" s="3">
        <v>1372</v>
      </c>
      <c r="E2093" s="3">
        <v>425</v>
      </c>
      <c r="F2093" s="2">
        <v>24.338888888888889</v>
      </c>
      <c r="G2093" t="s">
        <v>2819</v>
      </c>
      <c r="H2093" t="s">
        <v>2813</v>
      </c>
      <c r="I2093" s="2">
        <v>0.58472222222222225</v>
      </c>
      <c r="J2093" s="4" t="str">
        <f>IF(Table1[[#This Row],[processing_time_hours]]&gt;1.5,"Slow", "Fast")</f>
        <v>Fast</v>
      </c>
      <c r="K2093" t="s">
        <v>2814</v>
      </c>
      <c r="L2093" s="3">
        <v>0</v>
      </c>
      <c r="M2093" t="str">
        <f>IF(Table1[[#This Row],[delayed]]=1,"Delayed","On Time")</f>
        <v>On Time</v>
      </c>
      <c r="N2093" t="str">
        <f>IF(AND(Table1[[#This Row],[delayed]]=1,Table1[[#This Row],[weather_condition]]="Storm"),"High Risk", IF(Table1[[#This Row],[delayed]]=1,"Medium Risk","Low Risk"))</f>
        <v>Low Risk</v>
      </c>
    </row>
    <row r="2094" spans="1:14" x14ac:dyDescent="0.35">
      <c r="A2094">
        <v>2093</v>
      </c>
      <c r="B2094" s="1">
        <v>45014.166666666664</v>
      </c>
      <c r="C2094" s="2">
        <v>4.7916666666666663E-2</v>
      </c>
      <c r="D2094" s="3">
        <v>891</v>
      </c>
      <c r="E2094" s="3">
        <v>492</v>
      </c>
      <c r="F2094" s="2">
        <v>62.791666666666664</v>
      </c>
      <c r="G2094" t="s">
        <v>2816</v>
      </c>
      <c r="H2094" t="s">
        <v>2817</v>
      </c>
      <c r="I2094" s="2">
        <v>1.8340277777777778</v>
      </c>
      <c r="J2094" s="4" t="str">
        <f>IF(Table1[[#This Row],[processing_time_hours]]&gt;1.5,"Slow", "Fast")</f>
        <v>Slow</v>
      </c>
      <c r="K2094" t="s">
        <v>2821</v>
      </c>
      <c r="L2094" s="3">
        <v>0</v>
      </c>
      <c r="M2094" t="str">
        <f>IF(Table1[[#This Row],[delayed]]=1,"Delayed","On Time")</f>
        <v>On Time</v>
      </c>
      <c r="N2094" t="str">
        <f>IF(AND(Table1[[#This Row],[delayed]]=1,Table1[[#This Row],[weather_condition]]="Storm"),"High Risk", IF(Table1[[#This Row],[delayed]]=1,"Medium Risk","Low Risk"))</f>
        <v>Low Risk</v>
      </c>
    </row>
    <row r="2095" spans="1:14" x14ac:dyDescent="0.35">
      <c r="A2095">
        <v>2094</v>
      </c>
      <c r="B2095" s="1">
        <v>45014.208333333336</v>
      </c>
      <c r="C2095" s="2">
        <v>4.2361111111111106E-2</v>
      </c>
      <c r="D2095" s="3">
        <v>2394</v>
      </c>
      <c r="E2095" s="3">
        <v>107</v>
      </c>
      <c r="F2095" s="2">
        <v>8.9194444444444443</v>
      </c>
      <c r="G2095" t="s">
        <v>2815</v>
      </c>
      <c r="H2095" t="s">
        <v>2813</v>
      </c>
      <c r="I2095" s="2">
        <v>0.25069444444444444</v>
      </c>
      <c r="J2095" s="4" t="str">
        <f>IF(Table1[[#This Row],[processing_time_hours]]&gt;1.5,"Slow", "Fast")</f>
        <v>Fast</v>
      </c>
      <c r="K2095" t="s">
        <v>2821</v>
      </c>
      <c r="L2095" s="3">
        <v>0</v>
      </c>
      <c r="M2095" t="str">
        <f>IF(Table1[[#This Row],[delayed]]=1,"Delayed","On Time")</f>
        <v>On Time</v>
      </c>
      <c r="N2095" t="str">
        <f>IF(AND(Table1[[#This Row],[delayed]]=1,Table1[[#This Row],[weather_condition]]="Storm"),"High Risk", IF(Table1[[#This Row],[delayed]]=1,"Medium Risk","Low Risk"))</f>
        <v>Low Risk</v>
      </c>
    </row>
    <row r="2096" spans="1:14" x14ac:dyDescent="0.35">
      <c r="A2096">
        <v>2095</v>
      </c>
      <c r="B2096" s="1">
        <v>45014.25</v>
      </c>
      <c r="C2096" s="2">
        <v>4.7916666666666663E-2</v>
      </c>
      <c r="D2096" s="3">
        <v>2670</v>
      </c>
      <c r="E2096" s="3">
        <v>130</v>
      </c>
      <c r="F2096" s="2">
        <v>72.338888888888889</v>
      </c>
      <c r="G2096" t="s">
        <v>2815</v>
      </c>
      <c r="H2096" t="s">
        <v>2820</v>
      </c>
      <c r="I2096" s="2">
        <v>1.2145833333333333</v>
      </c>
      <c r="J2096" s="4" t="str">
        <f>IF(Table1[[#This Row],[processing_time_hours]]&gt;1.5,"Slow", "Fast")</f>
        <v>Fast</v>
      </c>
      <c r="K2096" t="s">
        <v>2821</v>
      </c>
      <c r="L2096" s="3">
        <v>0</v>
      </c>
      <c r="M2096" t="str">
        <f>IF(Table1[[#This Row],[delayed]]=1,"Delayed","On Time")</f>
        <v>On Time</v>
      </c>
      <c r="N2096" t="str">
        <f>IF(AND(Table1[[#This Row],[delayed]]=1,Table1[[#This Row],[weather_condition]]="Storm"),"High Risk", IF(Table1[[#This Row],[delayed]]=1,"Medium Risk","Low Risk"))</f>
        <v>Low Risk</v>
      </c>
    </row>
    <row r="2097" spans="1:14" x14ac:dyDescent="0.35">
      <c r="A2097">
        <v>2096</v>
      </c>
      <c r="B2097" s="1">
        <v>45014.291666666664</v>
      </c>
      <c r="C2097" s="2">
        <v>4.8611111111111112E-3</v>
      </c>
      <c r="D2097" s="3">
        <v>4760</v>
      </c>
      <c r="E2097" s="3">
        <v>394</v>
      </c>
      <c r="F2097" s="2">
        <v>81.126388888888883</v>
      </c>
      <c r="G2097" t="s">
        <v>2816</v>
      </c>
      <c r="H2097" t="s">
        <v>2817</v>
      </c>
      <c r="I2097" s="2">
        <v>1.5458333333333334</v>
      </c>
      <c r="J2097" s="4" t="str">
        <f>IF(Table1[[#This Row],[processing_time_hours]]&gt;1.5,"Slow", "Fast")</f>
        <v>Slow</v>
      </c>
      <c r="K2097" t="s">
        <v>2818</v>
      </c>
      <c r="L2097" s="3">
        <v>1</v>
      </c>
      <c r="M2097" t="str">
        <f>IF(Table1[[#This Row],[delayed]]=1,"Delayed","On Time")</f>
        <v>Delayed</v>
      </c>
      <c r="N2097" t="str">
        <f>IF(AND(Table1[[#This Row],[delayed]]=1,Table1[[#This Row],[weather_condition]]="Storm"),"High Risk", IF(Table1[[#This Row],[delayed]]=1,"Medium Risk","Low Risk"))</f>
        <v>High Risk</v>
      </c>
    </row>
    <row r="2098" spans="1:14" x14ac:dyDescent="0.35">
      <c r="A2098">
        <v>2097</v>
      </c>
      <c r="B2098" s="1">
        <v>45014.333333333336</v>
      </c>
      <c r="C2098" s="2">
        <v>6.2499999999999995E-3</v>
      </c>
      <c r="D2098" s="3">
        <v>3162</v>
      </c>
      <c r="E2098" s="3">
        <v>420</v>
      </c>
      <c r="F2098" s="2">
        <v>69.208333333333329</v>
      </c>
      <c r="G2098" t="s">
        <v>2815</v>
      </c>
      <c r="H2098" t="s">
        <v>2817</v>
      </c>
      <c r="I2098" s="2">
        <v>2.9645833333333336</v>
      </c>
      <c r="J2098" s="4" t="str">
        <f>IF(Table1[[#This Row],[processing_time_hours]]&gt;1.5,"Slow", "Fast")</f>
        <v>Slow</v>
      </c>
      <c r="K2098" t="s">
        <v>2814</v>
      </c>
      <c r="L2098" s="3">
        <v>0</v>
      </c>
      <c r="M2098" t="str">
        <f>IF(Table1[[#This Row],[delayed]]=1,"Delayed","On Time")</f>
        <v>On Time</v>
      </c>
      <c r="N2098" t="str">
        <f>IF(AND(Table1[[#This Row],[delayed]]=1,Table1[[#This Row],[weather_condition]]="Storm"),"High Risk", IF(Table1[[#This Row],[delayed]]=1,"Medium Risk","Low Risk"))</f>
        <v>Low Risk</v>
      </c>
    </row>
    <row r="2099" spans="1:14" x14ac:dyDescent="0.35">
      <c r="A2099">
        <v>2098</v>
      </c>
      <c r="B2099" s="1">
        <v>45014.375</v>
      </c>
      <c r="C2099" s="2">
        <v>5.6250000000000001E-2</v>
      </c>
      <c r="D2099" s="3">
        <v>3855</v>
      </c>
      <c r="E2099" s="3">
        <v>271</v>
      </c>
      <c r="F2099" s="2">
        <v>44.336111111111109</v>
      </c>
      <c r="G2099" t="s">
        <v>2816</v>
      </c>
      <c r="H2099" t="s">
        <v>2820</v>
      </c>
      <c r="I2099" s="2">
        <v>1.1673611111111111</v>
      </c>
      <c r="J2099" s="4" t="str">
        <f>IF(Table1[[#This Row],[processing_time_hours]]&gt;1.5,"Slow", "Fast")</f>
        <v>Fast</v>
      </c>
      <c r="K2099" t="s">
        <v>2814</v>
      </c>
      <c r="L2099" s="3">
        <v>0</v>
      </c>
      <c r="M2099" t="str">
        <f>IF(Table1[[#This Row],[delayed]]=1,"Delayed","On Time")</f>
        <v>On Time</v>
      </c>
      <c r="N2099" t="str">
        <f>IF(AND(Table1[[#This Row],[delayed]]=1,Table1[[#This Row],[weather_condition]]="Storm"),"High Risk", IF(Table1[[#This Row],[delayed]]=1,"Medium Risk","Low Risk"))</f>
        <v>Low Risk</v>
      </c>
    </row>
    <row r="2100" spans="1:14" x14ac:dyDescent="0.35">
      <c r="A2100">
        <v>2099</v>
      </c>
      <c r="B2100" s="1">
        <v>45014.416666666664</v>
      </c>
      <c r="C2100" s="2">
        <v>6.3194444444444442E-2</v>
      </c>
      <c r="D2100" s="3">
        <v>3628</v>
      </c>
      <c r="E2100" s="3">
        <v>93</v>
      </c>
      <c r="F2100" s="2">
        <v>53.629166666666663</v>
      </c>
      <c r="G2100" t="s">
        <v>2815</v>
      </c>
      <c r="H2100" t="s">
        <v>2820</v>
      </c>
      <c r="I2100" s="2">
        <v>1.5840277777777778</v>
      </c>
      <c r="J2100" s="4" t="str">
        <f>IF(Table1[[#This Row],[processing_time_hours]]&gt;1.5,"Slow", "Fast")</f>
        <v>Slow</v>
      </c>
      <c r="K2100" t="s">
        <v>2818</v>
      </c>
      <c r="L2100" s="3">
        <v>0</v>
      </c>
      <c r="M2100" t="str">
        <f>IF(Table1[[#This Row],[delayed]]=1,"Delayed","On Time")</f>
        <v>On Time</v>
      </c>
      <c r="N2100" t="str">
        <f>IF(AND(Table1[[#This Row],[delayed]]=1,Table1[[#This Row],[weather_condition]]="Storm"),"High Risk", IF(Table1[[#This Row],[delayed]]=1,"Medium Risk","Low Risk"))</f>
        <v>Low Risk</v>
      </c>
    </row>
    <row r="2101" spans="1:14" x14ac:dyDescent="0.35">
      <c r="A2101">
        <v>2100</v>
      </c>
      <c r="B2101" s="1">
        <v>45014.458333333336</v>
      </c>
      <c r="C2101" s="2">
        <v>4.9305555555555554E-2</v>
      </c>
      <c r="D2101" s="3">
        <v>4874</v>
      </c>
      <c r="E2101" s="3">
        <v>218</v>
      </c>
      <c r="F2101" s="2">
        <v>50.835416666666667</v>
      </c>
      <c r="G2101" t="s">
        <v>2815</v>
      </c>
      <c r="H2101" t="s">
        <v>2817</v>
      </c>
      <c r="I2101" s="2">
        <v>0.46388888888888885</v>
      </c>
      <c r="J2101" s="4" t="str">
        <f>IF(Table1[[#This Row],[processing_time_hours]]&gt;1.5,"Slow", "Fast")</f>
        <v>Fast</v>
      </c>
      <c r="K2101" t="s">
        <v>2818</v>
      </c>
      <c r="L2101" s="3">
        <v>1</v>
      </c>
      <c r="M2101" t="str">
        <f>IF(Table1[[#This Row],[delayed]]=1,"Delayed","On Time")</f>
        <v>Delayed</v>
      </c>
      <c r="N2101" t="str">
        <f>IF(AND(Table1[[#This Row],[delayed]]=1,Table1[[#This Row],[weather_condition]]="Storm"),"High Risk", IF(Table1[[#This Row],[delayed]]=1,"Medium Risk","Low Risk"))</f>
        <v>High Risk</v>
      </c>
    </row>
    <row r="2102" spans="1:14" x14ac:dyDescent="0.35">
      <c r="A2102">
        <v>2101</v>
      </c>
      <c r="B2102" s="1">
        <v>45014.5</v>
      </c>
      <c r="C2102" s="2">
        <v>4.7916666666666663E-2</v>
      </c>
      <c r="D2102" s="3">
        <v>1029</v>
      </c>
      <c r="E2102" s="3">
        <v>337</v>
      </c>
      <c r="F2102" s="2">
        <v>53.381250000000001</v>
      </c>
      <c r="G2102" t="s">
        <v>2812</v>
      </c>
      <c r="H2102" t="s">
        <v>2822</v>
      </c>
      <c r="I2102" s="2">
        <v>0.62777777777777777</v>
      </c>
      <c r="J2102" s="4" t="str">
        <f>IF(Table1[[#This Row],[processing_time_hours]]&gt;1.5,"Slow", "Fast")</f>
        <v>Fast</v>
      </c>
      <c r="K2102" t="s">
        <v>2814</v>
      </c>
      <c r="L2102" s="3">
        <v>0</v>
      </c>
      <c r="M2102" t="str">
        <f>IF(Table1[[#This Row],[delayed]]=1,"Delayed","On Time")</f>
        <v>On Time</v>
      </c>
      <c r="N2102" t="str">
        <f>IF(AND(Table1[[#This Row],[delayed]]=1,Table1[[#This Row],[weather_condition]]="Storm"),"High Risk", IF(Table1[[#This Row],[delayed]]=1,"Medium Risk","Low Risk"))</f>
        <v>Low Risk</v>
      </c>
    </row>
    <row r="2103" spans="1:14" x14ac:dyDescent="0.35">
      <c r="A2103">
        <v>2102</v>
      </c>
      <c r="B2103" s="1">
        <v>45014.541666666664</v>
      </c>
      <c r="C2103" s="2">
        <v>5.7638888888888885E-2</v>
      </c>
      <c r="D2103" s="3">
        <v>3561</v>
      </c>
      <c r="E2103" s="3">
        <v>63</v>
      </c>
      <c r="F2103" s="2">
        <v>56.335416666666667</v>
      </c>
      <c r="G2103" t="s">
        <v>2819</v>
      </c>
      <c r="H2103" t="s">
        <v>2817</v>
      </c>
      <c r="I2103" s="2">
        <v>0.79305555555555562</v>
      </c>
      <c r="J2103" s="4" t="str">
        <f>IF(Table1[[#This Row],[processing_time_hours]]&gt;1.5,"Slow", "Fast")</f>
        <v>Fast</v>
      </c>
      <c r="K2103" t="s">
        <v>2814</v>
      </c>
      <c r="L2103" s="3">
        <v>0</v>
      </c>
      <c r="M2103" t="str">
        <f>IF(Table1[[#This Row],[delayed]]=1,"Delayed","On Time")</f>
        <v>On Time</v>
      </c>
      <c r="N2103" t="str">
        <f>IF(AND(Table1[[#This Row],[delayed]]=1,Table1[[#This Row],[weather_condition]]="Storm"),"High Risk", IF(Table1[[#This Row],[delayed]]=1,"Medium Risk","Low Risk"))</f>
        <v>Low Risk</v>
      </c>
    </row>
    <row r="2104" spans="1:14" x14ac:dyDescent="0.35">
      <c r="A2104">
        <v>2103</v>
      </c>
      <c r="B2104" s="1">
        <v>45014.583333333336</v>
      </c>
      <c r="C2104" s="2">
        <v>4.9305555555555554E-2</v>
      </c>
      <c r="D2104" s="3">
        <v>4452</v>
      </c>
      <c r="E2104" s="3">
        <v>486</v>
      </c>
      <c r="F2104" s="2">
        <v>21.043749999999999</v>
      </c>
      <c r="G2104" t="s">
        <v>2819</v>
      </c>
      <c r="H2104" t="s">
        <v>2817</v>
      </c>
      <c r="I2104" s="2">
        <v>2.7944444444444443</v>
      </c>
      <c r="J2104" s="4" t="str">
        <f>IF(Table1[[#This Row],[processing_time_hours]]&gt;1.5,"Slow", "Fast")</f>
        <v>Slow</v>
      </c>
      <c r="K2104" t="s">
        <v>2818</v>
      </c>
      <c r="L2104" s="3">
        <v>0</v>
      </c>
      <c r="M2104" t="str">
        <f>IF(Table1[[#This Row],[delayed]]=1,"Delayed","On Time")</f>
        <v>On Time</v>
      </c>
      <c r="N2104" t="str">
        <f>IF(AND(Table1[[#This Row],[delayed]]=1,Table1[[#This Row],[weather_condition]]="Storm"),"High Risk", IF(Table1[[#This Row],[delayed]]=1,"Medium Risk","Low Risk"))</f>
        <v>Low Risk</v>
      </c>
    </row>
    <row r="2105" spans="1:14" x14ac:dyDescent="0.35">
      <c r="A2105">
        <v>2104</v>
      </c>
      <c r="B2105" s="1">
        <v>45014.625</v>
      </c>
      <c r="C2105" s="2">
        <v>6.2499999999999995E-3</v>
      </c>
      <c r="D2105" s="3">
        <v>3474</v>
      </c>
      <c r="E2105" s="3">
        <v>445</v>
      </c>
      <c r="F2105" s="2">
        <v>74.793750000000003</v>
      </c>
      <c r="G2105" t="s">
        <v>2815</v>
      </c>
      <c r="H2105" t="s">
        <v>2820</v>
      </c>
      <c r="I2105" s="2">
        <v>2.8395833333333336</v>
      </c>
      <c r="J2105" s="4" t="str">
        <f>IF(Table1[[#This Row],[processing_time_hours]]&gt;1.5,"Slow", "Fast")</f>
        <v>Slow</v>
      </c>
      <c r="K2105" t="s">
        <v>2821</v>
      </c>
      <c r="L2105" s="3">
        <v>0</v>
      </c>
      <c r="M2105" t="str">
        <f>IF(Table1[[#This Row],[delayed]]=1,"Delayed","On Time")</f>
        <v>On Time</v>
      </c>
      <c r="N2105" t="str">
        <f>IF(AND(Table1[[#This Row],[delayed]]=1,Table1[[#This Row],[weather_condition]]="Storm"),"High Risk", IF(Table1[[#This Row],[delayed]]=1,"Medium Risk","Low Risk"))</f>
        <v>Low Risk</v>
      </c>
    </row>
    <row r="2106" spans="1:14" x14ac:dyDescent="0.35">
      <c r="A2106">
        <v>2105</v>
      </c>
      <c r="B2106" s="1">
        <v>45014.666666666664</v>
      </c>
      <c r="C2106" s="2">
        <v>5.2083333333333336E-2</v>
      </c>
      <c r="D2106" s="3">
        <v>1290</v>
      </c>
      <c r="E2106" s="3">
        <v>252</v>
      </c>
      <c r="F2106" s="2">
        <v>25.756249999999998</v>
      </c>
      <c r="G2106" t="s">
        <v>2812</v>
      </c>
      <c r="H2106" t="s">
        <v>2813</v>
      </c>
      <c r="I2106" s="2">
        <v>2.1715277777777779</v>
      </c>
      <c r="J2106" s="4" t="str">
        <f>IF(Table1[[#This Row],[processing_time_hours]]&gt;1.5,"Slow", "Fast")</f>
        <v>Slow</v>
      </c>
      <c r="K2106" t="s">
        <v>2821</v>
      </c>
      <c r="L2106" s="3">
        <v>0</v>
      </c>
      <c r="M2106" t="str">
        <f>IF(Table1[[#This Row],[delayed]]=1,"Delayed","On Time")</f>
        <v>On Time</v>
      </c>
      <c r="N2106" t="str">
        <f>IF(AND(Table1[[#This Row],[delayed]]=1,Table1[[#This Row],[weather_condition]]="Storm"),"High Risk", IF(Table1[[#This Row],[delayed]]=1,"Medium Risk","Low Risk"))</f>
        <v>Low Risk</v>
      </c>
    </row>
    <row r="2107" spans="1:14" x14ac:dyDescent="0.35">
      <c r="A2107">
        <v>2106</v>
      </c>
      <c r="B2107" s="1">
        <v>45014.708333333336</v>
      </c>
      <c r="C2107" s="2">
        <v>4.9305555555555554E-2</v>
      </c>
      <c r="D2107" s="3">
        <v>1011</v>
      </c>
      <c r="E2107" s="3">
        <v>260</v>
      </c>
      <c r="F2107" s="2">
        <v>13.463888888888889</v>
      </c>
      <c r="G2107" t="s">
        <v>2819</v>
      </c>
      <c r="H2107" t="s">
        <v>2817</v>
      </c>
      <c r="I2107" s="2">
        <v>2.7972222222222225</v>
      </c>
      <c r="J2107" s="4" t="str">
        <f>IF(Table1[[#This Row],[processing_time_hours]]&gt;1.5,"Slow", "Fast")</f>
        <v>Slow</v>
      </c>
      <c r="K2107" t="s">
        <v>2821</v>
      </c>
      <c r="L2107" s="3">
        <v>0</v>
      </c>
      <c r="M2107" t="str">
        <f>IF(Table1[[#This Row],[delayed]]=1,"Delayed","On Time")</f>
        <v>On Time</v>
      </c>
      <c r="N2107" t="str">
        <f>IF(AND(Table1[[#This Row],[delayed]]=1,Table1[[#This Row],[weather_condition]]="Storm"),"High Risk", IF(Table1[[#This Row],[delayed]]=1,"Medium Risk","Low Risk"))</f>
        <v>Low Risk</v>
      </c>
    </row>
    <row r="2108" spans="1:14" x14ac:dyDescent="0.35">
      <c r="A2108">
        <v>2107</v>
      </c>
      <c r="B2108" s="1">
        <v>45014.75</v>
      </c>
      <c r="C2108" s="2">
        <v>6.2499999999999995E-3</v>
      </c>
      <c r="D2108" s="3">
        <v>551</v>
      </c>
      <c r="E2108" s="3">
        <v>158</v>
      </c>
      <c r="F2108" s="2">
        <v>68.420833333333334</v>
      </c>
      <c r="G2108" t="s">
        <v>2819</v>
      </c>
      <c r="H2108" t="s">
        <v>2822</v>
      </c>
      <c r="I2108" s="2">
        <v>2.588888888888889</v>
      </c>
      <c r="J2108" s="4" t="str">
        <f>IF(Table1[[#This Row],[processing_time_hours]]&gt;1.5,"Slow", "Fast")</f>
        <v>Slow</v>
      </c>
      <c r="K2108" t="s">
        <v>2821</v>
      </c>
      <c r="L2108" s="3">
        <v>0</v>
      </c>
      <c r="M2108" t="str">
        <f>IF(Table1[[#This Row],[delayed]]=1,"Delayed","On Time")</f>
        <v>On Time</v>
      </c>
      <c r="N2108" t="str">
        <f>IF(AND(Table1[[#This Row],[delayed]]=1,Table1[[#This Row],[weather_condition]]="Storm"),"High Risk", IF(Table1[[#This Row],[delayed]]=1,"Medium Risk","Low Risk"))</f>
        <v>Low Risk</v>
      </c>
    </row>
    <row r="2109" spans="1:14" x14ac:dyDescent="0.35">
      <c r="A2109">
        <v>2108</v>
      </c>
      <c r="B2109" s="1">
        <v>45014.791666666664</v>
      </c>
      <c r="C2109" s="2">
        <v>4.7222222222222221E-2</v>
      </c>
      <c r="D2109" s="3">
        <v>278</v>
      </c>
      <c r="E2109" s="3">
        <v>488</v>
      </c>
      <c r="F2109" s="2">
        <v>36.875</v>
      </c>
      <c r="G2109" t="s">
        <v>2812</v>
      </c>
      <c r="H2109" t="s">
        <v>2820</v>
      </c>
      <c r="I2109" s="2">
        <v>2.6312500000000001</v>
      </c>
      <c r="J2109" s="4" t="str">
        <f>IF(Table1[[#This Row],[processing_time_hours]]&gt;1.5,"Slow", "Fast")</f>
        <v>Slow</v>
      </c>
      <c r="K2109" t="s">
        <v>2814</v>
      </c>
      <c r="L2109" s="3">
        <v>0</v>
      </c>
      <c r="M2109" t="str">
        <f>IF(Table1[[#This Row],[delayed]]=1,"Delayed","On Time")</f>
        <v>On Time</v>
      </c>
      <c r="N2109" t="str">
        <f>IF(AND(Table1[[#This Row],[delayed]]=1,Table1[[#This Row],[weather_condition]]="Storm"),"High Risk", IF(Table1[[#This Row],[delayed]]=1,"Medium Risk","Low Risk"))</f>
        <v>Low Risk</v>
      </c>
    </row>
    <row r="2110" spans="1:14" x14ac:dyDescent="0.35">
      <c r="A2110">
        <v>2109</v>
      </c>
      <c r="B2110" s="1">
        <v>45014.833333333336</v>
      </c>
      <c r="C2110" s="2">
        <v>6.1805555555555558E-2</v>
      </c>
      <c r="D2110" s="3">
        <v>2904</v>
      </c>
      <c r="E2110" s="3">
        <v>5</v>
      </c>
      <c r="F2110" s="2">
        <v>63.754861111111104</v>
      </c>
      <c r="G2110" t="s">
        <v>2812</v>
      </c>
      <c r="H2110" t="s">
        <v>2822</v>
      </c>
      <c r="I2110" s="2">
        <v>0.13055555555555556</v>
      </c>
      <c r="J2110" s="4" t="str">
        <f>IF(Table1[[#This Row],[processing_time_hours]]&gt;1.5,"Slow", "Fast")</f>
        <v>Fast</v>
      </c>
      <c r="K2110" t="s">
        <v>2818</v>
      </c>
      <c r="L2110" s="3">
        <v>1</v>
      </c>
      <c r="M2110" t="str">
        <f>IF(Table1[[#This Row],[delayed]]=1,"Delayed","On Time")</f>
        <v>Delayed</v>
      </c>
      <c r="N2110" t="str">
        <f>IF(AND(Table1[[#This Row],[delayed]]=1,Table1[[#This Row],[weather_condition]]="Storm"),"High Risk", IF(Table1[[#This Row],[delayed]]=1,"Medium Risk","Low Risk"))</f>
        <v>Medium Risk</v>
      </c>
    </row>
    <row r="2111" spans="1:14" x14ac:dyDescent="0.35">
      <c r="A2111">
        <v>2110</v>
      </c>
      <c r="B2111" s="1">
        <v>45014.875</v>
      </c>
      <c r="C2111" s="2">
        <v>5.2777777777777778E-2</v>
      </c>
      <c r="D2111" s="3">
        <v>1729</v>
      </c>
      <c r="E2111" s="3">
        <v>118</v>
      </c>
      <c r="F2111" s="2">
        <v>7.9624999999999995</v>
      </c>
      <c r="G2111" t="s">
        <v>2819</v>
      </c>
      <c r="H2111" t="s">
        <v>2813</v>
      </c>
      <c r="I2111" s="2">
        <v>1.2555555555555555</v>
      </c>
      <c r="J2111" s="4" t="str">
        <f>IF(Table1[[#This Row],[processing_time_hours]]&gt;1.5,"Slow", "Fast")</f>
        <v>Fast</v>
      </c>
      <c r="K2111" t="s">
        <v>2814</v>
      </c>
      <c r="L2111" s="3">
        <v>0</v>
      </c>
      <c r="M2111" t="str">
        <f>IF(Table1[[#This Row],[delayed]]=1,"Delayed","On Time")</f>
        <v>On Time</v>
      </c>
      <c r="N2111" t="str">
        <f>IF(AND(Table1[[#This Row],[delayed]]=1,Table1[[#This Row],[weather_condition]]="Storm"),"High Risk", IF(Table1[[#This Row],[delayed]]=1,"Medium Risk","Low Risk"))</f>
        <v>Low Risk</v>
      </c>
    </row>
    <row r="2112" spans="1:14" x14ac:dyDescent="0.35">
      <c r="A2112">
        <v>2111</v>
      </c>
      <c r="B2112" s="1">
        <v>45014.916666666664</v>
      </c>
      <c r="C2112" s="2">
        <v>4.3750000000000004E-2</v>
      </c>
      <c r="D2112" s="3">
        <v>207</v>
      </c>
      <c r="E2112" s="3">
        <v>361</v>
      </c>
      <c r="F2112" s="2">
        <v>4.2145833333333336</v>
      </c>
      <c r="G2112" t="s">
        <v>2815</v>
      </c>
      <c r="H2112" t="s">
        <v>2817</v>
      </c>
      <c r="I2112" s="2">
        <v>1.2118055555555556</v>
      </c>
      <c r="J2112" s="4" t="str">
        <f>IF(Table1[[#This Row],[processing_time_hours]]&gt;1.5,"Slow", "Fast")</f>
        <v>Fast</v>
      </c>
      <c r="K2112" t="s">
        <v>2818</v>
      </c>
      <c r="L2112" s="3">
        <v>0</v>
      </c>
      <c r="M2112" t="str">
        <f>IF(Table1[[#This Row],[delayed]]=1,"Delayed","On Time")</f>
        <v>On Time</v>
      </c>
      <c r="N2112" t="str">
        <f>IF(AND(Table1[[#This Row],[delayed]]=1,Table1[[#This Row],[weather_condition]]="Storm"),"High Risk", IF(Table1[[#This Row],[delayed]]=1,"Medium Risk","Low Risk"))</f>
        <v>Low Risk</v>
      </c>
    </row>
    <row r="2113" spans="1:14" x14ac:dyDescent="0.35">
      <c r="A2113">
        <v>2112</v>
      </c>
      <c r="B2113" s="1">
        <v>45014.958333333336</v>
      </c>
      <c r="C2113" s="2">
        <v>5.9027777777777783E-2</v>
      </c>
      <c r="D2113" s="3">
        <v>75</v>
      </c>
      <c r="E2113" s="3">
        <v>191</v>
      </c>
      <c r="F2113" s="2">
        <v>16.588888888888889</v>
      </c>
      <c r="G2113" t="s">
        <v>2812</v>
      </c>
      <c r="H2113" t="s">
        <v>2817</v>
      </c>
      <c r="I2113" s="2">
        <v>2.5874999999999999</v>
      </c>
      <c r="J2113" s="4" t="str">
        <f>IF(Table1[[#This Row],[processing_time_hours]]&gt;1.5,"Slow", "Fast")</f>
        <v>Slow</v>
      </c>
      <c r="K2113" t="s">
        <v>2814</v>
      </c>
      <c r="L2113" s="3">
        <v>1</v>
      </c>
      <c r="M2113" t="str">
        <f>IF(Table1[[#This Row],[delayed]]=1,"Delayed","On Time")</f>
        <v>Delayed</v>
      </c>
      <c r="N2113" t="str">
        <f>IF(AND(Table1[[#This Row],[delayed]]=1,Table1[[#This Row],[weather_condition]]="Storm"),"High Risk", IF(Table1[[#This Row],[delayed]]=1,"Medium Risk","Low Risk"))</f>
        <v>High Risk</v>
      </c>
    </row>
    <row r="2114" spans="1:14" x14ac:dyDescent="0.35">
      <c r="A2114">
        <v>2113</v>
      </c>
      <c r="B2114" s="1">
        <v>45015</v>
      </c>
      <c r="C2114" s="2">
        <v>5.8333333333333327E-2</v>
      </c>
      <c r="D2114" s="3">
        <v>1990</v>
      </c>
      <c r="E2114" s="3">
        <v>397</v>
      </c>
      <c r="F2114" s="2">
        <v>34.337499999999999</v>
      </c>
      <c r="G2114" t="s">
        <v>2815</v>
      </c>
      <c r="H2114" t="s">
        <v>2820</v>
      </c>
      <c r="I2114" s="2">
        <v>1.377777777777778</v>
      </c>
      <c r="J2114" s="4" t="str">
        <f>IF(Table1[[#This Row],[processing_time_hours]]&gt;1.5,"Slow", "Fast")</f>
        <v>Fast</v>
      </c>
      <c r="K2114" t="s">
        <v>2821</v>
      </c>
      <c r="L2114" s="3">
        <v>1</v>
      </c>
      <c r="M2114" t="str">
        <f>IF(Table1[[#This Row],[delayed]]=1,"Delayed","On Time")</f>
        <v>Delayed</v>
      </c>
      <c r="N2114" t="str">
        <f>IF(AND(Table1[[#This Row],[delayed]]=1,Table1[[#This Row],[weather_condition]]="Storm"),"High Risk", IF(Table1[[#This Row],[delayed]]=1,"Medium Risk","Low Risk"))</f>
        <v>Medium Risk</v>
      </c>
    </row>
    <row r="2115" spans="1:14" x14ac:dyDescent="0.35">
      <c r="A2115">
        <v>2114</v>
      </c>
      <c r="B2115" s="1">
        <v>45015.041666666664</v>
      </c>
      <c r="C2115" s="2">
        <v>4.4444444444444446E-2</v>
      </c>
      <c r="D2115" s="3">
        <v>2405</v>
      </c>
      <c r="E2115" s="3">
        <v>436</v>
      </c>
      <c r="F2115" s="2">
        <v>76.670833333333334</v>
      </c>
      <c r="G2115" t="s">
        <v>2819</v>
      </c>
      <c r="H2115" t="s">
        <v>2817</v>
      </c>
      <c r="I2115" s="2">
        <v>2.8770833333333332</v>
      </c>
      <c r="J2115" s="4" t="str">
        <f>IF(Table1[[#This Row],[processing_time_hours]]&gt;1.5,"Slow", "Fast")</f>
        <v>Slow</v>
      </c>
      <c r="K2115" t="s">
        <v>2821</v>
      </c>
      <c r="L2115" s="3">
        <v>1</v>
      </c>
      <c r="M2115" t="str">
        <f>IF(Table1[[#This Row],[delayed]]=1,"Delayed","On Time")</f>
        <v>Delayed</v>
      </c>
      <c r="N2115" t="str">
        <f>IF(AND(Table1[[#This Row],[delayed]]=1,Table1[[#This Row],[weather_condition]]="Storm"),"High Risk", IF(Table1[[#This Row],[delayed]]=1,"Medium Risk","Low Risk"))</f>
        <v>High Risk</v>
      </c>
    </row>
    <row r="2116" spans="1:14" x14ac:dyDescent="0.35">
      <c r="A2116">
        <v>2115</v>
      </c>
      <c r="B2116" s="1">
        <v>45015.083333333336</v>
      </c>
      <c r="C2116" s="2">
        <v>5.4166666666666669E-2</v>
      </c>
      <c r="D2116" s="3">
        <v>1019</v>
      </c>
      <c r="E2116" s="3">
        <v>25</v>
      </c>
      <c r="F2116" s="2">
        <v>26.75</v>
      </c>
      <c r="G2116" t="s">
        <v>2812</v>
      </c>
      <c r="H2116" t="s">
        <v>2817</v>
      </c>
      <c r="I2116" s="2">
        <v>0.9194444444444444</v>
      </c>
      <c r="J2116" s="4" t="str">
        <f>IF(Table1[[#This Row],[processing_time_hours]]&gt;1.5,"Slow", "Fast")</f>
        <v>Fast</v>
      </c>
      <c r="K2116" t="s">
        <v>2818</v>
      </c>
      <c r="L2116" s="3">
        <v>0</v>
      </c>
      <c r="M2116" t="str">
        <f>IF(Table1[[#This Row],[delayed]]=1,"Delayed","On Time")</f>
        <v>On Time</v>
      </c>
      <c r="N2116" t="str">
        <f>IF(AND(Table1[[#This Row],[delayed]]=1,Table1[[#This Row],[weather_condition]]="Storm"),"High Risk", IF(Table1[[#This Row],[delayed]]=1,"Medium Risk","Low Risk"))</f>
        <v>Low Risk</v>
      </c>
    </row>
    <row r="2117" spans="1:14" x14ac:dyDescent="0.35">
      <c r="A2117">
        <v>2116</v>
      </c>
      <c r="B2117" s="1">
        <v>45015.125</v>
      </c>
      <c r="C2117" s="2">
        <v>5.486111111111111E-2</v>
      </c>
      <c r="D2117" s="3">
        <v>877</v>
      </c>
      <c r="E2117" s="3">
        <v>324</v>
      </c>
      <c r="F2117" s="2">
        <v>78.922916666666666</v>
      </c>
      <c r="G2117" t="s">
        <v>2815</v>
      </c>
      <c r="H2117" t="s">
        <v>2817</v>
      </c>
      <c r="I2117" s="2">
        <v>1.6673611111111111</v>
      </c>
      <c r="J2117" s="4" t="str">
        <f>IF(Table1[[#This Row],[processing_time_hours]]&gt;1.5,"Slow", "Fast")</f>
        <v>Slow</v>
      </c>
      <c r="K2117" t="s">
        <v>2818</v>
      </c>
      <c r="L2117" s="3">
        <v>0</v>
      </c>
      <c r="M2117" t="str">
        <f>IF(Table1[[#This Row],[delayed]]=1,"Delayed","On Time")</f>
        <v>On Time</v>
      </c>
      <c r="N2117" t="str">
        <f>IF(AND(Table1[[#This Row],[delayed]]=1,Table1[[#This Row],[weather_condition]]="Storm"),"High Risk", IF(Table1[[#This Row],[delayed]]=1,"Medium Risk","Low Risk"))</f>
        <v>Low Risk</v>
      </c>
    </row>
    <row r="2118" spans="1:14" x14ac:dyDescent="0.35">
      <c r="A2118">
        <v>2117</v>
      </c>
      <c r="B2118" s="1">
        <v>45015.166666666664</v>
      </c>
      <c r="C2118" s="2">
        <v>6.1805555555555558E-2</v>
      </c>
      <c r="D2118" s="3">
        <v>4239</v>
      </c>
      <c r="E2118" s="3">
        <v>20</v>
      </c>
      <c r="F2118" s="2">
        <v>39.083333333333336</v>
      </c>
      <c r="G2118" t="s">
        <v>2815</v>
      </c>
      <c r="H2118" t="s">
        <v>2822</v>
      </c>
      <c r="I2118" s="2">
        <v>1.8805555555555555</v>
      </c>
      <c r="J2118" s="4" t="str">
        <f>IF(Table1[[#This Row],[processing_time_hours]]&gt;1.5,"Slow", "Fast")</f>
        <v>Slow</v>
      </c>
      <c r="K2118" t="s">
        <v>2821</v>
      </c>
      <c r="L2118" s="3">
        <v>0</v>
      </c>
      <c r="M2118" t="str">
        <f>IF(Table1[[#This Row],[delayed]]=1,"Delayed","On Time")</f>
        <v>On Time</v>
      </c>
      <c r="N2118" t="str">
        <f>IF(AND(Table1[[#This Row],[delayed]]=1,Table1[[#This Row],[weather_condition]]="Storm"),"High Risk", IF(Table1[[#This Row],[delayed]]=1,"Medium Risk","Low Risk"))</f>
        <v>Low Risk</v>
      </c>
    </row>
    <row r="2119" spans="1:14" x14ac:dyDescent="0.35">
      <c r="A2119">
        <v>2118</v>
      </c>
      <c r="B2119" s="1">
        <v>45015.208333333336</v>
      </c>
      <c r="C2119" s="2">
        <v>4.7222222222222221E-2</v>
      </c>
      <c r="D2119" s="3">
        <v>1014</v>
      </c>
      <c r="E2119" s="3">
        <v>312</v>
      </c>
      <c r="F2119" s="2">
        <v>16.670138888888889</v>
      </c>
      <c r="G2119" t="s">
        <v>2819</v>
      </c>
      <c r="H2119" t="s">
        <v>2822</v>
      </c>
      <c r="I2119" s="2">
        <v>1.6701388888888891</v>
      </c>
      <c r="J2119" s="4" t="str">
        <f>IF(Table1[[#This Row],[processing_time_hours]]&gt;1.5,"Slow", "Fast")</f>
        <v>Slow</v>
      </c>
      <c r="K2119" t="s">
        <v>2814</v>
      </c>
      <c r="L2119" s="3">
        <v>0</v>
      </c>
      <c r="M2119" t="str">
        <f>IF(Table1[[#This Row],[delayed]]=1,"Delayed","On Time")</f>
        <v>On Time</v>
      </c>
      <c r="N2119" t="str">
        <f>IF(AND(Table1[[#This Row],[delayed]]=1,Table1[[#This Row],[weather_condition]]="Storm"),"High Risk", IF(Table1[[#This Row],[delayed]]=1,"Medium Risk","Low Risk"))</f>
        <v>Low Risk</v>
      </c>
    </row>
    <row r="2120" spans="1:14" x14ac:dyDescent="0.35">
      <c r="A2120">
        <v>2119</v>
      </c>
      <c r="B2120" s="1">
        <v>45015.25</v>
      </c>
      <c r="C2120" s="2">
        <v>5.6944444444444443E-2</v>
      </c>
      <c r="D2120" s="3">
        <v>2848</v>
      </c>
      <c r="E2120" s="3">
        <v>381</v>
      </c>
      <c r="F2120" s="2">
        <v>23.045833333333334</v>
      </c>
      <c r="G2120" t="s">
        <v>2816</v>
      </c>
      <c r="H2120" t="s">
        <v>2817</v>
      </c>
      <c r="I2120" s="2">
        <v>1.0020833333333334</v>
      </c>
      <c r="J2120" s="4" t="str">
        <f>IF(Table1[[#This Row],[processing_time_hours]]&gt;1.5,"Slow", "Fast")</f>
        <v>Fast</v>
      </c>
      <c r="K2120" t="s">
        <v>2821</v>
      </c>
      <c r="L2120" s="3">
        <v>0</v>
      </c>
      <c r="M2120" t="str">
        <f>IF(Table1[[#This Row],[delayed]]=1,"Delayed","On Time")</f>
        <v>On Time</v>
      </c>
      <c r="N2120" t="str">
        <f>IF(AND(Table1[[#This Row],[delayed]]=1,Table1[[#This Row],[weather_condition]]="Storm"),"High Risk", IF(Table1[[#This Row],[delayed]]=1,"Medium Risk","Low Risk"))</f>
        <v>Low Risk</v>
      </c>
    </row>
    <row r="2121" spans="1:14" x14ac:dyDescent="0.35">
      <c r="A2121">
        <v>2120</v>
      </c>
      <c r="B2121" s="1">
        <v>45015.291666666664</v>
      </c>
      <c r="C2121" s="2">
        <v>4.1666666666666664E-2</v>
      </c>
      <c r="D2121" s="3">
        <v>2905</v>
      </c>
      <c r="E2121" s="3">
        <v>403</v>
      </c>
      <c r="F2121" s="2">
        <v>61.042361111111113</v>
      </c>
      <c r="G2121" t="s">
        <v>2815</v>
      </c>
      <c r="H2121" t="s">
        <v>2820</v>
      </c>
      <c r="I2121" s="2">
        <v>8.4027777777777771E-2</v>
      </c>
      <c r="J2121" s="4" t="str">
        <f>IF(Table1[[#This Row],[processing_time_hours]]&gt;1.5,"Slow", "Fast")</f>
        <v>Fast</v>
      </c>
      <c r="K2121" t="s">
        <v>2821</v>
      </c>
      <c r="L2121" s="3">
        <v>0</v>
      </c>
      <c r="M2121" t="str">
        <f>IF(Table1[[#This Row],[delayed]]=1,"Delayed","On Time")</f>
        <v>On Time</v>
      </c>
      <c r="N2121" t="str">
        <f>IF(AND(Table1[[#This Row],[delayed]]=1,Table1[[#This Row],[weather_condition]]="Storm"),"High Risk", IF(Table1[[#This Row],[delayed]]=1,"Medium Risk","Low Risk"))</f>
        <v>Low Risk</v>
      </c>
    </row>
    <row r="2122" spans="1:14" x14ac:dyDescent="0.35">
      <c r="A2122">
        <v>2121</v>
      </c>
      <c r="B2122" s="1">
        <v>45015.333333333336</v>
      </c>
      <c r="C2122" s="2">
        <v>4.2361111111111106E-2</v>
      </c>
      <c r="D2122" s="3">
        <v>2065</v>
      </c>
      <c r="E2122" s="3">
        <v>438</v>
      </c>
      <c r="F2122" s="2">
        <v>12.672916666666666</v>
      </c>
      <c r="G2122" t="s">
        <v>2815</v>
      </c>
      <c r="H2122" t="s">
        <v>2817</v>
      </c>
      <c r="I2122" s="2">
        <v>1.502777777777778</v>
      </c>
      <c r="J2122" s="4" t="str">
        <f>IF(Table1[[#This Row],[processing_time_hours]]&gt;1.5,"Slow", "Fast")</f>
        <v>Slow</v>
      </c>
      <c r="K2122" t="s">
        <v>2821</v>
      </c>
      <c r="L2122" s="3">
        <v>0</v>
      </c>
      <c r="M2122" t="str">
        <f>IF(Table1[[#This Row],[delayed]]=1,"Delayed","On Time")</f>
        <v>On Time</v>
      </c>
      <c r="N2122" t="str">
        <f>IF(AND(Table1[[#This Row],[delayed]]=1,Table1[[#This Row],[weather_condition]]="Storm"),"High Risk", IF(Table1[[#This Row],[delayed]]=1,"Medium Risk","Low Risk"))</f>
        <v>Low Risk</v>
      </c>
    </row>
    <row r="2123" spans="1:14" x14ac:dyDescent="0.35">
      <c r="A2123">
        <v>2122</v>
      </c>
      <c r="B2123" s="1">
        <v>45015.375</v>
      </c>
      <c r="C2123" s="2">
        <v>6.1805555555555558E-2</v>
      </c>
      <c r="D2123" s="3">
        <v>4672</v>
      </c>
      <c r="E2123" s="3">
        <v>56</v>
      </c>
      <c r="F2123" s="2">
        <v>53.88055555555556</v>
      </c>
      <c r="G2123" t="s">
        <v>2812</v>
      </c>
      <c r="H2123" t="s">
        <v>2822</v>
      </c>
      <c r="I2123" s="2">
        <v>2.9208333333333329</v>
      </c>
      <c r="J2123" s="4" t="str">
        <f>IF(Table1[[#This Row],[processing_time_hours]]&gt;1.5,"Slow", "Fast")</f>
        <v>Slow</v>
      </c>
      <c r="K2123" t="s">
        <v>2818</v>
      </c>
      <c r="L2123" s="3">
        <v>0</v>
      </c>
      <c r="M2123" t="str">
        <f>IF(Table1[[#This Row],[delayed]]=1,"Delayed","On Time")</f>
        <v>On Time</v>
      </c>
      <c r="N2123" t="str">
        <f>IF(AND(Table1[[#This Row],[delayed]]=1,Table1[[#This Row],[weather_condition]]="Storm"),"High Risk", IF(Table1[[#This Row],[delayed]]=1,"Medium Risk","Low Risk"))</f>
        <v>Low Risk</v>
      </c>
    </row>
    <row r="2124" spans="1:14" x14ac:dyDescent="0.35">
      <c r="A2124">
        <v>2123</v>
      </c>
      <c r="B2124" s="1">
        <v>45015.416666666664</v>
      </c>
      <c r="C2124" s="2">
        <v>5.1388888888888894E-2</v>
      </c>
      <c r="D2124" s="3">
        <v>2214</v>
      </c>
      <c r="E2124" s="3">
        <v>356</v>
      </c>
      <c r="F2124" s="2">
        <v>53.546527777777776</v>
      </c>
      <c r="G2124" t="s">
        <v>2812</v>
      </c>
      <c r="H2124" t="s">
        <v>2820</v>
      </c>
      <c r="I2124" s="2">
        <v>0.21111111111111111</v>
      </c>
      <c r="J2124" s="4" t="str">
        <f>IF(Table1[[#This Row],[processing_time_hours]]&gt;1.5,"Slow", "Fast")</f>
        <v>Fast</v>
      </c>
      <c r="K2124" t="s">
        <v>2814</v>
      </c>
      <c r="L2124" s="3">
        <v>0</v>
      </c>
      <c r="M2124" t="str">
        <f>IF(Table1[[#This Row],[delayed]]=1,"Delayed","On Time")</f>
        <v>On Time</v>
      </c>
      <c r="N2124" t="str">
        <f>IF(AND(Table1[[#This Row],[delayed]]=1,Table1[[#This Row],[weather_condition]]="Storm"),"High Risk", IF(Table1[[#This Row],[delayed]]=1,"Medium Risk","Low Risk"))</f>
        <v>Low Risk</v>
      </c>
    </row>
    <row r="2125" spans="1:14" x14ac:dyDescent="0.35">
      <c r="A2125">
        <v>2124</v>
      </c>
      <c r="B2125" s="1">
        <v>45015.458333333336</v>
      </c>
      <c r="C2125" s="2">
        <v>5.486111111111111E-2</v>
      </c>
      <c r="D2125" s="3">
        <v>1997</v>
      </c>
      <c r="E2125" s="3">
        <v>388</v>
      </c>
      <c r="F2125" s="2">
        <v>39.75</v>
      </c>
      <c r="G2125" t="s">
        <v>2815</v>
      </c>
      <c r="H2125" t="s">
        <v>2813</v>
      </c>
      <c r="I2125" s="2">
        <v>2.5006944444444446</v>
      </c>
      <c r="J2125" s="4" t="str">
        <f>IF(Table1[[#This Row],[processing_time_hours]]&gt;1.5,"Slow", "Fast")</f>
        <v>Slow</v>
      </c>
      <c r="K2125" t="s">
        <v>2818</v>
      </c>
      <c r="L2125" s="3">
        <v>1</v>
      </c>
      <c r="M2125" t="str">
        <f>IF(Table1[[#This Row],[delayed]]=1,"Delayed","On Time")</f>
        <v>Delayed</v>
      </c>
      <c r="N2125" t="str">
        <f>IF(AND(Table1[[#This Row],[delayed]]=1,Table1[[#This Row],[weather_condition]]="Storm"),"High Risk", IF(Table1[[#This Row],[delayed]]=1,"Medium Risk","Low Risk"))</f>
        <v>Medium Risk</v>
      </c>
    </row>
    <row r="2126" spans="1:14" x14ac:dyDescent="0.35">
      <c r="A2126">
        <v>2125</v>
      </c>
      <c r="B2126" s="1">
        <v>45015.5</v>
      </c>
      <c r="C2126" s="2">
        <v>4.9305555555555554E-2</v>
      </c>
      <c r="D2126" s="3">
        <v>2509</v>
      </c>
      <c r="E2126" s="3">
        <v>173</v>
      </c>
      <c r="F2126" s="2">
        <v>43.209027777777777</v>
      </c>
      <c r="G2126" t="s">
        <v>2815</v>
      </c>
      <c r="H2126" t="s">
        <v>2817</v>
      </c>
      <c r="I2126" s="2">
        <v>1.2958333333333334</v>
      </c>
      <c r="J2126" s="4" t="str">
        <f>IF(Table1[[#This Row],[processing_time_hours]]&gt;1.5,"Slow", "Fast")</f>
        <v>Fast</v>
      </c>
      <c r="K2126" t="s">
        <v>2821</v>
      </c>
      <c r="L2126" s="3">
        <v>1</v>
      </c>
      <c r="M2126" t="str">
        <f>IF(Table1[[#This Row],[delayed]]=1,"Delayed","On Time")</f>
        <v>Delayed</v>
      </c>
      <c r="N2126" t="str">
        <f>IF(AND(Table1[[#This Row],[delayed]]=1,Table1[[#This Row],[weather_condition]]="Storm"),"High Risk", IF(Table1[[#This Row],[delayed]]=1,"Medium Risk","Low Risk"))</f>
        <v>High Risk</v>
      </c>
    </row>
    <row r="2127" spans="1:14" x14ac:dyDescent="0.35">
      <c r="A2127">
        <v>2126</v>
      </c>
      <c r="B2127" s="1">
        <v>45015.541666666664</v>
      </c>
      <c r="C2127" s="2">
        <v>5.4166666666666669E-2</v>
      </c>
      <c r="D2127" s="3">
        <v>2987</v>
      </c>
      <c r="E2127" s="3">
        <v>18</v>
      </c>
      <c r="F2127" s="2">
        <v>36.420138888888893</v>
      </c>
      <c r="G2127" t="s">
        <v>2812</v>
      </c>
      <c r="H2127" t="s">
        <v>2820</v>
      </c>
      <c r="I2127" s="2">
        <v>2.6708333333333329</v>
      </c>
      <c r="J2127" s="4" t="str">
        <f>IF(Table1[[#This Row],[processing_time_hours]]&gt;1.5,"Slow", "Fast")</f>
        <v>Slow</v>
      </c>
      <c r="K2127" t="s">
        <v>2814</v>
      </c>
      <c r="L2127" s="3">
        <v>1</v>
      </c>
      <c r="M2127" t="str">
        <f>IF(Table1[[#This Row],[delayed]]=1,"Delayed","On Time")</f>
        <v>Delayed</v>
      </c>
      <c r="N2127" t="str">
        <f>IF(AND(Table1[[#This Row],[delayed]]=1,Table1[[#This Row],[weather_condition]]="Storm"),"High Risk", IF(Table1[[#This Row],[delayed]]=1,"Medium Risk","Low Risk"))</f>
        <v>Medium Risk</v>
      </c>
    </row>
    <row r="2128" spans="1:14" x14ac:dyDescent="0.35">
      <c r="A2128">
        <v>2127</v>
      </c>
      <c r="B2128" s="1">
        <v>45015.583333333336</v>
      </c>
      <c r="C2128" s="2">
        <v>5.5555555555555558E-3</v>
      </c>
      <c r="D2128" s="3">
        <v>1968</v>
      </c>
      <c r="E2128" s="3">
        <v>301</v>
      </c>
      <c r="F2128" s="2">
        <v>60.003472222222221</v>
      </c>
      <c r="G2128" t="s">
        <v>2812</v>
      </c>
      <c r="H2128" t="s">
        <v>2822</v>
      </c>
      <c r="I2128" s="2">
        <v>1.5416666666666667</v>
      </c>
      <c r="J2128" s="4" t="str">
        <f>IF(Table1[[#This Row],[processing_time_hours]]&gt;1.5,"Slow", "Fast")</f>
        <v>Slow</v>
      </c>
      <c r="K2128" t="s">
        <v>2814</v>
      </c>
      <c r="L2128" s="3">
        <v>0</v>
      </c>
      <c r="M2128" t="str">
        <f>IF(Table1[[#This Row],[delayed]]=1,"Delayed","On Time")</f>
        <v>On Time</v>
      </c>
      <c r="N2128" t="str">
        <f>IF(AND(Table1[[#This Row],[delayed]]=1,Table1[[#This Row],[weather_condition]]="Storm"),"High Risk", IF(Table1[[#This Row],[delayed]]=1,"Medium Risk","Low Risk"))</f>
        <v>Low Risk</v>
      </c>
    </row>
    <row r="2129" spans="1:14" x14ac:dyDescent="0.35">
      <c r="A2129">
        <v>2128</v>
      </c>
      <c r="B2129" s="1">
        <v>45015.625</v>
      </c>
      <c r="C2129" s="2">
        <v>6.7361111111111108E-2</v>
      </c>
      <c r="D2129" s="3">
        <v>794</v>
      </c>
      <c r="E2129" s="3">
        <v>188</v>
      </c>
      <c r="F2129" s="2">
        <v>23.669444444444448</v>
      </c>
      <c r="G2129" t="s">
        <v>2812</v>
      </c>
      <c r="H2129" t="s">
        <v>2817</v>
      </c>
      <c r="I2129" s="2">
        <v>2.6715277777777775</v>
      </c>
      <c r="J2129" s="4" t="str">
        <f>IF(Table1[[#This Row],[processing_time_hours]]&gt;1.5,"Slow", "Fast")</f>
        <v>Slow</v>
      </c>
      <c r="K2129" t="s">
        <v>2814</v>
      </c>
      <c r="L2129" s="3">
        <v>0</v>
      </c>
      <c r="M2129" t="str">
        <f>IF(Table1[[#This Row],[delayed]]=1,"Delayed","On Time")</f>
        <v>On Time</v>
      </c>
      <c r="N2129" t="str">
        <f>IF(AND(Table1[[#This Row],[delayed]]=1,Table1[[#This Row],[weather_condition]]="Storm"),"High Risk", IF(Table1[[#This Row],[delayed]]=1,"Medium Risk","Low Risk"))</f>
        <v>Low Risk</v>
      </c>
    </row>
    <row r="2130" spans="1:14" x14ac:dyDescent="0.35">
      <c r="A2130">
        <v>2129</v>
      </c>
      <c r="B2130" s="1">
        <v>45015.666666666664</v>
      </c>
      <c r="C2130" s="2">
        <v>6.5972222222222224E-2</v>
      </c>
      <c r="D2130" s="3">
        <v>4384</v>
      </c>
      <c r="E2130" s="3">
        <v>438</v>
      </c>
      <c r="F2130" s="2">
        <v>66.754166666666663</v>
      </c>
      <c r="G2130" t="s">
        <v>2819</v>
      </c>
      <c r="H2130" t="s">
        <v>2813</v>
      </c>
      <c r="I2130" s="2">
        <v>1.8798611111111112</v>
      </c>
      <c r="J2130" s="4" t="str">
        <f>IF(Table1[[#This Row],[processing_time_hours]]&gt;1.5,"Slow", "Fast")</f>
        <v>Slow</v>
      </c>
      <c r="K2130" t="s">
        <v>2814</v>
      </c>
      <c r="L2130" s="3">
        <v>1</v>
      </c>
      <c r="M2130" t="str">
        <f>IF(Table1[[#This Row],[delayed]]=1,"Delayed","On Time")</f>
        <v>Delayed</v>
      </c>
      <c r="N2130" t="str">
        <f>IF(AND(Table1[[#This Row],[delayed]]=1,Table1[[#This Row],[weather_condition]]="Storm"),"High Risk", IF(Table1[[#This Row],[delayed]]=1,"Medium Risk","Low Risk"))</f>
        <v>Medium Risk</v>
      </c>
    </row>
    <row r="2131" spans="1:14" x14ac:dyDescent="0.35">
      <c r="A2131">
        <v>2130</v>
      </c>
      <c r="B2131" s="1">
        <v>45015.708333333336</v>
      </c>
      <c r="C2131" s="2">
        <v>6.7361111111111108E-2</v>
      </c>
      <c r="D2131" s="3">
        <v>3641</v>
      </c>
      <c r="E2131" s="3">
        <v>122</v>
      </c>
      <c r="F2131" s="2">
        <v>80.793750000000003</v>
      </c>
      <c r="G2131" t="s">
        <v>2819</v>
      </c>
      <c r="H2131" t="s">
        <v>2817</v>
      </c>
      <c r="I2131" s="2">
        <v>0.75416666666666676</v>
      </c>
      <c r="J2131" s="4" t="str">
        <f>IF(Table1[[#This Row],[processing_time_hours]]&gt;1.5,"Slow", "Fast")</f>
        <v>Fast</v>
      </c>
      <c r="K2131" t="s">
        <v>2814</v>
      </c>
      <c r="L2131" s="3">
        <v>0</v>
      </c>
      <c r="M2131" t="str">
        <f>IF(Table1[[#This Row],[delayed]]=1,"Delayed","On Time")</f>
        <v>On Time</v>
      </c>
      <c r="N2131" t="str">
        <f>IF(AND(Table1[[#This Row],[delayed]]=1,Table1[[#This Row],[weather_condition]]="Storm"),"High Risk", IF(Table1[[#This Row],[delayed]]=1,"Medium Risk","Low Risk"))</f>
        <v>Low Risk</v>
      </c>
    </row>
    <row r="2132" spans="1:14" x14ac:dyDescent="0.35">
      <c r="A2132">
        <v>2131</v>
      </c>
      <c r="B2132" s="1">
        <v>45015.75</v>
      </c>
      <c r="C2132" s="2">
        <v>6.8749999999999992E-2</v>
      </c>
      <c r="D2132" s="3">
        <v>2791</v>
      </c>
      <c r="E2132" s="3">
        <v>37</v>
      </c>
      <c r="F2132" s="2">
        <v>75.214583333333337</v>
      </c>
      <c r="G2132" t="s">
        <v>2812</v>
      </c>
      <c r="H2132" t="s">
        <v>2813</v>
      </c>
      <c r="I2132" s="2">
        <v>0.1277777777777778</v>
      </c>
      <c r="J2132" s="4" t="str">
        <f>IF(Table1[[#This Row],[processing_time_hours]]&gt;1.5,"Slow", "Fast")</f>
        <v>Fast</v>
      </c>
      <c r="K2132" t="s">
        <v>2814</v>
      </c>
      <c r="L2132" s="3">
        <v>0</v>
      </c>
      <c r="M2132" t="str">
        <f>IF(Table1[[#This Row],[delayed]]=1,"Delayed","On Time")</f>
        <v>On Time</v>
      </c>
      <c r="N2132" t="str">
        <f>IF(AND(Table1[[#This Row],[delayed]]=1,Table1[[#This Row],[weather_condition]]="Storm"),"High Risk", IF(Table1[[#This Row],[delayed]]=1,"Medium Risk","Low Risk"))</f>
        <v>Low Risk</v>
      </c>
    </row>
    <row r="2133" spans="1:14" x14ac:dyDescent="0.35">
      <c r="A2133">
        <v>2132</v>
      </c>
      <c r="B2133" s="1">
        <v>45015.791666666664</v>
      </c>
      <c r="C2133" s="2">
        <v>5.2777777777777778E-2</v>
      </c>
      <c r="D2133" s="3">
        <v>280</v>
      </c>
      <c r="E2133" s="3">
        <v>426</v>
      </c>
      <c r="F2133" s="2">
        <v>42.08958333333333</v>
      </c>
      <c r="G2133" t="s">
        <v>2812</v>
      </c>
      <c r="H2133" t="s">
        <v>2813</v>
      </c>
      <c r="I2133" s="2">
        <v>2.0034722222222223</v>
      </c>
      <c r="J2133" s="4" t="str">
        <f>IF(Table1[[#This Row],[processing_time_hours]]&gt;1.5,"Slow", "Fast")</f>
        <v>Slow</v>
      </c>
      <c r="K2133" t="s">
        <v>2818</v>
      </c>
      <c r="L2133" s="3">
        <v>1</v>
      </c>
      <c r="M2133" t="str">
        <f>IF(Table1[[#This Row],[delayed]]=1,"Delayed","On Time")</f>
        <v>Delayed</v>
      </c>
      <c r="N2133" t="str">
        <f>IF(AND(Table1[[#This Row],[delayed]]=1,Table1[[#This Row],[weather_condition]]="Storm"),"High Risk", IF(Table1[[#This Row],[delayed]]=1,"Medium Risk","Low Risk"))</f>
        <v>Medium Risk</v>
      </c>
    </row>
    <row r="2134" spans="1:14" x14ac:dyDescent="0.35">
      <c r="A2134">
        <v>2133</v>
      </c>
      <c r="B2134" s="1">
        <v>45015.833333333336</v>
      </c>
      <c r="C2134" s="2">
        <v>6.3194444444444442E-2</v>
      </c>
      <c r="D2134" s="3">
        <v>3836</v>
      </c>
      <c r="E2134" s="3">
        <v>290</v>
      </c>
      <c r="F2134" s="2">
        <v>63.58680555555555</v>
      </c>
      <c r="G2134" t="s">
        <v>2812</v>
      </c>
      <c r="H2134" t="s">
        <v>2820</v>
      </c>
      <c r="I2134" s="2">
        <v>1.6291666666666667</v>
      </c>
      <c r="J2134" s="4" t="str">
        <f>IF(Table1[[#This Row],[processing_time_hours]]&gt;1.5,"Slow", "Fast")</f>
        <v>Slow</v>
      </c>
      <c r="K2134" t="s">
        <v>2814</v>
      </c>
      <c r="L2134" s="3">
        <v>0</v>
      </c>
      <c r="M2134" t="str">
        <f>IF(Table1[[#This Row],[delayed]]=1,"Delayed","On Time")</f>
        <v>On Time</v>
      </c>
      <c r="N2134" t="str">
        <f>IF(AND(Table1[[#This Row],[delayed]]=1,Table1[[#This Row],[weather_condition]]="Storm"),"High Risk", IF(Table1[[#This Row],[delayed]]=1,"Medium Risk","Low Risk"))</f>
        <v>Low Risk</v>
      </c>
    </row>
    <row r="2135" spans="1:14" x14ac:dyDescent="0.35">
      <c r="A2135">
        <v>2134</v>
      </c>
      <c r="B2135" s="1">
        <v>45015.875</v>
      </c>
      <c r="C2135" s="2">
        <v>6.6666666666666666E-2</v>
      </c>
      <c r="D2135" s="3">
        <v>1849</v>
      </c>
      <c r="E2135" s="3">
        <v>186</v>
      </c>
      <c r="F2135" s="2">
        <v>24.672916666666666</v>
      </c>
      <c r="G2135" t="s">
        <v>2812</v>
      </c>
      <c r="H2135" t="s">
        <v>2820</v>
      </c>
      <c r="I2135" s="2">
        <v>2.8756944444444446</v>
      </c>
      <c r="J2135" s="4" t="str">
        <f>IF(Table1[[#This Row],[processing_time_hours]]&gt;1.5,"Slow", "Fast")</f>
        <v>Slow</v>
      </c>
      <c r="K2135" t="s">
        <v>2818</v>
      </c>
      <c r="L2135" s="3">
        <v>1</v>
      </c>
      <c r="M2135" t="str">
        <f>IF(Table1[[#This Row],[delayed]]=1,"Delayed","On Time")</f>
        <v>Delayed</v>
      </c>
      <c r="N2135" t="str">
        <f>IF(AND(Table1[[#This Row],[delayed]]=1,Table1[[#This Row],[weather_condition]]="Storm"),"High Risk", IF(Table1[[#This Row],[delayed]]=1,"Medium Risk","Low Risk"))</f>
        <v>Medium Risk</v>
      </c>
    </row>
    <row r="2136" spans="1:14" x14ac:dyDescent="0.35">
      <c r="A2136">
        <v>2135</v>
      </c>
      <c r="B2136" s="1">
        <v>45015.916666666664</v>
      </c>
      <c r="C2136" s="2">
        <v>4.5138888888888888E-2</v>
      </c>
      <c r="D2136" s="3">
        <v>185</v>
      </c>
      <c r="E2136" s="3">
        <v>248</v>
      </c>
      <c r="F2136" s="2">
        <v>75.959027777777777</v>
      </c>
      <c r="G2136" t="s">
        <v>2816</v>
      </c>
      <c r="H2136" t="s">
        <v>2822</v>
      </c>
      <c r="I2136" s="2">
        <v>0.37916666666666665</v>
      </c>
      <c r="J2136" s="4" t="str">
        <f>IF(Table1[[#This Row],[processing_time_hours]]&gt;1.5,"Slow", "Fast")</f>
        <v>Fast</v>
      </c>
      <c r="K2136" t="s">
        <v>2821</v>
      </c>
      <c r="L2136" s="3">
        <v>0</v>
      </c>
      <c r="M2136" t="str">
        <f>IF(Table1[[#This Row],[delayed]]=1,"Delayed","On Time")</f>
        <v>On Time</v>
      </c>
      <c r="N2136" t="str">
        <f>IF(AND(Table1[[#This Row],[delayed]]=1,Table1[[#This Row],[weather_condition]]="Storm"),"High Risk", IF(Table1[[#This Row],[delayed]]=1,"Medium Risk","Low Risk"))</f>
        <v>Low Risk</v>
      </c>
    </row>
    <row r="2137" spans="1:14" x14ac:dyDescent="0.35">
      <c r="A2137">
        <v>2136</v>
      </c>
      <c r="B2137" s="1">
        <v>45015.958333333336</v>
      </c>
      <c r="C2137" s="2">
        <v>6.1805555555555558E-2</v>
      </c>
      <c r="D2137" s="3">
        <v>3503</v>
      </c>
      <c r="E2137" s="3">
        <v>430</v>
      </c>
      <c r="F2137" s="2">
        <v>26.586805555555557</v>
      </c>
      <c r="G2137" t="s">
        <v>2816</v>
      </c>
      <c r="H2137" t="s">
        <v>2822</v>
      </c>
      <c r="I2137" s="2">
        <v>0.67222222222222217</v>
      </c>
      <c r="J2137" s="4" t="str">
        <f>IF(Table1[[#This Row],[processing_time_hours]]&gt;1.5,"Slow", "Fast")</f>
        <v>Fast</v>
      </c>
      <c r="K2137" t="s">
        <v>2814</v>
      </c>
      <c r="L2137" s="3">
        <v>0</v>
      </c>
      <c r="M2137" t="str">
        <f>IF(Table1[[#This Row],[delayed]]=1,"Delayed","On Time")</f>
        <v>On Time</v>
      </c>
      <c r="N2137" t="str">
        <f>IF(AND(Table1[[#This Row],[delayed]]=1,Table1[[#This Row],[weather_condition]]="Storm"),"High Risk", IF(Table1[[#This Row],[delayed]]=1,"Medium Risk","Low Risk"))</f>
        <v>Low Risk</v>
      </c>
    </row>
    <row r="2138" spans="1:14" x14ac:dyDescent="0.35">
      <c r="A2138">
        <v>2137</v>
      </c>
      <c r="B2138" s="1">
        <v>45016</v>
      </c>
      <c r="C2138" s="2">
        <v>5.7638888888888885E-2</v>
      </c>
      <c r="D2138" s="3">
        <v>774</v>
      </c>
      <c r="E2138" s="3">
        <v>15</v>
      </c>
      <c r="F2138" s="2">
        <v>40.545833333333334</v>
      </c>
      <c r="G2138" t="s">
        <v>2812</v>
      </c>
      <c r="H2138" t="s">
        <v>2817</v>
      </c>
      <c r="I2138" s="2">
        <v>0.87638888888888899</v>
      </c>
      <c r="J2138" s="4" t="str">
        <f>IF(Table1[[#This Row],[processing_time_hours]]&gt;1.5,"Slow", "Fast")</f>
        <v>Fast</v>
      </c>
      <c r="K2138" t="s">
        <v>2818</v>
      </c>
      <c r="L2138" s="3">
        <v>0</v>
      </c>
      <c r="M2138" t="str">
        <f>IF(Table1[[#This Row],[delayed]]=1,"Delayed","On Time")</f>
        <v>On Time</v>
      </c>
      <c r="N2138" t="str">
        <f>IF(AND(Table1[[#This Row],[delayed]]=1,Table1[[#This Row],[weather_condition]]="Storm"),"High Risk", IF(Table1[[#This Row],[delayed]]=1,"Medium Risk","Low Risk"))</f>
        <v>Low Risk</v>
      </c>
    </row>
    <row r="2139" spans="1:14" x14ac:dyDescent="0.35">
      <c r="A2139">
        <v>2138</v>
      </c>
      <c r="B2139" s="1">
        <v>45016.041666666664</v>
      </c>
      <c r="C2139" s="2">
        <v>4.7222222222222221E-2</v>
      </c>
      <c r="D2139" s="3">
        <v>3012</v>
      </c>
      <c r="E2139" s="3">
        <v>52</v>
      </c>
      <c r="F2139" s="2">
        <v>81.793750000000003</v>
      </c>
      <c r="G2139" t="s">
        <v>2819</v>
      </c>
      <c r="H2139" t="s">
        <v>2817</v>
      </c>
      <c r="I2139" s="2">
        <v>1.8812499999999999</v>
      </c>
      <c r="J2139" s="4" t="str">
        <f>IF(Table1[[#This Row],[processing_time_hours]]&gt;1.5,"Slow", "Fast")</f>
        <v>Slow</v>
      </c>
      <c r="K2139" t="s">
        <v>2814</v>
      </c>
      <c r="L2139" s="3">
        <v>1</v>
      </c>
      <c r="M2139" t="str">
        <f>IF(Table1[[#This Row],[delayed]]=1,"Delayed","On Time")</f>
        <v>Delayed</v>
      </c>
      <c r="N2139" t="str">
        <f>IF(AND(Table1[[#This Row],[delayed]]=1,Table1[[#This Row],[weather_condition]]="Storm"),"High Risk", IF(Table1[[#This Row],[delayed]]=1,"Medium Risk","Low Risk"))</f>
        <v>High Risk</v>
      </c>
    </row>
    <row r="2140" spans="1:14" x14ac:dyDescent="0.35">
      <c r="A2140">
        <v>2139</v>
      </c>
      <c r="B2140" s="1">
        <v>45016.083333333336</v>
      </c>
      <c r="C2140" s="2">
        <v>5.9027777777777783E-2</v>
      </c>
      <c r="D2140" s="3">
        <v>1671</v>
      </c>
      <c r="E2140" s="3">
        <v>62</v>
      </c>
      <c r="F2140" s="2">
        <v>43.839583333333337</v>
      </c>
      <c r="G2140" t="s">
        <v>2815</v>
      </c>
      <c r="H2140" t="s">
        <v>2817</v>
      </c>
      <c r="I2140" s="2">
        <v>1.4631944444444445</v>
      </c>
      <c r="J2140" s="4" t="str">
        <f>IF(Table1[[#This Row],[processing_time_hours]]&gt;1.5,"Slow", "Fast")</f>
        <v>Fast</v>
      </c>
      <c r="K2140" t="s">
        <v>2821</v>
      </c>
      <c r="L2140" s="3">
        <v>0</v>
      </c>
      <c r="M2140" t="str">
        <f>IF(Table1[[#This Row],[delayed]]=1,"Delayed","On Time")</f>
        <v>On Time</v>
      </c>
      <c r="N2140" t="str">
        <f>IF(AND(Table1[[#This Row],[delayed]]=1,Table1[[#This Row],[weather_condition]]="Storm"),"High Risk", IF(Table1[[#This Row],[delayed]]=1,"Medium Risk","Low Risk"))</f>
        <v>Low Risk</v>
      </c>
    </row>
    <row r="2141" spans="1:14" x14ac:dyDescent="0.35">
      <c r="A2141">
        <v>2140</v>
      </c>
      <c r="B2141" s="1">
        <v>45016.125</v>
      </c>
      <c r="C2141" s="2">
        <v>6.1111111111111109E-2</v>
      </c>
      <c r="D2141" s="3">
        <v>4028</v>
      </c>
      <c r="E2141" s="3">
        <v>411</v>
      </c>
      <c r="F2141" s="2">
        <v>29.630555555555556</v>
      </c>
      <c r="G2141" t="s">
        <v>2815</v>
      </c>
      <c r="H2141" t="s">
        <v>2817</v>
      </c>
      <c r="I2141" s="2">
        <v>0.70833333333333337</v>
      </c>
      <c r="J2141" s="4" t="str">
        <f>IF(Table1[[#This Row],[processing_time_hours]]&gt;1.5,"Slow", "Fast")</f>
        <v>Fast</v>
      </c>
      <c r="K2141" t="s">
        <v>2818</v>
      </c>
      <c r="L2141" s="3">
        <v>0</v>
      </c>
      <c r="M2141" t="str">
        <f>IF(Table1[[#This Row],[delayed]]=1,"Delayed","On Time")</f>
        <v>On Time</v>
      </c>
      <c r="N2141" t="str">
        <f>IF(AND(Table1[[#This Row],[delayed]]=1,Table1[[#This Row],[weather_condition]]="Storm"),"High Risk", IF(Table1[[#This Row],[delayed]]=1,"Medium Risk","Low Risk"))</f>
        <v>Low Risk</v>
      </c>
    </row>
    <row r="2142" spans="1:14" x14ac:dyDescent="0.35">
      <c r="A2142">
        <v>2141</v>
      </c>
      <c r="B2142" s="1">
        <v>45016.166666666664</v>
      </c>
      <c r="C2142" s="2">
        <v>5.9722222222222225E-2</v>
      </c>
      <c r="D2142" s="3">
        <v>2034</v>
      </c>
      <c r="E2142" s="3">
        <v>343</v>
      </c>
      <c r="F2142" s="2">
        <v>21.338888888888889</v>
      </c>
      <c r="G2142" t="s">
        <v>2812</v>
      </c>
      <c r="H2142" t="s">
        <v>2820</v>
      </c>
      <c r="I2142" s="2">
        <v>0.20833333333333334</v>
      </c>
      <c r="J2142" s="4" t="str">
        <f>IF(Table1[[#This Row],[processing_time_hours]]&gt;1.5,"Slow", "Fast")</f>
        <v>Fast</v>
      </c>
      <c r="K2142" t="s">
        <v>2814</v>
      </c>
      <c r="L2142" s="3">
        <v>0</v>
      </c>
      <c r="M2142" t="str">
        <f>IF(Table1[[#This Row],[delayed]]=1,"Delayed","On Time")</f>
        <v>On Time</v>
      </c>
      <c r="N2142" t="str">
        <f>IF(AND(Table1[[#This Row],[delayed]]=1,Table1[[#This Row],[weather_condition]]="Storm"),"High Risk", IF(Table1[[#This Row],[delayed]]=1,"Medium Risk","Low Risk"))</f>
        <v>Low Risk</v>
      </c>
    </row>
    <row r="2143" spans="1:14" x14ac:dyDescent="0.35">
      <c r="A2143">
        <v>2142</v>
      </c>
      <c r="B2143" s="1">
        <v>45016.208333333336</v>
      </c>
      <c r="C2143" s="2">
        <v>4.1666666666666666E-3</v>
      </c>
      <c r="D2143" s="3">
        <v>448</v>
      </c>
      <c r="E2143" s="3">
        <v>321</v>
      </c>
      <c r="F2143" s="2">
        <v>57.12638888888889</v>
      </c>
      <c r="G2143" t="s">
        <v>2815</v>
      </c>
      <c r="H2143" t="s">
        <v>2817</v>
      </c>
      <c r="I2143" s="2">
        <v>0.75208333333333333</v>
      </c>
      <c r="J2143" s="4" t="str">
        <f>IF(Table1[[#This Row],[processing_time_hours]]&gt;1.5,"Slow", "Fast")</f>
        <v>Fast</v>
      </c>
      <c r="K2143" t="s">
        <v>2818</v>
      </c>
      <c r="L2143" s="3">
        <v>0</v>
      </c>
      <c r="M2143" t="str">
        <f>IF(Table1[[#This Row],[delayed]]=1,"Delayed","On Time")</f>
        <v>On Time</v>
      </c>
      <c r="N2143" t="str">
        <f>IF(AND(Table1[[#This Row],[delayed]]=1,Table1[[#This Row],[weather_condition]]="Storm"),"High Risk", IF(Table1[[#This Row],[delayed]]=1,"Medium Risk","Low Risk"))</f>
        <v>Low Risk</v>
      </c>
    </row>
    <row r="2144" spans="1:14" x14ac:dyDescent="0.35">
      <c r="A2144">
        <v>2143</v>
      </c>
      <c r="B2144" s="1">
        <v>45016.25</v>
      </c>
      <c r="C2144" s="2">
        <v>6.7361111111111108E-2</v>
      </c>
      <c r="D2144" s="3">
        <v>2170</v>
      </c>
      <c r="E2144" s="3">
        <v>187</v>
      </c>
      <c r="F2144" s="2">
        <v>56.381250000000001</v>
      </c>
      <c r="G2144" t="s">
        <v>2812</v>
      </c>
      <c r="H2144" t="s">
        <v>2822</v>
      </c>
      <c r="I2144" s="2">
        <v>1.7951388888888891</v>
      </c>
      <c r="J2144" s="4" t="str">
        <f>IF(Table1[[#This Row],[processing_time_hours]]&gt;1.5,"Slow", "Fast")</f>
        <v>Slow</v>
      </c>
      <c r="K2144" t="s">
        <v>2814</v>
      </c>
      <c r="L2144" s="3">
        <v>0</v>
      </c>
      <c r="M2144" t="str">
        <f>IF(Table1[[#This Row],[delayed]]=1,"Delayed","On Time")</f>
        <v>On Time</v>
      </c>
      <c r="N2144" t="str">
        <f>IF(AND(Table1[[#This Row],[delayed]]=1,Table1[[#This Row],[weather_condition]]="Storm"),"High Risk", IF(Table1[[#This Row],[delayed]]=1,"Medium Risk","Low Risk"))</f>
        <v>Low Risk</v>
      </c>
    </row>
    <row r="2145" spans="1:14" x14ac:dyDescent="0.35">
      <c r="A2145">
        <v>2144</v>
      </c>
      <c r="B2145" s="1">
        <v>45016.291666666664</v>
      </c>
      <c r="C2145" s="2">
        <v>5.1388888888888894E-2</v>
      </c>
      <c r="D2145" s="3">
        <v>4425</v>
      </c>
      <c r="E2145" s="3">
        <v>172</v>
      </c>
      <c r="F2145" s="2">
        <v>35.544444444444444</v>
      </c>
      <c r="G2145" t="s">
        <v>2812</v>
      </c>
      <c r="H2145" t="s">
        <v>2822</v>
      </c>
      <c r="I2145" s="2">
        <v>2.2923611111111111</v>
      </c>
      <c r="J2145" s="4" t="str">
        <f>IF(Table1[[#This Row],[processing_time_hours]]&gt;1.5,"Slow", "Fast")</f>
        <v>Slow</v>
      </c>
      <c r="K2145" t="s">
        <v>2814</v>
      </c>
      <c r="L2145" s="3">
        <v>0</v>
      </c>
      <c r="M2145" t="str">
        <f>IF(Table1[[#This Row],[delayed]]=1,"Delayed","On Time")</f>
        <v>On Time</v>
      </c>
      <c r="N2145" t="str">
        <f>IF(AND(Table1[[#This Row],[delayed]]=1,Table1[[#This Row],[weather_condition]]="Storm"),"High Risk", IF(Table1[[#This Row],[delayed]]=1,"Medium Risk","Low Risk"))</f>
        <v>Low Risk</v>
      </c>
    </row>
    <row r="2146" spans="1:14" x14ac:dyDescent="0.35">
      <c r="A2146">
        <v>2145</v>
      </c>
      <c r="B2146" s="1">
        <v>45016.333333333336</v>
      </c>
      <c r="C2146" s="2">
        <v>6.3888888888888898E-2</v>
      </c>
      <c r="D2146" s="3">
        <v>878</v>
      </c>
      <c r="E2146" s="3">
        <v>493</v>
      </c>
      <c r="F2146" s="2">
        <v>18.543749999999999</v>
      </c>
      <c r="G2146" t="s">
        <v>2812</v>
      </c>
      <c r="H2146" t="s">
        <v>2817</v>
      </c>
      <c r="I2146" s="2">
        <v>2.2555555555555555</v>
      </c>
      <c r="J2146" s="4" t="str">
        <f>IF(Table1[[#This Row],[processing_time_hours]]&gt;1.5,"Slow", "Fast")</f>
        <v>Slow</v>
      </c>
      <c r="K2146" t="s">
        <v>2821</v>
      </c>
      <c r="L2146" s="3">
        <v>0</v>
      </c>
      <c r="M2146" t="str">
        <f>IF(Table1[[#This Row],[delayed]]=1,"Delayed","On Time")</f>
        <v>On Time</v>
      </c>
      <c r="N2146" t="str">
        <f>IF(AND(Table1[[#This Row],[delayed]]=1,Table1[[#This Row],[weather_condition]]="Storm"),"High Risk", IF(Table1[[#This Row],[delayed]]=1,"Medium Risk","Low Risk"))</f>
        <v>Low Risk</v>
      </c>
    </row>
    <row r="2147" spans="1:14" x14ac:dyDescent="0.35">
      <c r="A2147">
        <v>2146</v>
      </c>
      <c r="B2147" s="1">
        <v>45016.375</v>
      </c>
      <c r="C2147" s="2">
        <v>4.5833333333333337E-2</v>
      </c>
      <c r="D2147" s="3">
        <v>2286</v>
      </c>
      <c r="E2147" s="3">
        <v>15</v>
      </c>
      <c r="F2147" s="2">
        <v>50.13055555555556</v>
      </c>
      <c r="G2147" t="s">
        <v>2815</v>
      </c>
      <c r="H2147" t="s">
        <v>2822</v>
      </c>
      <c r="I2147" s="2">
        <v>0.54166666666666663</v>
      </c>
      <c r="J2147" s="4" t="str">
        <f>IF(Table1[[#This Row],[processing_time_hours]]&gt;1.5,"Slow", "Fast")</f>
        <v>Fast</v>
      </c>
      <c r="K2147" t="s">
        <v>2821</v>
      </c>
      <c r="L2147" s="3">
        <v>1</v>
      </c>
      <c r="M2147" t="str">
        <f>IF(Table1[[#This Row],[delayed]]=1,"Delayed","On Time")</f>
        <v>Delayed</v>
      </c>
      <c r="N2147" t="str">
        <f>IF(AND(Table1[[#This Row],[delayed]]=1,Table1[[#This Row],[weather_condition]]="Storm"),"High Risk", IF(Table1[[#This Row],[delayed]]=1,"Medium Risk","Low Risk"))</f>
        <v>Medium Risk</v>
      </c>
    </row>
    <row r="2148" spans="1:14" x14ac:dyDescent="0.35">
      <c r="A2148">
        <v>2147</v>
      </c>
      <c r="B2148" s="1">
        <v>45016.416666666664</v>
      </c>
      <c r="C2148" s="2">
        <v>5.8333333333333327E-2</v>
      </c>
      <c r="D2148" s="3">
        <v>2503</v>
      </c>
      <c r="E2148" s="3">
        <v>69</v>
      </c>
      <c r="F2148" s="2">
        <v>62.919444444444444</v>
      </c>
      <c r="G2148" t="s">
        <v>2819</v>
      </c>
      <c r="H2148" t="s">
        <v>2820</v>
      </c>
      <c r="I2148" s="2">
        <v>0.75</v>
      </c>
      <c r="J2148" s="4" t="str">
        <f>IF(Table1[[#This Row],[processing_time_hours]]&gt;1.5,"Slow", "Fast")</f>
        <v>Fast</v>
      </c>
      <c r="K2148" t="s">
        <v>2821</v>
      </c>
      <c r="L2148" s="3">
        <v>0</v>
      </c>
      <c r="M2148" t="str">
        <f>IF(Table1[[#This Row],[delayed]]=1,"Delayed","On Time")</f>
        <v>On Time</v>
      </c>
      <c r="N2148" t="str">
        <f>IF(AND(Table1[[#This Row],[delayed]]=1,Table1[[#This Row],[weather_condition]]="Storm"),"High Risk", IF(Table1[[#This Row],[delayed]]=1,"Medium Risk","Low Risk"))</f>
        <v>Low Risk</v>
      </c>
    </row>
    <row r="2149" spans="1:14" x14ac:dyDescent="0.35">
      <c r="A2149">
        <v>2148</v>
      </c>
      <c r="B2149" s="1">
        <v>45016.458333333336</v>
      </c>
      <c r="C2149" s="2">
        <v>4.3055555555555562E-2</v>
      </c>
      <c r="D2149" s="3">
        <v>4020</v>
      </c>
      <c r="E2149" s="3">
        <v>86</v>
      </c>
      <c r="F2149" s="2">
        <v>69</v>
      </c>
      <c r="G2149" t="s">
        <v>2812</v>
      </c>
      <c r="H2149" t="s">
        <v>2820</v>
      </c>
      <c r="I2149" s="2">
        <v>0.95972222222222225</v>
      </c>
      <c r="J2149" s="4" t="str">
        <f>IF(Table1[[#This Row],[processing_time_hours]]&gt;1.5,"Slow", "Fast")</f>
        <v>Fast</v>
      </c>
      <c r="K2149" t="s">
        <v>2821</v>
      </c>
      <c r="L2149" s="3">
        <v>0</v>
      </c>
      <c r="M2149" t="str">
        <f>IF(Table1[[#This Row],[delayed]]=1,"Delayed","On Time")</f>
        <v>On Time</v>
      </c>
      <c r="N2149" t="str">
        <f>IF(AND(Table1[[#This Row],[delayed]]=1,Table1[[#This Row],[weather_condition]]="Storm"),"High Risk", IF(Table1[[#This Row],[delayed]]=1,"Medium Risk","Low Risk"))</f>
        <v>Low Risk</v>
      </c>
    </row>
    <row r="2150" spans="1:14" x14ac:dyDescent="0.35">
      <c r="A2150">
        <v>2149</v>
      </c>
      <c r="B2150" s="1">
        <v>45016.5</v>
      </c>
      <c r="C2150" s="2">
        <v>5.6944444444444443E-2</v>
      </c>
      <c r="D2150" s="3">
        <v>3022</v>
      </c>
      <c r="E2150" s="3">
        <v>454</v>
      </c>
      <c r="F2150" s="2">
        <v>52.833333333333336</v>
      </c>
      <c r="G2150" t="s">
        <v>2815</v>
      </c>
      <c r="H2150" t="s">
        <v>2817</v>
      </c>
      <c r="I2150" s="2">
        <v>1.2930555555555556</v>
      </c>
      <c r="J2150" s="4" t="str">
        <f>IF(Table1[[#This Row],[processing_time_hours]]&gt;1.5,"Slow", "Fast")</f>
        <v>Fast</v>
      </c>
      <c r="K2150" t="s">
        <v>2818</v>
      </c>
      <c r="L2150" s="3">
        <v>1</v>
      </c>
      <c r="M2150" t="str">
        <f>IF(Table1[[#This Row],[delayed]]=1,"Delayed","On Time")</f>
        <v>Delayed</v>
      </c>
      <c r="N2150" t="str">
        <f>IF(AND(Table1[[#This Row],[delayed]]=1,Table1[[#This Row],[weather_condition]]="Storm"),"High Risk", IF(Table1[[#This Row],[delayed]]=1,"Medium Risk","Low Risk"))</f>
        <v>High Risk</v>
      </c>
    </row>
    <row r="2151" spans="1:14" x14ac:dyDescent="0.35">
      <c r="A2151">
        <v>2150</v>
      </c>
      <c r="B2151" s="1">
        <v>45016.541666666664</v>
      </c>
      <c r="C2151" s="2">
        <v>5.9722222222222225E-2</v>
      </c>
      <c r="D2151" s="3">
        <v>516</v>
      </c>
      <c r="E2151" s="3">
        <v>491</v>
      </c>
      <c r="F2151" s="2">
        <v>0.29791666666666666</v>
      </c>
      <c r="G2151" t="s">
        <v>2816</v>
      </c>
      <c r="H2151" t="s">
        <v>2820</v>
      </c>
      <c r="I2151" s="2">
        <v>0.62777777777777777</v>
      </c>
      <c r="J2151" s="4" t="str">
        <f>IF(Table1[[#This Row],[processing_time_hours]]&gt;1.5,"Slow", "Fast")</f>
        <v>Fast</v>
      </c>
      <c r="K2151" t="s">
        <v>2814</v>
      </c>
      <c r="L2151" s="3">
        <v>1</v>
      </c>
      <c r="M2151" t="str">
        <f>IF(Table1[[#This Row],[delayed]]=1,"Delayed","On Time")</f>
        <v>Delayed</v>
      </c>
      <c r="N2151" t="str">
        <f>IF(AND(Table1[[#This Row],[delayed]]=1,Table1[[#This Row],[weather_condition]]="Storm"),"High Risk", IF(Table1[[#This Row],[delayed]]=1,"Medium Risk","Low Risk"))</f>
        <v>Medium Risk</v>
      </c>
    </row>
    <row r="2152" spans="1:14" x14ac:dyDescent="0.35">
      <c r="A2152">
        <v>2151</v>
      </c>
      <c r="B2152" s="1">
        <v>45016.583333333336</v>
      </c>
      <c r="C2152" s="2">
        <v>5.2083333333333336E-2</v>
      </c>
      <c r="D2152" s="3">
        <v>4792</v>
      </c>
      <c r="E2152" s="3">
        <v>387</v>
      </c>
      <c r="F2152" s="2">
        <v>26.918055555555554</v>
      </c>
      <c r="G2152" t="s">
        <v>2815</v>
      </c>
      <c r="H2152" t="s">
        <v>2820</v>
      </c>
      <c r="I2152" s="2">
        <v>2.6701388888888888</v>
      </c>
      <c r="J2152" s="4" t="str">
        <f>IF(Table1[[#This Row],[processing_time_hours]]&gt;1.5,"Slow", "Fast")</f>
        <v>Slow</v>
      </c>
      <c r="K2152" t="s">
        <v>2818</v>
      </c>
      <c r="L2152" s="3">
        <v>0</v>
      </c>
      <c r="M2152" t="str">
        <f>IF(Table1[[#This Row],[delayed]]=1,"Delayed","On Time")</f>
        <v>On Time</v>
      </c>
      <c r="N2152" t="str">
        <f>IF(AND(Table1[[#This Row],[delayed]]=1,Table1[[#This Row],[weather_condition]]="Storm"),"High Risk", IF(Table1[[#This Row],[delayed]]=1,"Medium Risk","Low Risk"))</f>
        <v>Low Risk</v>
      </c>
    </row>
    <row r="2153" spans="1:14" x14ac:dyDescent="0.35">
      <c r="A2153">
        <v>2152</v>
      </c>
      <c r="B2153" s="1">
        <v>45016.625</v>
      </c>
      <c r="C2153" s="2">
        <v>6.1805555555555558E-2</v>
      </c>
      <c r="D2153" s="3">
        <v>3385</v>
      </c>
      <c r="E2153" s="3">
        <v>141</v>
      </c>
      <c r="F2153" s="2">
        <v>72.418055555555554</v>
      </c>
      <c r="G2153" t="s">
        <v>2815</v>
      </c>
      <c r="H2153" t="s">
        <v>2813</v>
      </c>
      <c r="I2153" s="2">
        <v>1.9194444444444445</v>
      </c>
      <c r="J2153" s="4" t="str">
        <f>IF(Table1[[#This Row],[processing_time_hours]]&gt;1.5,"Slow", "Fast")</f>
        <v>Slow</v>
      </c>
      <c r="K2153" t="s">
        <v>2821</v>
      </c>
      <c r="L2153" s="3">
        <v>0</v>
      </c>
      <c r="M2153" t="str">
        <f>IF(Table1[[#This Row],[delayed]]=1,"Delayed","On Time")</f>
        <v>On Time</v>
      </c>
      <c r="N2153" t="str">
        <f>IF(AND(Table1[[#This Row],[delayed]]=1,Table1[[#This Row],[weather_condition]]="Storm"),"High Risk", IF(Table1[[#This Row],[delayed]]=1,"Medium Risk","Low Risk"))</f>
        <v>Low Risk</v>
      </c>
    </row>
    <row r="2154" spans="1:14" x14ac:dyDescent="0.35">
      <c r="A2154">
        <v>2153</v>
      </c>
      <c r="B2154" s="1">
        <v>45016.666666666664</v>
      </c>
      <c r="C2154" s="2">
        <v>5.486111111111111E-2</v>
      </c>
      <c r="D2154" s="3">
        <v>2762</v>
      </c>
      <c r="E2154" s="3">
        <v>106</v>
      </c>
      <c r="F2154" s="2">
        <v>62.422222222222224</v>
      </c>
      <c r="G2154" t="s">
        <v>2812</v>
      </c>
      <c r="H2154" t="s">
        <v>2813</v>
      </c>
      <c r="I2154" s="2">
        <v>2.1694444444444447</v>
      </c>
      <c r="J2154" s="4" t="str">
        <f>IF(Table1[[#This Row],[processing_time_hours]]&gt;1.5,"Slow", "Fast")</f>
        <v>Slow</v>
      </c>
      <c r="K2154" t="s">
        <v>2814</v>
      </c>
      <c r="L2154" s="3">
        <v>1</v>
      </c>
      <c r="M2154" t="str">
        <f>IF(Table1[[#This Row],[delayed]]=1,"Delayed","On Time")</f>
        <v>Delayed</v>
      </c>
      <c r="N2154" t="str">
        <f>IF(AND(Table1[[#This Row],[delayed]]=1,Table1[[#This Row],[weather_condition]]="Storm"),"High Risk", IF(Table1[[#This Row],[delayed]]=1,"Medium Risk","Low Risk"))</f>
        <v>Medium Risk</v>
      </c>
    </row>
    <row r="2155" spans="1:14" x14ac:dyDescent="0.35">
      <c r="A2155">
        <v>2154</v>
      </c>
      <c r="B2155" s="1">
        <v>45016.708333333336</v>
      </c>
      <c r="C2155" s="2">
        <v>4.3055555555555562E-2</v>
      </c>
      <c r="D2155" s="3">
        <v>4285</v>
      </c>
      <c r="E2155" s="3">
        <v>366</v>
      </c>
      <c r="F2155" s="2">
        <v>45.08680555555555</v>
      </c>
      <c r="G2155" t="s">
        <v>2819</v>
      </c>
      <c r="H2155" t="s">
        <v>2817</v>
      </c>
      <c r="I2155" s="2">
        <v>0.42291666666666666</v>
      </c>
      <c r="J2155" s="4" t="str">
        <f>IF(Table1[[#This Row],[processing_time_hours]]&gt;1.5,"Slow", "Fast")</f>
        <v>Fast</v>
      </c>
      <c r="K2155" t="s">
        <v>2821</v>
      </c>
      <c r="L2155" s="3">
        <v>0</v>
      </c>
      <c r="M2155" t="str">
        <f>IF(Table1[[#This Row],[delayed]]=1,"Delayed","On Time")</f>
        <v>On Time</v>
      </c>
      <c r="N2155" t="str">
        <f>IF(AND(Table1[[#This Row],[delayed]]=1,Table1[[#This Row],[weather_condition]]="Storm"),"High Risk", IF(Table1[[#This Row],[delayed]]=1,"Medium Risk","Low Risk"))</f>
        <v>Low Risk</v>
      </c>
    </row>
    <row r="2156" spans="1:14" x14ac:dyDescent="0.35">
      <c r="A2156">
        <v>2155</v>
      </c>
      <c r="B2156" s="1">
        <v>45016.75</v>
      </c>
      <c r="C2156" s="2">
        <v>4.3055555555555562E-2</v>
      </c>
      <c r="D2156" s="3">
        <v>3288</v>
      </c>
      <c r="E2156" s="3">
        <v>270</v>
      </c>
      <c r="F2156" s="2">
        <v>12.959722222222224</v>
      </c>
      <c r="G2156" t="s">
        <v>2819</v>
      </c>
      <c r="H2156" t="s">
        <v>2817</v>
      </c>
      <c r="I2156" s="2">
        <v>0.50069444444444444</v>
      </c>
      <c r="J2156" s="4" t="str">
        <f>IF(Table1[[#This Row],[processing_time_hours]]&gt;1.5,"Slow", "Fast")</f>
        <v>Fast</v>
      </c>
      <c r="K2156" t="s">
        <v>2821</v>
      </c>
      <c r="L2156" s="3">
        <v>1</v>
      </c>
      <c r="M2156" t="str">
        <f>IF(Table1[[#This Row],[delayed]]=1,"Delayed","On Time")</f>
        <v>Delayed</v>
      </c>
      <c r="N2156" t="str">
        <f>IF(AND(Table1[[#This Row],[delayed]]=1,Table1[[#This Row],[weather_condition]]="Storm"),"High Risk", IF(Table1[[#This Row],[delayed]]=1,"Medium Risk","Low Risk"))</f>
        <v>High Risk</v>
      </c>
    </row>
    <row r="2157" spans="1:14" x14ac:dyDescent="0.35">
      <c r="A2157">
        <v>2156</v>
      </c>
      <c r="B2157" s="1">
        <v>45016.791666666664</v>
      </c>
      <c r="C2157" s="2">
        <v>4.3055555555555562E-2</v>
      </c>
      <c r="D2157" s="3">
        <v>2726</v>
      </c>
      <c r="E2157" s="3">
        <v>131</v>
      </c>
      <c r="F2157" s="2">
        <v>24.880555555555556</v>
      </c>
      <c r="G2157" t="s">
        <v>2815</v>
      </c>
      <c r="H2157" t="s">
        <v>2817</v>
      </c>
      <c r="I2157" s="2">
        <v>1.5888888888888888</v>
      </c>
      <c r="J2157" s="4" t="str">
        <f>IF(Table1[[#This Row],[processing_time_hours]]&gt;1.5,"Slow", "Fast")</f>
        <v>Slow</v>
      </c>
      <c r="K2157" t="s">
        <v>2814</v>
      </c>
      <c r="L2157" s="3">
        <v>0</v>
      </c>
      <c r="M2157" t="str">
        <f>IF(Table1[[#This Row],[delayed]]=1,"Delayed","On Time")</f>
        <v>On Time</v>
      </c>
      <c r="N2157" t="str">
        <f>IF(AND(Table1[[#This Row],[delayed]]=1,Table1[[#This Row],[weather_condition]]="Storm"),"High Risk", IF(Table1[[#This Row],[delayed]]=1,"Medium Risk","Low Risk"))</f>
        <v>Low Risk</v>
      </c>
    </row>
    <row r="2158" spans="1:14" x14ac:dyDescent="0.35">
      <c r="A2158">
        <v>2157</v>
      </c>
      <c r="B2158" s="1">
        <v>45016.833333333336</v>
      </c>
      <c r="C2158" s="2">
        <v>5.1388888888888894E-2</v>
      </c>
      <c r="D2158" s="3">
        <v>4179</v>
      </c>
      <c r="E2158" s="3">
        <v>7</v>
      </c>
      <c r="F2158" s="2">
        <v>74.63055555555556</v>
      </c>
      <c r="G2158" t="s">
        <v>2815</v>
      </c>
      <c r="H2158" t="s">
        <v>2813</v>
      </c>
      <c r="I2158" s="2">
        <v>1.7541666666666667</v>
      </c>
      <c r="J2158" s="4" t="str">
        <f>IF(Table1[[#This Row],[processing_time_hours]]&gt;1.5,"Slow", "Fast")</f>
        <v>Slow</v>
      </c>
      <c r="K2158" t="s">
        <v>2818</v>
      </c>
      <c r="L2158" s="3">
        <v>1</v>
      </c>
      <c r="M2158" t="str">
        <f>IF(Table1[[#This Row],[delayed]]=1,"Delayed","On Time")</f>
        <v>Delayed</v>
      </c>
      <c r="N2158" t="str">
        <f>IF(AND(Table1[[#This Row],[delayed]]=1,Table1[[#This Row],[weather_condition]]="Storm"),"High Risk", IF(Table1[[#This Row],[delayed]]=1,"Medium Risk","Low Risk"))</f>
        <v>Medium Risk</v>
      </c>
    </row>
    <row r="2159" spans="1:14" x14ac:dyDescent="0.35">
      <c r="A2159">
        <v>2158</v>
      </c>
      <c r="B2159" s="1">
        <v>45016.875</v>
      </c>
      <c r="C2159" s="2">
        <v>6.7361111111111108E-2</v>
      </c>
      <c r="D2159" s="3">
        <v>2857</v>
      </c>
      <c r="E2159" s="3">
        <v>86</v>
      </c>
      <c r="F2159" s="2">
        <v>56.628472222222221</v>
      </c>
      <c r="G2159" t="s">
        <v>2812</v>
      </c>
      <c r="H2159" t="s">
        <v>2817</v>
      </c>
      <c r="I2159" s="2">
        <v>2.2979166666666666</v>
      </c>
      <c r="J2159" s="4" t="str">
        <f>IF(Table1[[#This Row],[processing_time_hours]]&gt;1.5,"Slow", "Fast")</f>
        <v>Slow</v>
      </c>
      <c r="K2159" t="s">
        <v>2814</v>
      </c>
      <c r="L2159" s="3">
        <v>1</v>
      </c>
      <c r="M2159" t="str">
        <f>IF(Table1[[#This Row],[delayed]]=1,"Delayed","On Time")</f>
        <v>Delayed</v>
      </c>
      <c r="N2159" t="str">
        <f>IF(AND(Table1[[#This Row],[delayed]]=1,Table1[[#This Row],[weather_condition]]="Storm"),"High Risk", IF(Table1[[#This Row],[delayed]]=1,"Medium Risk","Low Risk"))</f>
        <v>High Risk</v>
      </c>
    </row>
    <row r="2160" spans="1:14" x14ac:dyDescent="0.35">
      <c r="A2160">
        <v>2159</v>
      </c>
      <c r="B2160" s="1">
        <v>45016.916666666664</v>
      </c>
      <c r="C2160" s="2">
        <v>5.0694444444444438E-2</v>
      </c>
      <c r="D2160" s="3">
        <v>1782</v>
      </c>
      <c r="E2160" s="3">
        <v>55</v>
      </c>
      <c r="F2160" s="2">
        <v>66.25</v>
      </c>
      <c r="G2160" t="s">
        <v>2815</v>
      </c>
      <c r="H2160" t="s">
        <v>2822</v>
      </c>
      <c r="I2160" s="2">
        <v>0.3756944444444445</v>
      </c>
      <c r="J2160" s="4" t="str">
        <f>IF(Table1[[#This Row],[processing_time_hours]]&gt;1.5,"Slow", "Fast")</f>
        <v>Fast</v>
      </c>
      <c r="K2160" t="s">
        <v>2821</v>
      </c>
      <c r="L2160" s="3">
        <v>1</v>
      </c>
      <c r="M2160" t="str">
        <f>IF(Table1[[#This Row],[delayed]]=1,"Delayed","On Time")</f>
        <v>Delayed</v>
      </c>
      <c r="N2160" t="str">
        <f>IF(AND(Table1[[#This Row],[delayed]]=1,Table1[[#This Row],[weather_condition]]="Storm"),"High Risk", IF(Table1[[#This Row],[delayed]]=1,"Medium Risk","Low Risk"))</f>
        <v>Medium Risk</v>
      </c>
    </row>
    <row r="2161" spans="1:14" x14ac:dyDescent="0.35">
      <c r="A2161">
        <v>2160</v>
      </c>
      <c r="B2161" s="1">
        <v>45016.958333333336</v>
      </c>
      <c r="C2161" s="2">
        <v>6.458333333333334E-2</v>
      </c>
      <c r="D2161" s="3">
        <v>1768</v>
      </c>
      <c r="E2161" s="3">
        <v>14</v>
      </c>
      <c r="F2161" s="2">
        <v>44.25555555555556</v>
      </c>
      <c r="G2161" t="s">
        <v>2819</v>
      </c>
      <c r="H2161" t="s">
        <v>2817</v>
      </c>
      <c r="I2161" s="2">
        <v>1.16875</v>
      </c>
      <c r="J2161" s="4" t="str">
        <f>IF(Table1[[#This Row],[processing_time_hours]]&gt;1.5,"Slow", "Fast")</f>
        <v>Fast</v>
      </c>
      <c r="K2161" t="s">
        <v>2818</v>
      </c>
      <c r="L2161" s="3">
        <v>0</v>
      </c>
      <c r="M2161" t="str">
        <f>IF(Table1[[#This Row],[delayed]]=1,"Delayed","On Time")</f>
        <v>On Time</v>
      </c>
      <c r="N2161" t="str">
        <f>IF(AND(Table1[[#This Row],[delayed]]=1,Table1[[#This Row],[weather_condition]]="Storm"),"High Risk", IF(Table1[[#This Row],[delayed]]=1,"Medium Risk","Low Risk"))</f>
        <v>Low Risk</v>
      </c>
    </row>
    <row r="2162" spans="1:14" x14ac:dyDescent="0.35">
      <c r="A2162">
        <v>2161</v>
      </c>
      <c r="B2162" s="1">
        <v>45017</v>
      </c>
      <c r="C2162" s="2">
        <v>5.9722222222222225E-2</v>
      </c>
      <c r="D2162" s="3">
        <v>4598</v>
      </c>
      <c r="E2162" s="3">
        <v>487</v>
      </c>
      <c r="F2162" s="2">
        <v>63.922916666666673</v>
      </c>
      <c r="G2162" t="s">
        <v>2819</v>
      </c>
      <c r="H2162" t="s">
        <v>2813</v>
      </c>
      <c r="I2162" s="2">
        <v>2.088888888888889</v>
      </c>
      <c r="J2162" s="4" t="str">
        <f>IF(Table1[[#This Row],[processing_time_hours]]&gt;1.5,"Slow", "Fast")</f>
        <v>Slow</v>
      </c>
      <c r="K2162" t="s">
        <v>2821</v>
      </c>
      <c r="L2162" s="3">
        <v>0</v>
      </c>
      <c r="M2162" t="str">
        <f>IF(Table1[[#This Row],[delayed]]=1,"Delayed","On Time")</f>
        <v>On Time</v>
      </c>
      <c r="N2162" t="str">
        <f>IF(AND(Table1[[#This Row],[delayed]]=1,Table1[[#This Row],[weather_condition]]="Storm"),"High Risk", IF(Table1[[#This Row],[delayed]]=1,"Medium Risk","Low Risk"))</f>
        <v>Low Risk</v>
      </c>
    </row>
    <row r="2163" spans="1:14" x14ac:dyDescent="0.35">
      <c r="A2163">
        <v>2162</v>
      </c>
      <c r="B2163" s="1">
        <v>45017.041666666664</v>
      </c>
      <c r="C2163" s="2">
        <v>6.1111111111111109E-2</v>
      </c>
      <c r="D2163" s="3">
        <v>2361</v>
      </c>
      <c r="E2163" s="3">
        <v>73</v>
      </c>
      <c r="F2163" s="2">
        <v>49.08819444444444</v>
      </c>
      <c r="G2163" t="s">
        <v>2812</v>
      </c>
      <c r="H2163" t="s">
        <v>2822</v>
      </c>
      <c r="I2163" s="2">
        <v>2.625</v>
      </c>
      <c r="J2163" s="4" t="str">
        <f>IF(Table1[[#This Row],[processing_time_hours]]&gt;1.5,"Slow", "Fast")</f>
        <v>Slow</v>
      </c>
      <c r="K2163" t="s">
        <v>2818</v>
      </c>
      <c r="L2163" s="3">
        <v>1</v>
      </c>
      <c r="M2163" t="str">
        <f>IF(Table1[[#This Row],[delayed]]=1,"Delayed","On Time")</f>
        <v>Delayed</v>
      </c>
      <c r="N2163" t="str">
        <f>IF(AND(Table1[[#This Row],[delayed]]=1,Table1[[#This Row],[weather_condition]]="Storm"),"High Risk", IF(Table1[[#This Row],[delayed]]=1,"Medium Risk","Low Risk"))</f>
        <v>Medium Risk</v>
      </c>
    </row>
    <row r="2164" spans="1:14" x14ac:dyDescent="0.35">
      <c r="A2164">
        <v>2163</v>
      </c>
      <c r="B2164" s="1">
        <v>45017.083333333336</v>
      </c>
      <c r="C2164" s="2">
        <v>5.9722222222222225E-2</v>
      </c>
      <c r="D2164" s="3">
        <v>513</v>
      </c>
      <c r="E2164" s="3">
        <v>309</v>
      </c>
      <c r="F2164" s="2">
        <v>16.546527777777779</v>
      </c>
      <c r="G2164" t="s">
        <v>2815</v>
      </c>
      <c r="H2164" t="s">
        <v>2817</v>
      </c>
      <c r="I2164" s="2">
        <v>1.7916666666666667</v>
      </c>
      <c r="J2164" s="4" t="str">
        <f>IF(Table1[[#This Row],[processing_time_hours]]&gt;1.5,"Slow", "Fast")</f>
        <v>Slow</v>
      </c>
      <c r="K2164" t="s">
        <v>2814</v>
      </c>
      <c r="L2164" s="3">
        <v>0</v>
      </c>
      <c r="M2164" t="str">
        <f>IF(Table1[[#This Row],[delayed]]=1,"Delayed","On Time")</f>
        <v>On Time</v>
      </c>
      <c r="N2164" t="str">
        <f>IF(AND(Table1[[#This Row],[delayed]]=1,Table1[[#This Row],[weather_condition]]="Storm"),"High Risk", IF(Table1[[#This Row],[delayed]]=1,"Medium Risk","Low Risk"))</f>
        <v>Low Risk</v>
      </c>
    </row>
    <row r="2165" spans="1:14" x14ac:dyDescent="0.35">
      <c r="A2165">
        <v>2164</v>
      </c>
      <c r="B2165" s="1">
        <v>45017.125</v>
      </c>
      <c r="C2165" s="2">
        <v>4.7222222222222221E-2</v>
      </c>
      <c r="D2165" s="3">
        <v>4449</v>
      </c>
      <c r="E2165" s="3">
        <v>100</v>
      </c>
      <c r="F2165" s="2">
        <v>11.33611111111111</v>
      </c>
      <c r="G2165" t="s">
        <v>2815</v>
      </c>
      <c r="H2165" t="s">
        <v>2820</v>
      </c>
      <c r="I2165" s="2">
        <v>0.66805555555555562</v>
      </c>
      <c r="J2165" s="4" t="str">
        <f>IF(Table1[[#This Row],[processing_time_hours]]&gt;1.5,"Slow", "Fast")</f>
        <v>Fast</v>
      </c>
      <c r="K2165" t="s">
        <v>2818</v>
      </c>
      <c r="L2165" s="3">
        <v>0</v>
      </c>
      <c r="M2165" t="str">
        <f>IF(Table1[[#This Row],[delayed]]=1,"Delayed","On Time")</f>
        <v>On Time</v>
      </c>
      <c r="N2165" t="str">
        <f>IF(AND(Table1[[#This Row],[delayed]]=1,Table1[[#This Row],[weather_condition]]="Storm"),"High Risk", IF(Table1[[#This Row],[delayed]]=1,"Medium Risk","Low Risk"))</f>
        <v>Low Risk</v>
      </c>
    </row>
    <row r="2166" spans="1:14" x14ac:dyDescent="0.35">
      <c r="A2166">
        <v>2165</v>
      </c>
      <c r="B2166" s="1">
        <v>45017.166666666664</v>
      </c>
      <c r="C2166" s="2">
        <v>6.5972222222222224E-2</v>
      </c>
      <c r="D2166" s="3">
        <v>1944</v>
      </c>
      <c r="E2166" s="3">
        <v>185</v>
      </c>
      <c r="F2166" s="2">
        <v>30.625</v>
      </c>
      <c r="G2166" t="s">
        <v>2815</v>
      </c>
      <c r="H2166" t="s">
        <v>2822</v>
      </c>
      <c r="I2166" s="2">
        <v>0.29652777777777778</v>
      </c>
      <c r="J2166" s="4" t="str">
        <f>IF(Table1[[#This Row],[processing_time_hours]]&gt;1.5,"Slow", "Fast")</f>
        <v>Fast</v>
      </c>
      <c r="K2166" t="s">
        <v>2814</v>
      </c>
      <c r="L2166" s="3">
        <v>1</v>
      </c>
      <c r="M2166" t="str">
        <f>IF(Table1[[#This Row],[delayed]]=1,"Delayed","On Time")</f>
        <v>Delayed</v>
      </c>
      <c r="N2166" t="str">
        <f>IF(AND(Table1[[#This Row],[delayed]]=1,Table1[[#This Row],[weather_condition]]="Storm"),"High Risk", IF(Table1[[#This Row],[delayed]]=1,"Medium Risk","Low Risk"))</f>
        <v>Medium Risk</v>
      </c>
    </row>
    <row r="2167" spans="1:14" x14ac:dyDescent="0.35">
      <c r="A2167">
        <v>2166</v>
      </c>
      <c r="B2167" s="1">
        <v>45017.208333333336</v>
      </c>
      <c r="C2167" s="2">
        <v>5.3472222222222227E-2</v>
      </c>
      <c r="D2167" s="3">
        <v>4453</v>
      </c>
      <c r="E2167" s="3">
        <v>422</v>
      </c>
      <c r="F2167" s="2">
        <v>39.208333333333336</v>
      </c>
      <c r="G2167" t="s">
        <v>2815</v>
      </c>
      <c r="H2167" t="s">
        <v>2813</v>
      </c>
      <c r="I2167" s="2">
        <v>2.0041666666666669</v>
      </c>
      <c r="J2167" s="4" t="str">
        <f>IF(Table1[[#This Row],[processing_time_hours]]&gt;1.5,"Slow", "Fast")</f>
        <v>Slow</v>
      </c>
      <c r="K2167" t="s">
        <v>2818</v>
      </c>
      <c r="L2167" s="3">
        <v>0</v>
      </c>
      <c r="M2167" t="str">
        <f>IF(Table1[[#This Row],[delayed]]=1,"Delayed","On Time")</f>
        <v>On Time</v>
      </c>
      <c r="N2167" t="str">
        <f>IF(AND(Table1[[#This Row],[delayed]]=1,Table1[[#This Row],[weather_condition]]="Storm"),"High Risk", IF(Table1[[#This Row],[delayed]]=1,"Medium Risk","Low Risk"))</f>
        <v>Low Risk</v>
      </c>
    </row>
    <row r="2168" spans="1:14" x14ac:dyDescent="0.35">
      <c r="A2168">
        <v>2167</v>
      </c>
      <c r="B2168" s="1">
        <v>45017.25</v>
      </c>
      <c r="C2168" s="2">
        <v>6.7361111111111108E-2</v>
      </c>
      <c r="D2168" s="3">
        <v>1376</v>
      </c>
      <c r="E2168" s="3">
        <v>134</v>
      </c>
      <c r="F2168" s="2">
        <v>5.7131944444444445</v>
      </c>
      <c r="G2168" t="s">
        <v>2812</v>
      </c>
      <c r="H2168" t="s">
        <v>2820</v>
      </c>
      <c r="I2168" s="2">
        <v>1.2083333333333333</v>
      </c>
      <c r="J2168" s="4" t="str">
        <f>IF(Table1[[#This Row],[processing_time_hours]]&gt;1.5,"Slow", "Fast")</f>
        <v>Fast</v>
      </c>
      <c r="K2168" t="s">
        <v>2818</v>
      </c>
      <c r="L2168" s="3">
        <v>0</v>
      </c>
      <c r="M2168" t="str">
        <f>IF(Table1[[#This Row],[delayed]]=1,"Delayed","On Time")</f>
        <v>On Time</v>
      </c>
      <c r="N2168" t="str">
        <f>IF(AND(Table1[[#This Row],[delayed]]=1,Table1[[#This Row],[weather_condition]]="Storm"),"High Risk", IF(Table1[[#This Row],[delayed]]=1,"Medium Risk","Low Risk"))</f>
        <v>Low Risk</v>
      </c>
    </row>
    <row r="2169" spans="1:14" x14ac:dyDescent="0.35">
      <c r="A2169">
        <v>2168</v>
      </c>
      <c r="B2169" s="1">
        <v>45017.291666666664</v>
      </c>
      <c r="C2169" s="2">
        <v>4.2361111111111106E-2</v>
      </c>
      <c r="D2169" s="3">
        <v>3340</v>
      </c>
      <c r="E2169" s="3">
        <v>105</v>
      </c>
      <c r="F2169" s="2">
        <v>56.541666666666664</v>
      </c>
      <c r="G2169" t="s">
        <v>2816</v>
      </c>
      <c r="H2169" t="s">
        <v>2822</v>
      </c>
      <c r="I2169" s="2">
        <v>1.125</v>
      </c>
      <c r="J2169" s="4" t="str">
        <f>IF(Table1[[#This Row],[processing_time_hours]]&gt;1.5,"Slow", "Fast")</f>
        <v>Fast</v>
      </c>
      <c r="K2169" t="s">
        <v>2818</v>
      </c>
      <c r="L2169" s="3">
        <v>1</v>
      </c>
      <c r="M2169" t="str">
        <f>IF(Table1[[#This Row],[delayed]]=1,"Delayed","On Time")</f>
        <v>Delayed</v>
      </c>
      <c r="N2169" t="str">
        <f>IF(AND(Table1[[#This Row],[delayed]]=1,Table1[[#This Row],[weather_condition]]="Storm"),"High Risk", IF(Table1[[#This Row],[delayed]]=1,"Medium Risk","Low Risk"))</f>
        <v>Medium Risk</v>
      </c>
    </row>
    <row r="2170" spans="1:14" x14ac:dyDescent="0.35">
      <c r="A2170">
        <v>2169</v>
      </c>
      <c r="B2170" s="1">
        <v>45017.333333333336</v>
      </c>
      <c r="C2170" s="2">
        <v>4.5138888888888888E-2</v>
      </c>
      <c r="D2170" s="3">
        <v>2213</v>
      </c>
      <c r="E2170" s="3">
        <v>44</v>
      </c>
      <c r="F2170" s="2">
        <v>62.25</v>
      </c>
      <c r="G2170" t="s">
        <v>2819</v>
      </c>
      <c r="H2170" t="s">
        <v>2820</v>
      </c>
      <c r="I2170" s="2">
        <v>1.2548611111111112</v>
      </c>
      <c r="J2170" s="4" t="str">
        <f>IF(Table1[[#This Row],[processing_time_hours]]&gt;1.5,"Slow", "Fast")</f>
        <v>Fast</v>
      </c>
      <c r="K2170" t="s">
        <v>2814</v>
      </c>
      <c r="L2170" s="3">
        <v>0</v>
      </c>
      <c r="M2170" t="str">
        <f>IF(Table1[[#This Row],[delayed]]=1,"Delayed","On Time")</f>
        <v>On Time</v>
      </c>
      <c r="N2170" t="str">
        <f>IF(AND(Table1[[#This Row],[delayed]]=1,Table1[[#This Row],[weather_condition]]="Storm"),"High Risk", IF(Table1[[#This Row],[delayed]]=1,"Medium Risk","Low Risk"))</f>
        <v>Low Risk</v>
      </c>
    </row>
    <row r="2171" spans="1:14" x14ac:dyDescent="0.35">
      <c r="A2171">
        <v>2170</v>
      </c>
      <c r="B2171" s="1">
        <v>45017.375</v>
      </c>
      <c r="C2171" s="2">
        <v>4.5138888888888888E-2</v>
      </c>
      <c r="D2171" s="3">
        <v>2156</v>
      </c>
      <c r="E2171" s="3">
        <v>266</v>
      </c>
      <c r="F2171" s="2">
        <v>80.25555555555556</v>
      </c>
      <c r="G2171" t="s">
        <v>2819</v>
      </c>
      <c r="H2171" t="s">
        <v>2822</v>
      </c>
      <c r="I2171" s="2">
        <v>1.1305555555555555</v>
      </c>
      <c r="J2171" s="4" t="str">
        <f>IF(Table1[[#This Row],[processing_time_hours]]&gt;1.5,"Slow", "Fast")</f>
        <v>Fast</v>
      </c>
      <c r="K2171" t="s">
        <v>2818</v>
      </c>
      <c r="L2171" s="3">
        <v>0</v>
      </c>
      <c r="M2171" t="str">
        <f>IF(Table1[[#This Row],[delayed]]=1,"Delayed","On Time")</f>
        <v>On Time</v>
      </c>
      <c r="N2171" t="str">
        <f>IF(AND(Table1[[#This Row],[delayed]]=1,Table1[[#This Row],[weather_condition]]="Storm"),"High Risk", IF(Table1[[#This Row],[delayed]]=1,"Medium Risk","Low Risk"))</f>
        <v>Low Risk</v>
      </c>
    </row>
    <row r="2172" spans="1:14" x14ac:dyDescent="0.35">
      <c r="A2172">
        <v>2171</v>
      </c>
      <c r="B2172" s="1">
        <v>45017.416666666664</v>
      </c>
      <c r="C2172" s="2">
        <v>6.1805555555555558E-2</v>
      </c>
      <c r="D2172" s="3">
        <v>858</v>
      </c>
      <c r="E2172" s="3">
        <v>307</v>
      </c>
      <c r="F2172" s="2">
        <v>10.919444444444444</v>
      </c>
      <c r="G2172" t="s">
        <v>2812</v>
      </c>
      <c r="H2172" t="s">
        <v>2820</v>
      </c>
      <c r="I2172" s="2">
        <v>2.3784722222222223</v>
      </c>
      <c r="J2172" s="4" t="str">
        <f>IF(Table1[[#This Row],[processing_time_hours]]&gt;1.5,"Slow", "Fast")</f>
        <v>Slow</v>
      </c>
      <c r="K2172" t="s">
        <v>2818</v>
      </c>
      <c r="L2172" s="3">
        <v>0</v>
      </c>
      <c r="M2172" t="str">
        <f>IF(Table1[[#This Row],[delayed]]=1,"Delayed","On Time")</f>
        <v>On Time</v>
      </c>
      <c r="N2172" t="str">
        <f>IF(AND(Table1[[#This Row],[delayed]]=1,Table1[[#This Row],[weather_condition]]="Storm"),"High Risk", IF(Table1[[#This Row],[delayed]]=1,"Medium Risk","Low Risk"))</f>
        <v>Low Risk</v>
      </c>
    </row>
    <row r="2173" spans="1:14" x14ac:dyDescent="0.35">
      <c r="A2173">
        <v>2172</v>
      </c>
      <c r="B2173" s="1">
        <v>45017.458333333336</v>
      </c>
      <c r="C2173" s="2">
        <v>4.4444444444444446E-2</v>
      </c>
      <c r="D2173" s="3">
        <v>3684</v>
      </c>
      <c r="E2173" s="3">
        <v>487</v>
      </c>
      <c r="F2173" s="2">
        <v>39.125694444444441</v>
      </c>
      <c r="G2173" t="s">
        <v>2816</v>
      </c>
      <c r="H2173" t="s">
        <v>2822</v>
      </c>
      <c r="I2173" s="2">
        <v>0.17291666666666669</v>
      </c>
      <c r="J2173" s="4" t="str">
        <f>IF(Table1[[#This Row],[processing_time_hours]]&gt;1.5,"Slow", "Fast")</f>
        <v>Fast</v>
      </c>
      <c r="K2173" t="s">
        <v>2818</v>
      </c>
      <c r="L2173" s="3">
        <v>0</v>
      </c>
      <c r="M2173" t="str">
        <f>IF(Table1[[#This Row],[delayed]]=1,"Delayed","On Time")</f>
        <v>On Time</v>
      </c>
      <c r="N2173" t="str">
        <f>IF(AND(Table1[[#This Row],[delayed]]=1,Table1[[#This Row],[weather_condition]]="Storm"),"High Risk", IF(Table1[[#This Row],[delayed]]=1,"Medium Risk","Low Risk"))</f>
        <v>Low Risk</v>
      </c>
    </row>
    <row r="2174" spans="1:14" x14ac:dyDescent="0.35">
      <c r="A2174">
        <v>2173</v>
      </c>
      <c r="B2174" s="1">
        <v>45017.5</v>
      </c>
      <c r="C2174" s="2">
        <v>5.3472222222222227E-2</v>
      </c>
      <c r="D2174" s="3">
        <v>1753</v>
      </c>
      <c r="E2174" s="3">
        <v>468</v>
      </c>
      <c r="F2174" s="2">
        <v>15.380555555555555</v>
      </c>
      <c r="G2174" t="s">
        <v>2815</v>
      </c>
      <c r="H2174" t="s">
        <v>2822</v>
      </c>
      <c r="I2174" s="2">
        <v>2.1708333333333334</v>
      </c>
      <c r="J2174" s="4" t="str">
        <f>IF(Table1[[#This Row],[processing_time_hours]]&gt;1.5,"Slow", "Fast")</f>
        <v>Slow</v>
      </c>
      <c r="K2174" t="s">
        <v>2814</v>
      </c>
      <c r="L2174" s="3">
        <v>0</v>
      </c>
      <c r="M2174" t="str">
        <f>IF(Table1[[#This Row],[delayed]]=1,"Delayed","On Time")</f>
        <v>On Time</v>
      </c>
      <c r="N2174" t="str">
        <f>IF(AND(Table1[[#This Row],[delayed]]=1,Table1[[#This Row],[weather_condition]]="Storm"),"High Risk", IF(Table1[[#This Row],[delayed]]=1,"Medium Risk","Low Risk"))</f>
        <v>Low Risk</v>
      </c>
    </row>
    <row r="2175" spans="1:14" x14ac:dyDescent="0.35">
      <c r="A2175">
        <v>2174</v>
      </c>
      <c r="B2175" s="1">
        <v>45017.541666666664</v>
      </c>
      <c r="C2175" s="2">
        <v>5.6250000000000001E-2</v>
      </c>
      <c r="D2175" s="3">
        <v>476</v>
      </c>
      <c r="E2175" s="3">
        <v>8</v>
      </c>
      <c r="F2175" s="2">
        <v>57.504861111111104</v>
      </c>
      <c r="G2175" t="s">
        <v>2812</v>
      </c>
      <c r="H2175" t="s">
        <v>2822</v>
      </c>
      <c r="I2175" s="2">
        <v>0.70833333333333337</v>
      </c>
      <c r="J2175" s="4" t="str">
        <f>IF(Table1[[#This Row],[processing_time_hours]]&gt;1.5,"Slow", "Fast")</f>
        <v>Fast</v>
      </c>
      <c r="K2175" t="s">
        <v>2814</v>
      </c>
      <c r="L2175" s="3">
        <v>0</v>
      </c>
      <c r="M2175" t="str">
        <f>IF(Table1[[#This Row],[delayed]]=1,"Delayed","On Time")</f>
        <v>On Time</v>
      </c>
      <c r="N2175" t="str">
        <f>IF(AND(Table1[[#This Row],[delayed]]=1,Table1[[#This Row],[weather_condition]]="Storm"),"High Risk", IF(Table1[[#This Row],[delayed]]=1,"Medium Risk","Low Risk"))</f>
        <v>Low Risk</v>
      </c>
    </row>
    <row r="2176" spans="1:14" x14ac:dyDescent="0.35">
      <c r="A2176">
        <v>2175</v>
      </c>
      <c r="B2176" s="1">
        <v>45017.583333333336</v>
      </c>
      <c r="C2176" s="2">
        <v>5.6250000000000001E-2</v>
      </c>
      <c r="D2176" s="3">
        <v>2652</v>
      </c>
      <c r="E2176" s="3">
        <v>362</v>
      </c>
      <c r="F2176" s="2">
        <v>74.297916666666666</v>
      </c>
      <c r="G2176" t="s">
        <v>2815</v>
      </c>
      <c r="H2176" t="s">
        <v>2820</v>
      </c>
      <c r="I2176" s="2">
        <v>2.6729166666666671</v>
      </c>
      <c r="J2176" s="4" t="str">
        <f>IF(Table1[[#This Row],[processing_time_hours]]&gt;1.5,"Slow", "Fast")</f>
        <v>Slow</v>
      </c>
      <c r="K2176" t="s">
        <v>2821</v>
      </c>
      <c r="L2176" s="3">
        <v>1</v>
      </c>
      <c r="M2176" t="str">
        <f>IF(Table1[[#This Row],[delayed]]=1,"Delayed","On Time")</f>
        <v>Delayed</v>
      </c>
      <c r="N2176" t="str">
        <f>IF(AND(Table1[[#This Row],[delayed]]=1,Table1[[#This Row],[weather_condition]]="Storm"),"High Risk", IF(Table1[[#This Row],[delayed]]=1,"Medium Risk","Low Risk"))</f>
        <v>Medium Risk</v>
      </c>
    </row>
    <row r="2177" spans="1:14" x14ac:dyDescent="0.35">
      <c r="A2177">
        <v>2176</v>
      </c>
      <c r="B2177" s="1">
        <v>45017.625</v>
      </c>
      <c r="C2177" s="2">
        <v>4.9999999999999996E-2</v>
      </c>
      <c r="D2177" s="3">
        <v>2575</v>
      </c>
      <c r="E2177" s="3">
        <v>409</v>
      </c>
      <c r="F2177" s="2">
        <v>59.13055555555556</v>
      </c>
      <c r="G2177" t="s">
        <v>2816</v>
      </c>
      <c r="H2177" t="s">
        <v>2822</v>
      </c>
      <c r="I2177" s="2">
        <v>0.37916666666666665</v>
      </c>
      <c r="J2177" s="4" t="str">
        <f>IF(Table1[[#This Row],[processing_time_hours]]&gt;1.5,"Slow", "Fast")</f>
        <v>Fast</v>
      </c>
      <c r="K2177" t="s">
        <v>2814</v>
      </c>
      <c r="L2177" s="3">
        <v>0</v>
      </c>
      <c r="M2177" t="str">
        <f>IF(Table1[[#This Row],[delayed]]=1,"Delayed","On Time")</f>
        <v>On Time</v>
      </c>
      <c r="N2177" t="str">
        <f>IF(AND(Table1[[#This Row],[delayed]]=1,Table1[[#This Row],[weather_condition]]="Storm"),"High Risk", IF(Table1[[#This Row],[delayed]]=1,"Medium Risk","Low Risk"))</f>
        <v>Low Risk</v>
      </c>
    </row>
    <row r="2178" spans="1:14" x14ac:dyDescent="0.35">
      <c r="A2178">
        <v>2177</v>
      </c>
      <c r="B2178" s="1">
        <v>45017.666666666664</v>
      </c>
      <c r="C2178" s="2">
        <v>6.5972222222222224E-2</v>
      </c>
      <c r="D2178" s="3">
        <v>1664</v>
      </c>
      <c r="E2178" s="3">
        <v>246</v>
      </c>
      <c r="F2178" s="2">
        <v>58.211111111111109</v>
      </c>
      <c r="G2178" t="s">
        <v>2816</v>
      </c>
      <c r="H2178" t="s">
        <v>2817</v>
      </c>
      <c r="I2178" s="2">
        <v>2.8354166666666667</v>
      </c>
      <c r="J2178" s="4" t="str">
        <f>IF(Table1[[#This Row],[processing_time_hours]]&gt;1.5,"Slow", "Fast")</f>
        <v>Slow</v>
      </c>
      <c r="K2178" t="s">
        <v>2821</v>
      </c>
      <c r="L2178" s="3">
        <v>1</v>
      </c>
      <c r="M2178" t="str">
        <f>IF(Table1[[#This Row],[delayed]]=1,"Delayed","On Time")</f>
        <v>Delayed</v>
      </c>
      <c r="N2178" t="str">
        <f>IF(AND(Table1[[#This Row],[delayed]]=1,Table1[[#This Row],[weather_condition]]="Storm"),"High Risk", IF(Table1[[#This Row],[delayed]]=1,"Medium Risk","Low Risk"))</f>
        <v>High Risk</v>
      </c>
    </row>
    <row r="2179" spans="1:14" x14ac:dyDescent="0.35">
      <c r="A2179">
        <v>2178</v>
      </c>
      <c r="B2179" s="1">
        <v>45017.708333333336</v>
      </c>
      <c r="C2179" s="2">
        <v>5.4166666666666669E-2</v>
      </c>
      <c r="D2179" s="3">
        <v>4259</v>
      </c>
      <c r="E2179" s="3">
        <v>104</v>
      </c>
      <c r="F2179" s="2">
        <v>9.5861111111111104</v>
      </c>
      <c r="G2179" t="s">
        <v>2816</v>
      </c>
      <c r="H2179" t="s">
        <v>2822</v>
      </c>
      <c r="I2179" s="2">
        <v>2.4583333333333335</v>
      </c>
      <c r="J2179" s="4" t="str">
        <f>IF(Table1[[#This Row],[processing_time_hours]]&gt;1.5,"Slow", "Fast")</f>
        <v>Slow</v>
      </c>
      <c r="K2179" t="s">
        <v>2814</v>
      </c>
      <c r="L2179" s="3">
        <v>0</v>
      </c>
      <c r="M2179" t="str">
        <f>IF(Table1[[#This Row],[delayed]]=1,"Delayed","On Time")</f>
        <v>On Time</v>
      </c>
      <c r="N2179" t="str">
        <f>IF(AND(Table1[[#This Row],[delayed]]=1,Table1[[#This Row],[weather_condition]]="Storm"),"High Risk", IF(Table1[[#This Row],[delayed]]=1,"Medium Risk","Low Risk"))</f>
        <v>Low Risk</v>
      </c>
    </row>
    <row r="2180" spans="1:14" x14ac:dyDescent="0.35">
      <c r="A2180">
        <v>2179</v>
      </c>
      <c r="B2180" s="1">
        <v>45017.75</v>
      </c>
      <c r="C2180" s="2">
        <v>4.6527777777777779E-2</v>
      </c>
      <c r="D2180" s="3">
        <v>3589</v>
      </c>
      <c r="E2180" s="3">
        <v>314</v>
      </c>
      <c r="F2180" s="2">
        <v>38.879861111111111</v>
      </c>
      <c r="G2180" t="s">
        <v>2819</v>
      </c>
      <c r="H2180" t="s">
        <v>2822</v>
      </c>
      <c r="I2180" s="2">
        <v>0.58402777777777781</v>
      </c>
      <c r="J2180" s="4" t="str">
        <f>IF(Table1[[#This Row],[processing_time_hours]]&gt;1.5,"Slow", "Fast")</f>
        <v>Fast</v>
      </c>
      <c r="K2180" t="s">
        <v>2821</v>
      </c>
      <c r="L2180" s="3">
        <v>0</v>
      </c>
      <c r="M2180" t="str">
        <f>IF(Table1[[#This Row],[delayed]]=1,"Delayed","On Time")</f>
        <v>On Time</v>
      </c>
      <c r="N2180" t="str">
        <f>IF(AND(Table1[[#This Row],[delayed]]=1,Table1[[#This Row],[weather_condition]]="Storm"),"High Risk", IF(Table1[[#This Row],[delayed]]=1,"Medium Risk","Low Risk"))</f>
        <v>Low Risk</v>
      </c>
    </row>
    <row r="2181" spans="1:14" x14ac:dyDescent="0.35">
      <c r="A2181">
        <v>2180</v>
      </c>
      <c r="B2181" s="1">
        <v>45017.791666666664</v>
      </c>
      <c r="C2181" s="2">
        <v>5.6944444444444443E-2</v>
      </c>
      <c r="D2181" s="3">
        <v>2483</v>
      </c>
      <c r="E2181" s="3">
        <v>379</v>
      </c>
      <c r="F2181" s="2">
        <v>60.922222222222224</v>
      </c>
      <c r="G2181" t="s">
        <v>2815</v>
      </c>
      <c r="H2181" t="s">
        <v>2820</v>
      </c>
      <c r="I2181" s="2">
        <v>0.20972222222222223</v>
      </c>
      <c r="J2181" s="4" t="str">
        <f>IF(Table1[[#This Row],[processing_time_hours]]&gt;1.5,"Slow", "Fast")</f>
        <v>Fast</v>
      </c>
      <c r="K2181" t="s">
        <v>2814</v>
      </c>
      <c r="L2181" s="3">
        <v>0</v>
      </c>
      <c r="M2181" t="str">
        <f>IF(Table1[[#This Row],[delayed]]=1,"Delayed","On Time")</f>
        <v>On Time</v>
      </c>
      <c r="N2181" t="str">
        <f>IF(AND(Table1[[#This Row],[delayed]]=1,Table1[[#This Row],[weather_condition]]="Storm"),"High Risk", IF(Table1[[#This Row],[delayed]]=1,"Medium Risk","Low Risk"))</f>
        <v>Low Risk</v>
      </c>
    </row>
    <row r="2182" spans="1:14" x14ac:dyDescent="0.35">
      <c r="A2182">
        <v>2181</v>
      </c>
      <c r="B2182" s="1">
        <v>45017.833333333336</v>
      </c>
      <c r="C2182" s="2">
        <v>4.5138888888888888E-2</v>
      </c>
      <c r="D2182" s="3">
        <v>749</v>
      </c>
      <c r="E2182" s="3">
        <v>75</v>
      </c>
      <c r="F2182" s="2">
        <v>76.959027777777777</v>
      </c>
      <c r="G2182" t="s">
        <v>2815</v>
      </c>
      <c r="H2182" t="s">
        <v>2822</v>
      </c>
      <c r="I2182" s="2">
        <v>2.9604166666666667</v>
      </c>
      <c r="J2182" s="4" t="str">
        <f>IF(Table1[[#This Row],[processing_time_hours]]&gt;1.5,"Slow", "Fast")</f>
        <v>Slow</v>
      </c>
      <c r="K2182" t="s">
        <v>2821</v>
      </c>
      <c r="L2182" s="3">
        <v>0</v>
      </c>
      <c r="M2182" t="str">
        <f>IF(Table1[[#This Row],[delayed]]=1,"Delayed","On Time")</f>
        <v>On Time</v>
      </c>
      <c r="N2182" t="str">
        <f>IF(AND(Table1[[#This Row],[delayed]]=1,Table1[[#This Row],[weather_condition]]="Storm"),"High Risk", IF(Table1[[#This Row],[delayed]]=1,"Medium Risk","Low Risk"))</f>
        <v>Low Risk</v>
      </c>
    </row>
    <row r="2183" spans="1:14" x14ac:dyDescent="0.35">
      <c r="A2183">
        <v>2182</v>
      </c>
      <c r="B2183" s="1">
        <v>45017.875</v>
      </c>
      <c r="C2183" s="2">
        <v>6.0416666666666667E-2</v>
      </c>
      <c r="D2183" s="3">
        <v>4587</v>
      </c>
      <c r="E2183" s="3">
        <v>181</v>
      </c>
      <c r="F2183" s="2">
        <v>75.214583333333337</v>
      </c>
      <c r="G2183" t="s">
        <v>2819</v>
      </c>
      <c r="H2183" t="s">
        <v>2822</v>
      </c>
      <c r="I2183" s="2">
        <v>2.9590277777777776</v>
      </c>
      <c r="J2183" s="4" t="str">
        <f>IF(Table1[[#This Row],[processing_time_hours]]&gt;1.5,"Slow", "Fast")</f>
        <v>Slow</v>
      </c>
      <c r="K2183" t="s">
        <v>2821</v>
      </c>
      <c r="L2183" s="3">
        <v>1</v>
      </c>
      <c r="M2183" t="str">
        <f>IF(Table1[[#This Row],[delayed]]=1,"Delayed","On Time")</f>
        <v>Delayed</v>
      </c>
      <c r="N2183" t="str">
        <f>IF(AND(Table1[[#This Row],[delayed]]=1,Table1[[#This Row],[weather_condition]]="Storm"),"High Risk", IF(Table1[[#This Row],[delayed]]=1,"Medium Risk","Low Risk"))</f>
        <v>Medium Risk</v>
      </c>
    </row>
    <row r="2184" spans="1:14" x14ac:dyDescent="0.35">
      <c r="A2184">
        <v>2183</v>
      </c>
      <c r="B2184" s="1">
        <v>45017.916666666664</v>
      </c>
      <c r="C2184" s="2">
        <v>4.6527777777777779E-2</v>
      </c>
      <c r="D2184" s="3">
        <v>1501</v>
      </c>
      <c r="E2184" s="3">
        <v>179</v>
      </c>
      <c r="F2184" s="2">
        <v>38.087499999999999</v>
      </c>
      <c r="G2184" t="s">
        <v>2812</v>
      </c>
      <c r="H2184" t="s">
        <v>2820</v>
      </c>
      <c r="I2184" s="2">
        <v>0.58333333333333337</v>
      </c>
      <c r="J2184" s="4" t="str">
        <f>IF(Table1[[#This Row],[processing_time_hours]]&gt;1.5,"Slow", "Fast")</f>
        <v>Fast</v>
      </c>
      <c r="K2184" t="s">
        <v>2814</v>
      </c>
      <c r="L2184" s="3">
        <v>0</v>
      </c>
      <c r="M2184" t="str">
        <f>IF(Table1[[#This Row],[delayed]]=1,"Delayed","On Time")</f>
        <v>On Time</v>
      </c>
      <c r="N2184" t="str">
        <f>IF(AND(Table1[[#This Row],[delayed]]=1,Table1[[#This Row],[weather_condition]]="Storm"),"High Risk", IF(Table1[[#This Row],[delayed]]=1,"Medium Risk","Low Risk"))</f>
        <v>Low Risk</v>
      </c>
    </row>
    <row r="2185" spans="1:14" x14ac:dyDescent="0.35">
      <c r="A2185">
        <v>2184</v>
      </c>
      <c r="B2185" s="1">
        <v>45017.958333333336</v>
      </c>
      <c r="C2185" s="2">
        <v>6.6666666666666666E-2</v>
      </c>
      <c r="D2185" s="3">
        <v>2060</v>
      </c>
      <c r="E2185" s="3">
        <v>103</v>
      </c>
      <c r="F2185" s="2">
        <v>68.544444444444437</v>
      </c>
      <c r="G2185" t="s">
        <v>2816</v>
      </c>
      <c r="H2185" t="s">
        <v>2813</v>
      </c>
      <c r="I2185" s="2">
        <v>1.7097222222222221</v>
      </c>
      <c r="J2185" s="4" t="str">
        <f>IF(Table1[[#This Row],[processing_time_hours]]&gt;1.5,"Slow", "Fast")</f>
        <v>Slow</v>
      </c>
      <c r="K2185" t="s">
        <v>2821</v>
      </c>
      <c r="L2185" s="3">
        <v>0</v>
      </c>
      <c r="M2185" t="str">
        <f>IF(Table1[[#This Row],[delayed]]=1,"Delayed","On Time")</f>
        <v>On Time</v>
      </c>
      <c r="N2185" t="str">
        <f>IF(AND(Table1[[#This Row],[delayed]]=1,Table1[[#This Row],[weather_condition]]="Storm"),"High Risk", IF(Table1[[#This Row],[delayed]]=1,"Medium Risk","Low Risk"))</f>
        <v>Low Risk</v>
      </c>
    </row>
    <row r="2186" spans="1:14" x14ac:dyDescent="0.35">
      <c r="A2186">
        <v>2185</v>
      </c>
      <c r="B2186" s="1">
        <v>45018</v>
      </c>
      <c r="C2186" s="2">
        <v>4.3750000000000004E-2</v>
      </c>
      <c r="D2186" s="3">
        <v>2004</v>
      </c>
      <c r="E2186" s="3">
        <v>170</v>
      </c>
      <c r="F2186" s="2">
        <v>41.668055555555554</v>
      </c>
      <c r="G2186" t="s">
        <v>2819</v>
      </c>
      <c r="H2186" t="s">
        <v>2822</v>
      </c>
      <c r="I2186" s="2">
        <v>1.2944444444444445</v>
      </c>
      <c r="J2186" s="4" t="str">
        <f>IF(Table1[[#This Row],[processing_time_hours]]&gt;1.5,"Slow", "Fast")</f>
        <v>Fast</v>
      </c>
      <c r="K2186" t="s">
        <v>2821</v>
      </c>
      <c r="L2186" s="3">
        <v>0</v>
      </c>
      <c r="M2186" t="str">
        <f>IF(Table1[[#This Row],[delayed]]=1,"Delayed","On Time")</f>
        <v>On Time</v>
      </c>
      <c r="N2186" t="str">
        <f>IF(AND(Table1[[#This Row],[delayed]]=1,Table1[[#This Row],[weather_condition]]="Storm"),"High Risk", IF(Table1[[#This Row],[delayed]]=1,"Medium Risk","Low Risk"))</f>
        <v>Low Risk</v>
      </c>
    </row>
    <row r="2187" spans="1:14" x14ac:dyDescent="0.35">
      <c r="A2187">
        <v>2186</v>
      </c>
      <c r="B2187" s="1">
        <v>45018.041666666664</v>
      </c>
      <c r="C2187" s="2">
        <v>4.9999999999999996E-2</v>
      </c>
      <c r="D2187" s="3">
        <v>3543</v>
      </c>
      <c r="E2187" s="3">
        <v>61</v>
      </c>
      <c r="F2187" s="2">
        <v>48.33680555555555</v>
      </c>
      <c r="G2187" t="s">
        <v>2819</v>
      </c>
      <c r="H2187" t="s">
        <v>2813</v>
      </c>
      <c r="I2187" s="2">
        <v>0.75</v>
      </c>
      <c r="J2187" s="4" t="str">
        <f>IF(Table1[[#This Row],[processing_time_hours]]&gt;1.5,"Slow", "Fast")</f>
        <v>Fast</v>
      </c>
      <c r="K2187" t="s">
        <v>2818</v>
      </c>
      <c r="L2187" s="3">
        <v>0</v>
      </c>
      <c r="M2187" t="str">
        <f>IF(Table1[[#This Row],[delayed]]=1,"Delayed","On Time")</f>
        <v>On Time</v>
      </c>
      <c r="N2187" t="str">
        <f>IF(AND(Table1[[#This Row],[delayed]]=1,Table1[[#This Row],[weather_condition]]="Storm"),"High Risk", IF(Table1[[#This Row],[delayed]]=1,"Medium Risk","Low Risk"))</f>
        <v>Low Risk</v>
      </c>
    </row>
    <row r="2188" spans="1:14" x14ac:dyDescent="0.35">
      <c r="A2188">
        <v>2187</v>
      </c>
      <c r="B2188" s="1">
        <v>45018.083333333336</v>
      </c>
      <c r="C2188" s="2">
        <v>4.7916666666666663E-2</v>
      </c>
      <c r="D2188" s="3">
        <v>1499</v>
      </c>
      <c r="E2188" s="3">
        <v>213</v>
      </c>
      <c r="F2188" s="2">
        <v>56.584027777777777</v>
      </c>
      <c r="G2188" t="s">
        <v>2815</v>
      </c>
      <c r="H2188" t="s">
        <v>2820</v>
      </c>
      <c r="I2188" s="2">
        <v>1.8368055555555556</v>
      </c>
      <c r="J2188" s="4" t="str">
        <f>IF(Table1[[#This Row],[processing_time_hours]]&gt;1.5,"Slow", "Fast")</f>
        <v>Slow</v>
      </c>
      <c r="K2188" t="s">
        <v>2821</v>
      </c>
      <c r="L2188" s="3">
        <v>0</v>
      </c>
      <c r="M2188" t="str">
        <f>IF(Table1[[#This Row],[delayed]]=1,"Delayed","On Time")</f>
        <v>On Time</v>
      </c>
      <c r="N2188" t="str">
        <f>IF(AND(Table1[[#This Row],[delayed]]=1,Table1[[#This Row],[weather_condition]]="Storm"),"High Risk", IF(Table1[[#This Row],[delayed]]=1,"Medium Risk","Low Risk"))</f>
        <v>Low Risk</v>
      </c>
    </row>
    <row r="2189" spans="1:14" x14ac:dyDescent="0.35">
      <c r="A2189">
        <v>2188</v>
      </c>
      <c r="B2189" s="1">
        <v>45018.125</v>
      </c>
      <c r="C2189" s="2">
        <v>5.7638888888888885E-2</v>
      </c>
      <c r="D2189" s="3">
        <v>983</v>
      </c>
      <c r="E2189" s="3">
        <v>274</v>
      </c>
      <c r="F2189" s="2">
        <v>39.172222222222224</v>
      </c>
      <c r="G2189" t="s">
        <v>2819</v>
      </c>
      <c r="H2189" t="s">
        <v>2820</v>
      </c>
      <c r="I2189" s="2">
        <v>2.6708333333333329</v>
      </c>
      <c r="J2189" s="4" t="str">
        <f>IF(Table1[[#This Row],[processing_time_hours]]&gt;1.5,"Slow", "Fast")</f>
        <v>Slow</v>
      </c>
      <c r="K2189" t="s">
        <v>2818</v>
      </c>
      <c r="L2189" s="3">
        <v>0</v>
      </c>
      <c r="M2189" t="str">
        <f>IF(Table1[[#This Row],[delayed]]=1,"Delayed","On Time")</f>
        <v>On Time</v>
      </c>
      <c r="N2189" t="str">
        <f>IF(AND(Table1[[#This Row],[delayed]]=1,Table1[[#This Row],[weather_condition]]="Storm"),"High Risk", IF(Table1[[#This Row],[delayed]]=1,"Medium Risk","Low Risk"))</f>
        <v>Low Risk</v>
      </c>
    </row>
    <row r="2190" spans="1:14" x14ac:dyDescent="0.35">
      <c r="A2190">
        <v>2189</v>
      </c>
      <c r="B2190" s="1">
        <v>45018.166666666664</v>
      </c>
      <c r="C2190" s="2">
        <v>5.2777777777777778E-2</v>
      </c>
      <c r="D2190" s="3">
        <v>4612</v>
      </c>
      <c r="E2190" s="3">
        <v>41</v>
      </c>
      <c r="F2190" s="2">
        <v>71.084027777777777</v>
      </c>
      <c r="G2190" t="s">
        <v>2816</v>
      </c>
      <c r="H2190" t="s">
        <v>2817</v>
      </c>
      <c r="I2190" s="2">
        <v>2.25</v>
      </c>
      <c r="J2190" s="4" t="str">
        <f>IF(Table1[[#This Row],[processing_time_hours]]&gt;1.5,"Slow", "Fast")</f>
        <v>Slow</v>
      </c>
      <c r="K2190" t="s">
        <v>2818</v>
      </c>
      <c r="L2190" s="3">
        <v>0</v>
      </c>
      <c r="M2190" t="str">
        <f>IF(Table1[[#This Row],[delayed]]=1,"Delayed","On Time")</f>
        <v>On Time</v>
      </c>
      <c r="N2190" t="str">
        <f>IF(AND(Table1[[#This Row],[delayed]]=1,Table1[[#This Row],[weather_condition]]="Storm"),"High Risk", IF(Table1[[#This Row],[delayed]]=1,"Medium Risk","Low Risk"))</f>
        <v>Low Risk</v>
      </c>
    </row>
    <row r="2191" spans="1:14" x14ac:dyDescent="0.35">
      <c r="A2191">
        <v>2190</v>
      </c>
      <c r="B2191" s="1">
        <v>45018.208333333336</v>
      </c>
      <c r="C2191" s="2">
        <v>5.4166666666666669E-2</v>
      </c>
      <c r="D2191" s="3">
        <v>4820</v>
      </c>
      <c r="E2191" s="3">
        <v>444</v>
      </c>
      <c r="F2191" s="2">
        <v>0.96319444444444446</v>
      </c>
      <c r="G2191" t="s">
        <v>2812</v>
      </c>
      <c r="H2191" t="s">
        <v>2820</v>
      </c>
      <c r="I2191" s="2">
        <v>0.71111111111111114</v>
      </c>
      <c r="J2191" s="4" t="str">
        <f>IF(Table1[[#This Row],[processing_time_hours]]&gt;1.5,"Slow", "Fast")</f>
        <v>Fast</v>
      </c>
      <c r="K2191" t="s">
        <v>2818</v>
      </c>
      <c r="L2191" s="3">
        <v>1</v>
      </c>
      <c r="M2191" t="str">
        <f>IF(Table1[[#This Row],[delayed]]=1,"Delayed","On Time")</f>
        <v>Delayed</v>
      </c>
      <c r="N2191" t="str">
        <f>IF(AND(Table1[[#This Row],[delayed]]=1,Table1[[#This Row],[weather_condition]]="Storm"),"High Risk", IF(Table1[[#This Row],[delayed]]=1,"Medium Risk","Low Risk"))</f>
        <v>Medium Risk</v>
      </c>
    </row>
    <row r="2192" spans="1:14" x14ac:dyDescent="0.35">
      <c r="A2192">
        <v>2191</v>
      </c>
      <c r="B2192" s="1">
        <v>45018.25</v>
      </c>
      <c r="C2192" s="2">
        <v>5.4166666666666669E-2</v>
      </c>
      <c r="D2192" s="3">
        <v>4875</v>
      </c>
      <c r="E2192" s="3">
        <v>228</v>
      </c>
      <c r="F2192" s="2">
        <v>43.88055555555556</v>
      </c>
      <c r="G2192" t="s">
        <v>2812</v>
      </c>
      <c r="H2192" t="s">
        <v>2822</v>
      </c>
      <c r="I2192" s="2">
        <v>1.7125000000000001</v>
      </c>
      <c r="J2192" s="4" t="str">
        <f>IF(Table1[[#This Row],[processing_time_hours]]&gt;1.5,"Slow", "Fast")</f>
        <v>Slow</v>
      </c>
      <c r="K2192" t="s">
        <v>2814</v>
      </c>
      <c r="L2192" s="3">
        <v>1</v>
      </c>
      <c r="M2192" t="str">
        <f>IF(Table1[[#This Row],[delayed]]=1,"Delayed","On Time")</f>
        <v>Delayed</v>
      </c>
      <c r="N2192" t="str">
        <f>IF(AND(Table1[[#This Row],[delayed]]=1,Table1[[#This Row],[weather_condition]]="Storm"),"High Risk", IF(Table1[[#This Row],[delayed]]=1,"Medium Risk","Low Risk"))</f>
        <v>Medium Risk</v>
      </c>
    </row>
    <row r="2193" spans="1:14" x14ac:dyDescent="0.35">
      <c r="A2193">
        <v>2192</v>
      </c>
      <c r="B2193" s="1">
        <v>45018.291666666664</v>
      </c>
      <c r="C2193" s="2">
        <v>5.8333333333333327E-2</v>
      </c>
      <c r="D2193" s="3">
        <v>4885</v>
      </c>
      <c r="E2193" s="3">
        <v>43</v>
      </c>
      <c r="F2193" s="2">
        <v>37.920833333333334</v>
      </c>
      <c r="G2193" t="s">
        <v>2819</v>
      </c>
      <c r="H2193" t="s">
        <v>2820</v>
      </c>
      <c r="I2193" s="2">
        <v>0.45833333333333331</v>
      </c>
      <c r="J2193" s="4" t="str">
        <f>IF(Table1[[#This Row],[processing_time_hours]]&gt;1.5,"Slow", "Fast")</f>
        <v>Fast</v>
      </c>
      <c r="K2193" t="s">
        <v>2818</v>
      </c>
      <c r="L2193" s="3">
        <v>1</v>
      </c>
      <c r="M2193" t="str">
        <f>IF(Table1[[#This Row],[delayed]]=1,"Delayed","On Time")</f>
        <v>Delayed</v>
      </c>
      <c r="N2193" t="str">
        <f>IF(AND(Table1[[#This Row],[delayed]]=1,Table1[[#This Row],[weather_condition]]="Storm"),"High Risk", IF(Table1[[#This Row],[delayed]]=1,"Medium Risk","Low Risk"))</f>
        <v>Medium Risk</v>
      </c>
    </row>
    <row r="2194" spans="1:14" x14ac:dyDescent="0.35">
      <c r="A2194">
        <v>2193</v>
      </c>
      <c r="B2194" s="1">
        <v>45018.333333333336</v>
      </c>
      <c r="C2194" s="2">
        <v>4.8611111111111112E-3</v>
      </c>
      <c r="D2194" s="3">
        <v>2567</v>
      </c>
      <c r="E2194" s="3">
        <v>331</v>
      </c>
      <c r="F2194" s="2">
        <v>37.754861111111111</v>
      </c>
      <c r="G2194" t="s">
        <v>2812</v>
      </c>
      <c r="H2194" t="s">
        <v>2820</v>
      </c>
      <c r="I2194" s="2">
        <v>0.54305555555555551</v>
      </c>
      <c r="J2194" s="4" t="str">
        <f>IF(Table1[[#This Row],[processing_time_hours]]&gt;1.5,"Slow", "Fast")</f>
        <v>Fast</v>
      </c>
      <c r="K2194" t="s">
        <v>2814</v>
      </c>
      <c r="L2194" s="3">
        <v>1</v>
      </c>
      <c r="M2194" t="str">
        <f>IF(Table1[[#This Row],[delayed]]=1,"Delayed","On Time")</f>
        <v>Delayed</v>
      </c>
      <c r="N2194" t="str">
        <f>IF(AND(Table1[[#This Row],[delayed]]=1,Table1[[#This Row],[weather_condition]]="Storm"),"High Risk", IF(Table1[[#This Row],[delayed]]=1,"Medium Risk","Low Risk"))</f>
        <v>Medium Risk</v>
      </c>
    </row>
    <row r="2195" spans="1:14" x14ac:dyDescent="0.35">
      <c r="A2195">
        <v>2194</v>
      </c>
      <c r="B2195" s="1">
        <v>45018.375</v>
      </c>
      <c r="C2195" s="2">
        <v>5.0694444444444438E-2</v>
      </c>
      <c r="D2195" s="3">
        <v>3448</v>
      </c>
      <c r="E2195" s="3">
        <v>230</v>
      </c>
      <c r="F2195" s="2">
        <v>81.086111111111109</v>
      </c>
      <c r="G2195" t="s">
        <v>2816</v>
      </c>
      <c r="H2195" t="s">
        <v>2820</v>
      </c>
      <c r="I2195" s="2">
        <v>2.7958333333333329</v>
      </c>
      <c r="J2195" s="4" t="str">
        <f>IF(Table1[[#This Row],[processing_time_hours]]&gt;1.5,"Slow", "Fast")</f>
        <v>Slow</v>
      </c>
      <c r="K2195" t="s">
        <v>2818</v>
      </c>
      <c r="L2195" s="3">
        <v>0</v>
      </c>
      <c r="M2195" t="str">
        <f>IF(Table1[[#This Row],[delayed]]=1,"Delayed","On Time")</f>
        <v>On Time</v>
      </c>
      <c r="N2195" t="str">
        <f>IF(AND(Table1[[#This Row],[delayed]]=1,Table1[[#This Row],[weather_condition]]="Storm"),"High Risk", IF(Table1[[#This Row],[delayed]]=1,"Medium Risk","Low Risk"))</f>
        <v>Low Risk</v>
      </c>
    </row>
    <row r="2196" spans="1:14" x14ac:dyDescent="0.35">
      <c r="A2196">
        <v>2195</v>
      </c>
      <c r="B2196" s="1">
        <v>45018.416666666664</v>
      </c>
      <c r="C2196" s="2">
        <v>4.8611111111111112E-3</v>
      </c>
      <c r="D2196" s="3">
        <v>4317</v>
      </c>
      <c r="E2196" s="3">
        <v>269</v>
      </c>
      <c r="F2196" s="2">
        <v>3.8770833333333332</v>
      </c>
      <c r="G2196" t="s">
        <v>2815</v>
      </c>
      <c r="H2196" t="s">
        <v>2817</v>
      </c>
      <c r="I2196" s="2">
        <v>0.3347222222222222</v>
      </c>
      <c r="J2196" s="4" t="str">
        <f>IF(Table1[[#This Row],[processing_time_hours]]&gt;1.5,"Slow", "Fast")</f>
        <v>Fast</v>
      </c>
      <c r="K2196" t="s">
        <v>2814</v>
      </c>
      <c r="L2196" s="3">
        <v>0</v>
      </c>
      <c r="M2196" t="str">
        <f>IF(Table1[[#This Row],[delayed]]=1,"Delayed","On Time")</f>
        <v>On Time</v>
      </c>
      <c r="N2196" t="str">
        <f>IF(AND(Table1[[#This Row],[delayed]]=1,Table1[[#This Row],[weather_condition]]="Storm"),"High Risk", IF(Table1[[#This Row],[delayed]]=1,"Medium Risk","Low Risk"))</f>
        <v>Low Risk</v>
      </c>
    </row>
    <row r="2197" spans="1:14" x14ac:dyDescent="0.35">
      <c r="A2197">
        <v>2196</v>
      </c>
      <c r="B2197" s="1">
        <v>45018.458333333336</v>
      </c>
      <c r="C2197" s="2">
        <v>4.5833333333333337E-2</v>
      </c>
      <c r="D2197" s="3">
        <v>1623</v>
      </c>
      <c r="E2197" s="3">
        <v>147</v>
      </c>
      <c r="F2197" s="2">
        <v>31.250694444444445</v>
      </c>
      <c r="G2197" t="s">
        <v>2819</v>
      </c>
      <c r="H2197" t="s">
        <v>2813</v>
      </c>
      <c r="I2197" s="2">
        <v>4.2361111111111106E-2</v>
      </c>
      <c r="J2197" s="4" t="str">
        <f>IF(Table1[[#This Row],[processing_time_hours]]&gt;1.5,"Slow", "Fast")</f>
        <v>Fast</v>
      </c>
      <c r="K2197" t="s">
        <v>2818</v>
      </c>
      <c r="L2197" s="3">
        <v>1</v>
      </c>
      <c r="M2197" t="str">
        <f>IF(Table1[[#This Row],[delayed]]=1,"Delayed","On Time")</f>
        <v>Delayed</v>
      </c>
      <c r="N2197" t="str">
        <f>IF(AND(Table1[[#This Row],[delayed]]=1,Table1[[#This Row],[weather_condition]]="Storm"),"High Risk", IF(Table1[[#This Row],[delayed]]=1,"Medium Risk","Low Risk"))</f>
        <v>Medium Risk</v>
      </c>
    </row>
    <row r="2198" spans="1:14" x14ac:dyDescent="0.35">
      <c r="A2198">
        <v>2197</v>
      </c>
      <c r="B2198" s="1">
        <v>45018.5</v>
      </c>
      <c r="C2198" s="2">
        <v>5.9027777777777783E-2</v>
      </c>
      <c r="D2198" s="3">
        <v>1825</v>
      </c>
      <c r="E2198" s="3">
        <v>200</v>
      </c>
      <c r="F2198" s="2">
        <v>22.710416666666664</v>
      </c>
      <c r="G2198" t="s">
        <v>2819</v>
      </c>
      <c r="H2198" t="s">
        <v>2820</v>
      </c>
      <c r="I2198" s="2">
        <v>0.58958333333333335</v>
      </c>
      <c r="J2198" s="4" t="str">
        <f>IF(Table1[[#This Row],[processing_time_hours]]&gt;1.5,"Slow", "Fast")</f>
        <v>Fast</v>
      </c>
      <c r="K2198" t="s">
        <v>2821</v>
      </c>
      <c r="L2198" s="3">
        <v>0</v>
      </c>
      <c r="M2198" t="str">
        <f>IF(Table1[[#This Row],[delayed]]=1,"Delayed","On Time")</f>
        <v>On Time</v>
      </c>
      <c r="N2198" t="str">
        <f>IF(AND(Table1[[#This Row],[delayed]]=1,Table1[[#This Row],[weather_condition]]="Storm"),"High Risk", IF(Table1[[#This Row],[delayed]]=1,"Medium Risk","Low Risk"))</f>
        <v>Low Risk</v>
      </c>
    </row>
    <row r="2199" spans="1:14" x14ac:dyDescent="0.35">
      <c r="A2199">
        <v>2198</v>
      </c>
      <c r="B2199" s="1">
        <v>45018.541666666664</v>
      </c>
      <c r="C2199" s="2">
        <v>6.7361111111111108E-2</v>
      </c>
      <c r="D2199" s="3">
        <v>4867</v>
      </c>
      <c r="E2199" s="3">
        <v>6</v>
      </c>
      <c r="F2199" s="2">
        <v>6.5048611111111114</v>
      </c>
      <c r="G2199" t="s">
        <v>2819</v>
      </c>
      <c r="H2199" t="s">
        <v>2820</v>
      </c>
      <c r="I2199" s="2">
        <v>1.0034722222222221</v>
      </c>
      <c r="J2199" s="4" t="str">
        <f>IF(Table1[[#This Row],[processing_time_hours]]&gt;1.5,"Slow", "Fast")</f>
        <v>Fast</v>
      </c>
      <c r="K2199" t="s">
        <v>2814</v>
      </c>
      <c r="L2199" s="3">
        <v>1</v>
      </c>
      <c r="M2199" t="str">
        <f>IF(Table1[[#This Row],[delayed]]=1,"Delayed","On Time")</f>
        <v>Delayed</v>
      </c>
      <c r="N2199" t="str">
        <f>IF(AND(Table1[[#This Row],[delayed]]=1,Table1[[#This Row],[weather_condition]]="Storm"),"High Risk", IF(Table1[[#This Row],[delayed]]=1,"Medium Risk","Low Risk"))</f>
        <v>Medium Risk</v>
      </c>
    </row>
    <row r="2200" spans="1:14" x14ac:dyDescent="0.35">
      <c r="A2200">
        <v>2199</v>
      </c>
      <c r="B2200" s="1">
        <v>45018.583333333336</v>
      </c>
      <c r="C2200" s="2">
        <v>6.6666666666666666E-2</v>
      </c>
      <c r="D2200" s="3">
        <v>987</v>
      </c>
      <c r="E2200" s="3">
        <v>442</v>
      </c>
      <c r="F2200" s="2">
        <v>9.0027777777777782</v>
      </c>
      <c r="G2200" t="s">
        <v>2815</v>
      </c>
      <c r="H2200" t="s">
        <v>2813</v>
      </c>
      <c r="I2200" s="2">
        <v>1.2958333333333334</v>
      </c>
      <c r="J2200" s="4" t="str">
        <f>IF(Table1[[#This Row],[processing_time_hours]]&gt;1.5,"Slow", "Fast")</f>
        <v>Fast</v>
      </c>
      <c r="K2200" t="s">
        <v>2814</v>
      </c>
      <c r="L2200" s="3">
        <v>0</v>
      </c>
      <c r="M2200" t="str">
        <f>IF(Table1[[#This Row],[delayed]]=1,"Delayed","On Time")</f>
        <v>On Time</v>
      </c>
      <c r="N2200" t="str">
        <f>IF(AND(Table1[[#This Row],[delayed]]=1,Table1[[#This Row],[weather_condition]]="Storm"),"High Risk", IF(Table1[[#This Row],[delayed]]=1,"Medium Risk","Low Risk"))</f>
        <v>Low Risk</v>
      </c>
    </row>
    <row r="2201" spans="1:14" x14ac:dyDescent="0.35">
      <c r="A2201">
        <v>2200</v>
      </c>
      <c r="B2201" s="1">
        <v>45018.625</v>
      </c>
      <c r="C2201" s="2">
        <v>6.8749999999999992E-2</v>
      </c>
      <c r="D2201" s="3">
        <v>3406</v>
      </c>
      <c r="E2201" s="3">
        <v>425</v>
      </c>
      <c r="F2201" s="2">
        <v>69.63055555555556</v>
      </c>
      <c r="G2201" t="s">
        <v>2815</v>
      </c>
      <c r="H2201" t="s">
        <v>2820</v>
      </c>
      <c r="I2201" s="2">
        <v>2.254861111111111</v>
      </c>
      <c r="J2201" s="4" t="str">
        <f>IF(Table1[[#This Row],[processing_time_hours]]&gt;1.5,"Slow", "Fast")</f>
        <v>Slow</v>
      </c>
      <c r="K2201" t="s">
        <v>2814</v>
      </c>
      <c r="L2201" s="3">
        <v>1</v>
      </c>
      <c r="M2201" t="str">
        <f>IF(Table1[[#This Row],[delayed]]=1,"Delayed","On Time")</f>
        <v>Delayed</v>
      </c>
      <c r="N2201" t="str">
        <f>IF(AND(Table1[[#This Row],[delayed]]=1,Table1[[#This Row],[weather_condition]]="Storm"),"High Risk", IF(Table1[[#This Row],[delayed]]=1,"Medium Risk","Low Risk"))</f>
        <v>Medium Risk</v>
      </c>
    </row>
    <row r="2202" spans="1:14" x14ac:dyDescent="0.35">
      <c r="A2202">
        <v>2201</v>
      </c>
      <c r="B2202" s="1">
        <v>45018.666666666664</v>
      </c>
      <c r="C2202" s="2">
        <v>4.4444444444444446E-2</v>
      </c>
      <c r="D2202" s="3">
        <v>1745</v>
      </c>
      <c r="E2202" s="3">
        <v>452</v>
      </c>
      <c r="F2202" s="2">
        <v>79.296527777777769</v>
      </c>
      <c r="G2202" t="s">
        <v>2816</v>
      </c>
      <c r="H2202" t="s">
        <v>2813</v>
      </c>
      <c r="I2202" s="2">
        <v>2.0465277777777779</v>
      </c>
      <c r="J2202" s="4" t="str">
        <f>IF(Table1[[#This Row],[processing_time_hours]]&gt;1.5,"Slow", "Fast")</f>
        <v>Slow</v>
      </c>
      <c r="K2202" t="s">
        <v>2814</v>
      </c>
      <c r="L2202" s="3">
        <v>0</v>
      </c>
      <c r="M2202" t="str">
        <f>IF(Table1[[#This Row],[delayed]]=1,"Delayed","On Time")</f>
        <v>On Time</v>
      </c>
      <c r="N2202" t="str">
        <f>IF(AND(Table1[[#This Row],[delayed]]=1,Table1[[#This Row],[weather_condition]]="Storm"),"High Risk", IF(Table1[[#This Row],[delayed]]=1,"Medium Risk","Low Risk"))</f>
        <v>Low Risk</v>
      </c>
    </row>
    <row r="2203" spans="1:14" x14ac:dyDescent="0.35">
      <c r="A2203">
        <v>2202</v>
      </c>
      <c r="B2203" s="1">
        <v>45018.708333333336</v>
      </c>
      <c r="C2203" s="2">
        <v>6.1805555555555558E-2</v>
      </c>
      <c r="D2203" s="3">
        <v>3405</v>
      </c>
      <c r="E2203" s="3">
        <v>334</v>
      </c>
      <c r="F2203" s="2">
        <v>77.00277777777778</v>
      </c>
      <c r="G2203" t="s">
        <v>2816</v>
      </c>
      <c r="H2203" t="s">
        <v>2820</v>
      </c>
      <c r="I2203" s="2">
        <v>0.13125000000000001</v>
      </c>
      <c r="J2203" s="4" t="str">
        <f>IF(Table1[[#This Row],[processing_time_hours]]&gt;1.5,"Slow", "Fast")</f>
        <v>Fast</v>
      </c>
      <c r="K2203" t="s">
        <v>2821</v>
      </c>
      <c r="L2203" s="3">
        <v>0</v>
      </c>
      <c r="M2203" t="str">
        <f>IF(Table1[[#This Row],[delayed]]=1,"Delayed","On Time")</f>
        <v>On Time</v>
      </c>
      <c r="N2203" t="str">
        <f>IF(AND(Table1[[#This Row],[delayed]]=1,Table1[[#This Row],[weather_condition]]="Storm"),"High Risk", IF(Table1[[#This Row],[delayed]]=1,"Medium Risk","Low Risk"))</f>
        <v>Low Risk</v>
      </c>
    </row>
    <row r="2204" spans="1:14" x14ac:dyDescent="0.35">
      <c r="A2204">
        <v>2203</v>
      </c>
      <c r="B2204" s="1">
        <v>45018.75</v>
      </c>
      <c r="C2204" s="2">
        <v>4.3750000000000004E-2</v>
      </c>
      <c r="D2204" s="3">
        <v>3492</v>
      </c>
      <c r="E2204" s="3">
        <v>321</v>
      </c>
      <c r="F2204" s="2">
        <v>52.25555555555556</v>
      </c>
      <c r="G2204" t="s">
        <v>2812</v>
      </c>
      <c r="H2204" t="s">
        <v>2817</v>
      </c>
      <c r="I2204" s="2">
        <v>1</v>
      </c>
      <c r="J2204" s="4" t="str">
        <f>IF(Table1[[#This Row],[processing_time_hours]]&gt;1.5,"Slow", "Fast")</f>
        <v>Fast</v>
      </c>
      <c r="K2204" t="s">
        <v>2818</v>
      </c>
      <c r="L2204" s="3">
        <v>1</v>
      </c>
      <c r="M2204" t="str">
        <f>IF(Table1[[#This Row],[delayed]]=1,"Delayed","On Time")</f>
        <v>Delayed</v>
      </c>
      <c r="N2204" t="str">
        <f>IF(AND(Table1[[#This Row],[delayed]]=1,Table1[[#This Row],[weather_condition]]="Storm"),"High Risk", IF(Table1[[#This Row],[delayed]]=1,"Medium Risk","Low Risk"))</f>
        <v>High Risk</v>
      </c>
    </row>
    <row r="2205" spans="1:14" x14ac:dyDescent="0.35">
      <c r="A2205">
        <v>2204</v>
      </c>
      <c r="B2205" s="1">
        <v>45018.791666666664</v>
      </c>
      <c r="C2205" s="2">
        <v>6.458333333333334E-2</v>
      </c>
      <c r="D2205" s="3">
        <v>3937</v>
      </c>
      <c r="E2205" s="3">
        <v>109</v>
      </c>
      <c r="F2205" s="2">
        <v>7.6701388888888893</v>
      </c>
      <c r="G2205" t="s">
        <v>2816</v>
      </c>
      <c r="H2205" t="s">
        <v>2822</v>
      </c>
      <c r="I2205" s="2">
        <v>1.5020833333333332</v>
      </c>
      <c r="J2205" s="4" t="str">
        <f>IF(Table1[[#This Row],[processing_time_hours]]&gt;1.5,"Slow", "Fast")</f>
        <v>Slow</v>
      </c>
      <c r="K2205" t="s">
        <v>2821</v>
      </c>
      <c r="L2205" s="3">
        <v>0</v>
      </c>
      <c r="M2205" t="str">
        <f>IF(Table1[[#This Row],[delayed]]=1,"Delayed","On Time")</f>
        <v>On Time</v>
      </c>
      <c r="N2205" t="str">
        <f>IF(AND(Table1[[#This Row],[delayed]]=1,Table1[[#This Row],[weather_condition]]="Storm"),"High Risk", IF(Table1[[#This Row],[delayed]]=1,"Medium Risk","Low Risk"))</f>
        <v>Low Risk</v>
      </c>
    </row>
    <row r="2206" spans="1:14" x14ac:dyDescent="0.35">
      <c r="A2206">
        <v>2205</v>
      </c>
      <c r="B2206" s="1">
        <v>45018.833333333336</v>
      </c>
      <c r="C2206" s="2">
        <v>6.5277777777777782E-2</v>
      </c>
      <c r="D2206" s="3">
        <v>456</v>
      </c>
      <c r="E2206" s="3">
        <v>246</v>
      </c>
      <c r="F2206" s="2">
        <v>77.834722222222226</v>
      </c>
      <c r="G2206" t="s">
        <v>2816</v>
      </c>
      <c r="H2206" t="s">
        <v>2822</v>
      </c>
      <c r="I2206" s="2">
        <v>1.7548611111111112</v>
      </c>
      <c r="J2206" s="4" t="str">
        <f>IF(Table1[[#This Row],[processing_time_hours]]&gt;1.5,"Slow", "Fast")</f>
        <v>Slow</v>
      </c>
      <c r="K2206" t="s">
        <v>2821</v>
      </c>
      <c r="L2206" s="3">
        <v>0</v>
      </c>
      <c r="M2206" t="str">
        <f>IF(Table1[[#This Row],[delayed]]=1,"Delayed","On Time")</f>
        <v>On Time</v>
      </c>
      <c r="N2206" t="str">
        <f>IF(AND(Table1[[#This Row],[delayed]]=1,Table1[[#This Row],[weather_condition]]="Storm"),"High Risk", IF(Table1[[#This Row],[delayed]]=1,"Medium Risk","Low Risk"))</f>
        <v>Low Risk</v>
      </c>
    </row>
    <row r="2207" spans="1:14" x14ac:dyDescent="0.35">
      <c r="A2207">
        <v>2206</v>
      </c>
      <c r="B2207" s="1">
        <v>45018.875</v>
      </c>
      <c r="C2207" s="2">
        <v>5.486111111111111E-2</v>
      </c>
      <c r="D2207" s="3">
        <v>1865</v>
      </c>
      <c r="E2207" s="3">
        <v>154</v>
      </c>
      <c r="F2207" s="2">
        <v>4.6270833333333332</v>
      </c>
      <c r="G2207" t="s">
        <v>2815</v>
      </c>
      <c r="H2207" t="s">
        <v>2822</v>
      </c>
      <c r="I2207" s="2">
        <v>0.66875000000000007</v>
      </c>
      <c r="J2207" s="4" t="str">
        <f>IF(Table1[[#This Row],[processing_time_hours]]&gt;1.5,"Slow", "Fast")</f>
        <v>Fast</v>
      </c>
      <c r="K2207" t="s">
        <v>2818</v>
      </c>
      <c r="L2207" s="3">
        <v>0</v>
      </c>
      <c r="M2207" t="str">
        <f>IF(Table1[[#This Row],[delayed]]=1,"Delayed","On Time")</f>
        <v>On Time</v>
      </c>
      <c r="N2207" t="str">
        <f>IF(AND(Table1[[#This Row],[delayed]]=1,Table1[[#This Row],[weather_condition]]="Storm"),"High Risk", IF(Table1[[#This Row],[delayed]]=1,"Medium Risk","Low Risk"))</f>
        <v>Low Risk</v>
      </c>
    </row>
    <row r="2208" spans="1:14" x14ac:dyDescent="0.35">
      <c r="A2208">
        <v>2207</v>
      </c>
      <c r="B2208" s="1">
        <v>45018.916666666664</v>
      </c>
      <c r="C2208" s="2">
        <v>6.8749999999999992E-2</v>
      </c>
      <c r="D2208" s="3">
        <v>4775</v>
      </c>
      <c r="E2208" s="3">
        <v>337</v>
      </c>
      <c r="F2208" s="2">
        <v>43.418055555555554</v>
      </c>
      <c r="G2208" t="s">
        <v>2819</v>
      </c>
      <c r="H2208" t="s">
        <v>2813</v>
      </c>
      <c r="I2208" s="2">
        <v>1.4215277777777777</v>
      </c>
      <c r="J2208" s="4" t="str">
        <f>IF(Table1[[#This Row],[processing_time_hours]]&gt;1.5,"Slow", "Fast")</f>
        <v>Fast</v>
      </c>
      <c r="K2208" t="s">
        <v>2821</v>
      </c>
      <c r="L2208" s="3">
        <v>0</v>
      </c>
      <c r="M2208" t="str">
        <f>IF(Table1[[#This Row],[delayed]]=1,"Delayed","On Time")</f>
        <v>On Time</v>
      </c>
      <c r="N2208" t="str">
        <f>IF(AND(Table1[[#This Row],[delayed]]=1,Table1[[#This Row],[weather_condition]]="Storm"),"High Risk", IF(Table1[[#This Row],[delayed]]=1,"Medium Risk","Low Risk"))</f>
        <v>Low Risk</v>
      </c>
    </row>
    <row r="2209" spans="1:14" x14ac:dyDescent="0.35">
      <c r="A2209">
        <v>2208</v>
      </c>
      <c r="B2209" s="1">
        <v>45018.958333333336</v>
      </c>
      <c r="C2209" s="2">
        <v>5.486111111111111E-2</v>
      </c>
      <c r="D2209" s="3">
        <v>3387</v>
      </c>
      <c r="E2209" s="3">
        <v>92</v>
      </c>
      <c r="F2209" s="2">
        <v>60.043055555555554</v>
      </c>
      <c r="G2209" t="s">
        <v>2812</v>
      </c>
      <c r="H2209" t="s">
        <v>2822</v>
      </c>
      <c r="I2209" s="2">
        <v>2.2944444444444447</v>
      </c>
      <c r="J2209" s="4" t="str">
        <f>IF(Table1[[#This Row],[processing_time_hours]]&gt;1.5,"Slow", "Fast")</f>
        <v>Slow</v>
      </c>
      <c r="K2209" t="s">
        <v>2814</v>
      </c>
      <c r="L2209" s="3">
        <v>0</v>
      </c>
      <c r="M2209" t="str">
        <f>IF(Table1[[#This Row],[delayed]]=1,"Delayed","On Time")</f>
        <v>On Time</v>
      </c>
      <c r="N2209" t="str">
        <f>IF(AND(Table1[[#This Row],[delayed]]=1,Table1[[#This Row],[weather_condition]]="Storm"),"High Risk", IF(Table1[[#This Row],[delayed]]=1,"Medium Risk","Low Risk"))</f>
        <v>Low Risk</v>
      </c>
    </row>
    <row r="2210" spans="1:14" x14ac:dyDescent="0.35">
      <c r="A2210">
        <v>2209</v>
      </c>
      <c r="B2210" s="1">
        <v>45019</v>
      </c>
      <c r="C2210" s="2">
        <v>5.6944444444444443E-2</v>
      </c>
      <c r="D2210" s="3">
        <v>447</v>
      </c>
      <c r="E2210" s="3">
        <v>304</v>
      </c>
      <c r="F2210" s="2">
        <v>71.252083333333331</v>
      </c>
      <c r="G2210" t="s">
        <v>2815</v>
      </c>
      <c r="H2210" t="s">
        <v>2820</v>
      </c>
      <c r="I2210" s="2">
        <v>2.2541666666666669</v>
      </c>
      <c r="J2210" s="4" t="str">
        <f>IF(Table1[[#This Row],[processing_time_hours]]&gt;1.5,"Slow", "Fast")</f>
        <v>Slow</v>
      </c>
      <c r="K2210" t="s">
        <v>2818</v>
      </c>
      <c r="L2210" s="3">
        <v>0</v>
      </c>
      <c r="M2210" t="str">
        <f>IF(Table1[[#This Row],[delayed]]=1,"Delayed","On Time")</f>
        <v>On Time</v>
      </c>
      <c r="N2210" t="str">
        <f>IF(AND(Table1[[#This Row],[delayed]]=1,Table1[[#This Row],[weather_condition]]="Storm"),"High Risk", IF(Table1[[#This Row],[delayed]]=1,"Medium Risk","Low Risk"))</f>
        <v>Low Risk</v>
      </c>
    </row>
    <row r="2211" spans="1:14" x14ac:dyDescent="0.35">
      <c r="A2211">
        <v>2210</v>
      </c>
      <c r="B2211" s="1">
        <v>45019.041666666664</v>
      </c>
      <c r="C2211" s="2">
        <v>5.1388888888888894E-2</v>
      </c>
      <c r="D2211" s="3">
        <v>2480</v>
      </c>
      <c r="E2211" s="3">
        <v>237</v>
      </c>
      <c r="F2211" s="2">
        <v>15.583333333333334</v>
      </c>
      <c r="G2211" t="s">
        <v>2819</v>
      </c>
      <c r="H2211" t="s">
        <v>2817</v>
      </c>
      <c r="I2211" s="2">
        <v>0.33402777777777781</v>
      </c>
      <c r="J2211" s="4" t="str">
        <f>IF(Table1[[#This Row],[processing_time_hours]]&gt;1.5,"Slow", "Fast")</f>
        <v>Fast</v>
      </c>
      <c r="K2211" t="s">
        <v>2818</v>
      </c>
      <c r="L2211" s="3">
        <v>0</v>
      </c>
      <c r="M2211" t="str">
        <f>IF(Table1[[#This Row],[delayed]]=1,"Delayed","On Time")</f>
        <v>On Time</v>
      </c>
      <c r="N2211" t="str">
        <f>IF(AND(Table1[[#This Row],[delayed]]=1,Table1[[#This Row],[weather_condition]]="Storm"),"High Risk", IF(Table1[[#This Row],[delayed]]=1,"Medium Risk","Low Risk"))</f>
        <v>Low Risk</v>
      </c>
    </row>
    <row r="2212" spans="1:14" x14ac:dyDescent="0.35">
      <c r="A2212">
        <v>2211</v>
      </c>
      <c r="B2212" s="1">
        <v>45019.083333333336</v>
      </c>
      <c r="C2212" s="2">
        <v>6.458333333333334E-2</v>
      </c>
      <c r="D2212" s="3">
        <v>2026</v>
      </c>
      <c r="E2212" s="3">
        <v>424</v>
      </c>
      <c r="F2212" s="2">
        <v>39.586111111111116</v>
      </c>
      <c r="G2212" t="s">
        <v>2819</v>
      </c>
      <c r="H2212" t="s">
        <v>2820</v>
      </c>
      <c r="I2212" s="2">
        <v>1.0833333333333333</v>
      </c>
      <c r="J2212" s="4" t="str">
        <f>IF(Table1[[#This Row],[processing_time_hours]]&gt;1.5,"Slow", "Fast")</f>
        <v>Fast</v>
      </c>
      <c r="K2212" t="s">
        <v>2814</v>
      </c>
      <c r="L2212" s="3">
        <v>0</v>
      </c>
      <c r="M2212" t="str">
        <f>IF(Table1[[#This Row],[delayed]]=1,"Delayed","On Time")</f>
        <v>On Time</v>
      </c>
      <c r="N2212" t="str">
        <f>IF(AND(Table1[[#This Row],[delayed]]=1,Table1[[#This Row],[weather_condition]]="Storm"),"High Risk", IF(Table1[[#This Row],[delayed]]=1,"Medium Risk","Low Risk"))</f>
        <v>Low Risk</v>
      </c>
    </row>
    <row r="2213" spans="1:14" x14ac:dyDescent="0.35">
      <c r="A2213">
        <v>2212</v>
      </c>
      <c r="B2213" s="1">
        <v>45019.125</v>
      </c>
      <c r="C2213" s="2">
        <v>5.7638888888888885E-2</v>
      </c>
      <c r="D2213" s="3">
        <v>1697</v>
      </c>
      <c r="E2213" s="3">
        <v>294</v>
      </c>
      <c r="F2213" s="2">
        <v>60.338888888888896</v>
      </c>
      <c r="G2213" t="s">
        <v>2812</v>
      </c>
      <c r="H2213" t="s">
        <v>2817</v>
      </c>
      <c r="I2213" s="2">
        <v>2.0465277777777779</v>
      </c>
      <c r="J2213" s="4" t="str">
        <f>IF(Table1[[#This Row],[processing_time_hours]]&gt;1.5,"Slow", "Fast")</f>
        <v>Slow</v>
      </c>
      <c r="K2213" t="s">
        <v>2818</v>
      </c>
      <c r="L2213" s="3">
        <v>1</v>
      </c>
      <c r="M2213" t="str">
        <f>IF(Table1[[#This Row],[delayed]]=1,"Delayed","On Time")</f>
        <v>Delayed</v>
      </c>
      <c r="N2213" t="str">
        <f>IF(AND(Table1[[#This Row],[delayed]]=1,Table1[[#This Row],[weather_condition]]="Storm"),"High Risk", IF(Table1[[#This Row],[delayed]]=1,"Medium Risk","Low Risk"))</f>
        <v>High Risk</v>
      </c>
    </row>
    <row r="2214" spans="1:14" x14ac:dyDescent="0.35">
      <c r="A2214">
        <v>2213</v>
      </c>
      <c r="B2214" s="1">
        <v>45019.166666666664</v>
      </c>
      <c r="C2214" s="2">
        <v>5.5555555555555558E-3</v>
      </c>
      <c r="D2214" s="3">
        <v>1774</v>
      </c>
      <c r="E2214" s="3">
        <v>449</v>
      </c>
      <c r="F2214" s="2">
        <v>36.547916666666666</v>
      </c>
      <c r="G2214" t="s">
        <v>2819</v>
      </c>
      <c r="H2214" t="s">
        <v>2813</v>
      </c>
      <c r="I2214" s="2">
        <v>2.7958333333333329</v>
      </c>
      <c r="J2214" s="4" t="str">
        <f>IF(Table1[[#This Row],[processing_time_hours]]&gt;1.5,"Slow", "Fast")</f>
        <v>Slow</v>
      </c>
      <c r="K2214" t="s">
        <v>2818</v>
      </c>
      <c r="L2214" s="3">
        <v>0</v>
      </c>
      <c r="M2214" t="str">
        <f>IF(Table1[[#This Row],[delayed]]=1,"Delayed","On Time")</f>
        <v>On Time</v>
      </c>
      <c r="N2214" t="str">
        <f>IF(AND(Table1[[#This Row],[delayed]]=1,Table1[[#This Row],[weather_condition]]="Storm"),"High Risk", IF(Table1[[#This Row],[delayed]]=1,"Medium Risk","Low Risk"))</f>
        <v>Low Risk</v>
      </c>
    </row>
    <row r="2215" spans="1:14" x14ac:dyDescent="0.35">
      <c r="A2215">
        <v>2214</v>
      </c>
      <c r="B2215" s="1">
        <v>45019.208333333336</v>
      </c>
      <c r="C2215" s="2">
        <v>5.3472222222222227E-2</v>
      </c>
      <c r="D2215" s="3">
        <v>1861</v>
      </c>
      <c r="E2215" s="3">
        <v>477</v>
      </c>
      <c r="F2215" s="2">
        <v>66.464583333333337</v>
      </c>
      <c r="G2215" t="s">
        <v>2812</v>
      </c>
      <c r="H2215" t="s">
        <v>2813</v>
      </c>
      <c r="I2215" s="2">
        <v>0.54236111111111118</v>
      </c>
      <c r="J2215" s="4" t="str">
        <f>IF(Table1[[#This Row],[processing_time_hours]]&gt;1.5,"Slow", "Fast")</f>
        <v>Fast</v>
      </c>
      <c r="K2215" t="s">
        <v>2814</v>
      </c>
      <c r="L2215" s="3">
        <v>0</v>
      </c>
      <c r="M2215" t="str">
        <f>IF(Table1[[#This Row],[delayed]]=1,"Delayed","On Time")</f>
        <v>On Time</v>
      </c>
      <c r="N2215" t="str">
        <f>IF(AND(Table1[[#This Row],[delayed]]=1,Table1[[#This Row],[weather_condition]]="Storm"),"High Risk", IF(Table1[[#This Row],[delayed]]=1,"Medium Risk","Low Risk"))</f>
        <v>Low Risk</v>
      </c>
    </row>
    <row r="2216" spans="1:14" x14ac:dyDescent="0.35">
      <c r="A2216">
        <v>2215</v>
      </c>
      <c r="B2216" s="1">
        <v>45019.25</v>
      </c>
      <c r="C2216" s="2">
        <v>6.2499999999999995E-3</v>
      </c>
      <c r="D2216" s="3">
        <v>2056</v>
      </c>
      <c r="E2216" s="3">
        <v>261</v>
      </c>
      <c r="F2216" s="2">
        <v>45.672222222222224</v>
      </c>
      <c r="G2216" t="s">
        <v>2816</v>
      </c>
      <c r="H2216" t="s">
        <v>2822</v>
      </c>
      <c r="I2216" s="2">
        <v>1.1277777777777778</v>
      </c>
      <c r="J2216" s="4" t="str">
        <f>IF(Table1[[#This Row],[processing_time_hours]]&gt;1.5,"Slow", "Fast")</f>
        <v>Fast</v>
      </c>
      <c r="K2216" t="s">
        <v>2818</v>
      </c>
      <c r="L2216" s="3">
        <v>0</v>
      </c>
      <c r="M2216" t="str">
        <f>IF(Table1[[#This Row],[delayed]]=1,"Delayed","On Time")</f>
        <v>On Time</v>
      </c>
      <c r="N2216" t="str">
        <f>IF(AND(Table1[[#This Row],[delayed]]=1,Table1[[#This Row],[weather_condition]]="Storm"),"High Risk", IF(Table1[[#This Row],[delayed]]=1,"Medium Risk","Low Risk"))</f>
        <v>Low Risk</v>
      </c>
    </row>
    <row r="2217" spans="1:14" x14ac:dyDescent="0.35">
      <c r="A2217">
        <v>2216</v>
      </c>
      <c r="B2217" s="1">
        <v>45019.291666666664</v>
      </c>
      <c r="C2217" s="2">
        <v>4.3750000000000004E-2</v>
      </c>
      <c r="D2217" s="3">
        <v>3738</v>
      </c>
      <c r="E2217" s="3">
        <v>173</v>
      </c>
      <c r="F2217" s="2">
        <v>63.708333333333336</v>
      </c>
      <c r="G2217" t="s">
        <v>2815</v>
      </c>
      <c r="H2217" t="s">
        <v>2822</v>
      </c>
      <c r="I2217" s="2">
        <v>0.58402777777777781</v>
      </c>
      <c r="J2217" s="4" t="str">
        <f>IF(Table1[[#This Row],[processing_time_hours]]&gt;1.5,"Slow", "Fast")</f>
        <v>Fast</v>
      </c>
      <c r="K2217" t="s">
        <v>2821</v>
      </c>
      <c r="L2217" s="3">
        <v>0</v>
      </c>
      <c r="M2217" t="str">
        <f>IF(Table1[[#This Row],[delayed]]=1,"Delayed","On Time")</f>
        <v>On Time</v>
      </c>
      <c r="N2217" t="str">
        <f>IF(AND(Table1[[#This Row],[delayed]]=1,Table1[[#This Row],[weather_condition]]="Storm"),"High Risk", IF(Table1[[#This Row],[delayed]]=1,"Medium Risk","Low Risk"))</f>
        <v>Low Risk</v>
      </c>
    </row>
    <row r="2218" spans="1:14" x14ac:dyDescent="0.35">
      <c r="A2218">
        <v>2217</v>
      </c>
      <c r="B2218" s="1">
        <v>45019.333333333336</v>
      </c>
      <c r="C2218" s="2">
        <v>5.9027777777777783E-2</v>
      </c>
      <c r="D2218" s="3">
        <v>2488</v>
      </c>
      <c r="E2218" s="3">
        <v>29</v>
      </c>
      <c r="F2218" s="2">
        <v>1.4618055555555556</v>
      </c>
      <c r="G2218" t="s">
        <v>2812</v>
      </c>
      <c r="H2218" t="s">
        <v>2813</v>
      </c>
      <c r="I2218" s="2">
        <v>2.2541666666666669</v>
      </c>
      <c r="J2218" s="4" t="str">
        <f>IF(Table1[[#This Row],[processing_time_hours]]&gt;1.5,"Slow", "Fast")</f>
        <v>Slow</v>
      </c>
      <c r="K2218" t="s">
        <v>2814</v>
      </c>
      <c r="L2218" s="3">
        <v>1</v>
      </c>
      <c r="M2218" t="str">
        <f>IF(Table1[[#This Row],[delayed]]=1,"Delayed","On Time")</f>
        <v>Delayed</v>
      </c>
      <c r="N2218" t="str">
        <f>IF(AND(Table1[[#This Row],[delayed]]=1,Table1[[#This Row],[weather_condition]]="Storm"),"High Risk", IF(Table1[[#This Row],[delayed]]=1,"Medium Risk","Low Risk"))</f>
        <v>Medium Risk</v>
      </c>
    </row>
    <row r="2219" spans="1:14" x14ac:dyDescent="0.35">
      <c r="A2219">
        <v>2218</v>
      </c>
      <c r="B2219" s="1">
        <v>45019.375</v>
      </c>
      <c r="C2219" s="2">
        <v>4.3750000000000004E-2</v>
      </c>
      <c r="D2219" s="3">
        <v>3618</v>
      </c>
      <c r="E2219" s="3">
        <v>192</v>
      </c>
      <c r="F2219" s="2">
        <v>13.047916666666666</v>
      </c>
      <c r="G2219" t="s">
        <v>2816</v>
      </c>
      <c r="H2219" t="s">
        <v>2822</v>
      </c>
      <c r="I2219" s="2">
        <v>2.7562500000000001</v>
      </c>
      <c r="J2219" s="4" t="str">
        <f>IF(Table1[[#This Row],[processing_time_hours]]&gt;1.5,"Slow", "Fast")</f>
        <v>Slow</v>
      </c>
      <c r="K2219" t="s">
        <v>2818</v>
      </c>
      <c r="L2219" s="3">
        <v>1</v>
      </c>
      <c r="M2219" t="str">
        <f>IF(Table1[[#This Row],[delayed]]=1,"Delayed","On Time")</f>
        <v>Delayed</v>
      </c>
      <c r="N2219" t="str">
        <f>IF(AND(Table1[[#This Row],[delayed]]=1,Table1[[#This Row],[weather_condition]]="Storm"),"High Risk", IF(Table1[[#This Row],[delayed]]=1,"Medium Risk","Low Risk"))</f>
        <v>Medium Risk</v>
      </c>
    </row>
    <row r="2220" spans="1:14" x14ac:dyDescent="0.35">
      <c r="A2220">
        <v>2219</v>
      </c>
      <c r="B2220" s="1">
        <v>45019.416666666664</v>
      </c>
      <c r="C2220" s="2">
        <v>4.7916666666666663E-2</v>
      </c>
      <c r="D2220" s="3">
        <v>2095</v>
      </c>
      <c r="E2220" s="3">
        <v>398</v>
      </c>
      <c r="F2220" s="2">
        <v>19.545833333333334</v>
      </c>
      <c r="G2220" t="s">
        <v>2812</v>
      </c>
      <c r="H2220" t="s">
        <v>2813</v>
      </c>
      <c r="I2220" s="2">
        <v>2.4187499999999997</v>
      </c>
      <c r="J2220" s="4" t="str">
        <f>IF(Table1[[#This Row],[processing_time_hours]]&gt;1.5,"Slow", "Fast")</f>
        <v>Slow</v>
      </c>
      <c r="K2220" t="s">
        <v>2814</v>
      </c>
      <c r="L2220" s="3">
        <v>1</v>
      </c>
      <c r="M2220" t="str">
        <f>IF(Table1[[#This Row],[delayed]]=1,"Delayed","On Time")</f>
        <v>Delayed</v>
      </c>
      <c r="N2220" t="str">
        <f>IF(AND(Table1[[#This Row],[delayed]]=1,Table1[[#This Row],[weather_condition]]="Storm"),"High Risk", IF(Table1[[#This Row],[delayed]]=1,"Medium Risk","Low Risk"))</f>
        <v>Medium Risk</v>
      </c>
    </row>
    <row r="2221" spans="1:14" x14ac:dyDescent="0.35">
      <c r="A2221">
        <v>2220</v>
      </c>
      <c r="B2221" s="1">
        <v>45019.458333333336</v>
      </c>
      <c r="C2221" s="2">
        <v>4.2361111111111106E-2</v>
      </c>
      <c r="D2221" s="3">
        <v>547</v>
      </c>
      <c r="E2221" s="3">
        <v>77</v>
      </c>
      <c r="F2221" s="2">
        <v>78.918055555555554</v>
      </c>
      <c r="G2221" t="s">
        <v>2815</v>
      </c>
      <c r="H2221" t="s">
        <v>2817</v>
      </c>
      <c r="I2221" s="2">
        <v>0.83819444444444446</v>
      </c>
      <c r="J2221" s="4" t="str">
        <f>IF(Table1[[#This Row],[processing_time_hours]]&gt;1.5,"Slow", "Fast")</f>
        <v>Fast</v>
      </c>
      <c r="K2221" t="s">
        <v>2814</v>
      </c>
      <c r="L2221" s="3">
        <v>1</v>
      </c>
      <c r="M2221" t="str">
        <f>IF(Table1[[#This Row],[delayed]]=1,"Delayed","On Time")</f>
        <v>Delayed</v>
      </c>
      <c r="N2221" t="str">
        <f>IF(AND(Table1[[#This Row],[delayed]]=1,Table1[[#This Row],[weather_condition]]="Storm"),"High Risk", IF(Table1[[#This Row],[delayed]]=1,"Medium Risk","Low Risk"))</f>
        <v>High Risk</v>
      </c>
    </row>
    <row r="2222" spans="1:14" x14ac:dyDescent="0.35">
      <c r="A2222">
        <v>2221</v>
      </c>
      <c r="B2222" s="1">
        <v>45019.5</v>
      </c>
      <c r="C2222" s="2">
        <v>5.6250000000000001E-2</v>
      </c>
      <c r="D2222" s="3">
        <v>2575</v>
      </c>
      <c r="E2222" s="3">
        <v>33</v>
      </c>
      <c r="F2222" s="2">
        <v>15.503472222222221</v>
      </c>
      <c r="G2222" t="s">
        <v>2819</v>
      </c>
      <c r="H2222" t="s">
        <v>2813</v>
      </c>
      <c r="I2222" s="2">
        <v>2.0423611111111111</v>
      </c>
      <c r="J2222" s="4" t="str">
        <f>IF(Table1[[#This Row],[processing_time_hours]]&gt;1.5,"Slow", "Fast")</f>
        <v>Slow</v>
      </c>
      <c r="K2222" t="s">
        <v>2821</v>
      </c>
      <c r="L2222" s="3">
        <v>0</v>
      </c>
      <c r="M2222" t="str">
        <f>IF(Table1[[#This Row],[delayed]]=1,"Delayed","On Time")</f>
        <v>On Time</v>
      </c>
      <c r="N2222" t="str">
        <f>IF(AND(Table1[[#This Row],[delayed]]=1,Table1[[#This Row],[weather_condition]]="Storm"),"High Risk", IF(Table1[[#This Row],[delayed]]=1,"Medium Risk","Low Risk"))</f>
        <v>Low Risk</v>
      </c>
    </row>
    <row r="2223" spans="1:14" x14ac:dyDescent="0.35">
      <c r="A2223">
        <v>2222</v>
      </c>
      <c r="B2223" s="1">
        <v>45019.541666666664</v>
      </c>
      <c r="C2223" s="2">
        <v>6.805555555555555E-2</v>
      </c>
      <c r="D2223" s="3">
        <v>2086</v>
      </c>
      <c r="E2223" s="3">
        <v>288</v>
      </c>
      <c r="F2223" s="2">
        <v>48.795138888888886</v>
      </c>
      <c r="G2223" t="s">
        <v>2815</v>
      </c>
      <c r="H2223" t="s">
        <v>2822</v>
      </c>
      <c r="I2223" s="2">
        <v>0.12916666666666668</v>
      </c>
      <c r="J2223" s="4" t="str">
        <f>IF(Table1[[#This Row],[processing_time_hours]]&gt;1.5,"Slow", "Fast")</f>
        <v>Fast</v>
      </c>
      <c r="K2223" t="s">
        <v>2818</v>
      </c>
      <c r="L2223" s="3">
        <v>0</v>
      </c>
      <c r="M2223" t="str">
        <f>IF(Table1[[#This Row],[delayed]]=1,"Delayed","On Time")</f>
        <v>On Time</v>
      </c>
      <c r="N2223" t="str">
        <f>IF(AND(Table1[[#This Row],[delayed]]=1,Table1[[#This Row],[weather_condition]]="Storm"),"High Risk", IF(Table1[[#This Row],[delayed]]=1,"Medium Risk","Low Risk"))</f>
        <v>Low Risk</v>
      </c>
    </row>
    <row r="2224" spans="1:14" x14ac:dyDescent="0.35">
      <c r="A2224">
        <v>2223</v>
      </c>
      <c r="B2224" s="1">
        <v>45019.583333333336</v>
      </c>
      <c r="C2224" s="2">
        <v>4.7916666666666663E-2</v>
      </c>
      <c r="D2224" s="3">
        <v>2005</v>
      </c>
      <c r="E2224" s="3">
        <v>85</v>
      </c>
      <c r="F2224" s="2">
        <v>73.836805555555557</v>
      </c>
      <c r="G2224" t="s">
        <v>2812</v>
      </c>
      <c r="H2224" t="s">
        <v>2817</v>
      </c>
      <c r="I2224" s="2">
        <v>2.9208333333333329</v>
      </c>
      <c r="J2224" s="4" t="str">
        <f>IF(Table1[[#This Row],[processing_time_hours]]&gt;1.5,"Slow", "Fast")</f>
        <v>Slow</v>
      </c>
      <c r="K2224" t="s">
        <v>2814</v>
      </c>
      <c r="L2224" s="3">
        <v>0</v>
      </c>
      <c r="M2224" t="str">
        <f>IF(Table1[[#This Row],[delayed]]=1,"Delayed","On Time")</f>
        <v>On Time</v>
      </c>
      <c r="N2224" t="str">
        <f>IF(AND(Table1[[#This Row],[delayed]]=1,Table1[[#This Row],[weather_condition]]="Storm"),"High Risk", IF(Table1[[#This Row],[delayed]]=1,"Medium Risk","Low Risk"))</f>
        <v>Low Risk</v>
      </c>
    </row>
    <row r="2225" spans="1:14" x14ac:dyDescent="0.35">
      <c r="A2225">
        <v>2224</v>
      </c>
      <c r="B2225" s="1">
        <v>45019.625</v>
      </c>
      <c r="C2225" s="2">
        <v>4.5138888888888888E-2</v>
      </c>
      <c r="D2225" s="3">
        <v>1999</v>
      </c>
      <c r="E2225" s="3">
        <v>338</v>
      </c>
      <c r="F2225" s="2">
        <v>78.459722222222226</v>
      </c>
      <c r="G2225" t="s">
        <v>2816</v>
      </c>
      <c r="H2225" t="s">
        <v>2813</v>
      </c>
      <c r="I2225" s="2">
        <v>0.62986111111111109</v>
      </c>
      <c r="J2225" s="4" t="str">
        <f>IF(Table1[[#This Row],[processing_time_hours]]&gt;1.5,"Slow", "Fast")</f>
        <v>Fast</v>
      </c>
      <c r="K2225" t="s">
        <v>2814</v>
      </c>
      <c r="L2225" s="3">
        <v>0</v>
      </c>
      <c r="M2225" t="str">
        <f>IF(Table1[[#This Row],[delayed]]=1,"Delayed","On Time")</f>
        <v>On Time</v>
      </c>
      <c r="N2225" t="str">
        <f>IF(AND(Table1[[#This Row],[delayed]]=1,Table1[[#This Row],[weather_condition]]="Storm"),"High Risk", IF(Table1[[#This Row],[delayed]]=1,"Medium Risk","Low Risk"))</f>
        <v>Low Risk</v>
      </c>
    </row>
    <row r="2226" spans="1:14" x14ac:dyDescent="0.35">
      <c r="A2226">
        <v>2225</v>
      </c>
      <c r="B2226" s="1">
        <v>45019.666666666664</v>
      </c>
      <c r="C2226" s="2">
        <v>5.6250000000000001E-2</v>
      </c>
      <c r="D2226" s="3">
        <v>1092</v>
      </c>
      <c r="E2226" s="3">
        <v>235</v>
      </c>
      <c r="F2226" s="2">
        <v>70.959027777777777</v>
      </c>
      <c r="G2226" t="s">
        <v>2816</v>
      </c>
      <c r="H2226" t="s">
        <v>2817</v>
      </c>
      <c r="I2226" s="2">
        <v>2.2958333333333334</v>
      </c>
      <c r="J2226" s="4" t="str">
        <f>IF(Table1[[#This Row],[processing_time_hours]]&gt;1.5,"Slow", "Fast")</f>
        <v>Slow</v>
      </c>
      <c r="K2226" t="s">
        <v>2818</v>
      </c>
      <c r="L2226" s="3">
        <v>1</v>
      </c>
      <c r="M2226" t="str">
        <f>IF(Table1[[#This Row],[delayed]]=1,"Delayed","On Time")</f>
        <v>Delayed</v>
      </c>
      <c r="N2226" t="str">
        <f>IF(AND(Table1[[#This Row],[delayed]]=1,Table1[[#This Row],[weather_condition]]="Storm"),"High Risk", IF(Table1[[#This Row],[delayed]]=1,"Medium Risk","Low Risk"))</f>
        <v>High Risk</v>
      </c>
    </row>
    <row r="2227" spans="1:14" x14ac:dyDescent="0.35">
      <c r="A2227">
        <v>2226</v>
      </c>
      <c r="B2227" s="1">
        <v>45019.708333333336</v>
      </c>
      <c r="C2227" s="2">
        <v>4.2361111111111106E-2</v>
      </c>
      <c r="D2227" s="3">
        <v>3165</v>
      </c>
      <c r="E2227" s="3">
        <v>339</v>
      </c>
      <c r="F2227" s="2">
        <v>10.584027777777779</v>
      </c>
      <c r="G2227" t="s">
        <v>2815</v>
      </c>
      <c r="H2227" t="s">
        <v>2822</v>
      </c>
      <c r="I2227" s="2">
        <v>1.9597222222222221</v>
      </c>
      <c r="J2227" s="4" t="str">
        <f>IF(Table1[[#This Row],[processing_time_hours]]&gt;1.5,"Slow", "Fast")</f>
        <v>Slow</v>
      </c>
      <c r="K2227" t="s">
        <v>2818</v>
      </c>
      <c r="L2227" s="3">
        <v>1</v>
      </c>
      <c r="M2227" t="str">
        <f>IF(Table1[[#This Row],[delayed]]=1,"Delayed","On Time")</f>
        <v>Delayed</v>
      </c>
      <c r="N2227" t="str">
        <f>IF(AND(Table1[[#This Row],[delayed]]=1,Table1[[#This Row],[weather_condition]]="Storm"),"High Risk", IF(Table1[[#This Row],[delayed]]=1,"Medium Risk","Low Risk"))</f>
        <v>Medium Risk</v>
      </c>
    </row>
    <row r="2228" spans="1:14" x14ac:dyDescent="0.35">
      <c r="A2228">
        <v>2227</v>
      </c>
      <c r="B2228" s="1">
        <v>45019.75</v>
      </c>
      <c r="C2228" s="2">
        <v>5.1388888888888894E-2</v>
      </c>
      <c r="D2228" s="3">
        <v>2405</v>
      </c>
      <c r="E2228" s="3">
        <v>374</v>
      </c>
      <c r="F2228" s="2">
        <v>68.379166666666663</v>
      </c>
      <c r="G2228" t="s">
        <v>2819</v>
      </c>
      <c r="H2228" t="s">
        <v>2813</v>
      </c>
      <c r="I2228" s="2">
        <v>0.79236111111111107</v>
      </c>
      <c r="J2228" s="4" t="str">
        <f>IF(Table1[[#This Row],[processing_time_hours]]&gt;1.5,"Slow", "Fast")</f>
        <v>Fast</v>
      </c>
      <c r="K2228" t="s">
        <v>2821</v>
      </c>
      <c r="L2228" s="3">
        <v>0</v>
      </c>
      <c r="M2228" t="str">
        <f>IF(Table1[[#This Row],[delayed]]=1,"Delayed","On Time")</f>
        <v>On Time</v>
      </c>
      <c r="N2228" t="str">
        <f>IF(AND(Table1[[#This Row],[delayed]]=1,Table1[[#This Row],[weather_condition]]="Storm"),"High Risk", IF(Table1[[#This Row],[delayed]]=1,"Medium Risk","Low Risk"))</f>
        <v>Low Risk</v>
      </c>
    </row>
    <row r="2229" spans="1:14" x14ac:dyDescent="0.35">
      <c r="A2229">
        <v>2228</v>
      </c>
      <c r="B2229" s="1">
        <v>45019.791666666664</v>
      </c>
      <c r="C2229" s="2">
        <v>5.4166666666666669E-2</v>
      </c>
      <c r="D2229" s="3">
        <v>1402</v>
      </c>
      <c r="E2229" s="3">
        <v>217</v>
      </c>
      <c r="F2229" s="2">
        <v>21.295138888888889</v>
      </c>
      <c r="G2229" t="s">
        <v>2815</v>
      </c>
      <c r="H2229" t="s">
        <v>2813</v>
      </c>
      <c r="I2229" s="2">
        <v>1.7972222222222223</v>
      </c>
      <c r="J2229" s="4" t="str">
        <f>IF(Table1[[#This Row],[processing_time_hours]]&gt;1.5,"Slow", "Fast")</f>
        <v>Slow</v>
      </c>
      <c r="K2229" t="s">
        <v>2818</v>
      </c>
      <c r="L2229" s="3">
        <v>0</v>
      </c>
      <c r="M2229" t="str">
        <f>IF(Table1[[#This Row],[delayed]]=1,"Delayed","On Time")</f>
        <v>On Time</v>
      </c>
      <c r="N2229" t="str">
        <f>IF(AND(Table1[[#This Row],[delayed]]=1,Table1[[#This Row],[weather_condition]]="Storm"),"High Risk", IF(Table1[[#This Row],[delayed]]=1,"Medium Risk","Low Risk"))</f>
        <v>Low Risk</v>
      </c>
    </row>
    <row r="2230" spans="1:14" x14ac:dyDescent="0.35">
      <c r="A2230">
        <v>2229</v>
      </c>
      <c r="B2230" s="1">
        <v>45019.833333333336</v>
      </c>
      <c r="C2230" s="2">
        <v>4.3750000000000004E-2</v>
      </c>
      <c r="D2230" s="3">
        <v>1607</v>
      </c>
      <c r="E2230" s="3">
        <v>458</v>
      </c>
      <c r="F2230" s="2">
        <v>44.209722222222219</v>
      </c>
      <c r="G2230" t="s">
        <v>2819</v>
      </c>
      <c r="H2230" t="s">
        <v>2820</v>
      </c>
      <c r="I2230" s="2">
        <v>2.0451388888888888</v>
      </c>
      <c r="J2230" s="4" t="str">
        <f>IF(Table1[[#This Row],[processing_time_hours]]&gt;1.5,"Slow", "Fast")</f>
        <v>Slow</v>
      </c>
      <c r="K2230" t="s">
        <v>2814</v>
      </c>
      <c r="L2230" s="3">
        <v>0</v>
      </c>
      <c r="M2230" t="str">
        <f>IF(Table1[[#This Row],[delayed]]=1,"Delayed","On Time")</f>
        <v>On Time</v>
      </c>
      <c r="N2230" t="str">
        <f>IF(AND(Table1[[#This Row],[delayed]]=1,Table1[[#This Row],[weather_condition]]="Storm"),"High Risk", IF(Table1[[#This Row],[delayed]]=1,"Medium Risk","Low Risk"))</f>
        <v>Low Risk</v>
      </c>
    </row>
    <row r="2231" spans="1:14" x14ac:dyDescent="0.35">
      <c r="A2231">
        <v>2230</v>
      </c>
      <c r="B2231" s="1">
        <v>45019.875</v>
      </c>
      <c r="C2231" s="2">
        <v>6.5972222222222224E-2</v>
      </c>
      <c r="D2231" s="3">
        <v>2286</v>
      </c>
      <c r="E2231" s="3">
        <v>400</v>
      </c>
      <c r="F2231" s="2">
        <v>46.417361111111113</v>
      </c>
      <c r="G2231" t="s">
        <v>2812</v>
      </c>
      <c r="H2231" t="s">
        <v>2820</v>
      </c>
      <c r="I2231" s="2">
        <v>2.1715277777777779</v>
      </c>
      <c r="J2231" s="4" t="str">
        <f>IF(Table1[[#This Row],[processing_time_hours]]&gt;1.5,"Slow", "Fast")</f>
        <v>Slow</v>
      </c>
      <c r="K2231" t="s">
        <v>2818</v>
      </c>
      <c r="L2231" s="3">
        <v>0</v>
      </c>
      <c r="M2231" t="str">
        <f>IF(Table1[[#This Row],[delayed]]=1,"Delayed","On Time")</f>
        <v>On Time</v>
      </c>
      <c r="N2231" t="str">
        <f>IF(AND(Table1[[#This Row],[delayed]]=1,Table1[[#This Row],[weather_condition]]="Storm"),"High Risk", IF(Table1[[#This Row],[delayed]]=1,"Medium Risk","Low Risk"))</f>
        <v>Low Risk</v>
      </c>
    </row>
    <row r="2232" spans="1:14" x14ac:dyDescent="0.35">
      <c r="A2232">
        <v>2231</v>
      </c>
      <c r="B2232" s="1">
        <v>45019.916666666664</v>
      </c>
      <c r="C2232" s="2">
        <v>5.2083333333333336E-2</v>
      </c>
      <c r="D2232" s="3">
        <v>321</v>
      </c>
      <c r="E2232" s="3">
        <v>52</v>
      </c>
      <c r="F2232" s="2">
        <v>61.337499999999999</v>
      </c>
      <c r="G2232" t="s">
        <v>2812</v>
      </c>
      <c r="H2232" t="s">
        <v>2813</v>
      </c>
      <c r="I2232" s="2">
        <v>0.87569444444444444</v>
      </c>
      <c r="J2232" s="4" t="str">
        <f>IF(Table1[[#This Row],[processing_time_hours]]&gt;1.5,"Slow", "Fast")</f>
        <v>Fast</v>
      </c>
      <c r="K2232" t="s">
        <v>2821</v>
      </c>
      <c r="L2232" s="3">
        <v>0</v>
      </c>
      <c r="M2232" t="str">
        <f>IF(Table1[[#This Row],[delayed]]=1,"Delayed","On Time")</f>
        <v>On Time</v>
      </c>
      <c r="N2232" t="str">
        <f>IF(AND(Table1[[#This Row],[delayed]]=1,Table1[[#This Row],[weather_condition]]="Storm"),"High Risk", IF(Table1[[#This Row],[delayed]]=1,"Medium Risk","Low Risk"))</f>
        <v>Low Risk</v>
      </c>
    </row>
    <row r="2233" spans="1:14" x14ac:dyDescent="0.35">
      <c r="A2233">
        <v>2232</v>
      </c>
      <c r="B2233" s="1">
        <v>45019.958333333336</v>
      </c>
      <c r="C2233" s="2">
        <v>5.7638888888888885E-2</v>
      </c>
      <c r="D2233" s="3">
        <v>1538</v>
      </c>
      <c r="E2233" s="3">
        <v>235</v>
      </c>
      <c r="F2233" s="2">
        <v>73.714583333333337</v>
      </c>
      <c r="G2233" t="s">
        <v>2819</v>
      </c>
      <c r="H2233" t="s">
        <v>2817</v>
      </c>
      <c r="I2233" s="2">
        <v>2.7520833333333332</v>
      </c>
      <c r="J2233" s="4" t="str">
        <f>IF(Table1[[#This Row],[processing_time_hours]]&gt;1.5,"Slow", "Fast")</f>
        <v>Slow</v>
      </c>
      <c r="K2233" t="s">
        <v>2821</v>
      </c>
      <c r="L2233" s="3">
        <v>0</v>
      </c>
      <c r="M2233" t="str">
        <f>IF(Table1[[#This Row],[delayed]]=1,"Delayed","On Time")</f>
        <v>On Time</v>
      </c>
      <c r="N2233" t="str">
        <f>IF(AND(Table1[[#This Row],[delayed]]=1,Table1[[#This Row],[weather_condition]]="Storm"),"High Risk", IF(Table1[[#This Row],[delayed]]=1,"Medium Risk","Low Risk"))</f>
        <v>Low Risk</v>
      </c>
    </row>
    <row r="2234" spans="1:14" x14ac:dyDescent="0.35">
      <c r="A2234">
        <v>2233</v>
      </c>
      <c r="B2234" s="1">
        <v>45020</v>
      </c>
      <c r="C2234" s="2">
        <v>4.5138888888888888E-2</v>
      </c>
      <c r="D2234" s="3">
        <v>684</v>
      </c>
      <c r="E2234" s="3">
        <v>367</v>
      </c>
      <c r="F2234" s="2">
        <v>58.297222222222224</v>
      </c>
      <c r="G2234" t="s">
        <v>2812</v>
      </c>
      <c r="H2234" t="s">
        <v>2822</v>
      </c>
      <c r="I2234" s="2">
        <v>2.7118055555555554</v>
      </c>
      <c r="J2234" s="4" t="str">
        <f>IF(Table1[[#This Row],[processing_time_hours]]&gt;1.5,"Slow", "Fast")</f>
        <v>Slow</v>
      </c>
      <c r="K2234" t="s">
        <v>2818</v>
      </c>
      <c r="L2234" s="3">
        <v>0</v>
      </c>
      <c r="M2234" t="str">
        <f>IF(Table1[[#This Row],[delayed]]=1,"Delayed","On Time")</f>
        <v>On Time</v>
      </c>
      <c r="N2234" t="str">
        <f>IF(AND(Table1[[#This Row],[delayed]]=1,Table1[[#This Row],[weather_condition]]="Storm"),"High Risk", IF(Table1[[#This Row],[delayed]]=1,"Medium Risk","Low Risk"))</f>
        <v>Low Risk</v>
      </c>
    </row>
    <row r="2235" spans="1:14" x14ac:dyDescent="0.35">
      <c r="A2235">
        <v>2234</v>
      </c>
      <c r="B2235" s="1">
        <v>45020.041666666664</v>
      </c>
      <c r="C2235" s="2">
        <v>6.8749999999999992E-2</v>
      </c>
      <c r="D2235" s="3">
        <v>1784</v>
      </c>
      <c r="E2235" s="3">
        <v>174</v>
      </c>
      <c r="F2235" s="2">
        <v>45.256250000000001</v>
      </c>
      <c r="G2235" t="s">
        <v>2812</v>
      </c>
      <c r="H2235" t="s">
        <v>2820</v>
      </c>
      <c r="I2235" s="2">
        <v>0.92013888888888884</v>
      </c>
      <c r="J2235" s="4" t="str">
        <f>IF(Table1[[#This Row],[processing_time_hours]]&gt;1.5,"Slow", "Fast")</f>
        <v>Fast</v>
      </c>
      <c r="K2235" t="s">
        <v>2821</v>
      </c>
      <c r="L2235" s="3">
        <v>1</v>
      </c>
      <c r="M2235" t="str">
        <f>IF(Table1[[#This Row],[delayed]]=1,"Delayed","On Time")</f>
        <v>Delayed</v>
      </c>
      <c r="N2235" t="str">
        <f>IF(AND(Table1[[#This Row],[delayed]]=1,Table1[[#This Row],[weather_condition]]="Storm"),"High Risk", IF(Table1[[#This Row],[delayed]]=1,"Medium Risk","Low Risk"))</f>
        <v>Medium Risk</v>
      </c>
    </row>
    <row r="2236" spans="1:14" x14ac:dyDescent="0.35">
      <c r="A2236">
        <v>2235</v>
      </c>
      <c r="B2236" s="1">
        <v>45020.083333333336</v>
      </c>
      <c r="C2236" s="2">
        <v>4.6527777777777779E-2</v>
      </c>
      <c r="D2236" s="3">
        <v>69</v>
      </c>
      <c r="E2236" s="3">
        <v>138</v>
      </c>
      <c r="F2236" s="2">
        <v>15.545833333333334</v>
      </c>
      <c r="G2236" t="s">
        <v>2815</v>
      </c>
      <c r="H2236" t="s">
        <v>2820</v>
      </c>
      <c r="I2236" s="2">
        <v>0.13055555555555556</v>
      </c>
      <c r="J2236" s="4" t="str">
        <f>IF(Table1[[#This Row],[processing_time_hours]]&gt;1.5,"Slow", "Fast")</f>
        <v>Fast</v>
      </c>
      <c r="K2236" t="s">
        <v>2818</v>
      </c>
      <c r="L2236" s="3">
        <v>0</v>
      </c>
      <c r="M2236" t="str">
        <f>IF(Table1[[#This Row],[delayed]]=1,"Delayed","On Time")</f>
        <v>On Time</v>
      </c>
      <c r="N2236" t="str">
        <f>IF(AND(Table1[[#This Row],[delayed]]=1,Table1[[#This Row],[weather_condition]]="Storm"),"High Risk", IF(Table1[[#This Row],[delayed]]=1,"Medium Risk","Low Risk"))</f>
        <v>Low Risk</v>
      </c>
    </row>
    <row r="2237" spans="1:14" x14ac:dyDescent="0.35">
      <c r="A2237">
        <v>2236</v>
      </c>
      <c r="B2237" s="1">
        <v>45020.125</v>
      </c>
      <c r="C2237" s="2">
        <v>5.486111111111111E-2</v>
      </c>
      <c r="D2237" s="3">
        <v>801</v>
      </c>
      <c r="E2237" s="3">
        <v>55</v>
      </c>
      <c r="F2237" s="2">
        <v>50.791666666666664</v>
      </c>
      <c r="G2237" t="s">
        <v>2819</v>
      </c>
      <c r="H2237" t="s">
        <v>2813</v>
      </c>
      <c r="I2237" s="2">
        <v>2.3395833333333331</v>
      </c>
      <c r="J2237" s="4" t="str">
        <f>IF(Table1[[#This Row],[processing_time_hours]]&gt;1.5,"Slow", "Fast")</f>
        <v>Slow</v>
      </c>
      <c r="K2237" t="s">
        <v>2818</v>
      </c>
      <c r="L2237" s="3">
        <v>0</v>
      </c>
      <c r="M2237" t="str">
        <f>IF(Table1[[#This Row],[delayed]]=1,"Delayed","On Time")</f>
        <v>On Time</v>
      </c>
      <c r="N2237" t="str">
        <f>IF(AND(Table1[[#This Row],[delayed]]=1,Table1[[#This Row],[weather_condition]]="Storm"),"High Risk", IF(Table1[[#This Row],[delayed]]=1,"Medium Risk","Low Risk"))</f>
        <v>Low Risk</v>
      </c>
    </row>
    <row r="2238" spans="1:14" x14ac:dyDescent="0.35">
      <c r="A2238">
        <v>2237</v>
      </c>
      <c r="B2238" s="1">
        <v>45020.166666666664</v>
      </c>
      <c r="C2238" s="2">
        <v>4.4444444444444446E-2</v>
      </c>
      <c r="D2238" s="3">
        <v>1265</v>
      </c>
      <c r="E2238" s="3">
        <v>351</v>
      </c>
      <c r="F2238" s="2">
        <v>77.714583333333337</v>
      </c>
      <c r="G2238" t="s">
        <v>2819</v>
      </c>
      <c r="H2238" t="s">
        <v>2820</v>
      </c>
      <c r="I2238" s="2">
        <v>1.2923611111111111</v>
      </c>
      <c r="J2238" s="4" t="str">
        <f>IF(Table1[[#This Row],[processing_time_hours]]&gt;1.5,"Slow", "Fast")</f>
        <v>Fast</v>
      </c>
      <c r="K2238" t="s">
        <v>2821</v>
      </c>
      <c r="L2238" s="3">
        <v>0</v>
      </c>
      <c r="M2238" t="str">
        <f>IF(Table1[[#This Row],[delayed]]=1,"Delayed","On Time")</f>
        <v>On Time</v>
      </c>
      <c r="N2238" t="str">
        <f>IF(AND(Table1[[#This Row],[delayed]]=1,Table1[[#This Row],[weather_condition]]="Storm"),"High Risk", IF(Table1[[#This Row],[delayed]]=1,"Medium Risk","Low Risk"))</f>
        <v>Low Risk</v>
      </c>
    </row>
    <row r="2239" spans="1:14" x14ac:dyDescent="0.35">
      <c r="A2239">
        <v>2238</v>
      </c>
      <c r="B2239" s="1">
        <v>45020.208333333336</v>
      </c>
      <c r="C2239" s="2">
        <v>4.5833333333333337E-2</v>
      </c>
      <c r="D2239" s="3">
        <v>3523</v>
      </c>
      <c r="E2239" s="3">
        <v>132</v>
      </c>
      <c r="F2239" s="2">
        <v>8.1673611111111111</v>
      </c>
      <c r="G2239" t="s">
        <v>2816</v>
      </c>
      <c r="H2239" t="s">
        <v>2813</v>
      </c>
      <c r="I2239" s="2">
        <v>2.8333333333333335</v>
      </c>
      <c r="J2239" s="4" t="str">
        <f>IF(Table1[[#This Row],[processing_time_hours]]&gt;1.5,"Slow", "Fast")</f>
        <v>Slow</v>
      </c>
      <c r="K2239" t="s">
        <v>2814</v>
      </c>
      <c r="L2239" s="3">
        <v>0</v>
      </c>
      <c r="M2239" t="str">
        <f>IF(Table1[[#This Row],[delayed]]=1,"Delayed","On Time")</f>
        <v>On Time</v>
      </c>
      <c r="N2239" t="str">
        <f>IF(AND(Table1[[#This Row],[delayed]]=1,Table1[[#This Row],[weather_condition]]="Storm"),"High Risk", IF(Table1[[#This Row],[delayed]]=1,"Medium Risk","Low Risk"))</f>
        <v>Low Risk</v>
      </c>
    </row>
    <row r="2240" spans="1:14" x14ac:dyDescent="0.35">
      <c r="A2240">
        <v>2239</v>
      </c>
      <c r="B2240" s="1">
        <v>45020.25</v>
      </c>
      <c r="C2240" s="2">
        <v>4.5138888888888888E-2</v>
      </c>
      <c r="D2240" s="3">
        <v>4150</v>
      </c>
      <c r="E2240" s="3">
        <v>106</v>
      </c>
      <c r="F2240" s="2">
        <v>76.500694444444449</v>
      </c>
      <c r="G2240" t="s">
        <v>2816</v>
      </c>
      <c r="H2240" t="s">
        <v>2820</v>
      </c>
      <c r="I2240" s="2">
        <v>1.0013888888888889</v>
      </c>
      <c r="J2240" s="4" t="str">
        <f>IF(Table1[[#This Row],[processing_time_hours]]&gt;1.5,"Slow", "Fast")</f>
        <v>Fast</v>
      </c>
      <c r="K2240" t="s">
        <v>2818</v>
      </c>
      <c r="L2240" s="3">
        <v>0</v>
      </c>
      <c r="M2240" t="str">
        <f>IF(Table1[[#This Row],[delayed]]=1,"Delayed","On Time")</f>
        <v>On Time</v>
      </c>
      <c r="N2240" t="str">
        <f>IF(AND(Table1[[#This Row],[delayed]]=1,Table1[[#This Row],[weather_condition]]="Storm"),"High Risk", IF(Table1[[#This Row],[delayed]]=1,"Medium Risk","Low Risk"))</f>
        <v>Low Risk</v>
      </c>
    </row>
    <row r="2241" spans="1:14" x14ac:dyDescent="0.35">
      <c r="A2241">
        <v>2240</v>
      </c>
      <c r="B2241" s="1">
        <v>45020.291666666664</v>
      </c>
      <c r="C2241" s="2">
        <v>5.2083333333333336E-2</v>
      </c>
      <c r="D2241" s="3">
        <v>368</v>
      </c>
      <c r="E2241" s="3">
        <v>178</v>
      </c>
      <c r="F2241" s="2">
        <v>43.504861111111104</v>
      </c>
      <c r="G2241" t="s">
        <v>2819</v>
      </c>
      <c r="H2241" t="s">
        <v>2813</v>
      </c>
      <c r="I2241" s="2">
        <v>0.41944444444444445</v>
      </c>
      <c r="J2241" s="4" t="str">
        <f>IF(Table1[[#This Row],[processing_time_hours]]&gt;1.5,"Slow", "Fast")</f>
        <v>Fast</v>
      </c>
      <c r="K2241" t="s">
        <v>2818</v>
      </c>
      <c r="L2241" s="3">
        <v>0</v>
      </c>
      <c r="M2241" t="str">
        <f>IF(Table1[[#This Row],[delayed]]=1,"Delayed","On Time")</f>
        <v>On Time</v>
      </c>
      <c r="N2241" t="str">
        <f>IF(AND(Table1[[#This Row],[delayed]]=1,Table1[[#This Row],[weather_condition]]="Storm"),"High Risk", IF(Table1[[#This Row],[delayed]]=1,"Medium Risk","Low Risk"))</f>
        <v>Low Risk</v>
      </c>
    </row>
    <row r="2242" spans="1:14" x14ac:dyDescent="0.35">
      <c r="A2242">
        <v>2241</v>
      </c>
      <c r="B2242" s="1">
        <v>45020.333333333336</v>
      </c>
      <c r="C2242" s="2">
        <v>4.4444444444444446E-2</v>
      </c>
      <c r="D2242" s="3">
        <v>3681</v>
      </c>
      <c r="E2242" s="3">
        <v>185</v>
      </c>
      <c r="F2242" s="2">
        <v>2.2937499999999997</v>
      </c>
      <c r="G2242" t="s">
        <v>2812</v>
      </c>
      <c r="H2242" t="s">
        <v>2817</v>
      </c>
      <c r="I2242" s="2">
        <v>1.0430555555555556</v>
      </c>
      <c r="J2242" s="4" t="str">
        <f>IF(Table1[[#This Row],[processing_time_hours]]&gt;1.5,"Slow", "Fast")</f>
        <v>Fast</v>
      </c>
      <c r="K2242" t="s">
        <v>2821</v>
      </c>
      <c r="L2242" s="3">
        <v>0</v>
      </c>
      <c r="M2242" t="str">
        <f>IF(Table1[[#This Row],[delayed]]=1,"Delayed","On Time")</f>
        <v>On Time</v>
      </c>
      <c r="N2242" t="str">
        <f>IF(AND(Table1[[#This Row],[delayed]]=1,Table1[[#This Row],[weather_condition]]="Storm"),"High Risk", IF(Table1[[#This Row],[delayed]]=1,"Medium Risk","Low Risk"))</f>
        <v>Low Risk</v>
      </c>
    </row>
    <row r="2243" spans="1:14" x14ac:dyDescent="0.35">
      <c r="A2243">
        <v>2242</v>
      </c>
      <c r="B2243" s="1">
        <v>45020.375</v>
      </c>
      <c r="C2243" s="2">
        <v>5.486111111111111E-2</v>
      </c>
      <c r="D2243" s="3">
        <v>876</v>
      </c>
      <c r="E2243" s="3">
        <v>312</v>
      </c>
      <c r="F2243" s="2">
        <v>10.543750000000001</v>
      </c>
      <c r="G2243" t="s">
        <v>2816</v>
      </c>
      <c r="H2243" t="s">
        <v>2822</v>
      </c>
      <c r="I2243" s="2">
        <v>0.17152777777777775</v>
      </c>
      <c r="J2243" s="4" t="str">
        <f>IF(Table1[[#This Row],[processing_time_hours]]&gt;1.5,"Slow", "Fast")</f>
        <v>Fast</v>
      </c>
      <c r="K2243" t="s">
        <v>2821</v>
      </c>
      <c r="L2243" s="3">
        <v>0</v>
      </c>
      <c r="M2243" t="str">
        <f>IF(Table1[[#This Row],[delayed]]=1,"Delayed","On Time")</f>
        <v>On Time</v>
      </c>
      <c r="N2243" t="str">
        <f>IF(AND(Table1[[#This Row],[delayed]]=1,Table1[[#This Row],[weather_condition]]="Storm"),"High Risk", IF(Table1[[#This Row],[delayed]]=1,"Medium Risk","Low Risk"))</f>
        <v>Low Risk</v>
      </c>
    </row>
    <row r="2244" spans="1:14" x14ac:dyDescent="0.35">
      <c r="A2244">
        <v>2243</v>
      </c>
      <c r="B2244" s="1">
        <v>45020.416666666664</v>
      </c>
      <c r="C2244" s="2">
        <v>5.7638888888888885E-2</v>
      </c>
      <c r="D2244" s="3">
        <v>1883</v>
      </c>
      <c r="E2244" s="3">
        <v>173</v>
      </c>
      <c r="F2244" s="2">
        <v>62.08819444444444</v>
      </c>
      <c r="G2244" t="s">
        <v>2819</v>
      </c>
      <c r="H2244" t="s">
        <v>2817</v>
      </c>
      <c r="I2244" s="2">
        <v>2.125</v>
      </c>
      <c r="J2244" s="4" t="str">
        <f>IF(Table1[[#This Row],[processing_time_hours]]&gt;1.5,"Slow", "Fast")</f>
        <v>Slow</v>
      </c>
      <c r="K2244" t="s">
        <v>2818</v>
      </c>
      <c r="L2244" s="3">
        <v>1</v>
      </c>
      <c r="M2244" t="str">
        <f>IF(Table1[[#This Row],[delayed]]=1,"Delayed","On Time")</f>
        <v>Delayed</v>
      </c>
      <c r="N2244" t="str">
        <f>IF(AND(Table1[[#This Row],[delayed]]=1,Table1[[#This Row],[weather_condition]]="Storm"),"High Risk", IF(Table1[[#This Row],[delayed]]=1,"Medium Risk","Low Risk"))</f>
        <v>High Risk</v>
      </c>
    </row>
    <row r="2245" spans="1:14" x14ac:dyDescent="0.35">
      <c r="A2245">
        <v>2244</v>
      </c>
      <c r="B2245" s="1">
        <v>45020.458333333336</v>
      </c>
      <c r="C2245" s="2">
        <v>4.7222222222222221E-2</v>
      </c>
      <c r="D2245" s="3">
        <v>4839</v>
      </c>
      <c r="E2245" s="3">
        <v>124</v>
      </c>
      <c r="F2245" s="2">
        <v>57.08819444444444</v>
      </c>
      <c r="G2245" t="s">
        <v>2816</v>
      </c>
      <c r="H2245" t="s">
        <v>2817</v>
      </c>
      <c r="I2245" s="2">
        <v>1.2979166666666666</v>
      </c>
      <c r="J2245" s="4" t="str">
        <f>IF(Table1[[#This Row],[processing_time_hours]]&gt;1.5,"Slow", "Fast")</f>
        <v>Fast</v>
      </c>
      <c r="K2245" t="s">
        <v>2818</v>
      </c>
      <c r="L2245" s="3">
        <v>0</v>
      </c>
      <c r="M2245" t="str">
        <f>IF(Table1[[#This Row],[delayed]]=1,"Delayed","On Time")</f>
        <v>On Time</v>
      </c>
      <c r="N2245" t="str">
        <f>IF(AND(Table1[[#This Row],[delayed]]=1,Table1[[#This Row],[weather_condition]]="Storm"),"High Risk", IF(Table1[[#This Row],[delayed]]=1,"Medium Risk","Low Risk"))</f>
        <v>Low Risk</v>
      </c>
    </row>
    <row r="2246" spans="1:14" x14ac:dyDescent="0.35">
      <c r="A2246">
        <v>2245</v>
      </c>
      <c r="B2246" s="1">
        <v>45020.5</v>
      </c>
      <c r="C2246" s="2">
        <v>6.3194444444444442E-2</v>
      </c>
      <c r="D2246" s="3">
        <v>3573</v>
      </c>
      <c r="E2246" s="3">
        <v>11</v>
      </c>
      <c r="F2246" s="2">
        <v>48.46180555555555</v>
      </c>
      <c r="G2246" t="s">
        <v>2816</v>
      </c>
      <c r="H2246" t="s">
        <v>2820</v>
      </c>
      <c r="I2246" s="2">
        <v>0.29305555555555557</v>
      </c>
      <c r="J2246" s="4" t="str">
        <f>IF(Table1[[#This Row],[processing_time_hours]]&gt;1.5,"Slow", "Fast")</f>
        <v>Fast</v>
      </c>
      <c r="K2246" t="s">
        <v>2818</v>
      </c>
      <c r="L2246" s="3">
        <v>0</v>
      </c>
      <c r="M2246" t="str">
        <f>IF(Table1[[#This Row],[delayed]]=1,"Delayed","On Time")</f>
        <v>On Time</v>
      </c>
      <c r="N2246" t="str">
        <f>IF(AND(Table1[[#This Row],[delayed]]=1,Table1[[#This Row],[weather_condition]]="Storm"),"High Risk", IF(Table1[[#This Row],[delayed]]=1,"Medium Risk","Low Risk"))</f>
        <v>Low Risk</v>
      </c>
    </row>
    <row r="2247" spans="1:14" x14ac:dyDescent="0.35">
      <c r="A2247">
        <v>2246</v>
      </c>
      <c r="B2247" s="1">
        <v>45020.541666666664</v>
      </c>
      <c r="C2247" s="2">
        <v>4.3750000000000004E-2</v>
      </c>
      <c r="D2247" s="3">
        <v>4518</v>
      </c>
      <c r="E2247" s="3">
        <v>23</v>
      </c>
      <c r="F2247" s="2">
        <v>50.043055555555554</v>
      </c>
      <c r="G2247" t="s">
        <v>2812</v>
      </c>
      <c r="H2247" t="s">
        <v>2817</v>
      </c>
      <c r="I2247" s="2">
        <v>0.62708333333333333</v>
      </c>
      <c r="J2247" s="4" t="str">
        <f>IF(Table1[[#This Row],[processing_time_hours]]&gt;1.5,"Slow", "Fast")</f>
        <v>Fast</v>
      </c>
      <c r="K2247" t="s">
        <v>2821</v>
      </c>
      <c r="L2247" s="3">
        <v>0</v>
      </c>
      <c r="M2247" t="str">
        <f>IF(Table1[[#This Row],[delayed]]=1,"Delayed","On Time")</f>
        <v>On Time</v>
      </c>
      <c r="N2247" t="str">
        <f>IF(AND(Table1[[#This Row],[delayed]]=1,Table1[[#This Row],[weather_condition]]="Storm"),"High Risk", IF(Table1[[#This Row],[delayed]]=1,"Medium Risk","Low Risk"))</f>
        <v>Low Risk</v>
      </c>
    </row>
    <row r="2248" spans="1:14" x14ac:dyDescent="0.35">
      <c r="A2248">
        <v>2247</v>
      </c>
      <c r="B2248" s="1">
        <v>45020.583333333336</v>
      </c>
      <c r="C2248" s="2">
        <v>5.7638888888888885E-2</v>
      </c>
      <c r="D2248" s="3">
        <v>4174</v>
      </c>
      <c r="E2248" s="3">
        <v>224</v>
      </c>
      <c r="F2248" s="2">
        <v>72.500694444444449</v>
      </c>
      <c r="G2248" t="s">
        <v>2815</v>
      </c>
      <c r="H2248" t="s">
        <v>2813</v>
      </c>
      <c r="I2248" s="2">
        <v>1.2506944444444443</v>
      </c>
      <c r="J2248" s="4" t="str">
        <f>IF(Table1[[#This Row],[processing_time_hours]]&gt;1.5,"Slow", "Fast")</f>
        <v>Fast</v>
      </c>
      <c r="K2248" t="s">
        <v>2814</v>
      </c>
      <c r="L2248" s="3">
        <v>0</v>
      </c>
      <c r="M2248" t="str">
        <f>IF(Table1[[#This Row],[delayed]]=1,"Delayed","On Time")</f>
        <v>On Time</v>
      </c>
      <c r="N2248" t="str">
        <f>IF(AND(Table1[[#This Row],[delayed]]=1,Table1[[#This Row],[weather_condition]]="Storm"),"High Risk", IF(Table1[[#This Row],[delayed]]=1,"Medium Risk","Low Risk"))</f>
        <v>Low Risk</v>
      </c>
    </row>
    <row r="2249" spans="1:14" x14ac:dyDescent="0.35">
      <c r="A2249">
        <v>2248</v>
      </c>
      <c r="B2249" s="1">
        <v>45020.625</v>
      </c>
      <c r="C2249" s="2">
        <v>6.3888888888888898E-2</v>
      </c>
      <c r="D2249" s="3">
        <v>2815</v>
      </c>
      <c r="E2249" s="3">
        <v>399</v>
      </c>
      <c r="F2249" s="2">
        <v>68.003472222222214</v>
      </c>
      <c r="G2249" t="s">
        <v>2819</v>
      </c>
      <c r="H2249" t="s">
        <v>2817</v>
      </c>
      <c r="I2249" s="2">
        <v>0.21319444444444444</v>
      </c>
      <c r="J2249" s="4" t="str">
        <f>IF(Table1[[#This Row],[processing_time_hours]]&gt;1.5,"Slow", "Fast")</f>
        <v>Fast</v>
      </c>
      <c r="K2249" t="s">
        <v>2818</v>
      </c>
      <c r="L2249" s="3">
        <v>0</v>
      </c>
      <c r="M2249" t="str">
        <f>IF(Table1[[#This Row],[delayed]]=1,"Delayed","On Time")</f>
        <v>On Time</v>
      </c>
      <c r="N2249" t="str">
        <f>IF(AND(Table1[[#This Row],[delayed]]=1,Table1[[#This Row],[weather_condition]]="Storm"),"High Risk", IF(Table1[[#This Row],[delayed]]=1,"Medium Risk","Low Risk"))</f>
        <v>Low Risk</v>
      </c>
    </row>
    <row r="2250" spans="1:14" x14ac:dyDescent="0.35">
      <c r="A2250">
        <v>2249</v>
      </c>
      <c r="B2250" s="1">
        <v>45020.666666666664</v>
      </c>
      <c r="C2250" s="2">
        <v>5.9027777777777783E-2</v>
      </c>
      <c r="D2250" s="3">
        <v>4762</v>
      </c>
      <c r="E2250" s="3">
        <v>150</v>
      </c>
      <c r="F2250" s="2">
        <v>68.127083333333331</v>
      </c>
      <c r="G2250" t="s">
        <v>2816</v>
      </c>
      <c r="H2250" t="s">
        <v>2817</v>
      </c>
      <c r="I2250" s="2">
        <v>2.2972222222222221</v>
      </c>
      <c r="J2250" s="4" t="str">
        <f>IF(Table1[[#This Row],[processing_time_hours]]&gt;1.5,"Slow", "Fast")</f>
        <v>Slow</v>
      </c>
      <c r="K2250" t="s">
        <v>2814</v>
      </c>
      <c r="L2250" s="3">
        <v>0</v>
      </c>
      <c r="M2250" t="str">
        <f>IF(Table1[[#This Row],[delayed]]=1,"Delayed","On Time")</f>
        <v>On Time</v>
      </c>
      <c r="N2250" t="str">
        <f>IF(AND(Table1[[#This Row],[delayed]]=1,Table1[[#This Row],[weather_condition]]="Storm"),"High Risk", IF(Table1[[#This Row],[delayed]]=1,"Medium Risk","Low Risk"))</f>
        <v>Low Risk</v>
      </c>
    </row>
    <row r="2251" spans="1:14" x14ac:dyDescent="0.35">
      <c r="A2251">
        <v>2250</v>
      </c>
      <c r="B2251" s="1">
        <v>45020.708333333336</v>
      </c>
      <c r="C2251" s="2">
        <v>4.1666666666666666E-3</v>
      </c>
      <c r="D2251" s="3">
        <v>4535</v>
      </c>
      <c r="E2251" s="3">
        <v>54</v>
      </c>
      <c r="F2251" s="2">
        <v>54.004166666666663</v>
      </c>
      <c r="G2251" t="s">
        <v>2819</v>
      </c>
      <c r="H2251" t="s">
        <v>2813</v>
      </c>
      <c r="I2251" s="2">
        <v>0.50277777777777777</v>
      </c>
      <c r="J2251" s="4" t="str">
        <f>IF(Table1[[#This Row],[processing_time_hours]]&gt;1.5,"Slow", "Fast")</f>
        <v>Fast</v>
      </c>
      <c r="K2251" t="s">
        <v>2818</v>
      </c>
      <c r="L2251" s="3">
        <v>0</v>
      </c>
      <c r="M2251" t="str">
        <f>IF(Table1[[#This Row],[delayed]]=1,"Delayed","On Time")</f>
        <v>On Time</v>
      </c>
      <c r="N2251" t="str">
        <f>IF(AND(Table1[[#This Row],[delayed]]=1,Table1[[#This Row],[weather_condition]]="Storm"),"High Risk", IF(Table1[[#This Row],[delayed]]=1,"Medium Risk","Low Risk"))</f>
        <v>Low Risk</v>
      </c>
    </row>
    <row r="2252" spans="1:14" x14ac:dyDescent="0.35">
      <c r="A2252">
        <v>2251</v>
      </c>
      <c r="B2252" s="1">
        <v>45020.75</v>
      </c>
      <c r="C2252" s="2">
        <v>4.3750000000000004E-2</v>
      </c>
      <c r="D2252" s="3">
        <v>253</v>
      </c>
      <c r="E2252" s="3">
        <v>271</v>
      </c>
      <c r="F2252" s="2">
        <v>28.336111111111112</v>
      </c>
      <c r="G2252" t="s">
        <v>2812</v>
      </c>
      <c r="H2252" t="s">
        <v>2822</v>
      </c>
      <c r="I2252" s="2">
        <v>1.0055555555555555</v>
      </c>
      <c r="J2252" s="4" t="str">
        <f>IF(Table1[[#This Row],[processing_time_hours]]&gt;1.5,"Slow", "Fast")</f>
        <v>Fast</v>
      </c>
      <c r="K2252" t="s">
        <v>2818</v>
      </c>
      <c r="L2252" s="3">
        <v>0</v>
      </c>
      <c r="M2252" t="str">
        <f>IF(Table1[[#This Row],[delayed]]=1,"Delayed","On Time")</f>
        <v>On Time</v>
      </c>
      <c r="N2252" t="str">
        <f>IF(AND(Table1[[#This Row],[delayed]]=1,Table1[[#This Row],[weather_condition]]="Storm"),"High Risk", IF(Table1[[#This Row],[delayed]]=1,"Medium Risk","Low Risk"))</f>
        <v>Low Risk</v>
      </c>
    </row>
    <row r="2253" spans="1:14" x14ac:dyDescent="0.35">
      <c r="A2253">
        <v>2252</v>
      </c>
      <c r="B2253" s="1">
        <v>45020.791666666664</v>
      </c>
      <c r="C2253" s="2">
        <v>4.3055555555555562E-2</v>
      </c>
      <c r="D2253" s="3">
        <v>1280</v>
      </c>
      <c r="E2253" s="3">
        <v>355</v>
      </c>
      <c r="F2253" s="2">
        <v>31.294444444444448</v>
      </c>
      <c r="G2253" t="s">
        <v>2815</v>
      </c>
      <c r="H2253" t="s">
        <v>2817</v>
      </c>
      <c r="I2253" s="2">
        <v>4.5138888888888888E-2</v>
      </c>
      <c r="J2253" s="4" t="str">
        <f>IF(Table1[[#This Row],[processing_time_hours]]&gt;1.5,"Slow", "Fast")</f>
        <v>Fast</v>
      </c>
      <c r="K2253" t="s">
        <v>2821</v>
      </c>
      <c r="L2253" s="3">
        <v>0</v>
      </c>
      <c r="M2253" t="str">
        <f>IF(Table1[[#This Row],[delayed]]=1,"Delayed","On Time")</f>
        <v>On Time</v>
      </c>
      <c r="N2253" t="str">
        <f>IF(AND(Table1[[#This Row],[delayed]]=1,Table1[[#This Row],[weather_condition]]="Storm"),"High Risk", IF(Table1[[#This Row],[delayed]]=1,"Medium Risk","Low Risk"))</f>
        <v>Low Risk</v>
      </c>
    </row>
    <row r="2254" spans="1:14" x14ac:dyDescent="0.35">
      <c r="A2254">
        <v>2253</v>
      </c>
      <c r="B2254" s="1">
        <v>45020.833333333336</v>
      </c>
      <c r="C2254" s="2">
        <v>4.5138888888888888E-2</v>
      </c>
      <c r="D2254" s="3">
        <v>1198</v>
      </c>
      <c r="E2254" s="3">
        <v>401</v>
      </c>
      <c r="F2254" s="2">
        <v>46.547916666666673</v>
      </c>
      <c r="G2254" t="s">
        <v>2815</v>
      </c>
      <c r="H2254" t="s">
        <v>2813</v>
      </c>
      <c r="I2254" s="2">
        <v>0.33680555555555558</v>
      </c>
      <c r="J2254" s="4" t="str">
        <f>IF(Table1[[#This Row],[processing_time_hours]]&gt;1.5,"Slow", "Fast")</f>
        <v>Fast</v>
      </c>
      <c r="K2254" t="s">
        <v>2818</v>
      </c>
      <c r="L2254" s="3">
        <v>1</v>
      </c>
      <c r="M2254" t="str">
        <f>IF(Table1[[#This Row],[delayed]]=1,"Delayed","On Time")</f>
        <v>Delayed</v>
      </c>
      <c r="N2254" t="str">
        <f>IF(AND(Table1[[#This Row],[delayed]]=1,Table1[[#This Row],[weather_condition]]="Storm"),"High Risk", IF(Table1[[#This Row],[delayed]]=1,"Medium Risk","Low Risk"))</f>
        <v>Medium Risk</v>
      </c>
    </row>
    <row r="2255" spans="1:14" x14ac:dyDescent="0.35">
      <c r="A2255">
        <v>2254</v>
      </c>
      <c r="B2255" s="1">
        <v>45020.875</v>
      </c>
      <c r="C2255" s="2">
        <v>5.6250000000000001E-2</v>
      </c>
      <c r="D2255" s="3">
        <v>3306</v>
      </c>
      <c r="E2255" s="3">
        <v>257</v>
      </c>
      <c r="F2255" s="2">
        <v>77.088888888888889</v>
      </c>
      <c r="G2255" t="s">
        <v>2815</v>
      </c>
      <c r="H2255" t="s">
        <v>2817</v>
      </c>
      <c r="I2255" s="2">
        <v>1.3756944444444443</v>
      </c>
      <c r="J2255" s="4" t="str">
        <f>IF(Table1[[#This Row],[processing_time_hours]]&gt;1.5,"Slow", "Fast")</f>
        <v>Fast</v>
      </c>
      <c r="K2255" t="s">
        <v>2821</v>
      </c>
      <c r="L2255" s="3">
        <v>0</v>
      </c>
      <c r="M2255" t="str">
        <f>IF(Table1[[#This Row],[delayed]]=1,"Delayed","On Time")</f>
        <v>On Time</v>
      </c>
      <c r="N2255" t="str">
        <f>IF(AND(Table1[[#This Row],[delayed]]=1,Table1[[#This Row],[weather_condition]]="Storm"),"High Risk", IF(Table1[[#This Row],[delayed]]=1,"Medium Risk","Low Risk"))</f>
        <v>Low Risk</v>
      </c>
    </row>
    <row r="2256" spans="1:14" x14ac:dyDescent="0.35">
      <c r="A2256">
        <v>2255</v>
      </c>
      <c r="B2256" s="1">
        <v>45020.916666666664</v>
      </c>
      <c r="C2256" s="2">
        <v>6.805555555555555E-2</v>
      </c>
      <c r="D2256" s="3">
        <v>477</v>
      </c>
      <c r="E2256" s="3">
        <v>154</v>
      </c>
      <c r="F2256" s="2">
        <v>41.291666666666664</v>
      </c>
      <c r="G2256" t="s">
        <v>2819</v>
      </c>
      <c r="H2256" t="s">
        <v>2817</v>
      </c>
      <c r="I2256" s="2">
        <v>1.7118055555555556</v>
      </c>
      <c r="J2256" s="4" t="str">
        <f>IF(Table1[[#This Row],[processing_time_hours]]&gt;1.5,"Slow", "Fast")</f>
        <v>Slow</v>
      </c>
      <c r="K2256" t="s">
        <v>2818</v>
      </c>
      <c r="L2256" s="3">
        <v>0</v>
      </c>
      <c r="M2256" t="str">
        <f>IF(Table1[[#This Row],[delayed]]=1,"Delayed","On Time")</f>
        <v>On Time</v>
      </c>
      <c r="N2256" t="str">
        <f>IF(AND(Table1[[#This Row],[delayed]]=1,Table1[[#This Row],[weather_condition]]="Storm"),"High Risk", IF(Table1[[#This Row],[delayed]]=1,"Medium Risk","Low Risk"))</f>
        <v>Low Risk</v>
      </c>
    </row>
    <row r="2257" spans="1:14" x14ac:dyDescent="0.35">
      <c r="A2257">
        <v>2256</v>
      </c>
      <c r="B2257" s="1">
        <v>45020.958333333336</v>
      </c>
      <c r="C2257" s="2">
        <v>5.2083333333333336E-2</v>
      </c>
      <c r="D2257" s="3">
        <v>473</v>
      </c>
      <c r="E2257" s="3">
        <v>199</v>
      </c>
      <c r="F2257" s="2">
        <v>54.631250000000001</v>
      </c>
      <c r="G2257" t="s">
        <v>2816</v>
      </c>
      <c r="H2257" t="s">
        <v>2822</v>
      </c>
      <c r="I2257" s="2">
        <v>1.9208333333333334</v>
      </c>
      <c r="J2257" s="4" t="str">
        <f>IF(Table1[[#This Row],[processing_time_hours]]&gt;1.5,"Slow", "Fast")</f>
        <v>Slow</v>
      </c>
      <c r="K2257" t="s">
        <v>2821</v>
      </c>
      <c r="L2257" s="3">
        <v>0</v>
      </c>
      <c r="M2257" t="str">
        <f>IF(Table1[[#This Row],[delayed]]=1,"Delayed","On Time")</f>
        <v>On Time</v>
      </c>
      <c r="N2257" t="str">
        <f>IF(AND(Table1[[#This Row],[delayed]]=1,Table1[[#This Row],[weather_condition]]="Storm"),"High Risk", IF(Table1[[#This Row],[delayed]]=1,"Medium Risk","Low Risk"))</f>
        <v>Low Risk</v>
      </c>
    </row>
    <row r="2258" spans="1:14" x14ac:dyDescent="0.35">
      <c r="A2258">
        <v>2257</v>
      </c>
      <c r="B2258" s="1">
        <v>45021</v>
      </c>
      <c r="C2258" s="2">
        <v>6.3888888888888898E-2</v>
      </c>
      <c r="D2258" s="3">
        <v>3908</v>
      </c>
      <c r="E2258" s="3">
        <v>174</v>
      </c>
      <c r="F2258" s="2">
        <v>73.920833333333334</v>
      </c>
      <c r="G2258" t="s">
        <v>2816</v>
      </c>
      <c r="H2258" t="s">
        <v>2813</v>
      </c>
      <c r="I2258" s="2">
        <v>1.5458333333333334</v>
      </c>
      <c r="J2258" s="4" t="str">
        <f>IF(Table1[[#This Row],[processing_time_hours]]&gt;1.5,"Slow", "Fast")</f>
        <v>Slow</v>
      </c>
      <c r="K2258" t="s">
        <v>2818</v>
      </c>
      <c r="L2258" s="3">
        <v>0</v>
      </c>
      <c r="M2258" t="str">
        <f>IF(Table1[[#This Row],[delayed]]=1,"Delayed","On Time")</f>
        <v>On Time</v>
      </c>
      <c r="N2258" t="str">
        <f>IF(AND(Table1[[#This Row],[delayed]]=1,Table1[[#This Row],[weather_condition]]="Storm"),"High Risk", IF(Table1[[#This Row],[delayed]]=1,"Medium Risk","Low Risk"))</f>
        <v>Low Risk</v>
      </c>
    </row>
    <row r="2259" spans="1:14" x14ac:dyDescent="0.35">
      <c r="A2259">
        <v>2258</v>
      </c>
      <c r="B2259" s="1">
        <v>45021.041666666664</v>
      </c>
      <c r="C2259" s="2">
        <v>4.9305555555555554E-2</v>
      </c>
      <c r="D2259" s="3">
        <v>2390</v>
      </c>
      <c r="E2259" s="3">
        <v>2</v>
      </c>
      <c r="F2259" s="2">
        <v>0.8354166666666667</v>
      </c>
      <c r="G2259" t="s">
        <v>2816</v>
      </c>
      <c r="H2259" t="s">
        <v>2822</v>
      </c>
      <c r="I2259" s="2">
        <v>4.3055555555555562E-2</v>
      </c>
      <c r="J2259" s="4" t="str">
        <f>IF(Table1[[#This Row],[processing_time_hours]]&gt;1.5,"Slow", "Fast")</f>
        <v>Fast</v>
      </c>
      <c r="K2259" t="s">
        <v>2818</v>
      </c>
      <c r="L2259" s="3">
        <v>0</v>
      </c>
      <c r="M2259" t="str">
        <f>IF(Table1[[#This Row],[delayed]]=1,"Delayed","On Time")</f>
        <v>On Time</v>
      </c>
      <c r="N2259" t="str">
        <f>IF(AND(Table1[[#This Row],[delayed]]=1,Table1[[#This Row],[weather_condition]]="Storm"),"High Risk", IF(Table1[[#This Row],[delayed]]=1,"Medium Risk","Low Risk"))</f>
        <v>Low Risk</v>
      </c>
    </row>
    <row r="2260" spans="1:14" x14ac:dyDescent="0.35">
      <c r="A2260">
        <v>2259</v>
      </c>
      <c r="B2260" s="1">
        <v>45021.083333333336</v>
      </c>
      <c r="C2260" s="2">
        <v>6.8749999999999992E-2</v>
      </c>
      <c r="D2260" s="3">
        <v>4292</v>
      </c>
      <c r="E2260" s="3">
        <v>356</v>
      </c>
      <c r="F2260" s="2">
        <v>11.752083333333333</v>
      </c>
      <c r="G2260" t="s">
        <v>2819</v>
      </c>
      <c r="H2260" t="s">
        <v>2817</v>
      </c>
      <c r="I2260" s="2">
        <v>2.125</v>
      </c>
      <c r="J2260" s="4" t="str">
        <f>IF(Table1[[#This Row],[processing_time_hours]]&gt;1.5,"Slow", "Fast")</f>
        <v>Slow</v>
      </c>
      <c r="K2260" t="s">
        <v>2821</v>
      </c>
      <c r="L2260" s="3">
        <v>1</v>
      </c>
      <c r="M2260" t="str">
        <f>IF(Table1[[#This Row],[delayed]]=1,"Delayed","On Time")</f>
        <v>Delayed</v>
      </c>
      <c r="N2260" t="str">
        <f>IF(AND(Table1[[#This Row],[delayed]]=1,Table1[[#This Row],[weather_condition]]="Storm"),"High Risk", IF(Table1[[#This Row],[delayed]]=1,"Medium Risk","Low Risk"))</f>
        <v>High Risk</v>
      </c>
    </row>
    <row r="2261" spans="1:14" x14ac:dyDescent="0.35">
      <c r="A2261">
        <v>2260</v>
      </c>
      <c r="B2261" s="1">
        <v>45021.125</v>
      </c>
      <c r="C2261" s="2">
        <v>5.2083333333333336E-2</v>
      </c>
      <c r="D2261" s="3">
        <v>3152</v>
      </c>
      <c r="E2261" s="3">
        <v>343</v>
      </c>
      <c r="F2261" s="2">
        <v>5.166666666666667</v>
      </c>
      <c r="G2261" t="s">
        <v>2819</v>
      </c>
      <c r="H2261" t="s">
        <v>2820</v>
      </c>
      <c r="I2261" s="2">
        <v>1.8791666666666667</v>
      </c>
      <c r="J2261" s="4" t="str">
        <f>IF(Table1[[#This Row],[processing_time_hours]]&gt;1.5,"Slow", "Fast")</f>
        <v>Slow</v>
      </c>
      <c r="K2261" t="s">
        <v>2814</v>
      </c>
      <c r="L2261" s="3">
        <v>0</v>
      </c>
      <c r="M2261" t="str">
        <f>IF(Table1[[#This Row],[delayed]]=1,"Delayed","On Time")</f>
        <v>On Time</v>
      </c>
      <c r="N2261" t="str">
        <f>IF(AND(Table1[[#This Row],[delayed]]=1,Table1[[#This Row],[weather_condition]]="Storm"),"High Risk", IF(Table1[[#This Row],[delayed]]=1,"Medium Risk","Low Risk"))</f>
        <v>Low Risk</v>
      </c>
    </row>
    <row r="2262" spans="1:14" x14ac:dyDescent="0.35">
      <c r="A2262">
        <v>2261</v>
      </c>
      <c r="B2262" s="1">
        <v>45021.166666666664</v>
      </c>
      <c r="C2262" s="2">
        <v>4.7222222222222221E-2</v>
      </c>
      <c r="D2262" s="3">
        <v>288</v>
      </c>
      <c r="E2262" s="3">
        <v>98</v>
      </c>
      <c r="F2262" s="2">
        <v>45.918749999999996</v>
      </c>
      <c r="G2262" t="s">
        <v>2816</v>
      </c>
      <c r="H2262" t="s">
        <v>2817</v>
      </c>
      <c r="I2262" s="2">
        <v>0.63055555555555554</v>
      </c>
      <c r="J2262" s="4" t="str">
        <f>IF(Table1[[#This Row],[processing_time_hours]]&gt;1.5,"Slow", "Fast")</f>
        <v>Fast</v>
      </c>
      <c r="K2262" t="s">
        <v>2821</v>
      </c>
      <c r="L2262" s="3">
        <v>0</v>
      </c>
      <c r="M2262" t="str">
        <f>IF(Table1[[#This Row],[delayed]]=1,"Delayed","On Time")</f>
        <v>On Time</v>
      </c>
      <c r="N2262" t="str">
        <f>IF(AND(Table1[[#This Row],[delayed]]=1,Table1[[#This Row],[weather_condition]]="Storm"),"High Risk", IF(Table1[[#This Row],[delayed]]=1,"Medium Risk","Low Risk"))</f>
        <v>Low Risk</v>
      </c>
    </row>
    <row r="2263" spans="1:14" x14ac:dyDescent="0.35">
      <c r="A2263">
        <v>2262</v>
      </c>
      <c r="B2263" s="1">
        <v>45021.208333333336</v>
      </c>
      <c r="C2263" s="2">
        <v>4.7222222222222221E-2</v>
      </c>
      <c r="D2263" s="3">
        <v>963</v>
      </c>
      <c r="E2263" s="3">
        <v>374</v>
      </c>
      <c r="F2263" s="2">
        <v>22.584722222222222</v>
      </c>
      <c r="G2263" t="s">
        <v>2816</v>
      </c>
      <c r="H2263" t="s">
        <v>2813</v>
      </c>
      <c r="I2263" s="2">
        <v>1.1680555555555556</v>
      </c>
      <c r="J2263" s="4" t="str">
        <f>IF(Table1[[#This Row],[processing_time_hours]]&gt;1.5,"Slow", "Fast")</f>
        <v>Fast</v>
      </c>
      <c r="K2263" t="s">
        <v>2818</v>
      </c>
      <c r="L2263" s="3">
        <v>1</v>
      </c>
      <c r="M2263" t="str">
        <f>IF(Table1[[#This Row],[delayed]]=1,"Delayed","On Time")</f>
        <v>Delayed</v>
      </c>
      <c r="N2263" t="str">
        <f>IF(AND(Table1[[#This Row],[delayed]]=1,Table1[[#This Row],[weather_condition]]="Storm"),"High Risk", IF(Table1[[#This Row],[delayed]]=1,"Medium Risk","Low Risk"))</f>
        <v>Medium Risk</v>
      </c>
    </row>
    <row r="2264" spans="1:14" x14ac:dyDescent="0.35">
      <c r="A2264">
        <v>2263</v>
      </c>
      <c r="B2264" s="1">
        <v>45021.25</v>
      </c>
      <c r="C2264" s="2">
        <v>4.5138888888888888E-2</v>
      </c>
      <c r="D2264" s="3">
        <v>910</v>
      </c>
      <c r="E2264" s="3">
        <v>490</v>
      </c>
      <c r="F2264" s="2">
        <v>32.547916666666666</v>
      </c>
      <c r="G2264" t="s">
        <v>2816</v>
      </c>
      <c r="H2264" t="s">
        <v>2820</v>
      </c>
      <c r="I2264" s="2">
        <v>1.25</v>
      </c>
      <c r="J2264" s="4" t="str">
        <f>IF(Table1[[#This Row],[processing_time_hours]]&gt;1.5,"Slow", "Fast")</f>
        <v>Fast</v>
      </c>
      <c r="K2264" t="s">
        <v>2814</v>
      </c>
      <c r="L2264" s="3">
        <v>0</v>
      </c>
      <c r="M2264" t="str">
        <f>IF(Table1[[#This Row],[delayed]]=1,"Delayed","On Time")</f>
        <v>On Time</v>
      </c>
      <c r="N2264" t="str">
        <f>IF(AND(Table1[[#This Row],[delayed]]=1,Table1[[#This Row],[weather_condition]]="Storm"),"High Risk", IF(Table1[[#This Row],[delayed]]=1,"Medium Risk","Low Risk"))</f>
        <v>Low Risk</v>
      </c>
    </row>
    <row r="2265" spans="1:14" x14ac:dyDescent="0.35">
      <c r="A2265">
        <v>2264</v>
      </c>
      <c r="B2265" s="1">
        <v>45021.291666666664</v>
      </c>
      <c r="C2265" s="2">
        <v>4.3750000000000004E-2</v>
      </c>
      <c r="D2265" s="3">
        <v>2666</v>
      </c>
      <c r="E2265" s="3">
        <v>46</v>
      </c>
      <c r="F2265" s="2">
        <v>18.962500000000002</v>
      </c>
      <c r="G2265" t="s">
        <v>2819</v>
      </c>
      <c r="H2265" t="s">
        <v>2820</v>
      </c>
      <c r="I2265" s="2">
        <v>8.4027777777777771E-2</v>
      </c>
      <c r="J2265" s="4" t="str">
        <f>IF(Table1[[#This Row],[processing_time_hours]]&gt;1.5,"Slow", "Fast")</f>
        <v>Fast</v>
      </c>
      <c r="K2265" t="s">
        <v>2818</v>
      </c>
      <c r="L2265" s="3">
        <v>0</v>
      </c>
      <c r="M2265" t="str">
        <f>IF(Table1[[#This Row],[delayed]]=1,"Delayed","On Time")</f>
        <v>On Time</v>
      </c>
      <c r="N2265" t="str">
        <f>IF(AND(Table1[[#This Row],[delayed]]=1,Table1[[#This Row],[weather_condition]]="Storm"),"High Risk", IF(Table1[[#This Row],[delayed]]=1,"Medium Risk","Low Risk"))</f>
        <v>Low Risk</v>
      </c>
    </row>
    <row r="2266" spans="1:14" x14ac:dyDescent="0.35">
      <c r="A2266">
        <v>2265</v>
      </c>
      <c r="B2266" s="1">
        <v>45021.333333333336</v>
      </c>
      <c r="C2266" s="2">
        <v>6.7361111111111108E-2</v>
      </c>
      <c r="D2266" s="3">
        <v>805</v>
      </c>
      <c r="E2266" s="3">
        <v>261</v>
      </c>
      <c r="F2266" s="2">
        <v>4.6263888888888891</v>
      </c>
      <c r="G2266" t="s">
        <v>2819</v>
      </c>
      <c r="H2266" t="s">
        <v>2820</v>
      </c>
      <c r="I2266" s="2">
        <v>2.6263888888888887</v>
      </c>
      <c r="J2266" s="4" t="str">
        <f>IF(Table1[[#This Row],[processing_time_hours]]&gt;1.5,"Slow", "Fast")</f>
        <v>Slow</v>
      </c>
      <c r="K2266" t="s">
        <v>2814</v>
      </c>
      <c r="L2266" s="3">
        <v>0</v>
      </c>
      <c r="M2266" t="str">
        <f>IF(Table1[[#This Row],[delayed]]=1,"Delayed","On Time")</f>
        <v>On Time</v>
      </c>
      <c r="N2266" t="str">
        <f>IF(AND(Table1[[#This Row],[delayed]]=1,Table1[[#This Row],[weather_condition]]="Storm"),"High Risk", IF(Table1[[#This Row],[delayed]]=1,"Medium Risk","Low Risk"))</f>
        <v>Low Risk</v>
      </c>
    </row>
    <row r="2267" spans="1:14" x14ac:dyDescent="0.35">
      <c r="A2267">
        <v>2266</v>
      </c>
      <c r="B2267" s="1">
        <v>45021.375</v>
      </c>
      <c r="C2267" s="2">
        <v>6.1805555555555558E-2</v>
      </c>
      <c r="D2267" s="3">
        <v>2208</v>
      </c>
      <c r="E2267" s="3">
        <v>329</v>
      </c>
      <c r="F2267" s="2">
        <v>42.96319444444444</v>
      </c>
      <c r="G2267" t="s">
        <v>2816</v>
      </c>
      <c r="H2267" t="s">
        <v>2813</v>
      </c>
      <c r="I2267" s="2">
        <v>2.2534722222222223</v>
      </c>
      <c r="J2267" s="4" t="str">
        <f>IF(Table1[[#This Row],[processing_time_hours]]&gt;1.5,"Slow", "Fast")</f>
        <v>Slow</v>
      </c>
      <c r="K2267" t="s">
        <v>2814</v>
      </c>
      <c r="L2267" s="3">
        <v>1</v>
      </c>
      <c r="M2267" t="str">
        <f>IF(Table1[[#This Row],[delayed]]=1,"Delayed","On Time")</f>
        <v>Delayed</v>
      </c>
      <c r="N2267" t="str">
        <f>IF(AND(Table1[[#This Row],[delayed]]=1,Table1[[#This Row],[weather_condition]]="Storm"),"High Risk", IF(Table1[[#This Row],[delayed]]=1,"Medium Risk","Low Risk"))</f>
        <v>Medium Risk</v>
      </c>
    </row>
    <row r="2268" spans="1:14" x14ac:dyDescent="0.35">
      <c r="A2268">
        <v>2267</v>
      </c>
      <c r="B2268" s="1">
        <v>45021.416666666664</v>
      </c>
      <c r="C2268" s="2">
        <v>4.5833333333333337E-2</v>
      </c>
      <c r="D2268" s="3">
        <v>475</v>
      </c>
      <c r="E2268" s="3">
        <v>452</v>
      </c>
      <c r="F2268" s="2">
        <v>70.961111111111109</v>
      </c>
      <c r="G2268" t="s">
        <v>2816</v>
      </c>
      <c r="H2268" t="s">
        <v>2822</v>
      </c>
      <c r="I2268" s="2">
        <v>1.1673611111111111</v>
      </c>
      <c r="J2268" s="4" t="str">
        <f>IF(Table1[[#This Row],[processing_time_hours]]&gt;1.5,"Slow", "Fast")</f>
        <v>Fast</v>
      </c>
      <c r="K2268" t="s">
        <v>2821</v>
      </c>
      <c r="L2268" s="3">
        <v>1</v>
      </c>
      <c r="M2268" t="str">
        <f>IF(Table1[[#This Row],[delayed]]=1,"Delayed","On Time")</f>
        <v>Delayed</v>
      </c>
      <c r="N2268" t="str">
        <f>IF(AND(Table1[[#This Row],[delayed]]=1,Table1[[#This Row],[weather_condition]]="Storm"),"High Risk", IF(Table1[[#This Row],[delayed]]=1,"Medium Risk","Low Risk"))</f>
        <v>Medium Risk</v>
      </c>
    </row>
    <row r="2269" spans="1:14" x14ac:dyDescent="0.35">
      <c r="A2269">
        <v>2268</v>
      </c>
      <c r="B2269" s="1">
        <v>45021.458333333336</v>
      </c>
      <c r="C2269" s="2">
        <v>5.8333333333333327E-2</v>
      </c>
      <c r="D2269" s="3">
        <v>342</v>
      </c>
      <c r="E2269" s="3">
        <v>314</v>
      </c>
      <c r="F2269" s="2">
        <v>27.714583333333334</v>
      </c>
      <c r="G2269" t="s">
        <v>2819</v>
      </c>
      <c r="H2269" t="s">
        <v>2822</v>
      </c>
      <c r="I2269" s="2">
        <v>1.7104166666666665</v>
      </c>
      <c r="J2269" s="4" t="str">
        <f>IF(Table1[[#This Row],[processing_time_hours]]&gt;1.5,"Slow", "Fast")</f>
        <v>Slow</v>
      </c>
      <c r="K2269" t="s">
        <v>2818</v>
      </c>
      <c r="L2269" s="3">
        <v>1</v>
      </c>
      <c r="M2269" t="str">
        <f>IF(Table1[[#This Row],[delayed]]=1,"Delayed","On Time")</f>
        <v>Delayed</v>
      </c>
      <c r="N2269" t="str">
        <f>IF(AND(Table1[[#This Row],[delayed]]=1,Table1[[#This Row],[weather_condition]]="Storm"),"High Risk", IF(Table1[[#This Row],[delayed]]=1,"Medium Risk","Low Risk"))</f>
        <v>Medium Risk</v>
      </c>
    </row>
    <row r="2270" spans="1:14" x14ac:dyDescent="0.35">
      <c r="A2270">
        <v>2269</v>
      </c>
      <c r="B2270" s="1">
        <v>45021.5</v>
      </c>
      <c r="C2270" s="2">
        <v>5.486111111111111E-2</v>
      </c>
      <c r="D2270" s="3">
        <v>4882</v>
      </c>
      <c r="E2270" s="3">
        <v>319</v>
      </c>
      <c r="F2270" s="2">
        <v>43.916666666666664</v>
      </c>
      <c r="G2270" t="s">
        <v>2812</v>
      </c>
      <c r="H2270" t="s">
        <v>2822</v>
      </c>
      <c r="I2270" s="2">
        <v>1.8756944444444443</v>
      </c>
      <c r="J2270" s="4" t="str">
        <f>IF(Table1[[#This Row],[processing_time_hours]]&gt;1.5,"Slow", "Fast")</f>
        <v>Slow</v>
      </c>
      <c r="K2270" t="s">
        <v>2821</v>
      </c>
      <c r="L2270" s="3">
        <v>0</v>
      </c>
      <c r="M2270" t="str">
        <f>IF(Table1[[#This Row],[delayed]]=1,"Delayed","On Time")</f>
        <v>On Time</v>
      </c>
      <c r="N2270" t="str">
        <f>IF(AND(Table1[[#This Row],[delayed]]=1,Table1[[#This Row],[weather_condition]]="Storm"),"High Risk", IF(Table1[[#This Row],[delayed]]=1,"Medium Risk","Low Risk"))</f>
        <v>Low Risk</v>
      </c>
    </row>
    <row r="2271" spans="1:14" x14ac:dyDescent="0.35">
      <c r="A2271">
        <v>2270</v>
      </c>
      <c r="B2271" s="1">
        <v>45021.541666666664</v>
      </c>
      <c r="C2271" s="2">
        <v>4.3750000000000004E-2</v>
      </c>
      <c r="D2271" s="3">
        <v>624</v>
      </c>
      <c r="E2271" s="3">
        <v>373</v>
      </c>
      <c r="F2271" s="2">
        <v>31.464583333333334</v>
      </c>
      <c r="G2271" t="s">
        <v>2812</v>
      </c>
      <c r="H2271" t="s">
        <v>2822</v>
      </c>
      <c r="I2271" s="2">
        <v>0.75277777777777777</v>
      </c>
      <c r="J2271" s="4" t="str">
        <f>IF(Table1[[#This Row],[processing_time_hours]]&gt;1.5,"Slow", "Fast")</f>
        <v>Fast</v>
      </c>
      <c r="K2271" t="s">
        <v>2814</v>
      </c>
      <c r="L2271" s="3">
        <v>0</v>
      </c>
      <c r="M2271" t="str">
        <f>IF(Table1[[#This Row],[delayed]]=1,"Delayed","On Time")</f>
        <v>On Time</v>
      </c>
      <c r="N2271" t="str">
        <f>IF(AND(Table1[[#This Row],[delayed]]=1,Table1[[#This Row],[weather_condition]]="Storm"),"High Risk", IF(Table1[[#This Row],[delayed]]=1,"Medium Risk","Low Risk"))</f>
        <v>Low Risk</v>
      </c>
    </row>
    <row r="2272" spans="1:14" x14ac:dyDescent="0.35">
      <c r="A2272">
        <v>2271</v>
      </c>
      <c r="B2272" s="1">
        <v>45021.583333333336</v>
      </c>
      <c r="C2272" s="2">
        <v>4.1666666666666664E-2</v>
      </c>
      <c r="D2272" s="3">
        <v>4493</v>
      </c>
      <c r="E2272" s="3">
        <v>215</v>
      </c>
      <c r="F2272" s="2">
        <v>18.125694444444445</v>
      </c>
      <c r="G2272" t="s">
        <v>2819</v>
      </c>
      <c r="H2272" t="s">
        <v>2820</v>
      </c>
      <c r="I2272" s="2">
        <v>0.83333333333333337</v>
      </c>
      <c r="J2272" s="4" t="str">
        <f>IF(Table1[[#This Row],[processing_time_hours]]&gt;1.5,"Slow", "Fast")</f>
        <v>Fast</v>
      </c>
      <c r="K2272" t="s">
        <v>2814</v>
      </c>
      <c r="L2272" s="3">
        <v>0</v>
      </c>
      <c r="M2272" t="str">
        <f>IF(Table1[[#This Row],[delayed]]=1,"Delayed","On Time")</f>
        <v>On Time</v>
      </c>
      <c r="N2272" t="str">
        <f>IF(AND(Table1[[#This Row],[delayed]]=1,Table1[[#This Row],[weather_condition]]="Storm"),"High Risk", IF(Table1[[#This Row],[delayed]]=1,"Medium Risk","Low Risk"))</f>
        <v>Low Risk</v>
      </c>
    </row>
    <row r="2273" spans="1:14" x14ac:dyDescent="0.35">
      <c r="A2273">
        <v>2272</v>
      </c>
      <c r="B2273" s="1">
        <v>45021.625</v>
      </c>
      <c r="C2273" s="2">
        <v>4.7916666666666663E-2</v>
      </c>
      <c r="D2273" s="3">
        <v>3148</v>
      </c>
      <c r="E2273" s="3">
        <v>198</v>
      </c>
      <c r="F2273" s="2">
        <v>40.710416666666667</v>
      </c>
      <c r="G2273" t="s">
        <v>2812</v>
      </c>
      <c r="H2273" t="s">
        <v>2820</v>
      </c>
      <c r="I2273" s="2">
        <v>0.58472222222222225</v>
      </c>
      <c r="J2273" s="4" t="str">
        <f>IF(Table1[[#This Row],[processing_time_hours]]&gt;1.5,"Slow", "Fast")</f>
        <v>Fast</v>
      </c>
      <c r="K2273" t="s">
        <v>2818</v>
      </c>
      <c r="L2273" s="3">
        <v>0</v>
      </c>
      <c r="M2273" t="str">
        <f>IF(Table1[[#This Row],[delayed]]=1,"Delayed","On Time")</f>
        <v>On Time</v>
      </c>
      <c r="N2273" t="str">
        <f>IF(AND(Table1[[#This Row],[delayed]]=1,Table1[[#This Row],[weather_condition]]="Storm"),"High Risk", IF(Table1[[#This Row],[delayed]]=1,"Medium Risk","Low Risk"))</f>
        <v>Low Risk</v>
      </c>
    </row>
    <row r="2274" spans="1:14" x14ac:dyDescent="0.35">
      <c r="A2274">
        <v>2273</v>
      </c>
      <c r="B2274" s="1">
        <v>45021.666666666664</v>
      </c>
      <c r="C2274" s="2">
        <v>5.7638888888888885E-2</v>
      </c>
      <c r="D2274" s="3">
        <v>785</v>
      </c>
      <c r="E2274" s="3">
        <v>148</v>
      </c>
      <c r="F2274" s="2">
        <v>35.461805555555557</v>
      </c>
      <c r="G2274" t="s">
        <v>2812</v>
      </c>
      <c r="H2274" t="s">
        <v>2813</v>
      </c>
      <c r="I2274" s="2">
        <v>1.91875</v>
      </c>
      <c r="J2274" s="4" t="str">
        <f>IF(Table1[[#This Row],[processing_time_hours]]&gt;1.5,"Slow", "Fast")</f>
        <v>Slow</v>
      </c>
      <c r="K2274" t="s">
        <v>2818</v>
      </c>
      <c r="L2274" s="3">
        <v>0</v>
      </c>
      <c r="M2274" t="str">
        <f>IF(Table1[[#This Row],[delayed]]=1,"Delayed","On Time")</f>
        <v>On Time</v>
      </c>
      <c r="N2274" t="str">
        <f>IF(AND(Table1[[#This Row],[delayed]]=1,Table1[[#This Row],[weather_condition]]="Storm"),"High Risk", IF(Table1[[#This Row],[delayed]]=1,"Medium Risk","Low Risk"))</f>
        <v>Low Risk</v>
      </c>
    </row>
    <row r="2275" spans="1:14" x14ac:dyDescent="0.35">
      <c r="A2275">
        <v>2274</v>
      </c>
      <c r="B2275" s="1">
        <v>45021.708333333336</v>
      </c>
      <c r="C2275" s="2">
        <v>5.1388888888888894E-2</v>
      </c>
      <c r="D2275" s="3">
        <v>2368</v>
      </c>
      <c r="E2275" s="3">
        <v>201</v>
      </c>
      <c r="F2275" s="2">
        <v>6.4180555555555552</v>
      </c>
      <c r="G2275" t="s">
        <v>2816</v>
      </c>
      <c r="H2275" t="s">
        <v>2822</v>
      </c>
      <c r="I2275" s="2">
        <v>1.7562499999999999</v>
      </c>
      <c r="J2275" s="4" t="str">
        <f>IF(Table1[[#This Row],[processing_time_hours]]&gt;1.5,"Slow", "Fast")</f>
        <v>Slow</v>
      </c>
      <c r="K2275" t="s">
        <v>2821</v>
      </c>
      <c r="L2275" s="3">
        <v>1</v>
      </c>
      <c r="M2275" t="str">
        <f>IF(Table1[[#This Row],[delayed]]=1,"Delayed","On Time")</f>
        <v>Delayed</v>
      </c>
      <c r="N2275" t="str">
        <f>IF(AND(Table1[[#This Row],[delayed]]=1,Table1[[#This Row],[weather_condition]]="Storm"),"High Risk", IF(Table1[[#This Row],[delayed]]=1,"Medium Risk","Low Risk"))</f>
        <v>Medium Risk</v>
      </c>
    </row>
    <row r="2276" spans="1:14" x14ac:dyDescent="0.35">
      <c r="A2276">
        <v>2275</v>
      </c>
      <c r="B2276" s="1">
        <v>45021.75</v>
      </c>
      <c r="C2276" s="2">
        <v>5.5555555555555558E-3</v>
      </c>
      <c r="D2276" s="3">
        <v>4806</v>
      </c>
      <c r="E2276" s="3">
        <v>451</v>
      </c>
      <c r="F2276" s="2">
        <v>14.000694444444443</v>
      </c>
      <c r="G2276" t="s">
        <v>2815</v>
      </c>
      <c r="H2276" t="s">
        <v>2820</v>
      </c>
      <c r="I2276" s="2">
        <v>1.1701388888888888</v>
      </c>
      <c r="J2276" s="4" t="str">
        <f>IF(Table1[[#This Row],[processing_time_hours]]&gt;1.5,"Slow", "Fast")</f>
        <v>Fast</v>
      </c>
      <c r="K2276" t="s">
        <v>2818</v>
      </c>
      <c r="L2276" s="3">
        <v>0</v>
      </c>
      <c r="M2276" t="str">
        <f>IF(Table1[[#This Row],[delayed]]=1,"Delayed","On Time")</f>
        <v>On Time</v>
      </c>
      <c r="N2276" t="str">
        <f>IF(AND(Table1[[#This Row],[delayed]]=1,Table1[[#This Row],[weather_condition]]="Storm"),"High Risk", IF(Table1[[#This Row],[delayed]]=1,"Medium Risk","Low Risk"))</f>
        <v>Low Risk</v>
      </c>
    </row>
    <row r="2277" spans="1:14" x14ac:dyDescent="0.35">
      <c r="A2277">
        <v>2276</v>
      </c>
      <c r="B2277" s="1">
        <v>45021.791666666664</v>
      </c>
      <c r="C2277" s="2">
        <v>4.1666666666666664E-2</v>
      </c>
      <c r="D2277" s="3">
        <v>2688</v>
      </c>
      <c r="E2277" s="3">
        <v>103</v>
      </c>
      <c r="F2277" s="2">
        <v>52.38055555555556</v>
      </c>
      <c r="G2277" t="s">
        <v>2816</v>
      </c>
      <c r="H2277" t="s">
        <v>2822</v>
      </c>
      <c r="I2277" s="2">
        <v>0.62638888888888888</v>
      </c>
      <c r="J2277" s="4" t="str">
        <f>IF(Table1[[#This Row],[processing_time_hours]]&gt;1.5,"Slow", "Fast")</f>
        <v>Fast</v>
      </c>
      <c r="K2277" t="s">
        <v>2814</v>
      </c>
      <c r="L2277" s="3">
        <v>0</v>
      </c>
      <c r="M2277" t="str">
        <f>IF(Table1[[#This Row],[delayed]]=1,"Delayed","On Time")</f>
        <v>On Time</v>
      </c>
      <c r="N2277" t="str">
        <f>IF(AND(Table1[[#This Row],[delayed]]=1,Table1[[#This Row],[weather_condition]]="Storm"),"High Risk", IF(Table1[[#This Row],[delayed]]=1,"Medium Risk","Low Risk"))</f>
        <v>Low Risk</v>
      </c>
    </row>
    <row r="2278" spans="1:14" x14ac:dyDescent="0.35">
      <c r="A2278">
        <v>2277</v>
      </c>
      <c r="B2278" s="1">
        <v>45021.833333333336</v>
      </c>
      <c r="C2278" s="2">
        <v>6.3194444444444442E-2</v>
      </c>
      <c r="D2278" s="3">
        <v>4891</v>
      </c>
      <c r="E2278" s="3">
        <v>458</v>
      </c>
      <c r="F2278" s="2">
        <v>31.209027777777777</v>
      </c>
      <c r="G2278" t="s">
        <v>2815</v>
      </c>
      <c r="H2278" t="s">
        <v>2822</v>
      </c>
      <c r="I2278" s="2">
        <v>8.4027777777777771E-2</v>
      </c>
      <c r="J2278" s="4" t="str">
        <f>IF(Table1[[#This Row],[processing_time_hours]]&gt;1.5,"Slow", "Fast")</f>
        <v>Fast</v>
      </c>
      <c r="K2278" t="s">
        <v>2814</v>
      </c>
      <c r="L2278" s="3">
        <v>0</v>
      </c>
      <c r="M2278" t="str">
        <f>IF(Table1[[#This Row],[delayed]]=1,"Delayed","On Time")</f>
        <v>On Time</v>
      </c>
      <c r="N2278" t="str">
        <f>IF(AND(Table1[[#This Row],[delayed]]=1,Table1[[#This Row],[weather_condition]]="Storm"),"High Risk", IF(Table1[[#This Row],[delayed]]=1,"Medium Risk","Low Risk"))</f>
        <v>Low Risk</v>
      </c>
    </row>
    <row r="2279" spans="1:14" x14ac:dyDescent="0.35">
      <c r="A2279">
        <v>2278</v>
      </c>
      <c r="B2279" s="1">
        <v>45021.875</v>
      </c>
      <c r="C2279" s="2">
        <v>4.8611111111111112E-3</v>
      </c>
      <c r="D2279" s="3">
        <v>2700</v>
      </c>
      <c r="E2279" s="3">
        <v>188</v>
      </c>
      <c r="F2279" s="2">
        <v>77.795138888888886</v>
      </c>
      <c r="G2279" t="s">
        <v>2819</v>
      </c>
      <c r="H2279" t="s">
        <v>2822</v>
      </c>
      <c r="I2279" s="2">
        <v>1.5055555555555555</v>
      </c>
      <c r="J2279" s="4" t="str">
        <f>IF(Table1[[#This Row],[processing_time_hours]]&gt;1.5,"Slow", "Fast")</f>
        <v>Slow</v>
      </c>
      <c r="K2279" t="s">
        <v>2814</v>
      </c>
      <c r="L2279" s="3">
        <v>0</v>
      </c>
      <c r="M2279" t="str">
        <f>IF(Table1[[#This Row],[delayed]]=1,"Delayed","On Time")</f>
        <v>On Time</v>
      </c>
      <c r="N2279" t="str">
        <f>IF(AND(Table1[[#This Row],[delayed]]=1,Table1[[#This Row],[weather_condition]]="Storm"),"High Risk", IF(Table1[[#This Row],[delayed]]=1,"Medium Risk","Low Risk"))</f>
        <v>Low Risk</v>
      </c>
    </row>
    <row r="2280" spans="1:14" x14ac:dyDescent="0.35">
      <c r="A2280">
        <v>2279</v>
      </c>
      <c r="B2280" s="1">
        <v>45021.916666666664</v>
      </c>
      <c r="C2280" s="2">
        <v>6.1111111111111109E-2</v>
      </c>
      <c r="D2280" s="3">
        <v>238</v>
      </c>
      <c r="E2280" s="3">
        <v>84</v>
      </c>
      <c r="F2280" s="2">
        <v>42.416666666666664</v>
      </c>
      <c r="G2280" t="s">
        <v>2815</v>
      </c>
      <c r="H2280" t="s">
        <v>2813</v>
      </c>
      <c r="I2280" s="2">
        <v>0.21180555555555555</v>
      </c>
      <c r="J2280" s="4" t="str">
        <f>IF(Table1[[#This Row],[processing_time_hours]]&gt;1.5,"Slow", "Fast")</f>
        <v>Fast</v>
      </c>
      <c r="K2280" t="s">
        <v>2821</v>
      </c>
      <c r="L2280" s="3">
        <v>0</v>
      </c>
      <c r="M2280" t="str">
        <f>IF(Table1[[#This Row],[delayed]]=1,"Delayed","On Time")</f>
        <v>On Time</v>
      </c>
      <c r="N2280" t="str">
        <f>IF(AND(Table1[[#This Row],[delayed]]=1,Table1[[#This Row],[weather_condition]]="Storm"),"High Risk", IF(Table1[[#This Row],[delayed]]=1,"Medium Risk","Low Risk"))</f>
        <v>Low Risk</v>
      </c>
    </row>
    <row r="2281" spans="1:14" x14ac:dyDescent="0.35">
      <c r="A2281">
        <v>2280</v>
      </c>
      <c r="B2281" s="1">
        <v>45021.958333333336</v>
      </c>
      <c r="C2281" s="2">
        <v>5.486111111111111E-2</v>
      </c>
      <c r="D2281" s="3">
        <v>3934</v>
      </c>
      <c r="E2281" s="3">
        <v>465</v>
      </c>
      <c r="F2281" s="2">
        <v>6.2930555555555552</v>
      </c>
      <c r="G2281" t="s">
        <v>2816</v>
      </c>
      <c r="H2281" t="s">
        <v>2822</v>
      </c>
      <c r="I2281" s="2">
        <v>0.46249999999999997</v>
      </c>
      <c r="J2281" s="4" t="str">
        <f>IF(Table1[[#This Row],[processing_time_hours]]&gt;1.5,"Slow", "Fast")</f>
        <v>Fast</v>
      </c>
      <c r="K2281" t="s">
        <v>2821</v>
      </c>
      <c r="L2281" s="3">
        <v>0</v>
      </c>
      <c r="M2281" t="str">
        <f>IF(Table1[[#This Row],[delayed]]=1,"Delayed","On Time")</f>
        <v>On Time</v>
      </c>
      <c r="N2281" t="str">
        <f>IF(AND(Table1[[#This Row],[delayed]]=1,Table1[[#This Row],[weather_condition]]="Storm"),"High Risk", IF(Table1[[#This Row],[delayed]]=1,"Medium Risk","Low Risk"))</f>
        <v>Low Risk</v>
      </c>
    </row>
    <row r="2282" spans="1:14" x14ac:dyDescent="0.35">
      <c r="A2282">
        <v>2281</v>
      </c>
      <c r="B2282" s="1">
        <v>45022</v>
      </c>
      <c r="C2282" s="2">
        <v>4.8611111111111112E-3</v>
      </c>
      <c r="D2282" s="3">
        <v>3369</v>
      </c>
      <c r="E2282" s="3">
        <v>311</v>
      </c>
      <c r="F2282" s="2">
        <v>44.045138888888886</v>
      </c>
      <c r="G2282" t="s">
        <v>2819</v>
      </c>
      <c r="H2282" t="s">
        <v>2813</v>
      </c>
      <c r="I2282" s="2">
        <v>1.625</v>
      </c>
      <c r="J2282" s="4" t="str">
        <f>IF(Table1[[#This Row],[processing_time_hours]]&gt;1.5,"Slow", "Fast")</f>
        <v>Slow</v>
      </c>
      <c r="K2282" t="s">
        <v>2818</v>
      </c>
      <c r="L2282" s="3">
        <v>0</v>
      </c>
      <c r="M2282" t="str">
        <f>IF(Table1[[#This Row],[delayed]]=1,"Delayed","On Time")</f>
        <v>On Time</v>
      </c>
      <c r="N2282" t="str">
        <f>IF(AND(Table1[[#This Row],[delayed]]=1,Table1[[#This Row],[weather_condition]]="Storm"),"High Risk", IF(Table1[[#This Row],[delayed]]=1,"Medium Risk","Low Risk"))</f>
        <v>Low Risk</v>
      </c>
    </row>
    <row r="2283" spans="1:14" x14ac:dyDescent="0.35">
      <c r="A2283">
        <v>2282</v>
      </c>
      <c r="B2283" s="1">
        <v>45022.041666666664</v>
      </c>
      <c r="C2283" s="2">
        <v>5.6944444444444443E-2</v>
      </c>
      <c r="D2283" s="3">
        <v>4931</v>
      </c>
      <c r="E2283" s="3">
        <v>389</v>
      </c>
      <c r="F2283" s="2">
        <v>15.46111111111111</v>
      </c>
      <c r="G2283" t="s">
        <v>2819</v>
      </c>
      <c r="H2283" t="s">
        <v>2820</v>
      </c>
      <c r="I2283" s="2">
        <v>2.5465277777777779</v>
      </c>
      <c r="J2283" s="4" t="str">
        <f>IF(Table1[[#This Row],[processing_time_hours]]&gt;1.5,"Slow", "Fast")</f>
        <v>Slow</v>
      </c>
      <c r="K2283" t="s">
        <v>2821</v>
      </c>
      <c r="L2283" s="3">
        <v>1</v>
      </c>
      <c r="M2283" t="str">
        <f>IF(Table1[[#This Row],[delayed]]=1,"Delayed","On Time")</f>
        <v>Delayed</v>
      </c>
      <c r="N2283" t="str">
        <f>IF(AND(Table1[[#This Row],[delayed]]=1,Table1[[#This Row],[weather_condition]]="Storm"),"High Risk", IF(Table1[[#This Row],[delayed]]=1,"Medium Risk","Low Risk"))</f>
        <v>Medium Risk</v>
      </c>
    </row>
    <row r="2284" spans="1:14" x14ac:dyDescent="0.35">
      <c r="A2284">
        <v>2283</v>
      </c>
      <c r="B2284" s="1">
        <v>45022.083333333336</v>
      </c>
      <c r="C2284" s="2">
        <v>4.7916666666666663E-2</v>
      </c>
      <c r="D2284" s="3">
        <v>4682</v>
      </c>
      <c r="E2284" s="3">
        <v>317</v>
      </c>
      <c r="F2284" s="2">
        <v>59.756250000000001</v>
      </c>
      <c r="G2284" t="s">
        <v>2812</v>
      </c>
      <c r="H2284" t="s">
        <v>2820</v>
      </c>
      <c r="I2284" s="2">
        <v>1.5472222222222223</v>
      </c>
      <c r="J2284" s="4" t="str">
        <f>IF(Table1[[#This Row],[processing_time_hours]]&gt;1.5,"Slow", "Fast")</f>
        <v>Slow</v>
      </c>
      <c r="K2284" t="s">
        <v>2821</v>
      </c>
      <c r="L2284" s="3">
        <v>0</v>
      </c>
      <c r="M2284" t="str">
        <f>IF(Table1[[#This Row],[delayed]]=1,"Delayed","On Time")</f>
        <v>On Time</v>
      </c>
      <c r="N2284" t="str">
        <f>IF(AND(Table1[[#This Row],[delayed]]=1,Table1[[#This Row],[weather_condition]]="Storm"),"High Risk", IF(Table1[[#This Row],[delayed]]=1,"Medium Risk","Low Risk"))</f>
        <v>Low Risk</v>
      </c>
    </row>
    <row r="2285" spans="1:14" x14ac:dyDescent="0.35">
      <c r="A2285">
        <v>2284</v>
      </c>
      <c r="B2285" s="1">
        <v>45022.125</v>
      </c>
      <c r="C2285" s="2">
        <v>6.3888888888888898E-2</v>
      </c>
      <c r="D2285" s="3">
        <v>1101</v>
      </c>
      <c r="E2285" s="3">
        <v>460</v>
      </c>
      <c r="F2285" s="2">
        <v>57.043055555555554</v>
      </c>
      <c r="G2285" t="s">
        <v>2815</v>
      </c>
      <c r="H2285" t="s">
        <v>2813</v>
      </c>
      <c r="I2285" s="2">
        <v>1.2916666666666667</v>
      </c>
      <c r="J2285" s="4" t="str">
        <f>IF(Table1[[#This Row],[processing_time_hours]]&gt;1.5,"Slow", "Fast")</f>
        <v>Fast</v>
      </c>
      <c r="K2285" t="s">
        <v>2821</v>
      </c>
      <c r="L2285" s="3">
        <v>0</v>
      </c>
      <c r="M2285" t="str">
        <f>IF(Table1[[#This Row],[delayed]]=1,"Delayed","On Time")</f>
        <v>On Time</v>
      </c>
      <c r="N2285" t="str">
        <f>IF(AND(Table1[[#This Row],[delayed]]=1,Table1[[#This Row],[weather_condition]]="Storm"),"High Risk", IF(Table1[[#This Row],[delayed]]=1,"Medium Risk","Low Risk"))</f>
        <v>Low Risk</v>
      </c>
    </row>
    <row r="2286" spans="1:14" x14ac:dyDescent="0.35">
      <c r="A2286">
        <v>2285</v>
      </c>
      <c r="B2286" s="1">
        <v>45022.166666666664</v>
      </c>
      <c r="C2286" s="2">
        <v>4.9999999999999996E-2</v>
      </c>
      <c r="D2286" s="3">
        <v>2611</v>
      </c>
      <c r="E2286" s="3">
        <v>22</v>
      </c>
      <c r="F2286" s="2">
        <v>78.00277777777778</v>
      </c>
      <c r="G2286" t="s">
        <v>2819</v>
      </c>
      <c r="H2286" t="s">
        <v>2817</v>
      </c>
      <c r="I2286" s="2">
        <v>0.83611111111111114</v>
      </c>
      <c r="J2286" s="4" t="str">
        <f>IF(Table1[[#This Row],[processing_time_hours]]&gt;1.5,"Slow", "Fast")</f>
        <v>Fast</v>
      </c>
      <c r="K2286" t="s">
        <v>2818</v>
      </c>
      <c r="L2286" s="3">
        <v>1</v>
      </c>
      <c r="M2286" t="str">
        <f>IF(Table1[[#This Row],[delayed]]=1,"Delayed","On Time")</f>
        <v>Delayed</v>
      </c>
      <c r="N2286" t="str">
        <f>IF(AND(Table1[[#This Row],[delayed]]=1,Table1[[#This Row],[weather_condition]]="Storm"),"High Risk", IF(Table1[[#This Row],[delayed]]=1,"Medium Risk","Low Risk"))</f>
        <v>High Risk</v>
      </c>
    </row>
    <row r="2287" spans="1:14" x14ac:dyDescent="0.35">
      <c r="A2287">
        <v>2286</v>
      </c>
      <c r="B2287" s="1">
        <v>45022.208333333336</v>
      </c>
      <c r="C2287" s="2">
        <v>4.4444444444444446E-2</v>
      </c>
      <c r="D2287" s="3">
        <v>4079</v>
      </c>
      <c r="E2287" s="3">
        <v>484</v>
      </c>
      <c r="F2287" s="2">
        <v>27.339583333333334</v>
      </c>
      <c r="G2287" t="s">
        <v>2816</v>
      </c>
      <c r="H2287" t="s">
        <v>2817</v>
      </c>
      <c r="I2287" s="2">
        <v>0.66805555555555562</v>
      </c>
      <c r="J2287" s="4" t="str">
        <f>IF(Table1[[#This Row],[processing_time_hours]]&gt;1.5,"Slow", "Fast")</f>
        <v>Fast</v>
      </c>
      <c r="K2287" t="s">
        <v>2814</v>
      </c>
      <c r="L2287" s="3">
        <v>0</v>
      </c>
      <c r="M2287" t="str">
        <f>IF(Table1[[#This Row],[delayed]]=1,"Delayed","On Time")</f>
        <v>On Time</v>
      </c>
      <c r="N2287" t="str">
        <f>IF(AND(Table1[[#This Row],[delayed]]=1,Table1[[#This Row],[weather_condition]]="Storm"),"High Risk", IF(Table1[[#This Row],[delayed]]=1,"Medium Risk","Low Risk"))</f>
        <v>Low Risk</v>
      </c>
    </row>
    <row r="2288" spans="1:14" x14ac:dyDescent="0.35">
      <c r="A2288">
        <v>2287</v>
      </c>
      <c r="B2288" s="1">
        <v>45022.25</v>
      </c>
      <c r="C2288" s="2">
        <v>6.5972222222222224E-2</v>
      </c>
      <c r="D2288" s="3">
        <v>1849</v>
      </c>
      <c r="E2288" s="3">
        <v>329</v>
      </c>
      <c r="F2288" s="2">
        <v>37.166666666666664</v>
      </c>
      <c r="G2288" t="s">
        <v>2819</v>
      </c>
      <c r="H2288" t="s">
        <v>2817</v>
      </c>
      <c r="I2288" s="2">
        <v>1.4583333333333333</v>
      </c>
      <c r="J2288" s="4" t="str">
        <f>IF(Table1[[#This Row],[processing_time_hours]]&gt;1.5,"Slow", "Fast")</f>
        <v>Fast</v>
      </c>
      <c r="K2288" t="s">
        <v>2814</v>
      </c>
      <c r="L2288" s="3">
        <v>0</v>
      </c>
      <c r="M2288" t="str">
        <f>IF(Table1[[#This Row],[delayed]]=1,"Delayed","On Time")</f>
        <v>On Time</v>
      </c>
      <c r="N2288" t="str">
        <f>IF(AND(Table1[[#This Row],[delayed]]=1,Table1[[#This Row],[weather_condition]]="Storm"),"High Risk", IF(Table1[[#This Row],[delayed]]=1,"Medium Risk","Low Risk"))</f>
        <v>Low Risk</v>
      </c>
    </row>
    <row r="2289" spans="1:14" x14ac:dyDescent="0.35">
      <c r="A2289">
        <v>2288</v>
      </c>
      <c r="B2289" s="1">
        <v>45022.291666666664</v>
      </c>
      <c r="C2289" s="2">
        <v>4.6527777777777779E-2</v>
      </c>
      <c r="D2289" s="3">
        <v>2497</v>
      </c>
      <c r="E2289" s="3">
        <v>390</v>
      </c>
      <c r="F2289" s="2">
        <v>17.250694444444445</v>
      </c>
      <c r="G2289" t="s">
        <v>2812</v>
      </c>
      <c r="H2289" t="s">
        <v>2822</v>
      </c>
      <c r="I2289" s="2">
        <v>2.7097222222222221</v>
      </c>
      <c r="J2289" s="4" t="str">
        <f>IF(Table1[[#This Row],[processing_time_hours]]&gt;1.5,"Slow", "Fast")</f>
        <v>Slow</v>
      </c>
      <c r="K2289" t="s">
        <v>2821</v>
      </c>
      <c r="L2289" s="3">
        <v>0</v>
      </c>
      <c r="M2289" t="str">
        <f>IF(Table1[[#This Row],[delayed]]=1,"Delayed","On Time")</f>
        <v>On Time</v>
      </c>
      <c r="N2289" t="str">
        <f>IF(AND(Table1[[#This Row],[delayed]]=1,Table1[[#This Row],[weather_condition]]="Storm"),"High Risk", IF(Table1[[#This Row],[delayed]]=1,"Medium Risk","Low Risk"))</f>
        <v>Low Risk</v>
      </c>
    </row>
    <row r="2290" spans="1:14" x14ac:dyDescent="0.35">
      <c r="A2290">
        <v>2289</v>
      </c>
      <c r="B2290" s="1">
        <v>45022.333333333336</v>
      </c>
      <c r="C2290" s="2">
        <v>6.1111111111111109E-2</v>
      </c>
      <c r="D2290" s="3">
        <v>4338</v>
      </c>
      <c r="E2290" s="3">
        <v>164</v>
      </c>
      <c r="F2290" s="2">
        <v>64.920138888888886</v>
      </c>
      <c r="G2290" t="s">
        <v>2819</v>
      </c>
      <c r="H2290" t="s">
        <v>2822</v>
      </c>
      <c r="I2290" s="2">
        <v>1.2527777777777778</v>
      </c>
      <c r="J2290" s="4" t="str">
        <f>IF(Table1[[#This Row],[processing_time_hours]]&gt;1.5,"Slow", "Fast")</f>
        <v>Fast</v>
      </c>
      <c r="K2290" t="s">
        <v>2818</v>
      </c>
      <c r="L2290" s="3">
        <v>0</v>
      </c>
      <c r="M2290" t="str">
        <f>IF(Table1[[#This Row],[delayed]]=1,"Delayed","On Time")</f>
        <v>On Time</v>
      </c>
      <c r="N2290" t="str">
        <f>IF(AND(Table1[[#This Row],[delayed]]=1,Table1[[#This Row],[weather_condition]]="Storm"),"High Risk", IF(Table1[[#This Row],[delayed]]=1,"Medium Risk","Low Risk"))</f>
        <v>Low Risk</v>
      </c>
    </row>
    <row r="2291" spans="1:14" x14ac:dyDescent="0.35">
      <c r="A2291">
        <v>2290</v>
      </c>
      <c r="B2291" s="1">
        <v>45022.375</v>
      </c>
      <c r="C2291" s="2">
        <v>6.5972222222222224E-2</v>
      </c>
      <c r="D2291" s="3">
        <v>4461</v>
      </c>
      <c r="E2291" s="3">
        <v>118</v>
      </c>
      <c r="F2291" s="2">
        <v>48.543055555555554</v>
      </c>
      <c r="G2291" t="s">
        <v>2815</v>
      </c>
      <c r="H2291" t="s">
        <v>2813</v>
      </c>
      <c r="I2291" s="2">
        <v>0.79791666666666661</v>
      </c>
      <c r="J2291" s="4" t="str">
        <f>IF(Table1[[#This Row],[processing_time_hours]]&gt;1.5,"Slow", "Fast")</f>
        <v>Fast</v>
      </c>
      <c r="K2291" t="s">
        <v>2814</v>
      </c>
      <c r="L2291" s="3">
        <v>0</v>
      </c>
      <c r="M2291" t="str">
        <f>IF(Table1[[#This Row],[delayed]]=1,"Delayed","On Time")</f>
        <v>On Time</v>
      </c>
      <c r="N2291" t="str">
        <f>IF(AND(Table1[[#This Row],[delayed]]=1,Table1[[#This Row],[weather_condition]]="Storm"),"High Risk", IF(Table1[[#This Row],[delayed]]=1,"Medium Risk","Low Risk"))</f>
        <v>Low Risk</v>
      </c>
    </row>
    <row r="2292" spans="1:14" x14ac:dyDescent="0.35">
      <c r="A2292">
        <v>2291</v>
      </c>
      <c r="B2292" s="1">
        <v>45022.416666666664</v>
      </c>
      <c r="C2292" s="2">
        <v>6.1805555555555558E-2</v>
      </c>
      <c r="D2292" s="3">
        <v>1332</v>
      </c>
      <c r="E2292" s="3">
        <v>43</v>
      </c>
      <c r="F2292" s="2">
        <v>64.334027777777777</v>
      </c>
      <c r="G2292" t="s">
        <v>2815</v>
      </c>
      <c r="H2292" t="s">
        <v>2817</v>
      </c>
      <c r="I2292" s="2">
        <v>1.0854166666666667</v>
      </c>
      <c r="J2292" s="4" t="str">
        <f>IF(Table1[[#This Row],[processing_time_hours]]&gt;1.5,"Slow", "Fast")</f>
        <v>Fast</v>
      </c>
      <c r="K2292" t="s">
        <v>2818</v>
      </c>
      <c r="L2292" s="3">
        <v>1</v>
      </c>
      <c r="M2292" t="str">
        <f>IF(Table1[[#This Row],[delayed]]=1,"Delayed","On Time")</f>
        <v>Delayed</v>
      </c>
      <c r="N2292" t="str">
        <f>IF(AND(Table1[[#This Row],[delayed]]=1,Table1[[#This Row],[weather_condition]]="Storm"),"High Risk", IF(Table1[[#This Row],[delayed]]=1,"Medium Risk","Low Risk"))</f>
        <v>High Risk</v>
      </c>
    </row>
    <row r="2293" spans="1:14" x14ac:dyDescent="0.35">
      <c r="A2293">
        <v>2292</v>
      </c>
      <c r="B2293" s="1">
        <v>45022.458333333336</v>
      </c>
      <c r="C2293" s="2">
        <v>6.805555555555555E-2</v>
      </c>
      <c r="D2293" s="3">
        <v>386</v>
      </c>
      <c r="E2293" s="3">
        <v>474</v>
      </c>
      <c r="F2293" s="2">
        <v>32.253472222222221</v>
      </c>
      <c r="G2293" t="s">
        <v>2819</v>
      </c>
      <c r="H2293" t="s">
        <v>2822</v>
      </c>
      <c r="I2293" s="2">
        <v>2.963194444444444</v>
      </c>
      <c r="J2293" s="4" t="str">
        <f>IF(Table1[[#This Row],[processing_time_hours]]&gt;1.5,"Slow", "Fast")</f>
        <v>Slow</v>
      </c>
      <c r="K2293" t="s">
        <v>2818</v>
      </c>
      <c r="L2293" s="3">
        <v>1</v>
      </c>
      <c r="M2293" t="str">
        <f>IF(Table1[[#This Row],[delayed]]=1,"Delayed","On Time")</f>
        <v>Delayed</v>
      </c>
      <c r="N2293" t="str">
        <f>IF(AND(Table1[[#This Row],[delayed]]=1,Table1[[#This Row],[weather_condition]]="Storm"),"High Risk", IF(Table1[[#This Row],[delayed]]=1,"Medium Risk","Low Risk"))</f>
        <v>Medium Risk</v>
      </c>
    </row>
    <row r="2294" spans="1:14" x14ac:dyDescent="0.35">
      <c r="A2294">
        <v>2293</v>
      </c>
      <c r="B2294" s="1">
        <v>45022.5</v>
      </c>
      <c r="C2294" s="2">
        <v>4.9305555555555554E-2</v>
      </c>
      <c r="D2294" s="3">
        <v>4960</v>
      </c>
      <c r="E2294" s="3">
        <v>365</v>
      </c>
      <c r="F2294" s="2">
        <v>46.587499999999999</v>
      </c>
      <c r="G2294" t="s">
        <v>2816</v>
      </c>
      <c r="H2294" t="s">
        <v>2817</v>
      </c>
      <c r="I2294" s="2">
        <v>1.2090277777777778</v>
      </c>
      <c r="J2294" s="4" t="str">
        <f>IF(Table1[[#This Row],[processing_time_hours]]&gt;1.5,"Slow", "Fast")</f>
        <v>Fast</v>
      </c>
      <c r="K2294" t="s">
        <v>2818</v>
      </c>
      <c r="L2294" s="3">
        <v>0</v>
      </c>
      <c r="M2294" t="str">
        <f>IF(Table1[[#This Row],[delayed]]=1,"Delayed","On Time")</f>
        <v>On Time</v>
      </c>
      <c r="N2294" t="str">
        <f>IF(AND(Table1[[#This Row],[delayed]]=1,Table1[[#This Row],[weather_condition]]="Storm"),"High Risk", IF(Table1[[#This Row],[delayed]]=1,"Medium Risk","Low Risk"))</f>
        <v>Low Risk</v>
      </c>
    </row>
    <row r="2295" spans="1:14" x14ac:dyDescent="0.35">
      <c r="A2295">
        <v>2294</v>
      </c>
      <c r="B2295" s="1">
        <v>45022.541666666664</v>
      </c>
      <c r="C2295" s="2">
        <v>5.2083333333333336E-2</v>
      </c>
      <c r="D2295" s="3">
        <v>1129</v>
      </c>
      <c r="E2295" s="3">
        <v>249</v>
      </c>
      <c r="F2295" s="2">
        <v>31.459722222222222</v>
      </c>
      <c r="G2295" t="s">
        <v>2816</v>
      </c>
      <c r="H2295" t="s">
        <v>2813</v>
      </c>
      <c r="I2295" s="2">
        <v>1.6284722222222223</v>
      </c>
      <c r="J2295" s="4" t="str">
        <f>IF(Table1[[#This Row],[processing_time_hours]]&gt;1.5,"Slow", "Fast")</f>
        <v>Slow</v>
      </c>
      <c r="K2295" t="s">
        <v>2821</v>
      </c>
      <c r="L2295" s="3">
        <v>0</v>
      </c>
      <c r="M2295" t="str">
        <f>IF(Table1[[#This Row],[delayed]]=1,"Delayed","On Time")</f>
        <v>On Time</v>
      </c>
      <c r="N2295" t="str">
        <f>IF(AND(Table1[[#This Row],[delayed]]=1,Table1[[#This Row],[weather_condition]]="Storm"),"High Risk", IF(Table1[[#This Row],[delayed]]=1,"Medium Risk","Low Risk"))</f>
        <v>Low Risk</v>
      </c>
    </row>
    <row r="2296" spans="1:14" x14ac:dyDescent="0.35">
      <c r="A2296">
        <v>2295</v>
      </c>
      <c r="B2296" s="1">
        <v>45022.583333333336</v>
      </c>
      <c r="C2296" s="2">
        <v>5.9027777777777783E-2</v>
      </c>
      <c r="D2296" s="3">
        <v>1899</v>
      </c>
      <c r="E2296" s="3">
        <v>325</v>
      </c>
      <c r="F2296" s="2">
        <v>27.459722222222222</v>
      </c>
      <c r="G2296" t="s">
        <v>2812</v>
      </c>
      <c r="H2296" t="s">
        <v>2822</v>
      </c>
      <c r="I2296" s="2">
        <v>2.5881944444444445</v>
      </c>
      <c r="J2296" s="4" t="str">
        <f>IF(Table1[[#This Row],[processing_time_hours]]&gt;1.5,"Slow", "Fast")</f>
        <v>Slow</v>
      </c>
      <c r="K2296" t="s">
        <v>2818</v>
      </c>
      <c r="L2296" s="3">
        <v>0</v>
      </c>
      <c r="M2296" t="str">
        <f>IF(Table1[[#This Row],[delayed]]=1,"Delayed","On Time")</f>
        <v>On Time</v>
      </c>
      <c r="N2296" t="str">
        <f>IF(AND(Table1[[#This Row],[delayed]]=1,Table1[[#This Row],[weather_condition]]="Storm"),"High Risk", IF(Table1[[#This Row],[delayed]]=1,"Medium Risk","Low Risk"))</f>
        <v>Low Risk</v>
      </c>
    </row>
    <row r="2297" spans="1:14" x14ac:dyDescent="0.35">
      <c r="A2297">
        <v>2296</v>
      </c>
      <c r="B2297" s="1">
        <v>45022.625</v>
      </c>
      <c r="C2297" s="2">
        <v>4.5138888888888888E-2</v>
      </c>
      <c r="D2297" s="3">
        <v>2246</v>
      </c>
      <c r="E2297" s="3">
        <v>394</v>
      </c>
      <c r="F2297" s="2">
        <v>26.543055555555554</v>
      </c>
      <c r="G2297" t="s">
        <v>2815</v>
      </c>
      <c r="H2297" t="s">
        <v>2813</v>
      </c>
      <c r="I2297" s="2">
        <v>2.4624999999999999</v>
      </c>
      <c r="J2297" s="4" t="str">
        <f>IF(Table1[[#This Row],[processing_time_hours]]&gt;1.5,"Slow", "Fast")</f>
        <v>Slow</v>
      </c>
      <c r="K2297" t="s">
        <v>2818</v>
      </c>
      <c r="L2297" s="3">
        <v>1</v>
      </c>
      <c r="M2297" t="str">
        <f>IF(Table1[[#This Row],[delayed]]=1,"Delayed","On Time")</f>
        <v>Delayed</v>
      </c>
      <c r="N2297" t="str">
        <f>IF(AND(Table1[[#This Row],[delayed]]=1,Table1[[#This Row],[weather_condition]]="Storm"),"High Risk", IF(Table1[[#This Row],[delayed]]=1,"Medium Risk","Low Risk"))</f>
        <v>Medium Risk</v>
      </c>
    </row>
    <row r="2298" spans="1:14" x14ac:dyDescent="0.35">
      <c r="A2298">
        <v>2297</v>
      </c>
      <c r="B2298" s="1">
        <v>45022.666666666664</v>
      </c>
      <c r="C2298" s="2">
        <v>4.1666666666666664E-2</v>
      </c>
      <c r="D2298" s="3">
        <v>1543</v>
      </c>
      <c r="E2298" s="3">
        <v>222</v>
      </c>
      <c r="F2298" s="2">
        <v>55.37638888888889</v>
      </c>
      <c r="G2298" t="s">
        <v>2812</v>
      </c>
      <c r="H2298" t="s">
        <v>2822</v>
      </c>
      <c r="I2298" s="2">
        <v>2.0013888888888887</v>
      </c>
      <c r="J2298" s="4" t="str">
        <f>IF(Table1[[#This Row],[processing_time_hours]]&gt;1.5,"Slow", "Fast")</f>
        <v>Slow</v>
      </c>
      <c r="K2298" t="s">
        <v>2818</v>
      </c>
      <c r="L2298" s="3">
        <v>1</v>
      </c>
      <c r="M2298" t="str">
        <f>IF(Table1[[#This Row],[delayed]]=1,"Delayed","On Time")</f>
        <v>Delayed</v>
      </c>
      <c r="N2298" t="str">
        <f>IF(AND(Table1[[#This Row],[delayed]]=1,Table1[[#This Row],[weather_condition]]="Storm"),"High Risk", IF(Table1[[#This Row],[delayed]]=1,"Medium Risk","Low Risk"))</f>
        <v>Medium Risk</v>
      </c>
    </row>
    <row r="2299" spans="1:14" x14ac:dyDescent="0.35">
      <c r="A2299">
        <v>2298</v>
      </c>
      <c r="B2299" s="1">
        <v>45022.708333333336</v>
      </c>
      <c r="C2299" s="2">
        <v>5.9722222222222225E-2</v>
      </c>
      <c r="D2299" s="3">
        <v>1766</v>
      </c>
      <c r="E2299" s="3">
        <v>178</v>
      </c>
      <c r="F2299" s="2">
        <v>27.875694444444445</v>
      </c>
      <c r="G2299" t="s">
        <v>2816</v>
      </c>
      <c r="H2299" t="s">
        <v>2817</v>
      </c>
      <c r="I2299" s="2">
        <v>0.67222222222222217</v>
      </c>
      <c r="J2299" s="4" t="str">
        <f>IF(Table1[[#This Row],[processing_time_hours]]&gt;1.5,"Slow", "Fast")</f>
        <v>Fast</v>
      </c>
      <c r="K2299" t="s">
        <v>2818</v>
      </c>
      <c r="L2299" s="3">
        <v>0</v>
      </c>
      <c r="M2299" t="str">
        <f>IF(Table1[[#This Row],[delayed]]=1,"Delayed","On Time")</f>
        <v>On Time</v>
      </c>
      <c r="N2299" t="str">
        <f>IF(AND(Table1[[#This Row],[delayed]]=1,Table1[[#This Row],[weather_condition]]="Storm"),"High Risk", IF(Table1[[#This Row],[delayed]]=1,"Medium Risk","Low Risk"))</f>
        <v>Low Risk</v>
      </c>
    </row>
    <row r="2300" spans="1:14" x14ac:dyDescent="0.35">
      <c r="A2300">
        <v>2299</v>
      </c>
      <c r="B2300" s="1">
        <v>45022.75</v>
      </c>
      <c r="C2300" s="2">
        <v>6.0416666666666667E-2</v>
      </c>
      <c r="D2300" s="3">
        <v>3472</v>
      </c>
      <c r="E2300" s="3">
        <v>408</v>
      </c>
      <c r="F2300" s="2">
        <v>81.214583333333337</v>
      </c>
      <c r="G2300" t="s">
        <v>2815</v>
      </c>
      <c r="H2300" t="s">
        <v>2822</v>
      </c>
      <c r="I2300" s="2">
        <v>0.62986111111111109</v>
      </c>
      <c r="J2300" s="4" t="str">
        <f>IF(Table1[[#This Row],[processing_time_hours]]&gt;1.5,"Slow", "Fast")</f>
        <v>Fast</v>
      </c>
      <c r="K2300" t="s">
        <v>2814</v>
      </c>
      <c r="L2300" s="3">
        <v>0</v>
      </c>
      <c r="M2300" t="str">
        <f>IF(Table1[[#This Row],[delayed]]=1,"Delayed","On Time")</f>
        <v>On Time</v>
      </c>
      <c r="N2300" t="str">
        <f>IF(AND(Table1[[#This Row],[delayed]]=1,Table1[[#This Row],[weather_condition]]="Storm"),"High Risk", IF(Table1[[#This Row],[delayed]]=1,"Medium Risk","Low Risk"))</f>
        <v>Low Risk</v>
      </c>
    </row>
    <row r="2301" spans="1:14" x14ac:dyDescent="0.35">
      <c r="A2301">
        <v>2300</v>
      </c>
      <c r="B2301" s="1">
        <v>45022.791666666664</v>
      </c>
      <c r="C2301" s="2">
        <v>5.7638888888888885E-2</v>
      </c>
      <c r="D2301" s="3">
        <v>4986</v>
      </c>
      <c r="E2301" s="3">
        <v>60</v>
      </c>
      <c r="F2301" s="2">
        <v>12</v>
      </c>
      <c r="G2301" t="s">
        <v>2816</v>
      </c>
      <c r="H2301" t="s">
        <v>2813</v>
      </c>
      <c r="I2301" s="2">
        <v>1.2520833333333334</v>
      </c>
      <c r="J2301" s="4" t="str">
        <f>IF(Table1[[#This Row],[processing_time_hours]]&gt;1.5,"Slow", "Fast")</f>
        <v>Fast</v>
      </c>
      <c r="K2301" t="s">
        <v>2814</v>
      </c>
      <c r="L2301" s="3">
        <v>0</v>
      </c>
      <c r="M2301" t="str">
        <f>IF(Table1[[#This Row],[delayed]]=1,"Delayed","On Time")</f>
        <v>On Time</v>
      </c>
      <c r="N2301" t="str">
        <f>IF(AND(Table1[[#This Row],[delayed]]=1,Table1[[#This Row],[weather_condition]]="Storm"),"High Risk", IF(Table1[[#This Row],[delayed]]=1,"Medium Risk","Low Risk"))</f>
        <v>Low Risk</v>
      </c>
    </row>
    <row r="2302" spans="1:14" x14ac:dyDescent="0.35">
      <c r="A2302">
        <v>2301</v>
      </c>
      <c r="B2302" s="1">
        <v>45022.833333333336</v>
      </c>
      <c r="C2302" s="2">
        <v>5.5555555555555558E-3</v>
      </c>
      <c r="D2302" s="3">
        <v>3207</v>
      </c>
      <c r="E2302" s="3">
        <v>467</v>
      </c>
      <c r="F2302" s="2">
        <v>58.627777777777773</v>
      </c>
      <c r="G2302" t="s">
        <v>2815</v>
      </c>
      <c r="H2302" t="s">
        <v>2820</v>
      </c>
      <c r="I2302" s="2">
        <v>0.7944444444444444</v>
      </c>
      <c r="J2302" s="4" t="str">
        <f>IF(Table1[[#This Row],[processing_time_hours]]&gt;1.5,"Slow", "Fast")</f>
        <v>Fast</v>
      </c>
      <c r="K2302" t="s">
        <v>2818</v>
      </c>
      <c r="L2302" s="3">
        <v>1</v>
      </c>
      <c r="M2302" t="str">
        <f>IF(Table1[[#This Row],[delayed]]=1,"Delayed","On Time")</f>
        <v>Delayed</v>
      </c>
      <c r="N2302" t="str">
        <f>IF(AND(Table1[[#This Row],[delayed]]=1,Table1[[#This Row],[weather_condition]]="Storm"),"High Risk", IF(Table1[[#This Row],[delayed]]=1,"Medium Risk","Low Risk"))</f>
        <v>Medium Risk</v>
      </c>
    </row>
    <row r="2303" spans="1:14" x14ac:dyDescent="0.35">
      <c r="A2303">
        <v>2302</v>
      </c>
      <c r="B2303" s="1">
        <v>45022.875</v>
      </c>
      <c r="C2303" s="2">
        <v>4.7222222222222221E-2</v>
      </c>
      <c r="D2303" s="3">
        <v>324</v>
      </c>
      <c r="E2303" s="3">
        <v>394</v>
      </c>
      <c r="F2303" s="2">
        <v>61.416666666666664</v>
      </c>
      <c r="G2303" t="s">
        <v>2815</v>
      </c>
      <c r="H2303" t="s">
        <v>2817</v>
      </c>
      <c r="I2303" s="2">
        <v>2.338888888888889</v>
      </c>
      <c r="J2303" s="4" t="str">
        <f>IF(Table1[[#This Row],[processing_time_hours]]&gt;1.5,"Slow", "Fast")</f>
        <v>Slow</v>
      </c>
      <c r="K2303" t="s">
        <v>2821</v>
      </c>
      <c r="L2303" s="3">
        <v>0</v>
      </c>
      <c r="M2303" t="str">
        <f>IF(Table1[[#This Row],[delayed]]=1,"Delayed","On Time")</f>
        <v>On Time</v>
      </c>
      <c r="N2303" t="str">
        <f>IF(AND(Table1[[#This Row],[delayed]]=1,Table1[[#This Row],[weather_condition]]="Storm"),"High Risk", IF(Table1[[#This Row],[delayed]]=1,"Medium Risk","Low Risk"))</f>
        <v>Low Risk</v>
      </c>
    </row>
    <row r="2304" spans="1:14" x14ac:dyDescent="0.35">
      <c r="A2304">
        <v>2303</v>
      </c>
      <c r="B2304" s="1">
        <v>45022.916666666664</v>
      </c>
      <c r="C2304" s="2">
        <v>4.4444444444444446E-2</v>
      </c>
      <c r="D2304" s="3">
        <v>3557</v>
      </c>
      <c r="E2304" s="3">
        <v>149</v>
      </c>
      <c r="F2304" s="2">
        <v>27.629166666666666</v>
      </c>
      <c r="G2304" t="s">
        <v>2812</v>
      </c>
      <c r="H2304" t="s">
        <v>2820</v>
      </c>
      <c r="I2304" s="2">
        <v>0.41944444444444445</v>
      </c>
      <c r="J2304" s="4" t="str">
        <f>IF(Table1[[#This Row],[processing_time_hours]]&gt;1.5,"Slow", "Fast")</f>
        <v>Fast</v>
      </c>
      <c r="K2304" t="s">
        <v>2814</v>
      </c>
      <c r="L2304" s="3">
        <v>0</v>
      </c>
      <c r="M2304" t="str">
        <f>IF(Table1[[#This Row],[delayed]]=1,"Delayed","On Time")</f>
        <v>On Time</v>
      </c>
      <c r="N2304" t="str">
        <f>IF(AND(Table1[[#This Row],[delayed]]=1,Table1[[#This Row],[weather_condition]]="Storm"),"High Risk", IF(Table1[[#This Row],[delayed]]=1,"Medium Risk","Low Risk"))</f>
        <v>Low Risk</v>
      </c>
    </row>
    <row r="2305" spans="1:14" x14ac:dyDescent="0.35">
      <c r="A2305">
        <v>2304</v>
      </c>
      <c r="B2305" s="1">
        <v>45022.958333333336</v>
      </c>
      <c r="C2305" s="2">
        <v>4.8611111111111112E-3</v>
      </c>
      <c r="D2305" s="3">
        <v>321</v>
      </c>
      <c r="E2305" s="3">
        <v>72</v>
      </c>
      <c r="F2305" s="2">
        <v>42.379861111111111</v>
      </c>
      <c r="G2305" t="s">
        <v>2816</v>
      </c>
      <c r="H2305" t="s">
        <v>2817</v>
      </c>
      <c r="I2305" s="2">
        <v>2.4631944444444445</v>
      </c>
      <c r="J2305" s="4" t="str">
        <f>IF(Table1[[#This Row],[processing_time_hours]]&gt;1.5,"Slow", "Fast")</f>
        <v>Slow</v>
      </c>
      <c r="K2305" t="s">
        <v>2818</v>
      </c>
      <c r="L2305" s="3">
        <v>0</v>
      </c>
      <c r="M2305" t="str">
        <f>IF(Table1[[#This Row],[delayed]]=1,"Delayed","On Time")</f>
        <v>On Time</v>
      </c>
      <c r="N2305" t="str">
        <f>IF(AND(Table1[[#This Row],[delayed]]=1,Table1[[#This Row],[weather_condition]]="Storm"),"High Risk", IF(Table1[[#This Row],[delayed]]=1,"Medium Risk","Low Risk"))</f>
        <v>Low Risk</v>
      </c>
    </row>
    <row r="2306" spans="1:14" x14ac:dyDescent="0.35">
      <c r="A2306">
        <v>2305</v>
      </c>
      <c r="B2306" s="1">
        <v>45023</v>
      </c>
      <c r="C2306" s="2">
        <v>4.2361111111111106E-2</v>
      </c>
      <c r="D2306" s="3">
        <v>2917</v>
      </c>
      <c r="E2306" s="3">
        <v>32</v>
      </c>
      <c r="F2306" s="2">
        <v>3.4590277777777776</v>
      </c>
      <c r="G2306" t="s">
        <v>2816</v>
      </c>
      <c r="H2306" t="s">
        <v>2820</v>
      </c>
      <c r="I2306" s="2">
        <v>1.6666666666666667</v>
      </c>
      <c r="J2306" s="4" t="str">
        <f>IF(Table1[[#This Row],[processing_time_hours]]&gt;1.5,"Slow", "Fast")</f>
        <v>Slow</v>
      </c>
      <c r="K2306" t="s">
        <v>2821</v>
      </c>
      <c r="L2306" s="3">
        <v>0</v>
      </c>
      <c r="M2306" t="str">
        <f>IF(Table1[[#This Row],[delayed]]=1,"Delayed","On Time")</f>
        <v>On Time</v>
      </c>
      <c r="N2306" t="str">
        <f>IF(AND(Table1[[#This Row],[delayed]]=1,Table1[[#This Row],[weather_condition]]="Storm"),"High Risk", IF(Table1[[#This Row],[delayed]]=1,"Medium Risk","Low Risk"))</f>
        <v>Low Risk</v>
      </c>
    </row>
    <row r="2307" spans="1:14" x14ac:dyDescent="0.35">
      <c r="A2307">
        <v>2306</v>
      </c>
      <c r="B2307" s="1">
        <v>45023.041666666664</v>
      </c>
      <c r="C2307" s="2">
        <v>5.9027777777777783E-2</v>
      </c>
      <c r="D2307" s="3">
        <v>2117</v>
      </c>
      <c r="E2307" s="3">
        <v>161</v>
      </c>
      <c r="F2307" s="2">
        <v>26.750694444444445</v>
      </c>
      <c r="G2307" t="s">
        <v>2815</v>
      </c>
      <c r="H2307" t="s">
        <v>2820</v>
      </c>
      <c r="I2307" s="2">
        <v>1.1312499999999999</v>
      </c>
      <c r="J2307" s="4" t="str">
        <f>IF(Table1[[#This Row],[processing_time_hours]]&gt;1.5,"Slow", "Fast")</f>
        <v>Fast</v>
      </c>
      <c r="K2307" t="s">
        <v>2814</v>
      </c>
      <c r="L2307" s="3">
        <v>1</v>
      </c>
      <c r="M2307" t="str">
        <f>IF(Table1[[#This Row],[delayed]]=1,"Delayed","On Time")</f>
        <v>Delayed</v>
      </c>
      <c r="N2307" t="str">
        <f>IF(AND(Table1[[#This Row],[delayed]]=1,Table1[[#This Row],[weather_condition]]="Storm"),"High Risk", IF(Table1[[#This Row],[delayed]]=1,"Medium Risk","Low Risk"))</f>
        <v>Medium Risk</v>
      </c>
    </row>
    <row r="2308" spans="1:14" x14ac:dyDescent="0.35">
      <c r="A2308">
        <v>2307</v>
      </c>
      <c r="B2308" s="1">
        <v>45023.083333333336</v>
      </c>
      <c r="C2308" s="2">
        <v>4.6527777777777779E-2</v>
      </c>
      <c r="D2308" s="3">
        <v>2580</v>
      </c>
      <c r="E2308" s="3">
        <v>485</v>
      </c>
      <c r="F2308" s="2">
        <v>50.877777777777773</v>
      </c>
      <c r="G2308" t="s">
        <v>2819</v>
      </c>
      <c r="H2308" t="s">
        <v>2817</v>
      </c>
      <c r="I2308" s="2">
        <v>0.58958333333333335</v>
      </c>
      <c r="J2308" s="4" t="str">
        <f>IF(Table1[[#This Row],[processing_time_hours]]&gt;1.5,"Slow", "Fast")</f>
        <v>Fast</v>
      </c>
      <c r="K2308" t="s">
        <v>2821</v>
      </c>
      <c r="L2308" s="3">
        <v>0</v>
      </c>
      <c r="M2308" t="str">
        <f>IF(Table1[[#This Row],[delayed]]=1,"Delayed","On Time")</f>
        <v>On Time</v>
      </c>
      <c r="N2308" t="str">
        <f>IF(AND(Table1[[#This Row],[delayed]]=1,Table1[[#This Row],[weather_condition]]="Storm"),"High Risk", IF(Table1[[#This Row],[delayed]]=1,"Medium Risk","Low Risk"))</f>
        <v>Low Risk</v>
      </c>
    </row>
    <row r="2309" spans="1:14" x14ac:dyDescent="0.35">
      <c r="A2309">
        <v>2308</v>
      </c>
      <c r="B2309" s="1">
        <v>45023.125</v>
      </c>
      <c r="C2309" s="2">
        <v>6.7361111111111108E-2</v>
      </c>
      <c r="D2309" s="3">
        <v>2656</v>
      </c>
      <c r="E2309" s="3">
        <v>235</v>
      </c>
      <c r="F2309" s="2">
        <v>54.714583333333337</v>
      </c>
      <c r="G2309" t="s">
        <v>2812</v>
      </c>
      <c r="H2309" t="s">
        <v>2813</v>
      </c>
      <c r="I2309" s="2">
        <v>8.4722222222222213E-2</v>
      </c>
      <c r="J2309" s="4" t="str">
        <f>IF(Table1[[#This Row],[processing_time_hours]]&gt;1.5,"Slow", "Fast")</f>
        <v>Fast</v>
      </c>
      <c r="K2309" t="s">
        <v>2814</v>
      </c>
      <c r="L2309" s="3">
        <v>0</v>
      </c>
      <c r="M2309" t="str">
        <f>IF(Table1[[#This Row],[delayed]]=1,"Delayed","On Time")</f>
        <v>On Time</v>
      </c>
      <c r="N2309" t="str">
        <f>IF(AND(Table1[[#This Row],[delayed]]=1,Table1[[#This Row],[weather_condition]]="Storm"),"High Risk", IF(Table1[[#This Row],[delayed]]=1,"Medium Risk","Low Risk"))</f>
        <v>Low Risk</v>
      </c>
    </row>
    <row r="2310" spans="1:14" x14ac:dyDescent="0.35">
      <c r="A2310">
        <v>2309</v>
      </c>
      <c r="B2310" s="1">
        <v>45023.166666666664</v>
      </c>
      <c r="C2310" s="2">
        <v>4.4444444444444446E-2</v>
      </c>
      <c r="D2310" s="3">
        <v>2090</v>
      </c>
      <c r="E2310" s="3">
        <v>136</v>
      </c>
      <c r="F2310" s="2">
        <v>75.375694444444449</v>
      </c>
      <c r="G2310" t="s">
        <v>2812</v>
      </c>
      <c r="H2310" t="s">
        <v>2820</v>
      </c>
      <c r="I2310" s="2">
        <v>1.3798611111111112</v>
      </c>
      <c r="J2310" s="4" t="str">
        <f>IF(Table1[[#This Row],[processing_time_hours]]&gt;1.5,"Slow", "Fast")</f>
        <v>Fast</v>
      </c>
      <c r="K2310" t="s">
        <v>2818</v>
      </c>
      <c r="L2310" s="3">
        <v>0</v>
      </c>
      <c r="M2310" t="str">
        <f>IF(Table1[[#This Row],[delayed]]=1,"Delayed","On Time")</f>
        <v>On Time</v>
      </c>
      <c r="N2310" t="str">
        <f>IF(AND(Table1[[#This Row],[delayed]]=1,Table1[[#This Row],[weather_condition]]="Storm"),"High Risk", IF(Table1[[#This Row],[delayed]]=1,"Medium Risk","Low Risk"))</f>
        <v>Low Risk</v>
      </c>
    </row>
    <row r="2311" spans="1:14" x14ac:dyDescent="0.35">
      <c r="A2311">
        <v>2310</v>
      </c>
      <c r="B2311" s="1">
        <v>45023.208333333336</v>
      </c>
      <c r="C2311" s="2">
        <v>5.0694444444444438E-2</v>
      </c>
      <c r="D2311" s="3">
        <v>3816</v>
      </c>
      <c r="E2311" s="3">
        <v>50</v>
      </c>
      <c r="F2311" s="2">
        <v>51.75138888888889</v>
      </c>
      <c r="G2311" t="s">
        <v>2812</v>
      </c>
      <c r="H2311" t="s">
        <v>2813</v>
      </c>
      <c r="I2311" s="2">
        <v>1.4604166666666665</v>
      </c>
      <c r="J2311" s="4" t="str">
        <f>IF(Table1[[#This Row],[processing_time_hours]]&gt;1.5,"Slow", "Fast")</f>
        <v>Fast</v>
      </c>
      <c r="K2311" t="s">
        <v>2818</v>
      </c>
      <c r="L2311" s="3">
        <v>0</v>
      </c>
      <c r="M2311" t="str">
        <f>IF(Table1[[#This Row],[delayed]]=1,"Delayed","On Time")</f>
        <v>On Time</v>
      </c>
      <c r="N2311" t="str">
        <f>IF(AND(Table1[[#This Row],[delayed]]=1,Table1[[#This Row],[weather_condition]]="Storm"),"High Risk", IF(Table1[[#This Row],[delayed]]=1,"Medium Risk","Low Risk"))</f>
        <v>Low Risk</v>
      </c>
    </row>
    <row r="2312" spans="1:14" x14ac:dyDescent="0.35">
      <c r="A2312">
        <v>2311</v>
      </c>
      <c r="B2312" s="1">
        <v>45023.25</v>
      </c>
      <c r="C2312" s="2">
        <v>6.5277777777777782E-2</v>
      </c>
      <c r="D2312" s="3">
        <v>95</v>
      </c>
      <c r="E2312" s="3">
        <v>395</v>
      </c>
      <c r="F2312" s="2">
        <v>69.668750000000003</v>
      </c>
      <c r="G2312" t="s">
        <v>2819</v>
      </c>
      <c r="H2312" t="s">
        <v>2813</v>
      </c>
      <c r="I2312" s="2">
        <v>8.6805555555555566E-2</v>
      </c>
      <c r="J2312" s="4" t="str">
        <f>IF(Table1[[#This Row],[processing_time_hours]]&gt;1.5,"Slow", "Fast")</f>
        <v>Fast</v>
      </c>
      <c r="K2312" t="s">
        <v>2814</v>
      </c>
      <c r="L2312" s="3">
        <v>1</v>
      </c>
      <c r="M2312" t="str">
        <f>IF(Table1[[#This Row],[delayed]]=1,"Delayed","On Time")</f>
        <v>Delayed</v>
      </c>
      <c r="N2312" t="str">
        <f>IF(AND(Table1[[#This Row],[delayed]]=1,Table1[[#This Row],[weather_condition]]="Storm"),"High Risk", IF(Table1[[#This Row],[delayed]]=1,"Medium Risk","Low Risk"))</f>
        <v>Medium Risk</v>
      </c>
    </row>
    <row r="2313" spans="1:14" x14ac:dyDescent="0.35">
      <c r="A2313">
        <v>2312</v>
      </c>
      <c r="B2313" s="1">
        <v>45023.291666666664</v>
      </c>
      <c r="C2313" s="2">
        <v>5.9027777777777783E-2</v>
      </c>
      <c r="D2313" s="3">
        <v>3091</v>
      </c>
      <c r="E2313" s="3">
        <v>20</v>
      </c>
      <c r="F2313" s="2">
        <v>81.333333333333329</v>
      </c>
      <c r="G2313" t="s">
        <v>2816</v>
      </c>
      <c r="H2313" t="s">
        <v>2822</v>
      </c>
      <c r="I2313" s="2">
        <v>2.4222222222222221</v>
      </c>
      <c r="J2313" s="4" t="str">
        <f>IF(Table1[[#This Row],[processing_time_hours]]&gt;1.5,"Slow", "Fast")</f>
        <v>Slow</v>
      </c>
      <c r="K2313" t="s">
        <v>2821</v>
      </c>
      <c r="L2313" s="3">
        <v>0</v>
      </c>
      <c r="M2313" t="str">
        <f>IF(Table1[[#This Row],[delayed]]=1,"Delayed","On Time")</f>
        <v>On Time</v>
      </c>
      <c r="N2313" t="str">
        <f>IF(AND(Table1[[#This Row],[delayed]]=1,Table1[[#This Row],[weather_condition]]="Storm"),"High Risk", IF(Table1[[#This Row],[delayed]]=1,"Medium Risk","Low Risk"))</f>
        <v>Low Risk</v>
      </c>
    </row>
    <row r="2314" spans="1:14" x14ac:dyDescent="0.35">
      <c r="A2314">
        <v>2313</v>
      </c>
      <c r="B2314" s="1">
        <v>45023.333333333336</v>
      </c>
      <c r="C2314" s="2">
        <v>5.3472222222222227E-2</v>
      </c>
      <c r="D2314" s="3">
        <v>2774</v>
      </c>
      <c r="E2314" s="3">
        <v>322</v>
      </c>
      <c r="F2314" s="2">
        <v>69.669444444444437</v>
      </c>
      <c r="G2314" t="s">
        <v>2816</v>
      </c>
      <c r="H2314" t="s">
        <v>2817</v>
      </c>
      <c r="I2314" s="2">
        <v>0.91805555555555562</v>
      </c>
      <c r="J2314" s="4" t="str">
        <f>IF(Table1[[#This Row],[processing_time_hours]]&gt;1.5,"Slow", "Fast")</f>
        <v>Fast</v>
      </c>
      <c r="K2314" t="s">
        <v>2818</v>
      </c>
      <c r="L2314" s="3">
        <v>1</v>
      </c>
      <c r="M2314" t="str">
        <f>IF(Table1[[#This Row],[delayed]]=1,"Delayed","On Time")</f>
        <v>Delayed</v>
      </c>
      <c r="N2314" t="str">
        <f>IF(AND(Table1[[#This Row],[delayed]]=1,Table1[[#This Row],[weather_condition]]="Storm"),"High Risk", IF(Table1[[#This Row],[delayed]]=1,"Medium Risk","Low Risk"))</f>
        <v>High Risk</v>
      </c>
    </row>
    <row r="2315" spans="1:14" x14ac:dyDescent="0.35">
      <c r="A2315">
        <v>2314</v>
      </c>
      <c r="B2315" s="1">
        <v>45023.375</v>
      </c>
      <c r="C2315" s="2">
        <v>6.1805555555555558E-2</v>
      </c>
      <c r="D2315" s="3">
        <v>3144</v>
      </c>
      <c r="E2315" s="3">
        <v>243</v>
      </c>
      <c r="F2315" s="2">
        <v>37.297916666666666</v>
      </c>
      <c r="G2315" t="s">
        <v>2816</v>
      </c>
      <c r="H2315" t="s">
        <v>2820</v>
      </c>
      <c r="I2315" s="2">
        <v>2.6694444444444443</v>
      </c>
      <c r="J2315" s="4" t="str">
        <f>IF(Table1[[#This Row],[processing_time_hours]]&gt;1.5,"Slow", "Fast")</f>
        <v>Slow</v>
      </c>
      <c r="K2315" t="s">
        <v>2818</v>
      </c>
      <c r="L2315" s="3">
        <v>1</v>
      </c>
      <c r="M2315" t="str">
        <f>IF(Table1[[#This Row],[delayed]]=1,"Delayed","On Time")</f>
        <v>Delayed</v>
      </c>
      <c r="N2315" t="str">
        <f>IF(AND(Table1[[#This Row],[delayed]]=1,Table1[[#This Row],[weather_condition]]="Storm"),"High Risk", IF(Table1[[#This Row],[delayed]]=1,"Medium Risk","Low Risk"))</f>
        <v>Medium Risk</v>
      </c>
    </row>
    <row r="2316" spans="1:14" x14ac:dyDescent="0.35">
      <c r="A2316">
        <v>2315</v>
      </c>
      <c r="B2316" s="1">
        <v>45023.416666666664</v>
      </c>
      <c r="C2316" s="2">
        <v>5.2777777777777778E-2</v>
      </c>
      <c r="D2316" s="3">
        <v>1459</v>
      </c>
      <c r="E2316" s="3">
        <v>224</v>
      </c>
      <c r="F2316" s="2">
        <v>53.87638888888889</v>
      </c>
      <c r="G2316" t="s">
        <v>2815</v>
      </c>
      <c r="H2316" t="s">
        <v>2820</v>
      </c>
      <c r="I2316" s="2">
        <v>8.4027777777777771E-2</v>
      </c>
      <c r="J2316" s="4" t="str">
        <f>IF(Table1[[#This Row],[processing_time_hours]]&gt;1.5,"Slow", "Fast")</f>
        <v>Fast</v>
      </c>
      <c r="K2316" t="s">
        <v>2814</v>
      </c>
      <c r="L2316" s="3">
        <v>0</v>
      </c>
      <c r="M2316" t="str">
        <f>IF(Table1[[#This Row],[delayed]]=1,"Delayed","On Time")</f>
        <v>On Time</v>
      </c>
      <c r="N2316" t="str">
        <f>IF(AND(Table1[[#This Row],[delayed]]=1,Table1[[#This Row],[weather_condition]]="Storm"),"High Risk", IF(Table1[[#This Row],[delayed]]=1,"Medium Risk","Low Risk"))</f>
        <v>Low Risk</v>
      </c>
    </row>
    <row r="2317" spans="1:14" x14ac:dyDescent="0.35">
      <c r="A2317">
        <v>2316</v>
      </c>
      <c r="B2317" s="1">
        <v>45023.458333333336</v>
      </c>
      <c r="C2317" s="2">
        <v>4.5833333333333337E-2</v>
      </c>
      <c r="D2317" s="3">
        <v>4917</v>
      </c>
      <c r="E2317" s="3">
        <v>478</v>
      </c>
      <c r="F2317" s="2">
        <v>9.1715277777777775</v>
      </c>
      <c r="G2317" t="s">
        <v>2812</v>
      </c>
      <c r="H2317" t="s">
        <v>2822</v>
      </c>
      <c r="I2317" s="2">
        <v>8.5416666666666655E-2</v>
      </c>
      <c r="J2317" s="4" t="str">
        <f>IF(Table1[[#This Row],[processing_time_hours]]&gt;1.5,"Slow", "Fast")</f>
        <v>Fast</v>
      </c>
      <c r="K2317" t="s">
        <v>2821</v>
      </c>
      <c r="L2317" s="3">
        <v>0</v>
      </c>
      <c r="M2317" t="str">
        <f>IF(Table1[[#This Row],[delayed]]=1,"Delayed","On Time")</f>
        <v>On Time</v>
      </c>
      <c r="N2317" t="str">
        <f>IF(AND(Table1[[#This Row],[delayed]]=1,Table1[[#This Row],[weather_condition]]="Storm"),"High Risk", IF(Table1[[#This Row],[delayed]]=1,"Medium Risk","Low Risk"))</f>
        <v>Low Risk</v>
      </c>
    </row>
    <row r="2318" spans="1:14" x14ac:dyDescent="0.35">
      <c r="A2318">
        <v>2317</v>
      </c>
      <c r="B2318" s="1">
        <v>45023.5</v>
      </c>
      <c r="C2318" s="2">
        <v>6.8749999999999992E-2</v>
      </c>
      <c r="D2318" s="3">
        <v>3404</v>
      </c>
      <c r="E2318" s="3">
        <v>256</v>
      </c>
      <c r="F2318" s="2">
        <v>43.877777777777773</v>
      </c>
      <c r="G2318" t="s">
        <v>2812</v>
      </c>
      <c r="H2318" t="s">
        <v>2820</v>
      </c>
      <c r="I2318" s="2">
        <v>1.7555555555555555</v>
      </c>
      <c r="J2318" s="4" t="str">
        <f>IF(Table1[[#This Row],[processing_time_hours]]&gt;1.5,"Slow", "Fast")</f>
        <v>Slow</v>
      </c>
      <c r="K2318" t="s">
        <v>2821</v>
      </c>
      <c r="L2318" s="3">
        <v>1</v>
      </c>
      <c r="M2318" t="str">
        <f>IF(Table1[[#This Row],[delayed]]=1,"Delayed","On Time")</f>
        <v>Delayed</v>
      </c>
      <c r="N2318" t="str">
        <f>IF(AND(Table1[[#This Row],[delayed]]=1,Table1[[#This Row],[weather_condition]]="Storm"),"High Risk", IF(Table1[[#This Row],[delayed]]=1,"Medium Risk","Low Risk"))</f>
        <v>Medium Risk</v>
      </c>
    </row>
    <row r="2319" spans="1:14" x14ac:dyDescent="0.35">
      <c r="A2319">
        <v>2318</v>
      </c>
      <c r="B2319" s="1">
        <v>45023.541666666664</v>
      </c>
      <c r="C2319" s="2">
        <v>6.5972222222222224E-2</v>
      </c>
      <c r="D2319" s="3">
        <v>179</v>
      </c>
      <c r="E2319" s="3">
        <v>377</v>
      </c>
      <c r="F2319" s="2">
        <v>39.875</v>
      </c>
      <c r="G2319" t="s">
        <v>2819</v>
      </c>
      <c r="H2319" t="s">
        <v>2813</v>
      </c>
      <c r="I2319" s="2">
        <v>2.1256944444444446</v>
      </c>
      <c r="J2319" s="4" t="str">
        <f>IF(Table1[[#This Row],[processing_time_hours]]&gt;1.5,"Slow", "Fast")</f>
        <v>Slow</v>
      </c>
      <c r="K2319" t="s">
        <v>2814</v>
      </c>
      <c r="L2319" s="3">
        <v>0</v>
      </c>
      <c r="M2319" t="str">
        <f>IF(Table1[[#This Row],[delayed]]=1,"Delayed","On Time")</f>
        <v>On Time</v>
      </c>
      <c r="N2319" t="str">
        <f>IF(AND(Table1[[#This Row],[delayed]]=1,Table1[[#This Row],[weather_condition]]="Storm"),"High Risk", IF(Table1[[#This Row],[delayed]]=1,"Medium Risk","Low Risk"))</f>
        <v>Low Risk</v>
      </c>
    </row>
    <row r="2320" spans="1:14" x14ac:dyDescent="0.35">
      <c r="A2320">
        <v>2319</v>
      </c>
      <c r="B2320" s="1">
        <v>45023.583333333336</v>
      </c>
      <c r="C2320" s="2">
        <v>6.2499999999999995E-3</v>
      </c>
      <c r="D2320" s="3">
        <v>790</v>
      </c>
      <c r="E2320" s="3">
        <v>471</v>
      </c>
      <c r="F2320" s="2">
        <v>31.088194444444444</v>
      </c>
      <c r="G2320" t="s">
        <v>2816</v>
      </c>
      <c r="H2320" t="s">
        <v>2822</v>
      </c>
      <c r="I2320" s="2">
        <v>2.4208333333333334</v>
      </c>
      <c r="J2320" s="4" t="str">
        <f>IF(Table1[[#This Row],[processing_time_hours]]&gt;1.5,"Slow", "Fast")</f>
        <v>Slow</v>
      </c>
      <c r="K2320" t="s">
        <v>2814</v>
      </c>
      <c r="L2320" s="3">
        <v>0</v>
      </c>
      <c r="M2320" t="str">
        <f>IF(Table1[[#This Row],[delayed]]=1,"Delayed","On Time")</f>
        <v>On Time</v>
      </c>
      <c r="N2320" t="str">
        <f>IF(AND(Table1[[#This Row],[delayed]]=1,Table1[[#This Row],[weather_condition]]="Storm"),"High Risk", IF(Table1[[#This Row],[delayed]]=1,"Medium Risk","Low Risk"))</f>
        <v>Low Risk</v>
      </c>
    </row>
    <row r="2321" spans="1:14" x14ac:dyDescent="0.35">
      <c r="A2321">
        <v>2320</v>
      </c>
      <c r="B2321" s="1">
        <v>45023.625</v>
      </c>
      <c r="C2321" s="2">
        <v>4.9305555555555554E-2</v>
      </c>
      <c r="D2321" s="3">
        <v>1962</v>
      </c>
      <c r="E2321" s="3">
        <v>111</v>
      </c>
      <c r="F2321" s="2">
        <v>30.583333333333332</v>
      </c>
      <c r="G2321" t="s">
        <v>2819</v>
      </c>
      <c r="H2321" t="s">
        <v>2813</v>
      </c>
      <c r="I2321" s="2">
        <v>1.3791666666666667</v>
      </c>
      <c r="J2321" s="4" t="str">
        <f>IF(Table1[[#This Row],[processing_time_hours]]&gt;1.5,"Slow", "Fast")</f>
        <v>Fast</v>
      </c>
      <c r="K2321" t="s">
        <v>2821</v>
      </c>
      <c r="L2321" s="3">
        <v>0</v>
      </c>
      <c r="M2321" t="str">
        <f>IF(Table1[[#This Row],[delayed]]=1,"Delayed","On Time")</f>
        <v>On Time</v>
      </c>
      <c r="N2321" t="str">
        <f>IF(AND(Table1[[#This Row],[delayed]]=1,Table1[[#This Row],[weather_condition]]="Storm"),"High Risk", IF(Table1[[#This Row],[delayed]]=1,"Medium Risk","Low Risk"))</f>
        <v>Low Risk</v>
      </c>
    </row>
    <row r="2322" spans="1:14" x14ac:dyDescent="0.35">
      <c r="A2322">
        <v>2321</v>
      </c>
      <c r="B2322" s="1">
        <v>45023.666666666664</v>
      </c>
      <c r="C2322" s="2">
        <v>5.5555555555555558E-3</v>
      </c>
      <c r="D2322" s="3">
        <v>1239</v>
      </c>
      <c r="E2322" s="3">
        <v>200</v>
      </c>
      <c r="F2322" s="2">
        <v>12.378472222222221</v>
      </c>
      <c r="G2322" t="s">
        <v>2815</v>
      </c>
      <c r="H2322" t="s">
        <v>2813</v>
      </c>
      <c r="I2322" s="2">
        <v>0.58402777777777781</v>
      </c>
      <c r="J2322" s="4" t="str">
        <f>IF(Table1[[#This Row],[processing_time_hours]]&gt;1.5,"Slow", "Fast")</f>
        <v>Fast</v>
      </c>
      <c r="K2322" t="s">
        <v>2821</v>
      </c>
      <c r="L2322" s="3">
        <v>0</v>
      </c>
      <c r="M2322" t="str">
        <f>IF(Table1[[#This Row],[delayed]]=1,"Delayed","On Time")</f>
        <v>On Time</v>
      </c>
      <c r="N2322" t="str">
        <f>IF(AND(Table1[[#This Row],[delayed]]=1,Table1[[#This Row],[weather_condition]]="Storm"),"High Risk", IF(Table1[[#This Row],[delayed]]=1,"Medium Risk","Low Risk"))</f>
        <v>Low Risk</v>
      </c>
    </row>
    <row r="2323" spans="1:14" x14ac:dyDescent="0.35">
      <c r="A2323">
        <v>2322</v>
      </c>
      <c r="B2323" s="1">
        <v>45023.708333333336</v>
      </c>
      <c r="C2323" s="2">
        <v>4.4444444444444446E-2</v>
      </c>
      <c r="D2323" s="3">
        <v>1676</v>
      </c>
      <c r="E2323" s="3">
        <v>241</v>
      </c>
      <c r="F2323" s="2">
        <v>1.7951388888888891</v>
      </c>
      <c r="G2323" t="s">
        <v>2819</v>
      </c>
      <c r="H2323" t="s">
        <v>2817</v>
      </c>
      <c r="I2323" s="2">
        <v>1.7930555555555554</v>
      </c>
      <c r="J2323" s="4" t="str">
        <f>IF(Table1[[#This Row],[processing_time_hours]]&gt;1.5,"Slow", "Fast")</f>
        <v>Slow</v>
      </c>
      <c r="K2323" t="s">
        <v>2821</v>
      </c>
      <c r="L2323" s="3">
        <v>0</v>
      </c>
      <c r="M2323" t="str">
        <f>IF(Table1[[#This Row],[delayed]]=1,"Delayed","On Time")</f>
        <v>On Time</v>
      </c>
      <c r="N2323" t="str">
        <f>IF(AND(Table1[[#This Row],[delayed]]=1,Table1[[#This Row],[weather_condition]]="Storm"),"High Risk", IF(Table1[[#This Row],[delayed]]=1,"Medium Risk","Low Risk"))</f>
        <v>Low Risk</v>
      </c>
    </row>
    <row r="2324" spans="1:14" x14ac:dyDescent="0.35">
      <c r="A2324">
        <v>2323</v>
      </c>
      <c r="B2324" s="1">
        <v>45023.75</v>
      </c>
      <c r="C2324" s="2">
        <v>4.3055555555555562E-2</v>
      </c>
      <c r="D2324" s="3">
        <v>522</v>
      </c>
      <c r="E2324" s="3">
        <v>249</v>
      </c>
      <c r="F2324" s="2">
        <v>41.588888888888889</v>
      </c>
      <c r="G2324" t="s">
        <v>2816</v>
      </c>
      <c r="H2324" t="s">
        <v>2820</v>
      </c>
      <c r="I2324" s="2">
        <v>0.79236111111111107</v>
      </c>
      <c r="J2324" s="4" t="str">
        <f>IF(Table1[[#This Row],[processing_time_hours]]&gt;1.5,"Slow", "Fast")</f>
        <v>Fast</v>
      </c>
      <c r="K2324" t="s">
        <v>2814</v>
      </c>
      <c r="L2324" s="3">
        <v>1</v>
      </c>
      <c r="M2324" t="str">
        <f>IF(Table1[[#This Row],[delayed]]=1,"Delayed","On Time")</f>
        <v>Delayed</v>
      </c>
      <c r="N2324" t="str">
        <f>IF(AND(Table1[[#This Row],[delayed]]=1,Table1[[#This Row],[weather_condition]]="Storm"),"High Risk", IF(Table1[[#This Row],[delayed]]=1,"Medium Risk","Low Risk"))</f>
        <v>Medium Risk</v>
      </c>
    </row>
    <row r="2325" spans="1:14" x14ac:dyDescent="0.35">
      <c r="A2325">
        <v>2324</v>
      </c>
      <c r="B2325" s="1">
        <v>45023.791666666664</v>
      </c>
      <c r="C2325" s="2">
        <v>6.805555555555555E-2</v>
      </c>
      <c r="D2325" s="3">
        <v>1585</v>
      </c>
      <c r="E2325" s="3">
        <v>327</v>
      </c>
      <c r="F2325" s="2">
        <v>46.168055555555554</v>
      </c>
      <c r="G2325" t="s">
        <v>2819</v>
      </c>
      <c r="H2325" t="s">
        <v>2820</v>
      </c>
      <c r="I2325" s="2">
        <v>1.2527777777777778</v>
      </c>
      <c r="J2325" s="4" t="str">
        <f>IF(Table1[[#This Row],[processing_time_hours]]&gt;1.5,"Slow", "Fast")</f>
        <v>Fast</v>
      </c>
      <c r="K2325" t="s">
        <v>2821</v>
      </c>
      <c r="L2325" s="3">
        <v>1</v>
      </c>
      <c r="M2325" t="str">
        <f>IF(Table1[[#This Row],[delayed]]=1,"Delayed","On Time")</f>
        <v>Delayed</v>
      </c>
      <c r="N2325" t="str">
        <f>IF(AND(Table1[[#This Row],[delayed]]=1,Table1[[#This Row],[weather_condition]]="Storm"),"High Risk", IF(Table1[[#This Row],[delayed]]=1,"Medium Risk","Low Risk"))</f>
        <v>Medium Risk</v>
      </c>
    </row>
    <row r="2326" spans="1:14" x14ac:dyDescent="0.35">
      <c r="A2326">
        <v>2325</v>
      </c>
      <c r="B2326" s="1">
        <v>45023.833333333336</v>
      </c>
      <c r="C2326" s="2">
        <v>5.3472222222222227E-2</v>
      </c>
      <c r="D2326" s="3">
        <v>2850</v>
      </c>
      <c r="E2326" s="3">
        <v>174</v>
      </c>
      <c r="F2326" s="2">
        <v>77.041666666666671</v>
      </c>
      <c r="G2326" t="s">
        <v>2812</v>
      </c>
      <c r="H2326" t="s">
        <v>2813</v>
      </c>
      <c r="I2326" s="2">
        <v>1.8388888888888888</v>
      </c>
      <c r="J2326" s="4" t="str">
        <f>IF(Table1[[#This Row],[processing_time_hours]]&gt;1.5,"Slow", "Fast")</f>
        <v>Slow</v>
      </c>
      <c r="K2326" t="s">
        <v>2814</v>
      </c>
      <c r="L2326" s="3">
        <v>1</v>
      </c>
      <c r="M2326" t="str">
        <f>IF(Table1[[#This Row],[delayed]]=1,"Delayed","On Time")</f>
        <v>Delayed</v>
      </c>
      <c r="N2326" t="str">
        <f>IF(AND(Table1[[#This Row],[delayed]]=1,Table1[[#This Row],[weather_condition]]="Storm"),"High Risk", IF(Table1[[#This Row],[delayed]]=1,"Medium Risk","Low Risk"))</f>
        <v>Medium Risk</v>
      </c>
    </row>
    <row r="2327" spans="1:14" x14ac:dyDescent="0.35">
      <c r="A2327">
        <v>2326</v>
      </c>
      <c r="B2327" s="1">
        <v>45023.875</v>
      </c>
      <c r="C2327" s="2">
        <v>4.7916666666666663E-2</v>
      </c>
      <c r="D2327" s="3">
        <v>1751</v>
      </c>
      <c r="E2327" s="3">
        <v>257</v>
      </c>
      <c r="F2327" s="2">
        <v>64.584027777777777</v>
      </c>
      <c r="G2327" t="s">
        <v>2815</v>
      </c>
      <c r="H2327" t="s">
        <v>2813</v>
      </c>
      <c r="I2327" s="2">
        <v>1.5</v>
      </c>
      <c r="J2327" s="4" t="str">
        <f>IF(Table1[[#This Row],[processing_time_hours]]&gt;1.5,"Slow", "Fast")</f>
        <v>Fast</v>
      </c>
      <c r="K2327" t="s">
        <v>2821</v>
      </c>
      <c r="L2327" s="3">
        <v>0</v>
      </c>
      <c r="M2327" t="str">
        <f>IF(Table1[[#This Row],[delayed]]=1,"Delayed","On Time")</f>
        <v>On Time</v>
      </c>
      <c r="N2327" t="str">
        <f>IF(AND(Table1[[#This Row],[delayed]]=1,Table1[[#This Row],[weather_condition]]="Storm"),"High Risk", IF(Table1[[#This Row],[delayed]]=1,"Medium Risk","Low Risk"))</f>
        <v>Low Risk</v>
      </c>
    </row>
    <row r="2328" spans="1:14" x14ac:dyDescent="0.35">
      <c r="A2328">
        <v>2327</v>
      </c>
      <c r="B2328" s="1">
        <v>45023.916666666664</v>
      </c>
      <c r="C2328" s="2">
        <v>6.3888888888888898E-2</v>
      </c>
      <c r="D2328" s="3">
        <v>3960</v>
      </c>
      <c r="E2328" s="3">
        <v>40</v>
      </c>
      <c r="F2328" s="2">
        <v>56.922222222222224</v>
      </c>
      <c r="G2328" t="s">
        <v>2819</v>
      </c>
      <c r="H2328" t="s">
        <v>2820</v>
      </c>
      <c r="I2328" s="2">
        <v>2.0881944444444445</v>
      </c>
      <c r="J2328" s="4" t="str">
        <f>IF(Table1[[#This Row],[processing_time_hours]]&gt;1.5,"Slow", "Fast")</f>
        <v>Slow</v>
      </c>
      <c r="K2328" t="s">
        <v>2818</v>
      </c>
      <c r="L2328" s="3">
        <v>1</v>
      </c>
      <c r="M2328" t="str">
        <f>IF(Table1[[#This Row],[delayed]]=1,"Delayed","On Time")</f>
        <v>Delayed</v>
      </c>
      <c r="N2328" t="str">
        <f>IF(AND(Table1[[#This Row],[delayed]]=1,Table1[[#This Row],[weather_condition]]="Storm"),"High Risk", IF(Table1[[#This Row],[delayed]]=1,"Medium Risk","Low Risk"))</f>
        <v>Medium Risk</v>
      </c>
    </row>
    <row r="2329" spans="1:14" x14ac:dyDescent="0.35">
      <c r="A2329">
        <v>2328</v>
      </c>
      <c r="B2329" s="1">
        <v>45023.958333333336</v>
      </c>
      <c r="C2329" s="2">
        <v>5.6250000000000001E-2</v>
      </c>
      <c r="D2329" s="3">
        <v>4748</v>
      </c>
      <c r="E2329" s="3">
        <v>156</v>
      </c>
      <c r="F2329" s="2">
        <v>52.710416666666667</v>
      </c>
      <c r="G2329" t="s">
        <v>2812</v>
      </c>
      <c r="H2329" t="s">
        <v>2813</v>
      </c>
      <c r="I2329" s="2">
        <v>2.7930555555555556</v>
      </c>
      <c r="J2329" s="4" t="str">
        <f>IF(Table1[[#This Row],[processing_time_hours]]&gt;1.5,"Slow", "Fast")</f>
        <v>Slow</v>
      </c>
      <c r="K2329" t="s">
        <v>2818</v>
      </c>
      <c r="L2329" s="3">
        <v>0</v>
      </c>
      <c r="M2329" t="str">
        <f>IF(Table1[[#This Row],[delayed]]=1,"Delayed","On Time")</f>
        <v>On Time</v>
      </c>
      <c r="N2329" t="str">
        <f>IF(AND(Table1[[#This Row],[delayed]]=1,Table1[[#This Row],[weather_condition]]="Storm"),"High Risk", IF(Table1[[#This Row],[delayed]]=1,"Medium Risk","Low Risk"))</f>
        <v>Low Risk</v>
      </c>
    </row>
    <row r="2330" spans="1:14" x14ac:dyDescent="0.35">
      <c r="A2330">
        <v>2329</v>
      </c>
      <c r="B2330" s="1">
        <v>45024</v>
      </c>
      <c r="C2330" s="2">
        <v>5.9722222222222225E-2</v>
      </c>
      <c r="D2330" s="3">
        <v>929</v>
      </c>
      <c r="E2330" s="3">
        <v>25</v>
      </c>
      <c r="F2330" s="2">
        <v>66.671527777777769</v>
      </c>
      <c r="G2330" t="s">
        <v>2812</v>
      </c>
      <c r="H2330" t="s">
        <v>2813</v>
      </c>
      <c r="I2330" s="2">
        <v>2.7562500000000001</v>
      </c>
      <c r="J2330" s="4" t="str">
        <f>IF(Table1[[#This Row],[processing_time_hours]]&gt;1.5,"Slow", "Fast")</f>
        <v>Slow</v>
      </c>
      <c r="K2330" t="s">
        <v>2818</v>
      </c>
      <c r="L2330" s="3">
        <v>0</v>
      </c>
      <c r="M2330" t="str">
        <f>IF(Table1[[#This Row],[delayed]]=1,"Delayed","On Time")</f>
        <v>On Time</v>
      </c>
      <c r="N2330" t="str">
        <f>IF(AND(Table1[[#This Row],[delayed]]=1,Table1[[#This Row],[weather_condition]]="Storm"),"High Risk", IF(Table1[[#This Row],[delayed]]=1,"Medium Risk","Low Risk"))</f>
        <v>Low Risk</v>
      </c>
    </row>
    <row r="2331" spans="1:14" x14ac:dyDescent="0.35">
      <c r="A2331">
        <v>2330</v>
      </c>
      <c r="B2331" s="1">
        <v>45024.041666666664</v>
      </c>
      <c r="C2331" s="2">
        <v>4.4444444444444446E-2</v>
      </c>
      <c r="D2331" s="3">
        <v>2879</v>
      </c>
      <c r="E2331" s="3">
        <v>90</v>
      </c>
      <c r="F2331" s="2">
        <v>64.339583333333337</v>
      </c>
      <c r="G2331" t="s">
        <v>2815</v>
      </c>
      <c r="H2331" t="s">
        <v>2813</v>
      </c>
      <c r="I2331" s="2">
        <v>2.7944444444444443</v>
      </c>
      <c r="J2331" s="4" t="str">
        <f>IF(Table1[[#This Row],[processing_time_hours]]&gt;1.5,"Slow", "Fast")</f>
        <v>Slow</v>
      </c>
      <c r="K2331" t="s">
        <v>2818</v>
      </c>
      <c r="L2331" s="3">
        <v>0</v>
      </c>
      <c r="M2331" t="str">
        <f>IF(Table1[[#This Row],[delayed]]=1,"Delayed","On Time")</f>
        <v>On Time</v>
      </c>
      <c r="N2331" t="str">
        <f>IF(AND(Table1[[#This Row],[delayed]]=1,Table1[[#This Row],[weather_condition]]="Storm"),"High Risk", IF(Table1[[#This Row],[delayed]]=1,"Medium Risk","Low Risk"))</f>
        <v>Low Risk</v>
      </c>
    </row>
    <row r="2332" spans="1:14" x14ac:dyDescent="0.35">
      <c r="A2332">
        <v>2331</v>
      </c>
      <c r="B2332" s="1">
        <v>45024.083333333336</v>
      </c>
      <c r="C2332" s="2">
        <v>5.4166666666666669E-2</v>
      </c>
      <c r="D2332" s="3">
        <v>4093</v>
      </c>
      <c r="E2332" s="3">
        <v>75</v>
      </c>
      <c r="F2332" s="2">
        <v>27.377083333333331</v>
      </c>
      <c r="G2332" t="s">
        <v>2816</v>
      </c>
      <c r="H2332" t="s">
        <v>2822</v>
      </c>
      <c r="I2332" s="2">
        <v>0.9194444444444444</v>
      </c>
      <c r="J2332" s="4" t="str">
        <f>IF(Table1[[#This Row],[processing_time_hours]]&gt;1.5,"Slow", "Fast")</f>
        <v>Fast</v>
      </c>
      <c r="K2332" t="s">
        <v>2821</v>
      </c>
      <c r="L2332" s="3">
        <v>0</v>
      </c>
      <c r="M2332" t="str">
        <f>IF(Table1[[#This Row],[delayed]]=1,"Delayed","On Time")</f>
        <v>On Time</v>
      </c>
      <c r="N2332" t="str">
        <f>IF(AND(Table1[[#This Row],[delayed]]=1,Table1[[#This Row],[weather_condition]]="Storm"),"High Risk", IF(Table1[[#This Row],[delayed]]=1,"Medium Risk","Low Risk"))</f>
        <v>Low Risk</v>
      </c>
    </row>
    <row r="2333" spans="1:14" x14ac:dyDescent="0.35">
      <c r="A2333">
        <v>2332</v>
      </c>
      <c r="B2333" s="1">
        <v>45024.125</v>
      </c>
      <c r="C2333" s="2">
        <v>5.2777777777777778E-2</v>
      </c>
      <c r="D2333" s="3">
        <v>3373</v>
      </c>
      <c r="E2333" s="3">
        <v>320</v>
      </c>
      <c r="F2333" s="2">
        <v>73.006250000000009</v>
      </c>
      <c r="G2333" t="s">
        <v>2812</v>
      </c>
      <c r="H2333" t="s">
        <v>2813</v>
      </c>
      <c r="I2333" s="2">
        <v>2.5013888888888887</v>
      </c>
      <c r="J2333" s="4" t="str">
        <f>IF(Table1[[#This Row],[processing_time_hours]]&gt;1.5,"Slow", "Fast")</f>
        <v>Slow</v>
      </c>
      <c r="K2333" t="s">
        <v>2814</v>
      </c>
      <c r="L2333" s="3">
        <v>0</v>
      </c>
      <c r="M2333" t="str">
        <f>IF(Table1[[#This Row],[delayed]]=1,"Delayed","On Time")</f>
        <v>On Time</v>
      </c>
      <c r="N2333" t="str">
        <f>IF(AND(Table1[[#This Row],[delayed]]=1,Table1[[#This Row],[weather_condition]]="Storm"),"High Risk", IF(Table1[[#This Row],[delayed]]=1,"Medium Risk","Low Risk"))</f>
        <v>Low Risk</v>
      </c>
    </row>
    <row r="2334" spans="1:14" x14ac:dyDescent="0.35">
      <c r="A2334">
        <v>2333</v>
      </c>
      <c r="B2334" s="1">
        <v>45024.166666666664</v>
      </c>
      <c r="C2334" s="2">
        <v>4.9999999999999996E-2</v>
      </c>
      <c r="D2334" s="3">
        <v>1368</v>
      </c>
      <c r="E2334" s="3">
        <v>90</v>
      </c>
      <c r="F2334" s="2">
        <v>73.211111111111109</v>
      </c>
      <c r="G2334" t="s">
        <v>2819</v>
      </c>
      <c r="H2334" t="s">
        <v>2813</v>
      </c>
      <c r="I2334" s="2">
        <v>2.4180555555555556</v>
      </c>
      <c r="J2334" s="4" t="str">
        <f>IF(Table1[[#This Row],[processing_time_hours]]&gt;1.5,"Slow", "Fast")</f>
        <v>Slow</v>
      </c>
      <c r="K2334" t="s">
        <v>2821</v>
      </c>
      <c r="L2334" s="3">
        <v>0</v>
      </c>
      <c r="M2334" t="str">
        <f>IF(Table1[[#This Row],[delayed]]=1,"Delayed","On Time")</f>
        <v>On Time</v>
      </c>
      <c r="N2334" t="str">
        <f>IF(AND(Table1[[#This Row],[delayed]]=1,Table1[[#This Row],[weather_condition]]="Storm"),"High Risk", IF(Table1[[#This Row],[delayed]]=1,"Medium Risk","Low Risk"))</f>
        <v>Low Risk</v>
      </c>
    </row>
    <row r="2335" spans="1:14" x14ac:dyDescent="0.35">
      <c r="A2335">
        <v>2334</v>
      </c>
      <c r="B2335" s="1">
        <v>45024.208333333336</v>
      </c>
      <c r="C2335" s="2">
        <v>4.6527777777777779E-2</v>
      </c>
      <c r="D2335" s="3">
        <v>4191</v>
      </c>
      <c r="E2335" s="3">
        <v>181</v>
      </c>
      <c r="F2335" s="2">
        <v>29.084027777777777</v>
      </c>
      <c r="G2335" t="s">
        <v>2812</v>
      </c>
      <c r="H2335" t="s">
        <v>2822</v>
      </c>
      <c r="I2335" s="2">
        <v>1.7951388888888891</v>
      </c>
      <c r="J2335" s="4" t="str">
        <f>IF(Table1[[#This Row],[processing_time_hours]]&gt;1.5,"Slow", "Fast")</f>
        <v>Slow</v>
      </c>
      <c r="K2335" t="s">
        <v>2818</v>
      </c>
      <c r="L2335" s="3">
        <v>0</v>
      </c>
      <c r="M2335" t="str">
        <f>IF(Table1[[#This Row],[delayed]]=1,"Delayed","On Time")</f>
        <v>On Time</v>
      </c>
      <c r="N2335" t="str">
        <f>IF(AND(Table1[[#This Row],[delayed]]=1,Table1[[#This Row],[weather_condition]]="Storm"),"High Risk", IF(Table1[[#This Row],[delayed]]=1,"Medium Risk","Low Risk"))</f>
        <v>Low Risk</v>
      </c>
    </row>
    <row r="2336" spans="1:14" x14ac:dyDescent="0.35">
      <c r="A2336">
        <v>2335</v>
      </c>
      <c r="B2336" s="1">
        <v>45024.25</v>
      </c>
      <c r="C2336" s="2">
        <v>6.5972222222222224E-2</v>
      </c>
      <c r="D2336" s="3">
        <v>2778</v>
      </c>
      <c r="E2336" s="3">
        <v>140</v>
      </c>
      <c r="F2336" s="2">
        <v>75.504166666666663</v>
      </c>
      <c r="G2336" t="s">
        <v>2816</v>
      </c>
      <c r="H2336" t="s">
        <v>2820</v>
      </c>
      <c r="I2336" s="2">
        <v>0.46249999999999997</v>
      </c>
      <c r="J2336" s="4" t="str">
        <f>IF(Table1[[#This Row],[processing_time_hours]]&gt;1.5,"Slow", "Fast")</f>
        <v>Fast</v>
      </c>
      <c r="K2336" t="s">
        <v>2818</v>
      </c>
      <c r="L2336" s="3">
        <v>0</v>
      </c>
      <c r="M2336" t="str">
        <f>IF(Table1[[#This Row],[delayed]]=1,"Delayed","On Time")</f>
        <v>On Time</v>
      </c>
      <c r="N2336" t="str">
        <f>IF(AND(Table1[[#This Row],[delayed]]=1,Table1[[#This Row],[weather_condition]]="Storm"),"High Risk", IF(Table1[[#This Row],[delayed]]=1,"Medium Risk","Low Risk"))</f>
        <v>Low Risk</v>
      </c>
    </row>
    <row r="2337" spans="1:14" x14ac:dyDescent="0.35">
      <c r="A2337">
        <v>2336</v>
      </c>
      <c r="B2337" s="1">
        <v>45024.291666666664</v>
      </c>
      <c r="C2337" s="2">
        <v>6.2499999999999995E-3</v>
      </c>
      <c r="D2337" s="3">
        <v>3544</v>
      </c>
      <c r="E2337" s="3">
        <v>256</v>
      </c>
      <c r="F2337" s="2">
        <v>4.5062500000000005</v>
      </c>
      <c r="G2337" t="s">
        <v>2819</v>
      </c>
      <c r="H2337" t="s">
        <v>2822</v>
      </c>
      <c r="I2337" s="2">
        <v>1.4222222222222223</v>
      </c>
      <c r="J2337" s="4" t="str">
        <f>IF(Table1[[#This Row],[processing_time_hours]]&gt;1.5,"Slow", "Fast")</f>
        <v>Fast</v>
      </c>
      <c r="K2337" t="s">
        <v>2821</v>
      </c>
      <c r="L2337" s="3">
        <v>0</v>
      </c>
      <c r="M2337" t="str">
        <f>IF(Table1[[#This Row],[delayed]]=1,"Delayed","On Time")</f>
        <v>On Time</v>
      </c>
      <c r="N2337" t="str">
        <f>IF(AND(Table1[[#This Row],[delayed]]=1,Table1[[#This Row],[weather_condition]]="Storm"),"High Risk", IF(Table1[[#This Row],[delayed]]=1,"Medium Risk","Low Risk"))</f>
        <v>Low Risk</v>
      </c>
    </row>
    <row r="2338" spans="1:14" x14ac:dyDescent="0.35">
      <c r="A2338">
        <v>2337</v>
      </c>
      <c r="B2338" s="1">
        <v>45024.333333333336</v>
      </c>
      <c r="C2338" s="2">
        <v>5.7638888888888885E-2</v>
      </c>
      <c r="D2338" s="3">
        <v>2822</v>
      </c>
      <c r="E2338" s="3">
        <v>363</v>
      </c>
      <c r="F2338" s="2">
        <v>37.668749999999996</v>
      </c>
      <c r="G2338" t="s">
        <v>2815</v>
      </c>
      <c r="H2338" t="s">
        <v>2822</v>
      </c>
      <c r="I2338" s="2">
        <v>2.1729166666666666</v>
      </c>
      <c r="J2338" s="4" t="str">
        <f>IF(Table1[[#This Row],[processing_time_hours]]&gt;1.5,"Slow", "Fast")</f>
        <v>Slow</v>
      </c>
      <c r="K2338" t="s">
        <v>2818</v>
      </c>
      <c r="L2338" s="3">
        <v>1</v>
      </c>
      <c r="M2338" t="str">
        <f>IF(Table1[[#This Row],[delayed]]=1,"Delayed","On Time")</f>
        <v>Delayed</v>
      </c>
      <c r="N2338" t="str">
        <f>IF(AND(Table1[[#This Row],[delayed]]=1,Table1[[#This Row],[weather_condition]]="Storm"),"High Risk", IF(Table1[[#This Row],[delayed]]=1,"Medium Risk","Low Risk"))</f>
        <v>Medium Risk</v>
      </c>
    </row>
    <row r="2339" spans="1:14" x14ac:dyDescent="0.35">
      <c r="A2339">
        <v>2338</v>
      </c>
      <c r="B2339" s="1">
        <v>45024.375</v>
      </c>
      <c r="C2339" s="2">
        <v>4.9305555555555554E-2</v>
      </c>
      <c r="D2339" s="3">
        <v>3569</v>
      </c>
      <c r="E2339" s="3">
        <v>17</v>
      </c>
      <c r="F2339" s="2">
        <v>18.62638888888889</v>
      </c>
      <c r="G2339" t="s">
        <v>2815</v>
      </c>
      <c r="H2339" t="s">
        <v>2817</v>
      </c>
      <c r="I2339" s="2">
        <v>0.29791666666666666</v>
      </c>
      <c r="J2339" s="4" t="str">
        <f>IF(Table1[[#This Row],[processing_time_hours]]&gt;1.5,"Slow", "Fast")</f>
        <v>Fast</v>
      </c>
      <c r="K2339" t="s">
        <v>2821</v>
      </c>
      <c r="L2339" s="3">
        <v>1</v>
      </c>
      <c r="M2339" t="str">
        <f>IF(Table1[[#This Row],[delayed]]=1,"Delayed","On Time")</f>
        <v>Delayed</v>
      </c>
      <c r="N2339" t="str">
        <f>IF(AND(Table1[[#This Row],[delayed]]=1,Table1[[#This Row],[weather_condition]]="Storm"),"High Risk", IF(Table1[[#This Row],[delayed]]=1,"Medium Risk","Low Risk"))</f>
        <v>High Risk</v>
      </c>
    </row>
    <row r="2340" spans="1:14" x14ac:dyDescent="0.35">
      <c r="A2340">
        <v>2339</v>
      </c>
      <c r="B2340" s="1">
        <v>45024.416666666664</v>
      </c>
      <c r="C2340" s="2">
        <v>5.9027777777777783E-2</v>
      </c>
      <c r="D2340" s="3">
        <v>1360</v>
      </c>
      <c r="E2340" s="3">
        <v>422</v>
      </c>
      <c r="F2340" s="2">
        <v>14.62638888888889</v>
      </c>
      <c r="G2340" t="s">
        <v>2815</v>
      </c>
      <c r="H2340" t="s">
        <v>2817</v>
      </c>
      <c r="I2340" s="2">
        <v>0.29166666666666669</v>
      </c>
      <c r="J2340" s="4" t="str">
        <f>IF(Table1[[#This Row],[processing_time_hours]]&gt;1.5,"Slow", "Fast")</f>
        <v>Fast</v>
      </c>
      <c r="K2340" t="s">
        <v>2814</v>
      </c>
      <c r="L2340" s="3">
        <v>0</v>
      </c>
      <c r="M2340" t="str">
        <f>IF(Table1[[#This Row],[delayed]]=1,"Delayed","On Time")</f>
        <v>On Time</v>
      </c>
      <c r="N2340" t="str">
        <f>IF(AND(Table1[[#This Row],[delayed]]=1,Table1[[#This Row],[weather_condition]]="Storm"),"High Risk", IF(Table1[[#This Row],[delayed]]=1,"Medium Risk","Low Risk"))</f>
        <v>Low Risk</v>
      </c>
    </row>
    <row r="2341" spans="1:14" x14ac:dyDescent="0.35">
      <c r="A2341">
        <v>2340</v>
      </c>
      <c r="B2341" s="1">
        <v>45024.458333333336</v>
      </c>
      <c r="C2341" s="2">
        <v>5.2777777777777778E-2</v>
      </c>
      <c r="D2341" s="3">
        <v>2205</v>
      </c>
      <c r="E2341" s="3">
        <v>317</v>
      </c>
      <c r="F2341" s="2">
        <v>18.422916666666666</v>
      </c>
      <c r="G2341" t="s">
        <v>2819</v>
      </c>
      <c r="H2341" t="s">
        <v>2822</v>
      </c>
      <c r="I2341" s="2">
        <v>0.58472222222222225</v>
      </c>
      <c r="J2341" s="4" t="str">
        <f>IF(Table1[[#This Row],[processing_time_hours]]&gt;1.5,"Slow", "Fast")</f>
        <v>Fast</v>
      </c>
      <c r="K2341" t="s">
        <v>2821</v>
      </c>
      <c r="L2341" s="3">
        <v>0</v>
      </c>
      <c r="M2341" t="str">
        <f>IF(Table1[[#This Row],[delayed]]=1,"Delayed","On Time")</f>
        <v>On Time</v>
      </c>
      <c r="N2341" t="str">
        <f>IF(AND(Table1[[#This Row],[delayed]]=1,Table1[[#This Row],[weather_condition]]="Storm"),"High Risk", IF(Table1[[#This Row],[delayed]]=1,"Medium Risk","Low Risk"))</f>
        <v>Low Risk</v>
      </c>
    </row>
    <row r="2342" spans="1:14" x14ac:dyDescent="0.35">
      <c r="A2342">
        <v>2341</v>
      </c>
      <c r="B2342" s="1">
        <v>45024.5</v>
      </c>
      <c r="C2342" s="2">
        <v>4.1666666666666666E-3</v>
      </c>
      <c r="D2342" s="3">
        <v>1640</v>
      </c>
      <c r="E2342" s="3">
        <v>305</v>
      </c>
      <c r="F2342" s="2">
        <v>0.58888888888888891</v>
      </c>
      <c r="G2342" t="s">
        <v>2816</v>
      </c>
      <c r="H2342" t="s">
        <v>2822</v>
      </c>
      <c r="I2342" s="2">
        <v>1.1715277777777777</v>
      </c>
      <c r="J2342" s="4" t="str">
        <f>IF(Table1[[#This Row],[processing_time_hours]]&gt;1.5,"Slow", "Fast")</f>
        <v>Fast</v>
      </c>
      <c r="K2342" t="s">
        <v>2821</v>
      </c>
      <c r="L2342" s="3">
        <v>1</v>
      </c>
      <c r="M2342" t="str">
        <f>IF(Table1[[#This Row],[delayed]]=1,"Delayed","On Time")</f>
        <v>Delayed</v>
      </c>
      <c r="N2342" t="str">
        <f>IF(AND(Table1[[#This Row],[delayed]]=1,Table1[[#This Row],[weather_condition]]="Storm"),"High Risk", IF(Table1[[#This Row],[delayed]]=1,"Medium Risk","Low Risk"))</f>
        <v>Medium Risk</v>
      </c>
    </row>
    <row r="2343" spans="1:14" x14ac:dyDescent="0.35">
      <c r="A2343">
        <v>2342</v>
      </c>
      <c r="B2343" s="1">
        <v>45024.541666666664</v>
      </c>
      <c r="C2343" s="2">
        <v>5.9027777777777783E-2</v>
      </c>
      <c r="D2343" s="3">
        <v>3799</v>
      </c>
      <c r="E2343" s="3">
        <v>274</v>
      </c>
      <c r="F2343" s="2">
        <v>71.546527777777769</v>
      </c>
      <c r="G2343" t="s">
        <v>2816</v>
      </c>
      <c r="H2343" t="s">
        <v>2813</v>
      </c>
      <c r="I2343" s="2">
        <v>1.16875</v>
      </c>
      <c r="J2343" s="4" t="str">
        <f>IF(Table1[[#This Row],[processing_time_hours]]&gt;1.5,"Slow", "Fast")</f>
        <v>Fast</v>
      </c>
      <c r="K2343" t="s">
        <v>2814</v>
      </c>
      <c r="L2343" s="3">
        <v>0</v>
      </c>
      <c r="M2343" t="str">
        <f>IF(Table1[[#This Row],[delayed]]=1,"Delayed","On Time")</f>
        <v>On Time</v>
      </c>
      <c r="N2343" t="str">
        <f>IF(AND(Table1[[#This Row],[delayed]]=1,Table1[[#This Row],[weather_condition]]="Storm"),"High Risk", IF(Table1[[#This Row],[delayed]]=1,"Medium Risk","Low Risk"))</f>
        <v>Low Risk</v>
      </c>
    </row>
    <row r="2344" spans="1:14" x14ac:dyDescent="0.35">
      <c r="A2344">
        <v>2343</v>
      </c>
      <c r="B2344" s="1">
        <v>45024.583333333336</v>
      </c>
      <c r="C2344" s="2">
        <v>6.0416666666666667E-2</v>
      </c>
      <c r="D2344" s="3">
        <v>3746</v>
      </c>
      <c r="E2344" s="3">
        <v>477</v>
      </c>
      <c r="F2344" s="2">
        <v>51.878472222222221</v>
      </c>
      <c r="G2344" t="s">
        <v>2812</v>
      </c>
      <c r="H2344" t="s">
        <v>2822</v>
      </c>
      <c r="I2344" s="2">
        <v>0.96111111111111114</v>
      </c>
      <c r="J2344" s="4" t="str">
        <f>IF(Table1[[#This Row],[processing_time_hours]]&gt;1.5,"Slow", "Fast")</f>
        <v>Fast</v>
      </c>
      <c r="K2344" t="s">
        <v>2814</v>
      </c>
      <c r="L2344" s="3">
        <v>0</v>
      </c>
      <c r="M2344" t="str">
        <f>IF(Table1[[#This Row],[delayed]]=1,"Delayed","On Time")</f>
        <v>On Time</v>
      </c>
      <c r="N2344" t="str">
        <f>IF(AND(Table1[[#This Row],[delayed]]=1,Table1[[#This Row],[weather_condition]]="Storm"),"High Risk", IF(Table1[[#This Row],[delayed]]=1,"Medium Risk","Low Risk"))</f>
        <v>Low Risk</v>
      </c>
    </row>
    <row r="2345" spans="1:14" x14ac:dyDescent="0.35">
      <c r="A2345">
        <v>2344</v>
      </c>
      <c r="B2345" s="1">
        <v>45024.625</v>
      </c>
      <c r="C2345" s="2">
        <v>6.805555555555555E-2</v>
      </c>
      <c r="D2345" s="3">
        <v>4116</v>
      </c>
      <c r="E2345" s="3">
        <v>456</v>
      </c>
      <c r="F2345" s="2">
        <v>33.713194444444447</v>
      </c>
      <c r="G2345" t="s">
        <v>2812</v>
      </c>
      <c r="H2345" t="s">
        <v>2813</v>
      </c>
      <c r="I2345" s="2">
        <v>8.4027777777777771E-2</v>
      </c>
      <c r="J2345" s="4" t="str">
        <f>IF(Table1[[#This Row],[processing_time_hours]]&gt;1.5,"Slow", "Fast")</f>
        <v>Fast</v>
      </c>
      <c r="K2345" t="s">
        <v>2821</v>
      </c>
      <c r="L2345" s="3">
        <v>0</v>
      </c>
      <c r="M2345" t="str">
        <f>IF(Table1[[#This Row],[delayed]]=1,"Delayed","On Time")</f>
        <v>On Time</v>
      </c>
      <c r="N2345" t="str">
        <f>IF(AND(Table1[[#This Row],[delayed]]=1,Table1[[#This Row],[weather_condition]]="Storm"),"High Risk", IF(Table1[[#This Row],[delayed]]=1,"Medium Risk","Low Risk"))</f>
        <v>Low Risk</v>
      </c>
    </row>
    <row r="2346" spans="1:14" x14ac:dyDescent="0.35">
      <c r="A2346">
        <v>2345</v>
      </c>
      <c r="B2346" s="1">
        <v>45024.666666666664</v>
      </c>
      <c r="C2346" s="2">
        <v>6.458333333333334E-2</v>
      </c>
      <c r="D2346" s="3">
        <v>520</v>
      </c>
      <c r="E2346" s="3">
        <v>245</v>
      </c>
      <c r="F2346" s="2">
        <v>24.752083333333331</v>
      </c>
      <c r="G2346" t="s">
        <v>2819</v>
      </c>
      <c r="H2346" t="s">
        <v>2822</v>
      </c>
      <c r="I2346" s="2">
        <v>1.0875000000000001</v>
      </c>
      <c r="J2346" s="4" t="str">
        <f>IF(Table1[[#This Row],[processing_time_hours]]&gt;1.5,"Slow", "Fast")</f>
        <v>Fast</v>
      </c>
      <c r="K2346" t="s">
        <v>2818</v>
      </c>
      <c r="L2346" s="3">
        <v>0</v>
      </c>
      <c r="M2346" t="str">
        <f>IF(Table1[[#This Row],[delayed]]=1,"Delayed","On Time")</f>
        <v>On Time</v>
      </c>
      <c r="N2346" t="str">
        <f>IF(AND(Table1[[#This Row],[delayed]]=1,Table1[[#This Row],[weather_condition]]="Storm"),"High Risk", IF(Table1[[#This Row],[delayed]]=1,"Medium Risk","Low Risk"))</f>
        <v>Low Risk</v>
      </c>
    </row>
    <row r="2347" spans="1:14" x14ac:dyDescent="0.35">
      <c r="A2347">
        <v>2346</v>
      </c>
      <c r="B2347" s="1">
        <v>45024.708333333336</v>
      </c>
      <c r="C2347" s="2">
        <v>4.3750000000000004E-2</v>
      </c>
      <c r="D2347" s="3">
        <v>1237</v>
      </c>
      <c r="E2347" s="3">
        <v>429</v>
      </c>
      <c r="F2347" s="2">
        <v>71.752083333333331</v>
      </c>
      <c r="G2347" t="s">
        <v>2816</v>
      </c>
      <c r="H2347" t="s">
        <v>2820</v>
      </c>
      <c r="I2347" s="2">
        <v>2.7965277777777775</v>
      </c>
      <c r="J2347" s="4" t="str">
        <f>IF(Table1[[#This Row],[processing_time_hours]]&gt;1.5,"Slow", "Fast")</f>
        <v>Slow</v>
      </c>
      <c r="K2347" t="s">
        <v>2818</v>
      </c>
      <c r="L2347" s="3">
        <v>1</v>
      </c>
      <c r="M2347" t="str">
        <f>IF(Table1[[#This Row],[delayed]]=1,"Delayed","On Time")</f>
        <v>Delayed</v>
      </c>
      <c r="N2347" t="str">
        <f>IF(AND(Table1[[#This Row],[delayed]]=1,Table1[[#This Row],[weather_condition]]="Storm"),"High Risk", IF(Table1[[#This Row],[delayed]]=1,"Medium Risk","Low Risk"))</f>
        <v>Medium Risk</v>
      </c>
    </row>
    <row r="2348" spans="1:14" x14ac:dyDescent="0.35">
      <c r="A2348">
        <v>2347</v>
      </c>
      <c r="B2348" s="1">
        <v>45024.75</v>
      </c>
      <c r="C2348" s="2">
        <v>5.0694444444444438E-2</v>
      </c>
      <c r="D2348" s="3">
        <v>1617</v>
      </c>
      <c r="E2348" s="3">
        <v>9</v>
      </c>
      <c r="F2348" s="2">
        <v>3.7506944444444446</v>
      </c>
      <c r="G2348" t="s">
        <v>2815</v>
      </c>
      <c r="H2348" t="s">
        <v>2817</v>
      </c>
      <c r="I2348" s="2">
        <v>2.5430555555555556</v>
      </c>
      <c r="J2348" s="4" t="str">
        <f>IF(Table1[[#This Row],[processing_time_hours]]&gt;1.5,"Slow", "Fast")</f>
        <v>Slow</v>
      </c>
      <c r="K2348" t="s">
        <v>2818</v>
      </c>
      <c r="L2348" s="3">
        <v>0</v>
      </c>
      <c r="M2348" t="str">
        <f>IF(Table1[[#This Row],[delayed]]=1,"Delayed","On Time")</f>
        <v>On Time</v>
      </c>
      <c r="N2348" t="str">
        <f>IF(AND(Table1[[#This Row],[delayed]]=1,Table1[[#This Row],[weather_condition]]="Storm"),"High Risk", IF(Table1[[#This Row],[delayed]]=1,"Medium Risk","Low Risk"))</f>
        <v>Low Risk</v>
      </c>
    </row>
    <row r="2349" spans="1:14" x14ac:dyDescent="0.35">
      <c r="A2349">
        <v>2348</v>
      </c>
      <c r="B2349" s="1">
        <v>45024.791666666664</v>
      </c>
      <c r="C2349" s="2">
        <v>4.3055555555555562E-2</v>
      </c>
      <c r="D2349" s="3">
        <v>1312</v>
      </c>
      <c r="E2349" s="3">
        <v>308</v>
      </c>
      <c r="F2349" s="2">
        <v>11.834027777777777</v>
      </c>
      <c r="G2349" t="s">
        <v>2815</v>
      </c>
      <c r="H2349" t="s">
        <v>2820</v>
      </c>
      <c r="I2349" s="2">
        <v>2.4624999999999999</v>
      </c>
      <c r="J2349" s="4" t="str">
        <f>IF(Table1[[#This Row],[processing_time_hours]]&gt;1.5,"Slow", "Fast")</f>
        <v>Slow</v>
      </c>
      <c r="K2349" t="s">
        <v>2821</v>
      </c>
      <c r="L2349" s="3">
        <v>1</v>
      </c>
      <c r="M2349" t="str">
        <f>IF(Table1[[#This Row],[delayed]]=1,"Delayed","On Time")</f>
        <v>Delayed</v>
      </c>
      <c r="N2349" t="str">
        <f>IF(AND(Table1[[#This Row],[delayed]]=1,Table1[[#This Row],[weather_condition]]="Storm"),"High Risk", IF(Table1[[#This Row],[delayed]]=1,"Medium Risk","Low Risk"))</f>
        <v>Medium Risk</v>
      </c>
    </row>
    <row r="2350" spans="1:14" x14ac:dyDescent="0.35">
      <c r="A2350">
        <v>2349</v>
      </c>
      <c r="B2350" s="1">
        <v>45024.833333333336</v>
      </c>
      <c r="C2350" s="2">
        <v>4.3750000000000004E-2</v>
      </c>
      <c r="D2350" s="3">
        <v>1739</v>
      </c>
      <c r="E2350" s="3">
        <v>316</v>
      </c>
      <c r="F2350" s="2">
        <v>50.504166666666663</v>
      </c>
      <c r="G2350" t="s">
        <v>2812</v>
      </c>
      <c r="H2350" t="s">
        <v>2822</v>
      </c>
      <c r="I2350" s="2">
        <v>0.9604166666666667</v>
      </c>
      <c r="J2350" s="4" t="str">
        <f>IF(Table1[[#This Row],[processing_time_hours]]&gt;1.5,"Slow", "Fast")</f>
        <v>Fast</v>
      </c>
      <c r="K2350" t="s">
        <v>2818</v>
      </c>
      <c r="L2350" s="3">
        <v>0</v>
      </c>
      <c r="M2350" t="str">
        <f>IF(Table1[[#This Row],[delayed]]=1,"Delayed","On Time")</f>
        <v>On Time</v>
      </c>
      <c r="N2350" t="str">
        <f>IF(AND(Table1[[#This Row],[delayed]]=1,Table1[[#This Row],[weather_condition]]="Storm"),"High Risk", IF(Table1[[#This Row],[delayed]]=1,"Medium Risk","Low Risk"))</f>
        <v>Low Risk</v>
      </c>
    </row>
    <row r="2351" spans="1:14" x14ac:dyDescent="0.35">
      <c r="A2351">
        <v>2350</v>
      </c>
      <c r="B2351" s="1">
        <v>45024.875</v>
      </c>
      <c r="C2351" s="2">
        <v>5.486111111111111E-2</v>
      </c>
      <c r="D2351" s="3">
        <v>3604</v>
      </c>
      <c r="E2351" s="3">
        <v>417</v>
      </c>
      <c r="F2351" s="2">
        <v>21.084722222222222</v>
      </c>
      <c r="G2351" t="s">
        <v>2815</v>
      </c>
      <c r="H2351" t="s">
        <v>2813</v>
      </c>
      <c r="I2351" s="2">
        <v>0.12847222222222224</v>
      </c>
      <c r="J2351" s="4" t="str">
        <f>IF(Table1[[#This Row],[processing_time_hours]]&gt;1.5,"Slow", "Fast")</f>
        <v>Fast</v>
      </c>
      <c r="K2351" t="s">
        <v>2821</v>
      </c>
      <c r="L2351" s="3">
        <v>0</v>
      </c>
      <c r="M2351" t="str">
        <f>IF(Table1[[#This Row],[delayed]]=1,"Delayed","On Time")</f>
        <v>On Time</v>
      </c>
      <c r="N2351" t="str">
        <f>IF(AND(Table1[[#This Row],[delayed]]=1,Table1[[#This Row],[weather_condition]]="Storm"),"High Risk", IF(Table1[[#This Row],[delayed]]=1,"Medium Risk","Low Risk"))</f>
        <v>Low Risk</v>
      </c>
    </row>
    <row r="2352" spans="1:14" x14ac:dyDescent="0.35">
      <c r="A2352">
        <v>2351</v>
      </c>
      <c r="B2352" s="1">
        <v>45024.916666666664</v>
      </c>
      <c r="C2352" s="2">
        <v>4.7222222222222221E-2</v>
      </c>
      <c r="D2352" s="3">
        <v>3744</v>
      </c>
      <c r="E2352" s="3">
        <v>292</v>
      </c>
      <c r="F2352" s="2">
        <v>2.8361111111111108</v>
      </c>
      <c r="G2352" t="s">
        <v>2816</v>
      </c>
      <c r="H2352" t="s">
        <v>2817</v>
      </c>
      <c r="I2352" s="2">
        <v>2.7965277777777775</v>
      </c>
      <c r="J2352" s="4" t="str">
        <f>IF(Table1[[#This Row],[processing_time_hours]]&gt;1.5,"Slow", "Fast")</f>
        <v>Slow</v>
      </c>
      <c r="K2352" t="s">
        <v>2814</v>
      </c>
      <c r="L2352" s="3">
        <v>1</v>
      </c>
      <c r="M2352" t="str">
        <f>IF(Table1[[#This Row],[delayed]]=1,"Delayed","On Time")</f>
        <v>Delayed</v>
      </c>
      <c r="N2352" t="str">
        <f>IF(AND(Table1[[#This Row],[delayed]]=1,Table1[[#This Row],[weather_condition]]="Storm"),"High Risk", IF(Table1[[#This Row],[delayed]]=1,"Medium Risk","Low Risk"))</f>
        <v>High Risk</v>
      </c>
    </row>
    <row r="2353" spans="1:14" x14ac:dyDescent="0.35">
      <c r="A2353">
        <v>2352</v>
      </c>
      <c r="B2353" s="1">
        <v>45024.958333333336</v>
      </c>
      <c r="C2353" s="2">
        <v>4.3055555555555562E-2</v>
      </c>
      <c r="D2353" s="3">
        <v>4387</v>
      </c>
      <c r="E2353" s="3">
        <v>293</v>
      </c>
      <c r="F2353" s="2">
        <v>1.8340277777777778</v>
      </c>
      <c r="G2353" t="s">
        <v>2815</v>
      </c>
      <c r="H2353" t="s">
        <v>2822</v>
      </c>
      <c r="I2353" s="2">
        <v>2.7930555555555556</v>
      </c>
      <c r="J2353" s="4" t="str">
        <f>IF(Table1[[#This Row],[processing_time_hours]]&gt;1.5,"Slow", "Fast")</f>
        <v>Slow</v>
      </c>
      <c r="K2353" t="s">
        <v>2814</v>
      </c>
      <c r="L2353" s="3">
        <v>0</v>
      </c>
      <c r="M2353" t="str">
        <f>IF(Table1[[#This Row],[delayed]]=1,"Delayed","On Time")</f>
        <v>On Time</v>
      </c>
      <c r="N2353" t="str">
        <f>IF(AND(Table1[[#This Row],[delayed]]=1,Table1[[#This Row],[weather_condition]]="Storm"),"High Risk", IF(Table1[[#This Row],[delayed]]=1,"Medium Risk","Low Risk"))</f>
        <v>Low Risk</v>
      </c>
    </row>
    <row r="2354" spans="1:14" x14ac:dyDescent="0.35">
      <c r="A2354">
        <v>2353</v>
      </c>
      <c r="B2354" s="1">
        <v>45025</v>
      </c>
      <c r="C2354" s="2">
        <v>5.9027777777777783E-2</v>
      </c>
      <c r="D2354" s="3">
        <v>2657</v>
      </c>
      <c r="E2354" s="3">
        <v>427</v>
      </c>
      <c r="F2354" s="2">
        <v>76.752083333333331</v>
      </c>
      <c r="G2354" t="s">
        <v>2812</v>
      </c>
      <c r="H2354" t="s">
        <v>2817</v>
      </c>
      <c r="I2354" s="2">
        <v>1.7972222222222223</v>
      </c>
      <c r="J2354" s="4" t="str">
        <f>IF(Table1[[#This Row],[processing_time_hours]]&gt;1.5,"Slow", "Fast")</f>
        <v>Slow</v>
      </c>
      <c r="K2354" t="s">
        <v>2818</v>
      </c>
      <c r="L2354" s="3">
        <v>0</v>
      </c>
      <c r="M2354" t="str">
        <f>IF(Table1[[#This Row],[delayed]]=1,"Delayed","On Time")</f>
        <v>On Time</v>
      </c>
      <c r="N2354" t="str">
        <f>IF(AND(Table1[[#This Row],[delayed]]=1,Table1[[#This Row],[weather_condition]]="Storm"),"High Risk", IF(Table1[[#This Row],[delayed]]=1,"Medium Risk","Low Risk"))</f>
        <v>Low Risk</v>
      </c>
    </row>
    <row r="2355" spans="1:14" x14ac:dyDescent="0.35">
      <c r="A2355">
        <v>2354</v>
      </c>
      <c r="B2355" s="1">
        <v>45025.041666666664</v>
      </c>
      <c r="C2355" s="2">
        <v>6.7361111111111108E-2</v>
      </c>
      <c r="D2355" s="3">
        <v>4718</v>
      </c>
      <c r="E2355" s="3">
        <v>321</v>
      </c>
      <c r="F2355" s="2">
        <v>0.92083333333333339</v>
      </c>
      <c r="G2355" t="s">
        <v>2816</v>
      </c>
      <c r="H2355" t="s">
        <v>2813</v>
      </c>
      <c r="I2355" s="2">
        <v>1.6708333333333334</v>
      </c>
      <c r="J2355" s="4" t="str">
        <f>IF(Table1[[#This Row],[processing_time_hours]]&gt;1.5,"Slow", "Fast")</f>
        <v>Slow</v>
      </c>
      <c r="K2355" t="s">
        <v>2818</v>
      </c>
      <c r="L2355" s="3">
        <v>0</v>
      </c>
      <c r="M2355" t="str">
        <f>IF(Table1[[#This Row],[delayed]]=1,"Delayed","On Time")</f>
        <v>On Time</v>
      </c>
      <c r="N2355" t="str">
        <f>IF(AND(Table1[[#This Row],[delayed]]=1,Table1[[#This Row],[weather_condition]]="Storm"),"High Risk", IF(Table1[[#This Row],[delayed]]=1,"Medium Risk","Low Risk"))</f>
        <v>Low Risk</v>
      </c>
    </row>
    <row r="2356" spans="1:14" x14ac:dyDescent="0.35">
      <c r="A2356">
        <v>2355</v>
      </c>
      <c r="B2356" s="1">
        <v>45025.083333333336</v>
      </c>
      <c r="C2356" s="2">
        <v>6.458333333333334E-2</v>
      </c>
      <c r="D2356" s="3">
        <v>2496</v>
      </c>
      <c r="E2356" s="3">
        <v>31</v>
      </c>
      <c r="F2356" s="2">
        <v>72.33819444444444</v>
      </c>
      <c r="G2356" t="s">
        <v>2815</v>
      </c>
      <c r="H2356" t="s">
        <v>2820</v>
      </c>
      <c r="I2356" s="2">
        <v>1.0020833333333334</v>
      </c>
      <c r="J2356" s="4" t="str">
        <f>IF(Table1[[#This Row],[processing_time_hours]]&gt;1.5,"Slow", "Fast")</f>
        <v>Fast</v>
      </c>
      <c r="K2356" t="s">
        <v>2818</v>
      </c>
      <c r="L2356" s="3">
        <v>1</v>
      </c>
      <c r="M2356" t="str">
        <f>IF(Table1[[#This Row],[delayed]]=1,"Delayed","On Time")</f>
        <v>Delayed</v>
      </c>
      <c r="N2356" t="str">
        <f>IF(AND(Table1[[#This Row],[delayed]]=1,Table1[[#This Row],[weather_condition]]="Storm"),"High Risk", IF(Table1[[#This Row],[delayed]]=1,"Medium Risk","Low Risk"))</f>
        <v>Medium Risk</v>
      </c>
    </row>
    <row r="2357" spans="1:14" x14ac:dyDescent="0.35">
      <c r="A2357">
        <v>2356</v>
      </c>
      <c r="B2357" s="1">
        <v>45025.125</v>
      </c>
      <c r="C2357" s="2">
        <v>4.3055555555555562E-2</v>
      </c>
      <c r="D2357" s="3">
        <v>4738</v>
      </c>
      <c r="E2357" s="3">
        <v>5</v>
      </c>
      <c r="F2357" s="2">
        <v>66.501388888888883</v>
      </c>
      <c r="G2357" t="s">
        <v>2819</v>
      </c>
      <c r="H2357" t="s">
        <v>2820</v>
      </c>
      <c r="I2357" s="2">
        <v>2.2979166666666666</v>
      </c>
      <c r="J2357" s="4" t="str">
        <f>IF(Table1[[#This Row],[processing_time_hours]]&gt;1.5,"Slow", "Fast")</f>
        <v>Slow</v>
      </c>
      <c r="K2357" t="s">
        <v>2821</v>
      </c>
      <c r="L2357" s="3">
        <v>0</v>
      </c>
      <c r="M2357" t="str">
        <f>IF(Table1[[#This Row],[delayed]]=1,"Delayed","On Time")</f>
        <v>On Time</v>
      </c>
      <c r="N2357" t="str">
        <f>IF(AND(Table1[[#This Row],[delayed]]=1,Table1[[#This Row],[weather_condition]]="Storm"),"High Risk", IF(Table1[[#This Row],[delayed]]=1,"Medium Risk","Low Risk"))</f>
        <v>Low Risk</v>
      </c>
    </row>
    <row r="2358" spans="1:14" x14ac:dyDescent="0.35">
      <c r="A2358">
        <v>2357</v>
      </c>
      <c r="B2358" s="1">
        <v>45025.166666666664</v>
      </c>
      <c r="C2358" s="2">
        <v>4.9999999999999996E-2</v>
      </c>
      <c r="D2358" s="3">
        <v>1691</v>
      </c>
      <c r="E2358" s="3">
        <v>115</v>
      </c>
      <c r="F2358" s="2">
        <v>71.047916666666666</v>
      </c>
      <c r="G2358" t="s">
        <v>2812</v>
      </c>
      <c r="H2358" t="s">
        <v>2813</v>
      </c>
      <c r="I2358" s="2">
        <v>1.5861111111111112</v>
      </c>
      <c r="J2358" s="4" t="str">
        <f>IF(Table1[[#This Row],[processing_time_hours]]&gt;1.5,"Slow", "Fast")</f>
        <v>Slow</v>
      </c>
      <c r="K2358" t="s">
        <v>2814</v>
      </c>
      <c r="L2358" s="3">
        <v>0</v>
      </c>
      <c r="M2358" t="str">
        <f>IF(Table1[[#This Row],[delayed]]=1,"Delayed","On Time")</f>
        <v>On Time</v>
      </c>
      <c r="N2358" t="str">
        <f>IF(AND(Table1[[#This Row],[delayed]]=1,Table1[[#This Row],[weather_condition]]="Storm"),"High Risk", IF(Table1[[#This Row],[delayed]]=1,"Medium Risk","Low Risk"))</f>
        <v>Low Risk</v>
      </c>
    </row>
    <row r="2359" spans="1:14" x14ac:dyDescent="0.35">
      <c r="A2359">
        <v>2358</v>
      </c>
      <c r="B2359" s="1">
        <v>45025.208333333336</v>
      </c>
      <c r="C2359" s="2">
        <v>4.3055555555555562E-2</v>
      </c>
      <c r="D2359" s="3">
        <v>443</v>
      </c>
      <c r="E2359" s="3">
        <v>340</v>
      </c>
      <c r="F2359" s="2">
        <v>35.169444444444444</v>
      </c>
      <c r="G2359" t="s">
        <v>2815</v>
      </c>
      <c r="H2359" t="s">
        <v>2820</v>
      </c>
      <c r="I2359" s="2">
        <v>0.63124999999999998</v>
      </c>
      <c r="J2359" s="4" t="str">
        <f>IF(Table1[[#This Row],[processing_time_hours]]&gt;1.5,"Slow", "Fast")</f>
        <v>Fast</v>
      </c>
      <c r="K2359" t="s">
        <v>2821</v>
      </c>
      <c r="L2359" s="3">
        <v>0</v>
      </c>
      <c r="M2359" t="str">
        <f>IF(Table1[[#This Row],[delayed]]=1,"Delayed","On Time")</f>
        <v>On Time</v>
      </c>
      <c r="N2359" t="str">
        <f>IF(AND(Table1[[#This Row],[delayed]]=1,Table1[[#This Row],[weather_condition]]="Storm"),"High Risk", IF(Table1[[#This Row],[delayed]]=1,"Medium Risk","Low Risk"))</f>
        <v>Low Risk</v>
      </c>
    </row>
    <row r="2360" spans="1:14" x14ac:dyDescent="0.35">
      <c r="A2360">
        <v>2359</v>
      </c>
      <c r="B2360" s="1">
        <v>45025.25</v>
      </c>
      <c r="C2360" s="2">
        <v>5.3472222222222227E-2</v>
      </c>
      <c r="D2360" s="3">
        <v>1167</v>
      </c>
      <c r="E2360" s="3">
        <v>478</v>
      </c>
      <c r="F2360" s="2">
        <v>8.9194444444444443</v>
      </c>
      <c r="G2360" t="s">
        <v>2816</v>
      </c>
      <c r="H2360" t="s">
        <v>2820</v>
      </c>
      <c r="I2360" s="2">
        <v>0.83472222222222225</v>
      </c>
      <c r="J2360" s="4" t="str">
        <f>IF(Table1[[#This Row],[processing_time_hours]]&gt;1.5,"Slow", "Fast")</f>
        <v>Fast</v>
      </c>
      <c r="K2360" t="s">
        <v>2821</v>
      </c>
      <c r="L2360" s="3">
        <v>1</v>
      </c>
      <c r="M2360" t="str">
        <f>IF(Table1[[#This Row],[delayed]]=1,"Delayed","On Time")</f>
        <v>Delayed</v>
      </c>
      <c r="N2360" t="str">
        <f>IF(AND(Table1[[#This Row],[delayed]]=1,Table1[[#This Row],[weather_condition]]="Storm"),"High Risk", IF(Table1[[#This Row],[delayed]]=1,"Medium Risk","Low Risk"))</f>
        <v>Medium Risk</v>
      </c>
    </row>
    <row r="2361" spans="1:14" x14ac:dyDescent="0.35">
      <c r="A2361">
        <v>2360</v>
      </c>
      <c r="B2361" s="1">
        <v>45025.291666666664</v>
      </c>
      <c r="C2361" s="2">
        <v>6.7361111111111108E-2</v>
      </c>
      <c r="D2361" s="3">
        <v>4168</v>
      </c>
      <c r="E2361" s="3">
        <v>326</v>
      </c>
      <c r="F2361" s="2">
        <v>78.041666666666671</v>
      </c>
      <c r="G2361" t="s">
        <v>2815</v>
      </c>
      <c r="H2361" t="s">
        <v>2822</v>
      </c>
      <c r="I2361" s="2">
        <v>0.12986111111111112</v>
      </c>
      <c r="J2361" s="4" t="str">
        <f>IF(Table1[[#This Row],[processing_time_hours]]&gt;1.5,"Slow", "Fast")</f>
        <v>Fast</v>
      </c>
      <c r="K2361" t="s">
        <v>2818</v>
      </c>
      <c r="L2361" s="3">
        <v>0</v>
      </c>
      <c r="M2361" t="str">
        <f>IF(Table1[[#This Row],[delayed]]=1,"Delayed","On Time")</f>
        <v>On Time</v>
      </c>
      <c r="N2361" t="str">
        <f>IF(AND(Table1[[#This Row],[delayed]]=1,Table1[[#This Row],[weather_condition]]="Storm"),"High Risk", IF(Table1[[#This Row],[delayed]]=1,"Medium Risk","Low Risk"))</f>
        <v>Low Risk</v>
      </c>
    </row>
    <row r="2362" spans="1:14" x14ac:dyDescent="0.35">
      <c r="A2362">
        <v>2361</v>
      </c>
      <c r="B2362" s="1">
        <v>45025.333333333336</v>
      </c>
      <c r="C2362" s="2">
        <v>4.7222222222222221E-2</v>
      </c>
      <c r="D2362" s="3">
        <v>4804</v>
      </c>
      <c r="E2362" s="3">
        <v>196</v>
      </c>
      <c r="F2362" s="2">
        <v>2.5437499999999997</v>
      </c>
      <c r="G2362" t="s">
        <v>2819</v>
      </c>
      <c r="H2362" t="s">
        <v>2822</v>
      </c>
      <c r="I2362" s="2">
        <v>1.1694444444444445</v>
      </c>
      <c r="J2362" s="4" t="str">
        <f>IF(Table1[[#This Row],[processing_time_hours]]&gt;1.5,"Slow", "Fast")</f>
        <v>Fast</v>
      </c>
      <c r="K2362" t="s">
        <v>2818</v>
      </c>
      <c r="L2362" s="3">
        <v>1</v>
      </c>
      <c r="M2362" t="str">
        <f>IF(Table1[[#This Row],[delayed]]=1,"Delayed","On Time")</f>
        <v>Delayed</v>
      </c>
      <c r="N2362" t="str">
        <f>IF(AND(Table1[[#This Row],[delayed]]=1,Table1[[#This Row],[weather_condition]]="Storm"),"High Risk", IF(Table1[[#This Row],[delayed]]=1,"Medium Risk","Low Risk"))</f>
        <v>Medium Risk</v>
      </c>
    </row>
    <row r="2363" spans="1:14" x14ac:dyDescent="0.35">
      <c r="A2363">
        <v>2362</v>
      </c>
      <c r="B2363" s="1">
        <v>45025.375</v>
      </c>
      <c r="C2363" s="2">
        <v>6.1805555555555558E-2</v>
      </c>
      <c r="D2363" s="3">
        <v>667</v>
      </c>
      <c r="E2363" s="3">
        <v>160</v>
      </c>
      <c r="F2363" s="2">
        <v>56.334027777777777</v>
      </c>
      <c r="G2363" t="s">
        <v>2812</v>
      </c>
      <c r="H2363" t="s">
        <v>2817</v>
      </c>
      <c r="I2363" s="2">
        <v>1.6680555555555554</v>
      </c>
      <c r="J2363" s="4" t="str">
        <f>IF(Table1[[#This Row],[processing_time_hours]]&gt;1.5,"Slow", "Fast")</f>
        <v>Slow</v>
      </c>
      <c r="K2363" t="s">
        <v>2821</v>
      </c>
      <c r="L2363" s="3">
        <v>1</v>
      </c>
      <c r="M2363" t="str">
        <f>IF(Table1[[#This Row],[delayed]]=1,"Delayed","On Time")</f>
        <v>Delayed</v>
      </c>
      <c r="N2363" t="str">
        <f>IF(AND(Table1[[#This Row],[delayed]]=1,Table1[[#This Row],[weather_condition]]="Storm"),"High Risk", IF(Table1[[#This Row],[delayed]]=1,"Medium Risk","Low Risk"))</f>
        <v>High Risk</v>
      </c>
    </row>
    <row r="2364" spans="1:14" x14ac:dyDescent="0.35">
      <c r="A2364">
        <v>2363</v>
      </c>
      <c r="B2364" s="1">
        <v>45025.416666666664</v>
      </c>
      <c r="C2364" s="2">
        <v>5.5555555555555558E-3</v>
      </c>
      <c r="D2364" s="3">
        <v>2009</v>
      </c>
      <c r="E2364" s="3">
        <v>349</v>
      </c>
      <c r="F2364" s="2">
        <v>27.919444444444448</v>
      </c>
      <c r="G2364" t="s">
        <v>2819</v>
      </c>
      <c r="H2364" t="s">
        <v>2813</v>
      </c>
      <c r="I2364" s="2">
        <v>2.2111111111111112</v>
      </c>
      <c r="J2364" s="4" t="str">
        <f>IF(Table1[[#This Row],[processing_time_hours]]&gt;1.5,"Slow", "Fast")</f>
        <v>Slow</v>
      </c>
      <c r="K2364" t="s">
        <v>2814</v>
      </c>
      <c r="L2364" s="3">
        <v>1</v>
      </c>
      <c r="M2364" t="str">
        <f>IF(Table1[[#This Row],[delayed]]=1,"Delayed","On Time")</f>
        <v>Delayed</v>
      </c>
      <c r="N2364" t="str">
        <f>IF(AND(Table1[[#This Row],[delayed]]=1,Table1[[#This Row],[weather_condition]]="Storm"),"High Risk", IF(Table1[[#This Row],[delayed]]=1,"Medium Risk","Low Risk"))</f>
        <v>Medium Risk</v>
      </c>
    </row>
    <row r="2365" spans="1:14" x14ac:dyDescent="0.35">
      <c r="A2365">
        <v>2364</v>
      </c>
      <c r="B2365" s="1">
        <v>45025.458333333336</v>
      </c>
      <c r="C2365" s="2">
        <v>5.6250000000000001E-2</v>
      </c>
      <c r="D2365" s="3">
        <v>1999</v>
      </c>
      <c r="E2365" s="3">
        <v>336</v>
      </c>
      <c r="F2365" s="2">
        <v>45.379861111111104</v>
      </c>
      <c r="G2365" t="s">
        <v>2812</v>
      </c>
      <c r="H2365" t="s">
        <v>2822</v>
      </c>
      <c r="I2365" s="2">
        <v>2.2923611111111111</v>
      </c>
      <c r="J2365" s="4" t="str">
        <f>IF(Table1[[#This Row],[processing_time_hours]]&gt;1.5,"Slow", "Fast")</f>
        <v>Slow</v>
      </c>
      <c r="K2365" t="s">
        <v>2814</v>
      </c>
      <c r="L2365" s="3">
        <v>0</v>
      </c>
      <c r="M2365" t="str">
        <f>IF(Table1[[#This Row],[delayed]]=1,"Delayed","On Time")</f>
        <v>On Time</v>
      </c>
      <c r="N2365" t="str">
        <f>IF(AND(Table1[[#This Row],[delayed]]=1,Table1[[#This Row],[weather_condition]]="Storm"),"High Risk", IF(Table1[[#This Row],[delayed]]=1,"Medium Risk","Low Risk"))</f>
        <v>Low Risk</v>
      </c>
    </row>
    <row r="2366" spans="1:14" x14ac:dyDescent="0.35">
      <c r="A2366">
        <v>2365</v>
      </c>
      <c r="B2366" s="1">
        <v>45025.5</v>
      </c>
      <c r="C2366" s="2">
        <v>6.458333333333334E-2</v>
      </c>
      <c r="D2366" s="3">
        <v>3742</v>
      </c>
      <c r="E2366" s="3">
        <v>15</v>
      </c>
      <c r="F2366" s="2">
        <v>35.836805555555557</v>
      </c>
      <c r="G2366" t="s">
        <v>2812</v>
      </c>
      <c r="H2366" t="s">
        <v>2820</v>
      </c>
      <c r="I2366" s="2">
        <v>0.3756944444444445</v>
      </c>
      <c r="J2366" s="4" t="str">
        <f>IF(Table1[[#This Row],[processing_time_hours]]&gt;1.5,"Slow", "Fast")</f>
        <v>Fast</v>
      </c>
      <c r="K2366" t="s">
        <v>2818</v>
      </c>
      <c r="L2366" s="3">
        <v>0</v>
      </c>
      <c r="M2366" t="str">
        <f>IF(Table1[[#This Row],[delayed]]=1,"Delayed","On Time")</f>
        <v>On Time</v>
      </c>
      <c r="N2366" t="str">
        <f>IF(AND(Table1[[#This Row],[delayed]]=1,Table1[[#This Row],[weather_condition]]="Storm"),"High Risk", IF(Table1[[#This Row],[delayed]]=1,"Medium Risk","Low Risk"))</f>
        <v>Low Risk</v>
      </c>
    </row>
    <row r="2367" spans="1:14" x14ac:dyDescent="0.35">
      <c r="A2367">
        <v>2366</v>
      </c>
      <c r="B2367" s="1">
        <v>45025.541666666664</v>
      </c>
      <c r="C2367" s="2">
        <v>4.9999999999999996E-2</v>
      </c>
      <c r="D2367" s="3">
        <v>2353</v>
      </c>
      <c r="E2367" s="3">
        <v>124</v>
      </c>
      <c r="F2367" s="2">
        <v>38.881250000000001</v>
      </c>
      <c r="G2367" t="s">
        <v>2819</v>
      </c>
      <c r="H2367" t="s">
        <v>2822</v>
      </c>
      <c r="I2367" s="2">
        <v>1.7951388888888891</v>
      </c>
      <c r="J2367" s="4" t="str">
        <f>IF(Table1[[#This Row],[processing_time_hours]]&gt;1.5,"Slow", "Fast")</f>
        <v>Slow</v>
      </c>
      <c r="K2367" t="s">
        <v>2818</v>
      </c>
      <c r="L2367" s="3">
        <v>0</v>
      </c>
      <c r="M2367" t="str">
        <f>IF(Table1[[#This Row],[delayed]]=1,"Delayed","On Time")</f>
        <v>On Time</v>
      </c>
      <c r="N2367" t="str">
        <f>IF(AND(Table1[[#This Row],[delayed]]=1,Table1[[#This Row],[weather_condition]]="Storm"),"High Risk", IF(Table1[[#This Row],[delayed]]=1,"Medium Risk","Low Risk"))</f>
        <v>Low Risk</v>
      </c>
    </row>
    <row r="2368" spans="1:14" x14ac:dyDescent="0.35">
      <c r="A2368">
        <v>2367</v>
      </c>
      <c r="B2368" s="1">
        <v>45025.583333333336</v>
      </c>
      <c r="C2368" s="2">
        <v>5.0694444444444438E-2</v>
      </c>
      <c r="D2368" s="3">
        <v>276</v>
      </c>
      <c r="E2368" s="3">
        <v>25</v>
      </c>
      <c r="F2368" s="2">
        <v>65.25277777777778</v>
      </c>
      <c r="G2368" t="s">
        <v>2812</v>
      </c>
      <c r="H2368" t="s">
        <v>2822</v>
      </c>
      <c r="I2368" s="2">
        <v>2.963194444444444</v>
      </c>
      <c r="J2368" s="4" t="str">
        <f>IF(Table1[[#This Row],[processing_time_hours]]&gt;1.5,"Slow", "Fast")</f>
        <v>Slow</v>
      </c>
      <c r="K2368" t="s">
        <v>2818</v>
      </c>
      <c r="L2368" s="3">
        <v>0</v>
      </c>
      <c r="M2368" t="str">
        <f>IF(Table1[[#This Row],[delayed]]=1,"Delayed","On Time")</f>
        <v>On Time</v>
      </c>
      <c r="N2368" t="str">
        <f>IF(AND(Table1[[#This Row],[delayed]]=1,Table1[[#This Row],[weather_condition]]="Storm"),"High Risk", IF(Table1[[#This Row],[delayed]]=1,"Medium Risk","Low Risk"))</f>
        <v>Low Risk</v>
      </c>
    </row>
    <row r="2369" spans="1:14" x14ac:dyDescent="0.35">
      <c r="A2369">
        <v>2368</v>
      </c>
      <c r="B2369" s="1">
        <v>45025.625</v>
      </c>
      <c r="C2369" s="2">
        <v>6.2499999999999995E-3</v>
      </c>
      <c r="D2369" s="3">
        <v>683</v>
      </c>
      <c r="E2369" s="3">
        <v>387</v>
      </c>
      <c r="F2369" s="2">
        <v>31.754166666666666</v>
      </c>
      <c r="G2369" t="s">
        <v>2819</v>
      </c>
      <c r="H2369" t="s">
        <v>2813</v>
      </c>
      <c r="I2369" s="2">
        <v>0.75347222222222221</v>
      </c>
      <c r="J2369" s="4" t="str">
        <f>IF(Table1[[#This Row],[processing_time_hours]]&gt;1.5,"Slow", "Fast")</f>
        <v>Fast</v>
      </c>
      <c r="K2369" t="s">
        <v>2814</v>
      </c>
      <c r="L2369" s="3">
        <v>0</v>
      </c>
      <c r="M2369" t="str">
        <f>IF(Table1[[#This Row],[delayed]]=1,"Delayed","On Time")</f>
        <v>On Time</v>
      </c>
      <c r="N2369" t="str">
        <f>IF(AND(Table1[[#This Row],[delayed]]=1,Table1[[#This Row],[weather_condition]]="Storm"),"High Risk", IF(Table1[[#This Row],[delayed]]=1,"Medium Risk","Low Risk"))</f>
        <v>Low Risk</v>
      </c>
    </row>
    <row r="2370" spans="1:14" x14ac:dyDescent="0.35">
      <c r="A2370">
        <v>2369</v>
      </c>
      <c r="B2370" s="1">
        <v>45025.666666666664</v>
      </c>
      <c r="C2370" s="2">
        <v>4.5833333333333337E-2</v>
      </c>
      <c r="D2370" s="3">
        <v>2567</v>
      </c>
      <c r="E2370" s="3">
        <v>297</v>
      </c>
      <c r="F2370" s="2">
        <v>51.336111111111109</v>
      </c>
      <c r="G2370" t="s">
        <v>2815</v>
      </c>
      <c r="H2370" t="s">
        <v>2820</v>
      </c>
      <c r="I2370" s="2">
        <v>1.25</v>
      </c>
      <c r="J2370" s="4" t="str">
        <f>IF(Table1[[#This Row],[processing_time_hours]]&gt;1.5,"Slow", "Fast")</f>
        <v>Fast</v>
      </c>
      <c r="K2370" t="s">
        <v>2821</v>
      </c>
      <c r="L2370" s="3">
        <v>0</v>
      </c>
      <c r="M2370" t="str">
        <f>IF(Table1[[#This Row],[delayed]]=1,"Delayed","On Time")</f>
        <v>On Time</v>
      </c>
      <c r="N2370" t="str">
        <f>IF(AND(Table1[[#This Row],[delayed]]=1,Table1[[#This Row],[weather_condition]]="Storm"),"High Risk", IF(Table1[[#This Row],[delayed]]=1,"Medium Risk","Low Risk"))</f>
        <v>Low Risk</v>
      </c>
    </row>
    <row r="2371" spans="1:14" x14ac:dyDescent="0.35">
      <c r="A2371">
        <v>2370</v>
      </c>
      <c r="B2371" s="1">
        <v>45025.708333333336</v>
      </c>
      <c r="C2371" s="2">
        <v>4.4444444444444446E-2</v>
      </c>
      <c r="D2371" s="3">
        <v>1888</v>
      </c>
      <c r="E2371" s="3">
        <v>71</v>
      </c>
      <c r="F2371" s="2">
        <v>54.213888888888896</v>
      </c>
      <c r="G2371" t="s">
        <v>2819</v>
      </c>
      <c r="H2371" t="s">
        <v>2817</v>
      </c>
      <c r="I2371" s="2">
        <v>2.5020833333333332</v>
      </c>
      <c r="J2371" s="4" t="str">
        <f>IF(Table1[[#This Row],[processing_time_hours]]&gt;1.5,"Slow", "Fast")</f>
        <v>Slow</v>
      </c>
      <c r="K2371" t="s">
        <v>2821</v>
      </c>
      <c r="L2371" s="3">
        <v>0</v>
      </c>
      <c r="M2371" t="str">
        <f>IF(Table1[[#This Row],[delayed]]=1,"Delayed","On Time")</f>
        <v>On Time</v>
      </c>
      <c r="N2371" t="str">
        <f>IF(AND(Table1[[#This Row],[delayed]]=1,Table1[[#This Row],[weather_condition]]="Storm"),"High Risk", IF(Table1[[#This Row],[delayed]]=1,"Medium Risk","Low Risk"))</f>
        <v>Low Risk</v>
      </c>
    </row>
    <row r="2372" spans="1:14" x14ac:dyDescent="0.35">
      <c r="A2372">
        <v>2371</v>
      </c>
      <c r="B2372" s="1">
        <v>45025.75</v>
      </c>
      <c r="C2372" s="2">
        <v>5.2777777777777778E-2</v>
      </c>
      <c r="D2372" s="3">
        <v>3108</v>
      </c>
      <c r="E2372" s="3">
        <v>398</v>
      </c>
      <c r="F2372" s="2">
        <v>37.335416666666667</v>
      </c>
      <c r="G2372" t="s">
        <v>2812</v>
      </c>
      <c r="H2372" t="s">
        <v>2822</v>
      </c>
      <c r="I2372" s="2">
        <v>0.66875000000000007</v>
      </c>
      <c r="J2372" s="4" t="str">
        <f>IF(Table1[[#This Row],[processing_time_hours]]&gt;1.5,"Slow", "Fast")</f>
        <v>Fast</v>
      </c>
      <c r="K2372" t="s">
        <v>2814</v>
      </c>
      <c r="L2372" s="3">
        <v>0</v>
      </c>
      <c r="M2372" t="str">
        <f>IF(Table1[[#This Row],[delayed]]=1,"Delayed","On Time")</f>
        <v>On Time</v>
      </c>
      <c r="N2372" t="str">
        <f>IF(AND(Table1[[#This Row],[delayed]]=1,Table1[[#This Row],[weather_condition]]="Storm"),"High Risk", IF(Table1[[#This Row],[delayed]]=1,"Medium Risk","Low Risk"))</f>
        <v>Low Risk</v>
      </c>
    </row>
    <row r="2373" spans="1:14" x14ac:dyDescent="0.35">
      <c r="A2373">
        <v>2372</v>
      </c>
      <c r="B2373" s="1">
        <v>45025.791666666664</v>
      </c>
      <c r="C2373" s="2">
        <v>5.2777777777777778E-2</v>
      </c>
      <c r="D2373" s="3">
        <v>2227</v>
      </c>
      <c r="E2373" s="3">
        <v>329</v>
      </c>
      <c r="F2373" s="2">
        <v>47.917361111111113</v>
      </c>
      <c r="G2373" t="s">
        <v>2816</v>
      </c>
      <c r="H2373" t="s">
        <v>2813</v>
      </c>
      <c r="I2373" s="2">
        <v>2.3770833333333332</v>
      </c>
      <c r="J2373" s="4" t="str">
        <f>IF(Table1[[#This Row],[processing_time_hours]]&gt;1.5,"Slow", "Fast")</f>
        <v>Slow</v>
      </c>
      <c r="K2373" t="s">
        <v>2821</v>
      </c>
      <c r="L2373" s="3">
        <v>0</v>
      </c>
      <c r="M2373" t="str">
        <f>IF(Table1[[#This Row],[delayed]]=1,"Delayed","On Time")</f>
        <v>On Time</v>
      </c>
      <c r="N2373" t="str">
        <f>IF(AND(Table1[[#This Row],[delayed]]=1,Table1[[#This Row],[weather_condition]]="Storm"),"High Risk", IF(Table1[[#This Row],[delayed]]=1,"Medium Risk","Low Risk"))</f>
        <v>Low Risk</v>
      </c>
    </row>
    <row r="2374" spans="1:14" x14ac:dyDescent="0.35">
      <c r="A2374">
        <v>2373</v>
      </c>
      <c r="B2374" s="1">
        <v>45025.833333333336</v>
      </c>
      <c r="C2374" s="2">
        <v>4.9999999999999996E-2</v>
      </c>
      <c r="D2374" s="3">
        <v>578</v>
      </c>
      <c r="E2374" s="3">
        <v>19</v>
      </c>
      <c r="F2374" s="2">
        <v>3.4173611111111111</v>
      </c>
      <c r="G2374" t="s">
        <v>2816</v>
      </c>
      <c r="H2374" t="s">
        <v>2822</v>
      </c>
      <c r="I2374" s="2">
        <v>1.625</v>
      </c>
      <c r="J2374" s="4" t="str">
        <f>IF(Table1[[#This Row],[processing_time_hours]]&gt;1.5,"Slow", "Fast")</f>
        <v>Slow</v>
      </c>
      <c r="K2374" t="s">
        <v>2818</v>
      </c>
      <c r="L2374" s="3">
        <v>1</v>
      </c>
      <c r="M2374" t="str">
        <f>IF(Table1[[#This Row],[delayed]]=1,"Delayed","On Time")</f>
        <v>Delayed</v>
      </c>
      <c r="N2374" t="str">
        <f>IF(AND(Table1[[#This Row],[delayed]]=1,Table1[[#This Row],[weather_condition]]="Storm"),"High Risk", IF(Table1[[#This Row],[delayed]]=1,"Medium Risk","Low Risk"))</f>
        <v>Medium Risk</v>
      </c>
    </row>
    <row r="2375" spans="1:14" x14ac:dyDescent="0.35">
      <c r="A2375">
        <v>2374</v>
      </c>
      <c r="B2375" s="1">
        <v>45025.875</v>
      </c>
      <c r="C2375" s="2">
        <v>4.8611111111111112E-3</v>
      </c>
      <c r="D2375" s="3">
        <v>813</v>
      </c>
      <c r="E2375" s="3">
        <v>468</v>
      </c>
      <c r="F2375" s="2">
        <v>12.7125</v>
      </c>
      <c r="G2375" t="s">
        <v>2816</v>
      </c>
      <c r="H2375" t="s">
        <v>2817</v>
      </c>
      <c r="I2375" s="2">
        <v>1.6270833333333332</v>
      </c>
      <c r="J2375" s="4" t="str">
        <f>IF(Table1[[#This Row],[processing_time_hours]]&gt;1.5,"Slow", "Fast")</f>
        <v>Slow</v>
      </c>
      <c r="K2375" t="s">
        <v>2814</v>
      </c>
      <c r="L2375" s="3">
        <v>1</v>
      </c>
      <c r="M2375" t="str">
        <f>IF(Table1[[#This Row],[delayed]]=1,"Delayed","On Time")</f>
        <v>Delayed</v>
      </c>
      <c r="N2375" t="str">
        <f>IF(AND(Table1[[#This Row],[delayed]]=1,Table1[[#This Row],[weather_condition]]="Storm"),"High Risk", IF(Table1[[#This Row],[delayed]]=1,"Medium Risk","Low Risk"))</f>
        <v>High Risk</v>
      </c>
    </row>
    <row r="2376" spans="1:14" x14ac:dyDescent="0.35">
      <c r="A2376">
        <v>2375</v>
      </c>
      <c r="B2376" s="1">
        <v>45025.916666666664</v>
      </c>
      <c r="C2376" s="2">
        <v>6.5972222222222224E-2</v>
      </c>
      <c r="D2376" s="3">
        <v>4289</v>
      </c>
      <c r="E2376" s="3">
        <v>381</v>
      </c>
      <c r="F2376" s="2">
        <v>30.251388888888886</v>
      </c>
      <c r="G2376" t="s">
        <v>2819</v>
      </c>
      <c r="H2376" t="s">
        <v>2813</v>
      </c>
      <c r="I2376" s="2">
        <v>1.8770833333333332</v>
      </c>
      <c r="J2376" s="4" t="str">
        <f>IF(Table1[[#This Row],[processing_time_hours]]&gt;1.5,"Slow", "Fast")</f>
        <v>Slow</v>
      </c>
      <c r="K2376" t="s">
        <v>2821</v>
      </c>
      <c r="L2376" s="3">
        <v>1</v>
      </c>
      <c r="M2376" t="str">
        <f>IF(Table1[[#This Row],[delayed]]=1,"Delayed","On Time")</f>
        <v>Delayed</v>
      </c>
      <c r="N2376" t="str">
        <f>IF(AND(Table1[[#This Row],[delayed]]=1,Table1[[#This Row],[weather_condition]]="Storm"),"High Risk", IF(Table1[[#This Row],[delayed]]=1,"Medium Risk","Low Risk"))</f>
        <v>Medium Risk</v>
      </c>
    </row>
    <row r="2377" spans="1:14" x14ac:dyDescent="0.35">
      <c r="A2377">
        <v>2376</v>
      </c>
      <c r="B2377" s="1">
        <v>45025.958333333336</v>
      </c>
      <c r="C2377" s="2">
        <v>5.2777777777777778E-2</v>
      </c>
      <c r="D2377" s="3">
        <v>1771</v>
      </c>
      <c r="E2377" s="3">
        <v>205</v>
      </c>
      <c r="F2377" s="2">
        <v>76.293055555555554</v>
      </c>
      <c r="G2377" t="s">
        <v>2815</v>
      </c>
      <c r="H2377" t="s">
        <v>2813</v>
      </c>
      <c r="I2377" s="2">
        <v>2.9597222222222221</v>
      </c>
      <c r="J2377" s="4" t="str">
        <f>IF(Table1[[#This Row],[processing_time_hours]]&gt;1.5,"Slow", "Fast")</f>
        <v>Slow</v>
      </c>
      <c r="K2377" t="s">
        <v>2818</v>
      </c>
      <c r="L2377" s="3">
        <v>1</v>
      </c>
      <c r="M2377" t="str">
        <f>IF(Table1[[#This Row],[delayed]]=1,"Delayed","On Time")</f>
        <v>Delayed</v>
      </c>
      <c r="N2377" t="str">
        <f>IF(AND(Table1[[#This Row],[delayed]]=1,Table1[[#This Row],[weather_condition]]="Storm"),"High Risk", IF(Table1[[#This Row],[delayed]]=1,"Medium Risk","Low Risk"))</f>
        <v>Medium Risk</v>
      </c>
    </row>
    <row r="2378" spans="1:14" x14ac:dyDescent="0.35">
      <c r="A2378">
        <v>2377</v>
      </c>
      <c r="B2378" s="1">
        <v>45026</v>
      </c>
      <c r="C2378" s="2">
        <v>4.9999999999999996E-2</v>
      </c>
      <c r="D2378" s="3">
        <v>1402</v>
      </c>
      <c r="E2378" s="3">
        <v>271</v>
      </c>
      <c r="F2378" s="2">
        <v>24.5</v>
      </c>
      <c r="G2378" t="s">
        <v>2812</v>
      </c>
      <c r="H2378" t="s">
        <v>2820</v>
      </c>
      <c r="I2378" s="2">
        <v>2.4624999999999999</v>
      </c>
      <c r="J2378" s="4" t="str">
        <f>IF(Table1[[#This Row],[processing_time_hours]]&gt;1.5,"Slow", "Fast")</f>
        <v>Slow</v>
      </c>
      <c r="K2378" t="s">
        <v>2818</v>
      </c>
      <c r="L2378" s="3">
        <v>1</v>
      </c>
      <c r="M2378" t="str">
        <f>IF(Table1[[#This Row],[delayed]]=1,"Delayed","On Time")</f>
        <v>Delayed</v>
      </c>
      <c r="N2378" t="str">
        <f>IF(AND(Table1[[#This Row],[delayed]]=1,Table1[[#This Row],[weather_condition]]="Storm"),"High Risk", IF(Table1[[#This Row],[delayed]]=1,"Medium Risk","Low Risk"))</f>
        <v>Medium Risk</v>
      </c>
    </row>
    <row r="2379" spans="1:14" x14ac:dyDescent="0.35">
      <c r="A2379">
        <v>2378</v>
      </c>
      <c r="B2379" s="1">
        <v>45026.041666666664</v>
      </c>
      <c r="C2379" s="2">
        <v>6.3194444444444442E-2</v>
      </c>
      <c r="D2379" s="3">
        <v>1357</v>
      </c>
      <c r="E2379" s="3">
        <v>14</v>
      </c>
      <c r="F2379" s="2">
        <v>36.792361111111113</v>
      </c>
      <c r="G2379" t="s">
        <v>2819</v>
      </c>
      <c r="H2379" t="s">
        <v>2813</v>
      </c>
      <c r="I2379" s="2">
        <v>1.6673611111111111</v>
      </c>
      <c r="J2379" s="4" t="str">
        <f>IF(Table1[[#This Row],[processing_time_hours]]&gt;1.5,"Slow", "Fast")</f>
        <v>Slow</v>
      </c>
      <c r="K2379" t="s">
        <v>2818</v>
      </c>
      <c r="L2379" s="3">
        <v>1</v>
      </c>
      <c r="M2379" t="str">
        <f>IF(Table1[[#This Row],[delayed]]=1,"Delayed","On Time")</f>
        <v>Delayed</v>
      </c>
      <c r="N2379" t="str">
        <f>IF(AND(Table1[[#This Row],[delayed]]=1,Table1[[#This Row],[weather_condition]]="Storm"),"High Risk", IF(Table1[[#This Row],[delayed]]=1,"Medium Risk","Low Risk"))</f>
        <v>Medium Risk</v>
      </c>
    </row>
    <row r="2380" spans="1:14" x14ac:dyDescent="0.35">
      <c r="A2380">
        <v>2379</v>
      </c>
      <c r="B2380" s="1">
        <v>45026.083333333336</v>
      </c>
      <c r="C2380" s="2">
        <v>6.5277777777777782E-2</v>
      </c>
      <c r="D2380" s="3">
        <v>4734</v>
      </c>
      <c r="E2380" s="3">
        <v>175</v>
      </c>
      <c r="F2380" s="2">
        <v>0.20972222222222223</v>
      </c>
      <c r="G2380" t="s">
        <v>2815</v>
      </c>
      <c r="H2380" t="s">
        <v>2820</v>
      </c>
      <c r="I2380" s="2">
        <v>0.62569444444444444</v>
      </c>
      <c r="J2380" s="4" t="str">
        <f>IF(Table1[[#This Row],[processing_time_hours]]&gt;1.5,"Slow", "Fast")</f>
        <v>Fast</v>
      </c>
      <c r="K2380" t="s">
        <v>2821</v>
      </c>
      <c r="L2380" s="3">
        <v>1</v>
      </c>
      <c r="M2380" t="str">
        <f>IF(Table1[[#This Row],[delayed]]=1,"Delayed","On Time")</f>
        <v>Delayed</v>
      </c>
      <c r="N2380" t="str">
        <f>IF(AND(Table1[[#This Row],[delayed]]=1,Table1[[#This Row],[weather_condition]]="Storm"),"High Risk", IF(Table1[[#This Row],[delayed]]=1,"Medium Risk","Low Risk"))</f>
        <v>Medium Risk</v>
      </c>
    </row>
    <row r="2381" spans="1:14" x14ac:dyDescent="0.35">
      <c r="A2381">
        <v>2380</v>
      </c>
      <c r="B2381" s="1">
        <v>45026.125</v>
      </c>
      <c r="C2381" s="2">
        <v>6.1111111111111109E-2</v>
      </c>
      <c r="D2381" s="3">
        <v>3019</v>
      </c>
      <c r="E2381" s="3">
        <v>234</v>
      </c>
      <c r="F2381" s="2">
        <v>49.25</v>
      </c>
      <c r="G2381" t="s">
        <v>2819</v>
      </c>
      <c r="H2381" t="s">
        <v>2817</v>
      </c>
      <c r="I2381" s="2">
        <v>2.1708333333333334</v>
      </c>
      <c r="J2381" s="4" t="str">
        <f>IF(Table1[[#This Row],[processing_time_hours]]&gt;1.5,"Slow", "Fast")</f>
        <v>Slow</v>
      </c>
      <c r="K2381" t="s">
        <v>2821</v>
      </c>
      <c r="L2381" s="3">
        <v>0</v>
      </c>
      <c r="M2381" t="str">
        <f>IF(Table1[[#This Row],[delayed]]=1,"Delayed","On Time")</f>
        <v>On Time</v>
      </c>
      <c r="N2381" t="str">
        <f>IF(AND(Table1[[#This Row],[delayed]]=1,Table1[[#This Row],[weather_condition]]="Storm"),"High Risk", IF(Table1[[#This Row],[delayed]]=1,"Medium Risk","Low Risk"))</f>
        <v>Low Risk</v>
      </c>
    </row>
    <row r="2382" spans="1:14" x14ac:dyDescent="0.35">
      <c r="A2382">
        <v>2381</v>
      </c>
      <c r="B2382" s="1">
        <v>45026.166666666664</v>
      </c>
      <c r="C2382" s="2">
        <v>6.8749999999999992E-2</v>
      </c>
      <c r="D2382" s="3">
        <v>3956</v>
      </c>
      <c r="E2382" s="3">
        <v>159</v>
      </c>
      <c r="F2382" s="2">
        <v>6.7145833333333336</v>
      </c>
      <c r="G2382" t="s">
        <v>2816</v>
      </c>
      <c r="H2382" t="s">
        <v>2820</v>
      </c>
      <c r="I2382" s="2">
        <v>1.2118055555555556</v>
      </c>
      <c r="J2382" s="4" t="str">
        <f>IF(Table1[[#This Row],[processing_time_hours]]&gt;1.5,"Slow", "Fast")</f>
        <v>Fast</v>
      </c>
      <c r="K2382" t="s">
        <v>2821</v>
      </c>
      <c r="L2382" s="3">
        <v>0</v>
      </c>
      <c r="M2382" t="str">
        <f>IF(Table1[[#This Row],[delayed]]=1,"Delayed","On Time")</f>
        <v>On Time</v>
      </c>
      <c r="N2382" t="str">
        <f>IF(AND(Table1[[#This Row],[delayed]]=1,Table1[[#This Row],[weather_condition]]="Storm"),"High Risk", IF(Table1[[#This Row],[delayed]]=1,"Medium Risk","Low Risk"))</f>
        <v>Low Risk</v>
      </c>
    </row>
    <row r="2383" spans="1:14" x14ac:dyDescent="0.35">
      <c r="A2383">
        <v>2382</v>
      </c>
      <c r="B2383" s="1">
        <v>45026.208333333336</v>
      </c>
      <c r="C2383" s="2">
        <v>4.5138888888888888E-2</v>
      </c>
      <c r="D2383" s="3">
        <v>3108</v>
      </c>
      <c r="E2383" s="3">
        <v>227</v>
      </c>
      <c r="F2383" s="2">
        <v>4.6284722222222223</v>
      </c>
      <c r="G2383" t="s">
        <v>2819</v>
      </c>
      <c r="H2383" t="s">
        <v>2822</v>
      </c>
      <c r="I2383" s="2">
        <v>1.2513888888888889</v>
      </c>
      <c r="J2383" s="4" t="str">
        <f>IF(Table1[[#This Row],[processing_time_hours]]&gt;1.5,"Slow", "Fast")</f>
        <v>Fast</v>
      </c>
      <c r="K2383" t="s">
        <v>2814</v>
      </c>
      <c r="L2383" s="3">
        <v>0</v>
      </c>
      <c r="M2383" t="str">
        <f>IF(Table1[[#This Row],[delayed]]=1,"Delayed","On Time")</f>
        <v>On Time</v>
      </c>
      <c r="N2383" t="str">
        <f>IF(AND(Table1[[#This Row],[delayed]]=1,Table1[[#This Row],[weather_condition]]="Storm"),"High Risk", IF(Table1[[#This Row],[delayed]]=1,"Medium Risk","Low Risk"))</f>
        <v>Low Risk</v>
      </c>
    </row>
    <row r="2384" spans="1:14" x14ac:dyDescent="0.35">
      <c r="A2384">
        <v>2383</v>
      </c>
      <c r="B2384" s="1">
        <v>45026.25</v>
      </c>
      <c r="C2384" s="2">
        <v>5.4166666666666669E-2</v>
      </c>
      <c r="D2384" s="3">
        <v>797</v>
      </c>
      <c r="E2384" s="3">
        <v>300</v>
      </c>
      <c r="F2384" s="2">
        <v>50.379861111111104</v>
      </c>
      <c r="G2384" t="s">
        <v>2816</v>
      </c>
      <c r="H2384" t="s">
        <v>2817</v>
      </c>
      <c r="I2384" s="2">
        <v>2.7513888888888887</v>
      </c>
      <c r="J2384" s="4" t="str">
        <f>IF(Table1[[#This Row],[processing_time_hours]]&gt;1.5,"Slow", "Fast")</f>
        <v>Slow</v>
      </c>
      <c r="K2384" t="s">
        <v>2818</v>
      </c>
      <c r="L2384" s="3">
        <v>1</v>
      </c>
      <c r="M2384" t="str">
        <f>IF(Table1[[#This Row],[delayed]]=1,"Delayed","On Time")</f>
        <v>Delayed</v>
      </c>
      <c r="N2384" t="str">
        <f>IF(AND(Table1[[#This Row],[delayed]]=1,Table1[[#This Row],[weather_condition]]="Storm"),"High Risk", IF(Table1[[#This Row],[delayed]]=1,"Medium Risk","Low Risk"))</f>
        <v>High Risk</v>
      </c>
    </row>
    <row r="2385" spans="1:14" x14ac:dyDescent="0.35">
      <c r="A2385">
        <v>2384</v>
      </c>
      <c r="B2385" s="1">
        <v>45026.291666666664</v>
      </c>
      <c r="C2385" s="2">
        <v>6.3888888888888898E-2</v>
      </c>
      <c r="D2385" s="3">
        <v>1870</v>
      </c>
      <c r="E2385" s="3">
        <v>224</v>
      </c>
      <c r="F2385" s="2">
        <v>69.458333333333329</v>
      </c>
      <c r="G2385" t="s">
        <v>2819</v>
      </c>
      <c r="H2385" t="s">
        <v>2820</v>
      </c>
      <c r="I2385" s="2">
        <v>2.6312500000000001</v>
      </c>
      <c r="J2385" s="4" t="str">
        <f>IF(Table1[[#This Row],[processing_time_hours]]&gt;1.5,"Slow", "Fast")</f>
        <v>Slow</v>
      </c>
      <c r="K2385" t="s">
        <v>2821</v>
      </c>
      <c r="L2385" s="3">
        <v>0</v>
      </c>
      <c r="M2385" t="str">
        <f>IF(Table1[[#This Row],[delayed]]=1,"Delayed","On Time")</f>
        <v>On Time</v>
      </c>
      <c r="N2385" t="str">
        <f>IF(AND(Table1[[#This Row],[delayed]]=1,Table1[[#This Row],[weather_condition]]="Storm"),"High Risk", IF(Table1[[#This Row],[delayed]]=1,"Medium Risk","Low Risk"))</f>
        <v>Low Risk</v>
      </c>
    </row>
    <row r="2386" spans="1:14" x14ac:dyDescent="0.35">
      <c r="A2386">
        <v>2385</v>
      </c>
      <c r="B2386" s="1">
        <v>45026.333333333336</v>
      </c>
      <c r="C2386" s="2">
        <v>6.8749999999999992E-2</v>
      </c>
      <c r="D2386" s="3">
        <v>3508</v>
      </c>
      <c r="E2386" s="3">
        <v>378</v>
      </c>
      <c r="F2386" s="2">
        <v>75.297916666666666</v>
      </c>
      <c r="G2386" t="s">
        <v>2815</v>
      </c>
      <c r="H2386" t="s">
        <v>2822</v>
      </c>
      <c r="I2386" s="2">
        <v>2.3361111111111112</v>
      </c>
      <c r="J2386" s="4" t="str">
        <f>IF(Table1[[#This Row],[processing_time_hours]]&gt;1.5,"Slow", "Fast")</f>
        <v>Slow</v>
      </c>
      <c r="K2386" t="s">
        <v>2814</v>
      </c>
      <c r="L2386" s="3">
        <v>0</v>
      </c>
      <c r="M2386" t="str">
        <f>IF(Table1[[#This Row],[delayed]]=1,"Delayed","On Time")</f>
        <v>On Time</v>
      </c>
      <c r="N2386" t="str">
        <f>IF(AND(Table1[[#This Row],[delayed]]=1,Table1[[#This Row],[weather_condition]]="Storm"),"High Risk", IF(Table1[[#This Row],[delayed]]=1,"Medium Risk","Low Risk"))</f>
        <v>Low Risk</v>
      </c>
    </row>
    <row r="2387" spans="1:14" x14ac:dyDescent="0.35">
      <c r="A2387">
        <v>2386</v>
      </c>
      <c r="B2387" s="1">
        <v>45026.375</v>
      </c>
      <c r="C2387" s="2">
        <v>4.7222222222222221E-2</v>
      </c>
      <c r="D2387" s="3">
        <v>1764</v>
      </c>
      <c r="E2387" s="3">
        <v>91</v>
      </c>
      <c r="F2387" s="2">
        <v>54.211111111111109</v>
      </c>
      <c r="G2387" t="s">
        <v>2819</v>
      </c>
      <c r="H2387" t="s">
        <v>2813</v>
      </c>
      <c r="I2387" s="2">
        <v>1.3784722222222223</v>
      </c>
      <c r="J2387" s="4" t="str">
        <f>IF(Table1[[#This Row],[processing_time_hours]]&gt;1.5,"Slow", "Fast")</f>
        <v>Fast</v>
      </c>
      <c r="K2387" t="s">
        <v>2814</v>
      </c>
      <c r="L2387" s="3">
        <v>0</v>
      </c>
      <c r="M2387" t="str">
        <f>IF(Table1[[#This Row],[delayed]]=1,"Delayed","On Time")</f>
        <v>On Time</v>
      </c>
      <c r="N2387" t="str">
        <f>IF(AND(Table1[[#This Row],[delayed]]=1,Table1[[#This Row],[weather_condition]]="Storm"),"High Risk", IF(Table1[[#This Row],[delayed]]=1,"Medium Risk","Low Risk"))</f>
        <v>Low Risk</v>
      </c>
    </row>
    <row r="2388" spans="1:14" x14ac:dyDescent="0.35">
      <c r="A2388">
        <v>2387</v>
      </c>
      <c r="B2388" s="1">
        <v>45026.416666666664</v>
      </c>
      <c r="C2388" s="2">
        <v>6.2499999999999995E-3</v>
      </c>
      <c r="D2388" s="3">
        <v>4811</v>
      </c>
      <c r="E2388" s="3">
        <v>417</v>
      </c>
      <c r="F2388" s="2">
        <v>35.334027777777777</v>
      </c>
      <c r="G2388" t="s">
        <v>2812</v>
      </c>
      <c r="H2388" t="s">
        <v>2820</v>
      </c>
      <c r="I2388" s="2">
        <v>1.8388888888888888</v>
      </c>
      <c r="J2388" s="4" t="str">
        <f>IF(Table1[[#This Row],[processing_time_hours]]&gt;1.5,"Slow", "Fast")</f>
        <v>Slow</v>
      </c>
      <c r="K2388" t="s">
        <v>2821</v>
      </c>
      <c r="L2388" s="3">
        <v>0</v>
      </c>
      <c r="M2388" t="str">
        <f>IF(Table1[[#This Row],[delayed]]=1,"Delayed","On Time")</f>
        <v>On Time</v>
      </c>
      <c r="N2388" t="str">
        <f>IF(AND(Table1[[#This Row],[delayed]]=1,Table1[[#This Row],[weather_condition]]="Storm"),"High Risk", IF(Table1[[#This Row],[delayed]]=1,"Medium Risk","Low Risk"))</f>
        <v>Low Risk</v>
      </c>
    </row>
    <row r="2389" spans="1:14" x14ac:dyDescent="0.35">
      <c r="A2389">
        <v>2388</v>
      </c>
      <c r="B2389" s="1">
        <v>45026.458333333336</v>
      </c>
      <c r="C2389" s="2">
        <v>4.7222222222222221E-2</v>
      </c>
      <c r="D2389" s="3">
        <v>2797</v>
      </c>
      <c r="E2389" s="3">
        <v>142</v>
      </c>
      <c r="F2389" s="2">
        <v>26.421527777777779</v>
      </c>
      <c r="G2389" t="s">
        <v>2815</v>
      </c>
      <c r="H2389" t="s">
        <v>2822</v>
      </c>
      <c r="I2389" s="2">
        <v>1.3347222222222221</v>
      </c>
      <c r="J2389" s="4" t="str">
        <f>IF(Table1[[#This Row],[processing_time_hours]]&gt;1.5,"Slow", "Fast")</f>
        <v>Fast</v>
      </c>
      <c r="K2389" t="s">
        <v>2814</v>
      </c>
      <c r="L2389" s="3">
        <v>0</v>
      </c>
      <c r="M2389" t="str">
        <f>IF(Table1[[#This Row],[delayed]]=1,"Delayed","On Time")</f>
        <v>On Time</v>
      </c>
      <c r="N2389" t="str">
        <f>IF(AND(Table1[[#This Row],[delayed]]=1,Table1[[#This Row],[weather_condition]]="Storm"),"High Risk", IF(Table1[[#This Row],[delayed]]=1,"Medium Risk","Low Risk"))</f>
        <v>Low Risk</v>
      </c>
    </row>
    <row r="2390" spans="1:14" x14ac:dyDescent="0.35">
      <c r="A2390">
        <v>2389</v>
      </c>
      <c r="B2390" s="1">
        <v>45026.5</v>
      </c>
      <c r="C2390" s="2">
        <v>5.2777777777777778E-2</v>
      </c>
      <c r="D2390" s="3">
        <v>2295</v>
      </c>
      <c r="E2390" s="3">
        <v>184</v>
      </c>
      <c r="F2390" s="2">
        <v>82.00277777777778</v>
      </c>
      <c r="G2390" t="s">
        <v>2816</v>
      </c>
      <c r="H2390" t="s">
        <v>2813</v>
      </c>
      <c r="I2390" s="2">
        <v>1.4625000000000001</v>
      </c>
      <c r="J2390" s="4" t="str">
        <f>IF(Table1[[#This Row],[processing_time_hours]]&gt;1.5,"Slow", "Fast")</f>
        <v>Fast</v>
      </c>
      <c r="K2390" t="s">
        <v>2821</v>
      </c>
      <c r="L2390" s="3">
        <v>0</v>
      </c>
      <c r="M2390" t="str">
        <f>IF(Table1[[#This Row],[delayed]]=1,"Delayed","On Time")</f>
        <v>On Time</v>
      </c>
      <c r="N2390" t="str">
        <f>IF(AND(Table1[[#This Row],[delayed]]=1,Table1[[#This Row],[weather_condition]]="Storm"),"High Risk", IF(Table1[[#This Row],[delayed]]=1,"Medium Risk","Low Risk"))</f>
        <v>Low Risk</v>
      </c>
    </row>
    <row r="2391" spans="1:14" x14ac:dyDescent="0.35">
      <c r="A2391">
        <v>2390</v>
      </c>
      <c r="B2391" s="1">
        <v>45026.541666666664</v>
      </c>
      <c r="C2391" s="2">
        <v>6.2499999999999995E-3</v>
      </c>
      <c r="D2391" s="3">
        <v>4077</v>
      </c>
      <c r="E2391" s="3">
        <v>207</v>
      </c>
      <c r="F2391" s="2">
        <v>61.542361111111113</v>
      </c>
      <c r="G2391" t="s">
        <v>2816</v>
      </c>
      <c r="H2391" t="s">
        <v>2822</v>
      </c>
      <c r="I2391" s="2">
        <v>1.4618055555555556</v>
      </c>
      <c r="J2391" s="4" t="str">
        <f>IF(Table1[[#This Row],[processing_time_hours]]&gt;1.5,"Slow", "Fast")</f>
        <v>Fast</v>
      </c>
      <c r="K2391" t="s">
        <v>2818</v>
      </c>
      <c r="L2391" s="3">
        <v>0</v>
      </c>
      <c r="M2391" t="str">
        <f>IF(Table1[[#This Row],[delayed]]=1,"Delayed","On Time")</f>
        <v>On Time</v>
      </c>
      <c r="N2391" t="str">
        <f>IF(AND(Table1[[#This Row],[delayed]]=1,Table1[[#This Row],[weather_condition]]="Storm"),"High Risk", IF(Table1[[#This Row],[delayed]]=1,"Medium Risk","Low Risk"))</f>
        <v>Low Risk</v>
      </c>
    </row>
    <row r="2392" spans="1:14" x14ac:dyDescent="0.35">
      <c r="A2392">
        <v>2391</v>
      </c>
      <c r="B2392" s="1">
        <v>45026.583333333336</v>
      </c>
      <c r="C2392" s="2">
        <v>6.3194444444444442E-2</v>
      </c>
      <c r="D2392" s="3">
        <v>2186</v>
      </c>
      <c r="E2392" s="3">
        <v>53</v>
      </c>
      <c r="F2392" s="2">
        <v>53.381250000000001</v>
      </c>
      <c r="G2392" t="s">
        <v>2819</v>
      </c>
      <c r="H2392" t="s">
        <v>2820</v>
      </c>
      <c r="I2392" s="2">
        <v>1.5430555555555554</v>
      </c>
      <c r="J2392" s="4" t="str">
        <f>IF(Table1[[#This Row],[processing_time_hours]]&gt;1.5,"Slow", "Fast")</f>
        <v>Slow</v>
      </c>
      <c r="K2392" t="s">
        <v>2818</v>
      </c>
      <c r="L2392" s="3">
        <v>1</v>
      </c>
      <c r="M2392" t="str">
        <f>IF(Table1[[#This Row],[delayed]]=1,"Delayed","On Time")</f>
        <v>Delayed</v>
      </c>
      <c r="N2392" t="str">
        <f>IF(AND(Table1[[#This Row],[delayed]]=1,Table1[[#This Row],[weather_condition]]="Storm"),"High Risk", IF(Table1[[#This Row],[delayed]]=1,"Medium Risk","Low Risk"))</f>
        <v>Medium Risk</v>
      </c>
    </row>
    <row r="2393" spans="1:14" x14ac:dyDescent="0.35">
      <c r="A2393">
        <v>2392</v>
      </c>
      <c r="B2393" s="1">
        <v>45026.625</v>
      </c>
      <c r="C2393" s="2">
        <v>4.3055555555555562E-2</v>
      </c>
      <c r="D2393" s="3">
        <v>3985</v>
      </c>
      <c r="E2393" s="3">
        <v>304</v>
      </c>
      <c r="F2393" s="2">
        <v>1.6680555555555554</v>
      </c>
      <c r="G2393" t="s">
        <v>2812</v>
      </c>
      <c r="H2393" t="s">
        <v>2820</v>
      </c>
      <c r="I2393" s="2">
        <v>1.0479166666666666</v>
      </c>
      <c r="J2393" s="4" t="str">
        <f>IF(Table1[[#This Row],[processing_time_hours]]&gt;1.5,"Slow", "Fast")</f>
        <v>Fast</v>
      </c>
      <c r="K2393" t="s">
        <v>2814</v>
      </c>
      <c r="L2393" s="3">
        <v>1</v>
      </c>
      <c r="M2393" t="str">
        <f>IF(Table1[[#This Row],[delayed]]=1,"Delayed","On Time")</f>
        <v>Delayed</v>
      </c>
      <c r="N2393" t="str">
        <f>IF(AND(Table1[[#This Row],[delayed]]=1,Table1[[#This Row],[weather_condition]]="Storm"),"High Risk", IF(Table1[[#This Row],[delayed]]=1,"Medium Risk","Low Risk"))</f>
        <v>Medium Risk</v>
      </c>
    </row>
    <row r="2394" spans="1:14" x14ac:dyDescent="0.35">
      <c r="A2394">
        <v>2393</v>
      </c>
      <c r="B2394" s="1">
        <v>45026.666666666664</v>
      </c>
      <c r="C2394" s="2">
        <v>4.8611111111111112E-3</v>
      </c>
      <c r="D2394" s="3">
        <v>3215</v>
      </c>
      <c r="E2394" s="3">
        <v>225</v>
      </c>
      <c r="F2394" s="2">
        <v>8.8388888888888886</v>
      </c>
      <c r="G2394" t="s">
        <v>2819</v>
      </c>
      <c r="H2394" t="s">
        <v>2822</v>
      </c>
      <c r="I2394" s="2">
        <v>2.3763888888888887</v>
      </c>
      <c r="J2394" s="4" t="str">
        <f>IF(Table1[[#This Row],[processing_time_hours]]&gt;1.5,"Slow", "Fast")</f>
        <v>Slow</v>
      </c>
      <c r="K2394" t="s">
        <v>2818</v>
      </c>
      <c r="L2394" s="3">
        <v>0</v>
      </c>
      <c r="M2394" t="str">
        <f>IF(Table1[[#This Row],[delayed]]=1,"Delayed","On Time")</f>
        <v>On Time</v>
      </c>
      <c r="N2394" t="str">
        <f>IF(AND(Table1[[#This Row],[delayed]]=1,Table1[[#This Row],[weather_condition]]="Storm"),"High Risk", IF(Table1[[#This Row],[delayed]]=1,"Medium Risk","Low Risk"))</f>
        <v>Low Risk</v>
      </c>
    </row>
    <row r="2395" spans="1:14" x14ac:dyDescent="0.35">
      <c r="A2395">
        <v>2394</v>
      </c>
      <c r="B2395" s="1">
        <v>45026.708333333336</v>
      </c>
      <c r="C2395" s="2">
        <v>6.8749999999999992E-2</v>
      </c>
      <c r="D2395" s="3">
        <v>4036</v>
      </c>
      <c r="E2395" s="3">
        <v>310</v>
      </c>
      <c r="F2395" s="2">
        <v>30.375694444444445</v>
      </c>
      <c r="G2395" t="s">
        <v>2816</v>
      </c>
      <c r="H2395" t="s">
        <v>2817</v>
      </c>
      <c r="I2395" s="2">
        <v>1.6729166666666666</v>
      </c>
      <c r="J2395" s="4" t="str">
        <f>IF(Table1[[#This Row],[processing_time_hours]]&gt;1.5,"Slow", "Fast")</f>
        <v>Slow</v>
      </c>
      <c r="K2395" t="s">
        <v>2818</v>
      </c>
      <c r="L2395" s="3">
        <v>0</v>
      </c>
      <c r="M2395" t="str">
        <f>IF(Table1[[#This Row],[delayed]]=1,"Delayed","On Time")</f>
        <v>On Time</v>
      </c>
      <c r="N2395" t="str">
        <f>IF(AND(Table1[[#This Row],[delayed]]=1,Table1[[#This Row],[weather_condition]]="Storm"),"High Risk", IF(Table1[[#This Row],[delayed]]=1,"Medium Risk","Low Risk"))</f>
        <v>Low Risk</v>
      </c>
    </row>
    <row r="2396" spans="1:14" x14ac:dyDescent="0.35">
      <c r="A2396">
        <v>2395</v>
      </c>
      <c r="B2396" s="1">
        <v>45026.75</v>
      </c>
      <c r="C2396" s="2">
        <v>5.7638888888888885E-2</v>
      </c>
      <c r="D2396" s="3">
        <v>3546</v>
      </c>
      <c r="E2396" s="3">
        <v>417</v>
      </c>
      <c r="F2396" s="2">
        <v>46.128472222222221</v>
      </c>
      <c r="G2396" t="s">
        <v>2819</v>
      </c>
      <c r="H2396" t="s">
        <v>2813</v>
      </c>
      <c r="I2396" s="2">
        <v>2.5874999999999999</v>
      </c>
      <c r="J2396" s="4" t="str">
        <f>IF(Table1[[#This Row],[processing_time_hours]]&gt;1.5,"Slow", "Fast")</f>
        <v>Slow</v>
      </c>
      <c r="K2396" t="s">
        <v>2814</v>
      </c>
      <c r="L2396" s="3">
        <v>0</v>
      </c>
      <c r="M2396" t="str">
        <f>IF(Table1[[#This Row],[delayed]]=1,"Delayed","On Time")</f>
        <v>On Time</v>
      </c>
      <c r="N2396" t="str">
        <f>IF(AND(Table1[[#This Row],[delayed]]=1,Table1[[#This Row],[weather_condition]]="Storm"),"High Risk", IF(Table1[[#This Row],[delayed]]=1,"Medium Risk","Low Risk"))</f>
        <v>Low Risk</v>
      </c>
    </row>
    <row r="2397" spans="1:14" x14ac:dyDescent="0.35">
      <c r="A2397">
        <v>2396</v>
      </c>
      <c r="B2397" s="1">
        <v>45026.791666666664</v>
      </c>
      <c r="C2397" s="2">
        <v>5.7638888888888885E-2</v>
      </c>
      <c r="D2397" s="3">
        <v>3136</v>
      </c>
      <c r="E2397" s="3">
        <v>293</v>
      </c>
      <c r="F2397" s="2">
        <v>61.084722222222219</v>
      </c>
      <c r="G2397" t="s">
        <v>2819</v>
      </c>
      <c r="H2397" t="s">
        <v>2822</v>
      </c>
      <c r="I2397" s="2">
        <v>2.880555555555556</v>
      </c>
      <c r="J2397" s="4" t="str">
        <f>IF(Table1[[#This Row],[processing_time_hours]]&gt;1.5,"Slow", "Fast")</f>
        <v>Slow</v>
      </c>
      <c r="K2397" t="s">
        <v>2821</v>
      </c>
      <c r="L2397" s="3">
        <v>0</v>
      </c>
      <c r="M2397" t="str">
        <f>IF(Table1[[#This Row],[delayed]]=1,"Delayed","On Time")</f>
        <v>On Time</v>
      </c>
      <c r="N2397" t="str">
        <f>IF(AND(Table1[[#This Row],[delayed]]=1,Table1[[#This Row],[weather_condition]]="Storm"),"High Risk", IF(Table1[[#This Row],[delayed]]=1,"Medium Risk","Low Risk"))</f>
        <v>Low Risk</v>
      </c>
    </row>
    <row r="2398" spans="1:14" x14ac:dyDescent="0.35">
      <c r="A2398">
        <v>2397</v>
      </c>
      <c r="B2398" s="1">
        <v>45026.833333333336</v>
      </c>
      <c r="C2398" s="2">
        <v>4.8611111111111112E-3</v>
      </c>
      <c r="D2398" s="3">
        <v>2624</v>
      </c>
      <c r="E2398" s="3">
        <v>1</v>
      </c>
      <c r="F2398" s="2">
        <v>49.297222222222224</v>
      </c>
      <c r="G2398" t="s">
        <v>2816</v>
      </c>
      <c r="H2398" t="s">
        <v>2820</v>
      </c>
      <c r="I2398" s="2">
        <v>1.6701388888888891</v>
      </c>
      <c r="J2398" s="4" t="str">
        <f>IF(Table1[[#This Row],[processing_time_hours]]&gt;1.5,"Slow", "Fast")</f>
        <v>Slow</v>
      </c>
      <c r="K2398" t="s">
        <v>2821</v>
      </c>
      <c r="L2398" s="3">
        <v>1</v>
      </c>
      <c r="M2398" t="str">
        <f>IF(Table1[[#This Row],[delayed]]=1,"Delayed","On Time")</f>
        <v>Delayed</v>
      </c>
      <c r="N2398" t="str">
        <f>IF(AND(Table1[[#This Row],[delayed]]=1,Table1[[#This Row],[weather_condition]]="Storm"),"High Risk", IF(Table1[[#This Row],[delayed]]=1,"Medium Risk","Low Risk"))</f>
        <v>Medium Risk</v>
      </c>
    </row>
    <row r="2399" spans="1:14" x14ac:dyDescent="0.35">
      <c r="A2399">
        <v>2398</v>
      </c>
      <c r="B2399" s="1">
        <v>45026.875</v>
      </c>
      <c r="C2399" s="2">
        <v>5.4166666666666669E-2</v>
      </c>
      <c r="D2399" s="3">
        <v>2773</v>
      </c>
      <c r="E2399" s="3">
        <v>135</v>
      </c>
      <c r="F2399" s="2">
        <v>50.422916666666673</v>
      </c>
      <c r="G2399" t="s">
        <v>2815</v>
      </c>
      <c r="H2399" t="s">
        <v>2813</v>
      </c>
      <c r="I2399" s="2">
        <v>1.9194444444444445</v>
      </c>
      <c r="J2399" s="4" t="str">
        <f>IF(Table1[[#This Row],[processing_time_hours]]&gt;1.5,"Slow", "Fast")</f>
        <v>Slow</v>
      </c>
      <c r="K2399" t="s">
        <v>2814</v>
      </c>
      <c r="L2399" s="3">
        <v>0</v>
      </c>
      <c r="M2399" t="str">
        <f>IF(Table1[[#This Row],[delayed]]=1,"Delayed","On Time")</f>
        <v>On Time</v>
      </c>
      <c r="N2399" t="str">
        <f>IF(AND(Table1[[#This Row],[delayed]]=1,Table1[[#This Row],[weather_condition]]="Storm"),"High Risk", IF(Table1[[#This Row],[delayed]]=1,"Medium Risk","Low Risk"))</f>
        <v>Low Risk</v>
      </c>
    </row>
    <row r="2400" spans="1:14" x14ac:dyDescent="0.35">
      <c r="A2400">
        <v>2399</v>
      </c>
      <c r="B2400" s="1">
        <v>45026.916666666664</v>
      </c>
      <c r="C2400" s="2">
        <v>4.9305555555555554E-2</v>
      </c>
      <c r="D2400" s="3">
        <v>2284</v>
      </c>
      <c r="E2400" s="3">
        <v>203</v>
      </c>
      <c r="F2400" s="2">
        <v>29.171527777777779</v>
      </c>
      <c r="G2400" t="s">
        <v>2819</v>
      </c>
      <c r="H2400" t="s">
        <v>2813</v>
      </c>
      <c r="I2400" s="2">
        <v>2.0423611111111111</v>
      </c>
      <c r="J2400" s="4" t="str">
        <f>IF(Table1[[#This Row],[processing_time_hours]]&gt;1.5,"Slow", "Fast")</f>
        <v>Slow</v>
      </c>
      <c r="K2400" t="s">
        <v>2814</v>
      </c>
      <c r="L2400" s="3">
        <v>0</v>
      </c>
      <c r="M2400" t="str">
        <f>IF(Table1[[#This Row],[delayed]]=1,"Delayed","On Time")</f>
        <v>On Time</v>
      </c>
      <c r="N2400" t="str">
        <f>IF(AND(Table1[[#This Row],[delayed]]=1,Table1[[#This Row],[weather_condition]]="Storm"),"High Risk", IF(Table1[[#This Row],[delayed]]=1,"Medium Risk","Low Risk"))</f>
        <v>Low Risk</v>
      </c>
    </row>
    <row r="2401" spans="1:14" x14ac:dyDescent="0.35">
      <c r="A2401">
        <v>2400</v>
      </c>
      <c r="B2401" s="1">
        <v>45026.958333333336</v>
      </c>
      <c r="C2401" s="2">
        <v>4.5833333333333337E-2</v>
      </c>
      <c r="D2401" s="3">
        <v>3267</v>
      </c>
      <c r="E2401" s="3">
        <v>488</v>
      </c>
      <c r="F2401" s="2">
        <v>34.584722222222219</v>
      </c>
      <c r="G2401" t="s">
        <v>2816</v>
      </c>
      <c r="H2401" t="s">
        <v>2820</v>
      </c>
      <c r="I2401" s="2">
        <v>2.5874999999999999</v>
      </c>
      <c r="J2401" s="4" t="str">
        <f>IF(Table1[[#This Row],[processing_time_hours]]&gt;1.5,"Slow", "Fast")</f>
        <v>Slow</v>
      </c>
      <c r="K2401" t="s">
        <v>2814</v>
      </c>
      <c r="L2401" s="3">
        <v>1</v>
      </c>
      <c r="M2401" t="str">
        <f>IF(Table1[[#This Row],[delayed]]=1,"Delayed","On Time")</f>
        <v>Delayed</v>
      </c>
      <c r="N2401" t="str">
        <f>IF(AND(Table1[[#This Row],[delayed]]=1,Table1[[#This Row],[weather_condition]]="Storm"),"High Risk", IF(Table1[[#This Row],[delayed]]=1,"Medium Risk","Low Risk"))</f>
        <v>Medium Risk</v>
      </c>
    </row>
    <row r="2402" spans="1:14" x14ac:dyDescent="0.35">
      <c r="A2402">
        <v>2401</v>
      </c>
      <c r="B2402" s="1">
        <v>45027</v>
      </c>
      <c r="C2402" s="2">
        <v>4.9305555555555554E-2</v>
      </c>
      <c r="D2402" s="3">
        <v>2361</v>
      </c>
      <c r="E2402" s="3">
        <v>364</v>
      </c>
      <c r="F2402" s="2">
        <v>24.962500000000002</v>
      </c>
      <c r="G2402" t="s">
        <v>2819</v>
      </c>
      <c r="H2402" t="s">
        <v>2822</v>
      </c>
      <c r="I2402" s="2">
        <v>2.5833333333333335</v>
      </c>
      <c r="J2402" s="4" t="str">
        <f>IF(Table1[[#This Row],[processing_time_hours]]&gt;1.5,"Slow", "Fast")</f>
        <v>Slow</v>
      </c>
      <c r="K2402" t="s">
        <v>2821</v>
      </c>
      <c r="L2402" s="3">
        <v>0</v>
      </c>
      <c r="M2402" t="str">
        <f>IF(Table1[[#This Row],[delayed]]=1,"Delayed","On Time")</f>
        <v>On Time</v>
      </c>
      <c r="N2402" t="str">
        <f>IF(AND(Table1[[#This Row],[delayed]]=1,Table1[[#This Row],[weather_condition]]="Storm"),"High Risk", IF(Table1[[#This Row],[delayed]]=1,"Medium Risk","Low Risk"))</f>
        <v>Low Risk</v>
      </c>
    </row>
    <row r="2403" spans="1:14" x14ac:dyDescent="0.35">
      <c r="A2403">
        <v>2402</v>
      </c>
      <c r="B2403" s="1">
        <v>45027.041666666664</v>
      </c>
      <c r="C2403" s="2">
        <v>5.6944444444444443E-2</v>
      </c>
      <c r="D2403" s="3">
        <v>3753</v>
      </c>
      <c r="E2403" s="3">
        <v>21</v>
      </c>
      <c r="F2403" s="2">
        <v>9.3347222222222221</v>
      </c>
      <c r="G2403" t="s">
        <v>2819</v>
      </c>
      <c r="H2403" t="s">
        <v>2813</v>
      </c>
      <c r="I2403" s="2">
        <v>0.20833333333333334</v>
      </c>
      <c r="J2403" s="4" t="str">
        <f>IF(Table1[[#This Row],[processing_time_hours]]&gt;1.5,"Slow", "Fast")</f>
        <v>Fast</v>
      </c>
      <c r="K2403" t="s">
        <v>2818</v>
      </c>
      <c r="L2403" s="3">
        <v>0</v>
      </c>
      <c r="M2403" t="str">
        <f>IF(Table1[[#This Row],[delayed]]=1,"Delayed","On Time")</f>
        <v>On Time</v>
      </c>
      <c r="N2403" t="str">
        <f>IF(AND(Table1[[#This Row],[delayed]]=1,Table1[[#This Row],[weather_condition]]="Storm"),"High Risk", IF(Table1[[#This Row],[delayed]]=1,"Medium Risk","Low Risk"))</f>
        <v>Low Risk</v>
      </c>
    </row>
    <row r="2404" spans="1:14" x14ac:dyDescent="0.35">
      <c r="A2404">
        <v>2403</v>
      </c>
      <c r="B2404" s="1">
        <v>45027.083333333336</v>
      </c>
      <c r="C2404" s="2">
        <v>5.6250000000000001E-2</v>
      </c>
      <c r="D2404" s="3">
        <v>4580</v>
      </c>
      <c r="E2404" s="3">
        <v>469</v>
      </c>
      <c r="F2404" s="2">
        <v>34.130555555555553</v>
      </c>
      <c r="G2404" t="s">
        <v>2815</v>
      </c>
      <c r="H2404" t="s">
        <v>2820</v>
      </c>
      <c r="I2404" s="2">
        <v>1.8805555555555555</v>
      </c>
      <c r="J2404" s="4" t="str">
        <f>IF(Table1[[#This Row],[processing_time_hours]]&gt;1.5,"Slow", "Fast")</f>
        <v>Slow</v>
      </c>
      <c r="K2404" t="s">
        <v>2821</v>
      </c>
      <c r="L2404" s="3">
        <v>0</v>
      </c>
      <c r="M2404" t="str">
        <f>IF(Table1[[#This Row],[delayed]]=1,"Delayed","On Time")</f>
        <v>On Time</v>
      </c>
      <c r="N2404" t="str">
        <f>IF(AND(Table1[[#This Row],[delayed]]=1,Table1[[#This Row],[weather_condition]]="Storm"),"High Risk", IF(Table1[[#This Row],[delayed]]=1,"Medium Risk","Low Risk"))</f>
        <v>Low Risk</v>
      </c>
    </row>
    <row r="2405" spans="1:14" x14ac:dyDescent="0.35">
      <c r="A2405">
        <v>2404</v>
      </c>
      <c r="B2405" s="1">
        <v>45027.125</v>
      </c>
      <c r="C2405" s="2">
        <v>5.6250000000000001E-2</v>
      </c>
      <c r="D2405" s="3">
        <v>1381</v>
      </c>
      <c r="E2405" s="3">
        <v>273</v>
      </c>
      <c r="F2405" s="2">
        <v>29.293749999999999</v>
      </c>
      <c r="G2405" t="s">
        <v>2816</v>
      </c>
      <c r="H2405" t="s">
        <v>2817</v>
      </c>
      <c r="I2405" s="2">
        <v>0.3354166666666667</v>
      </c>
      <c r="J2405" s="4" t="str">
        <f>IF(Table1[[#This Row],[processing_time_hours]]&gt;1.5,"Slow", "Fast")</f>
        <v>Fast</v>
      </c>
      <c r="K2405" t="s">
        <v>2821</v>
      </c>
      <c r="L2405" s="3">
        <v>0</v>
      </c>
      <c r="M2405" t="str">
        <f>IF(Table1[[#This Row],[delayed]]=1,"Delayed","On Time")</f>
        <v>On Time</v>
      </c>
      <c r="N2405" t="str">
        <f>IF(AND(Table1[[#This Row],[delayed]]=1,Table1[[#This Row],[weather_condition]]="Storm"),"High Risk", IF(Table1[[#This Row],[delayed]]=1,"Medium Risk","Low Risk"))</f>
        <v>Low Risk</v>
      </c>
    </row>
    <row r="2406" spans="1:14" x14ac:dyDescent="0.35">
      <c r="A2406">
        <v>2405</v>
      </c>
      <c r="B2406" s="1">
        <v>45027.166666666664</v>
      </c>
      <c r="C2406" s="2">
        <v>5.1388888888888894E-2</v>
      </c>
      <c r="D2406" s="3">
        <v>2735</v>
      </c>
      <c r="E2406" s="3">
        <v>104</v>
      </c>
      <c r="F2406" s="2">
        <v>19.502777777777776</v>
      </c>
      <c r="G2406" t="s">
        <v>2812</v>
      </c>
      <c r="H2406" t="s">
        <v>2820</v>
      </c>
      <c r="I2406" s="2">
        <v>1.3756944444444443</v>
      </c>
      <c r="J2406" s="4" t="str">
        <f>IF(Table1[[#This Row],[processing_time_hours]]&gt;1.5,"Slow", "Fast")</f>
        <v>Fast</v>
      </c>
      <c r="K2406" t="s">
        <v>2818</v>
      </c>
      <c r="L2406" s="3">
        <v>0</v>
      </c>
      <c r="M2406" t="str">
        <f>IF(Table1[[#This Row],[delayed]]=1,"Delayed","On Time")</f>
        <v>On Time</v>
      </c>
      <c r="N2406" t="str">
        <f>IF(AND(Table1[[#This Row],[delayed]]=1,Table1[[#This Row],[weather_condition]]="Storm"),"High Risk", IF(Table1[[#This Row],[delayed]]=1,"Medium Risk","Low Risk"))</f>
        <v>Low Risk</v>
      </c>
    </row>
    <row r="2407" spans="1:14" x14ac:dyDescent="0.35">
      <c r="A2407">
        <v>2406</v>
      </c>
      <c r="B2407" s="1">
        <v>45027.208333333336</v>
      </c>
      <c r="C2407" s="2">
        <v>5.3472222222222227E-2</v>
      </c>
      <c r="D2407" s="3">
        <v>819</v>
      </c>
      <c r="E2407" s="3">
        <v>9</v>
      </c>
      <c r="F2407" s="2">
        <v>35.629861111111111</v>
      </c>
      <c r="G2407" t="s">
        <v>2819</v>
      </c>
      <c r="H2407" t="s">
        <v>2820</v>
      </c>
      <c r="I2407" s="2">
        <v>1.6305555555555555</v>
      </c>
      <c r="J2407" s="4" t="str">
        <f>IF(Table1[[#This Row],[processing_time_hours]]&gt;1.5,"Slow", "Fast")</f>
        <v>Slow</v>
      </c>
      <c r="K2407" t="s">
        <v>2821</v>
      </c>
      <c r="L2407" s="3">
        <v>0</v>
      </c>
      <c r="M2407" t="str">
        <f>IF(Table1[[#This Row],[delayed]]=1,"Delayed","On Time")</f>
        <v>On Time</v>
      </c>
      <c r="N2407" t="str">
        <f>IF(AND(Table1[[#This Row],[delayed]]=1,Table1[[#This Row],[weather_condition]]="Storm"),"High Risk", IF(Table1[[#This Row],[delayed]]=1,"Medium Risk","Low Risk"))</f>
        <v>Low Risk</v>
      </c>
    </row>
    <row r="2408" spans="1:14" x14ac:dyDescent="0.35">
      <c r="A2408">
        <v>2407</v>
      </c>
      <c r="B2408" s="1">
        <v>45027.25</v>
      </c>
      <c r="C2408" s="2">
        <v>6.5972222222222224E-2</v>
      </c>
      <c r="D2408" s="3">
        <v>351</v>
      </c>
      <c r="E2408" s="3">
        <v>180</v>
      </c>
      <c r="F2408" s="2">
        <v>23.792361111111109</v>
      </c>
      <c r="G2408" t="s">
        <v>2815</v>
      </c>
      <c r="H2408" t="s">
        <v>2822</v>
      </c>
      <c r="I2408" s="2">
        <v>1.0048611111111112</v>
      </c>
      <c r="J2408" s="4" t="str">
        <f>IF(Table1[[#This Row],[processing_time_hours]]&gt;1.5,"Slow", "Fast")</f>
        <v>Fast</v>
      </c>
      <c r="K2408" t="s">
        <v>2821</v>
      </c>
      <c r="L2408" s="3">
        <v>1</v>
      </c>
      <c r="M2408" t="str">
        <f>IF(Table1[[#This Row],[delayed]]=1,"Delayed","On Time")</f>
        <v>Delayed</v>
      </c>
      <c r="N2408" t="str">
        <f>IF(AND(Table1[[#This Row],[delayed]]=1,Table1[[#This Row],[weather_condition]]="Storm"),"High Risk", IF(Table1[[#This Row],[delayed]]=1,"Medium Risk","Low Risk"))</f>
        <v>Medium Risk</v>
      </c>
    </row>
    <row r="2409" spans="1:14" x14ac:dyDescent="0.35">
      <c r="A2409">
        <v>2408</v>
      </c>
      <c r="B2409" s="1">
        <v>45027.291666666664</v>
      </c>
      <c r="C2409" s="2">
        <v>6.7361111111111108E-2</v>
      </c>
      <c r="D2409" s="3">
        <v>796</v>
      </c>
      <c r="E2409" s="3">
        <v>403</v>
      </c>
      <c r="F2409" s="2">
        <v>14.250694444444443</v>
      </c>
      <c r="G2409" t="s">
        <v>2812</v>
      </c>
      <c r="H2409" t="s">
        <v>2813</v>
      </c>
      <c r="I2409" s="2">
        <v>2.6263888888888887</v>
      </c>
      <c r="J2409" s="4" t="str">
        <f>IF(Table1[[#This Row],[processing_time_hours]]&gt;1.5,"Slow", "Fast")</f>
        <v>Slow</v>
      </c>
      <c r="K2409" t="s">
        <v>2818</v>
      </c>
      <c r="L2409" s="3">
        <v>0</v>
      </c>
      <c r="M2409" t="str">
        <f>IF(Table1[[#This Row],[delayed]]=1,"Delayed","On Time")</f>
        <v>On Time</v>
      </c>
      <c r="N2409" t="str">
        <f>IF(AND(Table1[[#This Row],[delayed]]=1,Table1[[#This Row],[weather_condition]]="Storm"),"High Risk", IF(Table1[[#This Row],[delayed]]=1,"Medium Risk","Low Risk"))</f>
        <v>Low Risk</v>
      </c>
    </row>
    <row r="2410" spans="1:14" x14ac:dyDescent="0.35">
      <c r="A2410">
        <v>2409</v>
      </c>
      <c r="B2410" s="1">
        <v>45027.333333333336</v>
      </c>
      <c r="C2410" s="2">
        <v>6.6666666666666666E-2</v>
      </c>
      <c r="D2410" s="3">
        <v>776</v>
      </c>
      <c r="E2410" s="3">
        <v>329</v>
      </c>
      <c r="F2410" s="2">
        <v>48.541666666666664</v>
      </c>
      <c r="G2410" t="s">
        <v>2815</v>
      </c>
      <c r="H2410" t="s">
        <v>2822</v>
      </c>
      <c r="I2410" s="2">
        <v>2.0895833333333331</v>
      </c>
      <c r="J2410" s="4" t="str">
        <f>IF(Table1[[#This Row],[processing_time_hours]]&gt;1.5,"Slow", "Fast")</f>
        <v>Slow</v>
      </c>
      <c r="K2410" t="s">
        <v>2814</v>
      </c>
      <c r="L2410" s="3">
        <v>0</v>
      </c>
      <c r="M2410" t="str">
        <f>IF(Table1[[#This Row],[delayed]]=1,"Delayed","On Time")</f>
        <v>On Time</v>
      </c>
      <c r="N2410" t="str">
        <f>IF(AND(Table1[[#This Row],[delayed]]=1,Table1[[#This Row],[weather_condition]]="Storm"),"High Risk", IF(Table1[[#This Row],[delayed]]=1,"Medium Risk","Low Risk"))</f>
        <v>Low Risk</v>
      </c>
    </row>
    <row r="2411" spans="1:14" x14ac:dyDescent="0.35">
      <c r="A2411">
        <v>2410</v>
      </c>
      <c r="B2411" s="1">
        <v>45027.375</v>
      </c>
      <c r="C2411" s="2">
        <v>4.7916666666666663E-2</v>
      </c>
      <c r="D2411" s="3">
        <v>3133</v>
      </c>
      <c r="E2411" s="3">
        <v>117</v>
      </c>
      <c r="F2411" s="2">
        <v>76.5</v>
      </c>
      <c r="G2411" t="s">
        <v>2815</v>
      </c>
      <c r="H2411" t="s">
        <v>2813</v>
      </c>
      <c r="I2411" s="2">
        <v>2.5006944444444446</v>
      </c>
      <c r="J2411" s="4" t="str">
        <f>IF(Table1[[#This Row],[processing_time_hours]]&gt;1.5,"Slow", "Fast")</f>
        <v>Slow</v>
      </c>
      <c r="K2411" t="s">
        <v>2821</v>
      </c>
      <c r="L2411" s="3">
        <v>0</v>
      </c>
      <c r="M2411" t="str">
        <f>IF(Table1[[#This Row],[delayed]]=1,"Delayed","On Time")</f>
        <v>On Time</v>
      </c>
      <c r="N2411" t="str">
        <f>IF(AND(Table1[[#This Row],[delayed]]=1,Table1[[#This Row],[weather_condition]]="Storm"),"High Risk", IF(Table1[[#This Row],[delayed]]=1,"Medium Risk","Low Risk"))</f>
        <v>Low Risk</v>
      </c>
    </row>
    <row r="2412" spans="1:14" x14ac:dyDescent="0.35">
      <c r="A2412">
        <v>2411</v>
      </c>
      <c r="B2412" s="1">
        <v>45027.416666666664</v>
      </c>
      <c r="C2412" s="2">
        <v>5.9027777777777783E-2</v>
      </c>
      <c r="D2412" s="3">
        <v>2514</v>
      </c>
      <c r="E2412" s="3">
        <v>35</v>
      </c>
      <c r="F2412" s="2">
        <v>64.58541666666666</v>
      </c>
      <c r="G2412" t="s">
        <v>2815</v>
      </c>
      <c r="H2412" t="s">
        <v>2817</v>
      </c>
      <c r="I2412" s="2">
        <v>0.1673611111111111</v>
      </c>
      <c r="J2412" s="4" t="str">
        <f>IF(Table1[[#This Row],[processing_time_hours]]&gt;1.5,"Slow", "Fast")</f>
        <v>Fast</v>
      </c>
      <c r="K2412" t="s">
        <v>2821</v>
      </c>
      <c r="L2412" s="3">
        <v>0</v>
      </c>
      <c r="M2412" t="str">
        <f>IF(Table1[[#This Row],[delayed]]=1,"Delayed","On Time")</f>
        <v>On Time</v>
      </c>
      <c r="N2412" t="str">
        <f>IF(AND(Table1[[#This Row],[delayed]]=1,Table1[[#This Row],[weather_condition]]="Storm"),"High Risk", IF(Table1[[#This Row],[delayed]]=1,"Medium Risk","Low Risk"))</f>
        <v>Low Risk</v>
      </c>
    </row>
    <row r="2413" spans="1:14" x14ac:dyDescent="0.35">
      <c r="A2413">
        <v>2412</v>
      </c>
      <c r="B2413" s="1">
        <v>45027.458333333336</v>
      </c>
      <c r="C2413" s="2">
        <v>6.3194444444444442E-2</v>
      </c>
      <c r="D2413" s="3">
        <v>4485</v>
      </c>
      <c r="E2413" s="3">
        <v>479</v>
      </c>
      <c r="F2413" s="2">
        <v>58.83819444444444</v>
      </c>
      <c r="G2413" t="s">
        <v>2815</v>
      </c>
      <c r="H2413" t="s">
        <v>2813</v>
      </c>
      <c r="I2413" s="2">
        <v>2.4229166666666666</v>
      </c>
      <c r="J2413" s="4" t="str">
        <f>IF(Table1[[#This Row],[processing_time_hours]]&gt;1.5,"Slow", "Fast")</f>
        <v>Slow</v>
      </c>
      <c r="K2413" t="s">
        <v>2821</v>
      </c>
      <c r="L2413" s="3">
        <v>0</v>
      </c>
      <c r="M2413" t="str">
        <f>IF(Table1[[#This Row],[delayed]]=1,"Delayed","On Time")</f>
        <v>On Time</v>
      </c>
      <c r="N2413" t="str">
        <f>IF(AND(Table1[[#This Row],[delayed]]=1,Table1[[#This Row],[weather_condition]]="Storm"),"High Risk", IF(Table1[[#This Row],[delayed]]=1,"Medium Risk","Low Risk"))</f>
        <v>Low Risk</v>
      </c>
    </row>
    <row r="2414" spans="1:14" x14ac:dyDescent="0.35">
      <c r="A2414">
        <v>2413</v>
      </c>
      <c r="B2414" s="1">
        <v>45027.5</v>
      </c>
      <c r="C2414" s="2">
        <v>5.0694444444444438E-2</v>
      </c>
      <c r="D2414" s="3">
        <v>2683</v>
      </c>
      <c r="E2414" s="3">
        <v>478</v>
      </c>
      <c r="F2414" s="2">
        <v>25.461111111111112</v>
      </c>
      <c r="G2414" t="s">
        <v>2816</v>
      </c>
      <c r="H2414" t="s">
        <v>2820</v>
      </c>
      <c r="I2414" s="2">
        <v>2.1715277777777779</v>
      </c>
      <c r="J2414" s="4" t="str">
        <f>IF(Table1[[#This Row],[processing_time_hours]]&gt;1.5,"Slow", "Fast")</f>
        <v>Slow</v>
      </c>
      <c r="K2414" t="s">
        <v>2821</v>
      </c>
      <c r="L2414" s="3">
        <v>0</v>
      </c>
      <c r="M2414" t="str">
        <f>IF(Table1[[#This Row],[delayed]]=1,"Delayed","On Time")</f>
        <v>On Time</v>
      </c>
      <c r="N2414" t="str">
        <f>IF(AND(Table1[[#This Row],[delayed]]=1,Table1[[#This Row],[weather_condition]]="Storm"),"High Risk", IF(Table1[[#This Row],[delayed]]=1,"Medium Risk","Low Risk"))</f>
        <v>Low Risk</v>
      </c>
    </row>
    <row r="2415" spans="1:14" x14ac:dyDescent="0.35">
      <c r="A2415">
        <v>2414</v>
      </c>
      <c r="B2415" s="1">
        <v>45027.541666666664</v>
      </c>
      <c r="C2415" s="2">
        <v>5.486111111111111E-2</v>
      </c>
      <c r="D2415" s="3">
        <v>3285</v>
      </c>
      <c r="E2415" s="3">
        <v>20</v>
      </c>
      <c r="F2415" s="2">
        <v>78.209027777777777</v>
      </c>
      <c r="G2415" t="s">
        <v>2812</v>
      </c>
      <c r="H2415" t="s">
        <v>2817</v>
      </c>
      <c r="I2415" s="2">
        <v>1.8368055555555556</v>
      </c>
      <c r="J2415" s="4" t="str">
        <f>IF(Table1[[#This Row],[processing_time_hours]]&gt;1.5,"Slow", "Fast")</f>
        <v>Slow</v>
      </c>
      <c r="K2415" t="s">
        <v>2814</v>
      </c>
      <c r="L2415" s="3">
        <v>0</v>
      </c>
      <c r="M2415" t="str">
        <f>IF(Table1[[#This Row],[delayed]]=1,"Delayed","On Time")</f>
        <v>On Time</v>
      </c>
      <c r="N2415" t="str">
        <f>IF(AND(Table1[[#This Row],[delayed]]=1,Table1[[#This Row],[weather_condition]]="Storm"),"High Risk", IF(Table1[[#This Row],[delayed]]=1,"Medium Risk","Low Risk"))</f>
        <v>Low Risk</v>
      </c>
    </row>
    <row r="2416" spans="1:14" x14ac:dyDescent="0.35">
      <c r="A2416">
        <v>2415</v>
      </c>
      <c r="B2416" s="1">
        <v>45027.583333333336</v>
      </c>
      <c r="C2416" s="2">
        <v>6.5277777777777782E-2</v>
      </c>
      <c r="D2416" s="3">
        <v>3733</v>
      </c>
      <c r="E2416" s="3">
        <v>453</v>
      </c>
      <c r="F2416" s="2">
        <v>64.794444444444437</v>
      </c>
      <c r="G2416" t="s">
        <v>2812</v>
      </c>
      <c r="H2416" t="s">
        <v>2817</v>
      </c>
      <c r="I2416" s="2">
        <v>0.33888888888888885</v>
      </c>
      <c r="J2416" s="4" t="str">
        <f>IF(Table1[[#This Row],[processing_time_hours]]&gt;1.5,"Slow", "Fast")</f>
        <v>Fast</v>
      </c>
      <c r="K2416" t="s">
        <v>2821</v>
      </c>
      <c r="L2416" s="3">
        <v>0</v>
      </c>
      <c r="M2416" t="str">
        <f>IF(Table1[[#This Row],[delayed]]=1,"Delayed","On Time")</f>
        <v>On Time</v>
      </c>
      <c r="N2416" t="str">
        <f>IF(AND(Table1[[#This Row],[delayed]]=1,Table1[[#This Row],[weather_condition]]="Storm"),"High Risk", IF(Table1[[#This Row],[delayed]]=1,"Medium Risk","Low Risk"))</f>
        <v>Low Risk</v>
      </c>
    </row>
    <row r="2417" spans="1:14" x14ac:dyDescent="0.35">
      <c r="A2417">
        <v>2416</v>
      </c>
      <c r="B2417" s="1">
        <v>45027.625</v>
      </c>
      <c r="C2417" s="2">
        <v>6.1111111111111109E-2</v>
      </c>
      <c r="D2417" s="3">
        <v>1937</v>
      </c>
      <c r="E2417" s="3">
        <v>438</v>
      </c>
      <c r="F2417" s="2">
        <v>37.959722222222219</v>
      </c>
      <c r="G2417" t="s">
        <v>2815</v>
      </c>
      <c r="H2417" t="s">
        <v>2817</v>
      </c>
      <c r="I2417" s="2">
        <v>2.3340277777777776</v>
      </c>
      <c r="J2417" s="4" t="str">
        <f>IF(Table1[[#This Row],[processing_time_hours]]&gt;1.5,"Slow", "Fast")</f>
        <v>Slow</v>
      </c>
      <c r="K2417" t="s">
        <v>2818</v>
      </c>
      <c r="L2417" s="3">
        <v>0</v>
      </c>
      <c r="M2417" t="str">
        <f>IF(Table1[[#This Row],[delayed]]=1,"Delayed","On Time")</f>
        <v>On Time</v>
      </c>
      <c r="N2417" t="str">
        <f>IF(AND(Table1[[#This Row],[delayed]]=1,Table1[[#This Row],[weather_condition]]="Storm"),"High Risk", IF(Table1[[#This Row],[delayed]]=1,"Medium Risk","Low Risk"))</f>
        <v>Low Risk</v>
      </c>
    </row>
    <row r="2418" spans="1:14" x14ac:dyDescent="0.35">
      <c r="A2418">
        <v>2417</v>
      </c>
      <c r="B2418" s="1">
        <v>45027.666666666664</v>
      </c>
      <c r="C2418" s="2">
        <v>6.1805555555555558E-2</v>
      </c>
      <c r="D2418" s="3">
        <v>2079</v>
      </c>
      <c r="E2418" s="3">
        <v>4</v>
      </c>
      <c r="F2418" s="2">
        <v>11.71111111111111</v>
      </c>
      <c r="G2418" t="s">
        <v>2816</v>
      </c>
      <c r="H2418" t="s">
        <v>2813</v>
      </c>
      <c r="I2418" s="2">
        <v>2.9597222222222221</v>
      </c>
      <c r="J2418" s="4" t="str">
        <f>IF(Table1[[#This Row],[processing_time_hours]]&gt;1.5,"Slow", "Fast")</f>
        <v>Slow</v>
      </c>
      <c r="K2418" t="s">
        <v>2818</v>
      </c>
      <c r="L2418" s="3">
        <v>1</v>
      </c>
      <c r="M2418" t="str">
        <f>IF(Table1[[#This Row],[delayed]]=1,"Delayed","On Time")</f>
        <v>Delayed</v>
      </c>
      <c r="N2418" t="str">
        <f>IF(AND(Table1[[#This Row],[delayed]]=1,Table1[[#This Row],[weather_condition]]="Storm"),"High Risk", IF(Table1[[#This Row],[delayed]]=1,"Medium Risk","Low Risk"))</f>
        <v>Medium Risk</v>
      </c>
    </row>
    <row r="2419" spans="1:14" x14ac:dyDescent="0.35">
      <c r="A2419">
        <v>2418</v>
      </c>
      <c r="B2419" s="1">
        <v>45027.708333333336</v>
      </c>
      <c r="C2419" s="2">
        <v>4.3750000000000004E-2</v>
      </c>
      <c r="D2419" s="3">
        <v>4828</v>
      </c>
      <c r="E2419" s="3">
        <v>237</v>
      </c>
      <c r="F2419" s="2">
        <v>50.044444444444444</v>
      </c>
      <c r="G2419" t="s">
        <v>2815</v>
      </c>
      <c r="H2419" t="s">
        <v>2822</v>
      </c>
      <c r="I2419" s="2">
        <v>0.29583333333333334</v>
      </c>
      <c r="J2419" s="4" t="str">
        <f>IF(Table1[[#This Row],[processing_time_hours]]&gt;1.5,"Slow", "Fast")</f>
        <v>Fast</v>
      </c>
      <c r="K2419" t="s">
        <v>2814</v>
      </c>
      <c r="L2419" s="3">
        <v>0</v>
      </c>
      <c r="M2419" t="str">
        <f>IF(Table1[[#This Row],[delayed]]=1,"Delayed","On Time")</f>
        <v>On Time</v>
      </c>
      <c r="N2419" t="str">
        <f>IF(AND(Table1[[#This Row],[delayed]]=1,Table1[[#This Row],[weather_condition]]="Storm"),"High Risk", IF(Table1[[#This Row],[delayed]]=1,"Medium Risk","Low Risk"))</f>
        <v>Low Risk</v>
      </c>
    </row>
    <row r="2420" spans="1:14" x14ac:dyDescent="0.35">
      <c r="A2420">
        <v>2419</v>
      </c>
      <c r="B2420" s="1">
        <v>45027.75</v>
      </c>
      <c r="C2420" s="2">
        <v>4.3055555555555562E-2</v>
      </c>
      <c r="D2420" s="3">
        <v>4861</v>
      </c>
      <c r="E2420" s="3">
        <v>489</v>
      </c>
      <c r="F2420" s="2">
        <v>15.169444444444444</v>
      </c>
      <c r="G2420" t="s">
        <v>2815</v>
      </c>
      <c r="H2420" t="s">
        <v>2817</v>
      </c>
      <c r="I2420" s="2">
        <v>2.0895833333333331</v>
      </c>
      <c r="J2420" s="4" t="str">
        <f>IF(Table1[[#This Row],[processing_time_hours]]&gt;1.5,"Slow", "Fast")</f>
        <v>Slow</v>
      </c>
      <c r="K2420" t="s">
        <v>2821</v>
      </c>
      <c r="L2420" s="3">
        <v>0</v>
      </c>
      <c r="M2420" t="str">
        <f>IF(Table1[[#This Row],[delayed]]=1,"Delayed","On Time")</f>
        <v>On Time</v>
      </c>
      <c r="N2420" t="str">
        <f>IF(AND(Table1[[#This Row],[delayed]]=1,Table1[[#This Row],[weather_condition]]="Storm"),"High Risk", IF(Table1[[#This Row],[delayed]]=1,"Medium Risk","Low Risk"))</f>
        <v>Low Risk</v>
      </c>
    </row>
    <row r="2421" spans="1:14" x14ac:dyDescent="0.35">
      <c r="A2421">
        <v>2420</v>
      </c>
      <c r="B2421" s="1">
        <v>45027.791666666664</v>
      </c>
      <c r="C2421" s="2">
        <v>6.1111111111111109E-2</v>
      </c>
      <c r="D2421" s="3">
        <v>3781</v>
      </c>
      <c r="E2421" s="3">
        <v>116</v>
      </c>
      <c r="F2421" s="2">
        <v>27.251388888888886</v>
      </c>
      <c r="G2421" t="s">
        <v>2816</v>
      </c>
      <c r="H2421" t="s">
        <v>2822</v>
      </c>
      <c r="I2421" s="2">
        <v>0.75069444444444444</v>
      </c>
      <c r="J2421" s="4" t="str">
        <f>IF(Table1[[#This Row],[processing_time_hours]]&gt;1.5,"Slow", "Fast")</f>
        <v>Fast</v>
      </c>
      <c r="K2421" t="s">
        <v>2821</v>
      </c>
      <c r="L2421" s="3">
        <v>0</v>
      </c>
      <c r="M2421" t="str">
        <f>IF(Table1[[#This Row],[delayed]]=1,"Delayed","On Time")</f>
        <v>On Time</v>
      </c>
      <c r="N2421" t="str">
        <f>IF(AND(Table1[[#This Row],[delayed]]=1,Table1[[#This Row],[weather_condition]]="Storm"),"High Risk", IF(Table1[[#This Row],[delayed]]=1,"Medium Risk","Low Risk"))</f>
        <v>Low Risk</v>
      </c>
    </row>
    <row r="2422" spans="1:14" x14ac:dyDescent="0.35">
      <c r="A2422">
        <v>2421</v>
      </c>
      <c r="B2422" s="1">
        <v>45027.833333333336</v>
      </c>
      <c r="C2422" s="2">
        <v>5.7638888888888885E-2</v>
      </c>
      <c r="D2422" s="3">
        <v>3679</v>
      </c>
      <c r="E2422" s="3">
        <v>168</v>
      </c>
      <c r="F2422" s="2">
        <v>82.33819444444444</v>
      </c>
      <c r="G2422" t="s">
        <v>2815</v>
      </c>
      <c r="H2422" t="s">
        <v>2820</v>
      </c>
      <c r="I2422" s="2">
        <v>0.29583333333333334</v>
      </c>
      <c r="J2422" s="4" t="str">
        <f>IF(Table1[[#This Row],[processing_time_hours]]&gt;1.5,"Slow", "Fast")</f>
        <v>Fast</v>
      </c>
      <c r="K2422" t="s">
        <v>2814</v>
      </c>
      <c r="L2422" s="3">
        <v>0</v>
      </c>
      <c r="M2422" t="str">
        <f>IF(Table1[[#This Row],[delayed]]=1,"Delayed","On Time")</f>
        <v>On Time</v>
      </c>
      <c r="N2422" t="str">
        <f>IF(AND(Table1[[#This Row],[delayed]]=1,Table1[[#This Row],[weather_condition]]="Storm"),"High Risk", IF(Table1[[#This Row],[delayed]]=1,"Medium Risk","Low Risk"))</f>
        <v>Low Risk</v>
      </c>
    </row>
    <row r="2423" spans="1:14" x14ac:dyDescent="0.35">
      <c r="A2423">
        <v>2422</v>
      </c>
      <c r="B2423" s="1">
        <v>45027.875</v>
      </c>
      <c r="C2423" s="2">
        <v>4.6527777777777779E-2</v>
      </c>
      <c r="D2423" s="3">
        <v>2023</v>
      </c>
      <c r="E2423" s="3">
        <v>403</v>
      </c>
      <c r="F2423" s="2">
        <v>46.960416666666667</v>
      </c>
      <c r="G2423" t="s">
        <v>2819</v>
      </c>
      <c r="H2423" t="s">
        <v>2822</v>
      </c>
      <c r="I2423" s="2">
        <v>2.5444444444444447</v>
      </c>
      <c r="J2423" s="4" t="str">
        <f>IF(Table1[[#This Row],[processing_time_hours]]&gt;1.5,"Slow", "Fast")</f>
        <v>Slow</v>
      </c>
      <c r="K2423" t="s">
        <v>2821</v>
      </c>
      <c r="L2423" s="3">
        <v>0</v>
      </c>
      <c r="M2423" t="str">
        <f>IF(Table1[[#This Row],[delayed]]=1,"Delayed","On Time")</f>
        <v>On Time</v>
      </c>
      <c r="N2423" t="str">
        <f>IF(AND(Table1[[#This Row],[delayed]]=1,Table1[[#This Row],[weather_condition]]="Storm"),"High Risk", IF(Table1[[#This Row],[delayed]]=1,"Medium Risk","Low Risk"))</f>
        <v>Low Risk</v>
      </c>
    </row>
    <row r="2424" spans="1:14" x14ac:dyDescent="0.35">
      <c r="A2424">
        <v>2423</v>
      </c>
      <c r="B2424" s="1">
        <v>45027.916666666664</v>
      </c>
      <c r="C2424" s="2">
        <v>4.1666666666666666E-3</v>
      </c>
      <c r="D2424" s="3">
        <v>4737</v>
      </c>
      <c r="E2424" s="3">
        <v>108</v>
      </c>
      <c r="F2424" s="2">
        <v>16.336111111111112</v>
      </c>
      <c r="G2424" t="s">
        <v>2812</v>
      </c>
      <c r="H2424" t="s">
        <v>2817</v>
      </c>
      <c r="I2424" s="2">
        <v>0.67013888888888884</v>
      </c>
      <c r="J2424" s="4" t="str">
        <f>IF(Table1[[#This Row],[processing_time_hours]]&gt;1.5,"Slow", "Fast")</f>
        <v>Fast</v>
      </c>
      <c r="K2424" t="s">
        <v>2821</v>
      </c>
      <c r="L2424" s="3">
        <v>0</v>
      </c>
      <c r="M2424" t="str">
        <f>IF(Table1[[#This Row],[delayed]]=1,"Delayed","On Time")</f>
        <v>On Time</v>
      </c>
      <c r="N2424" t="str">
        <f>IF(AND(Table1[[#This Row],[delayed]]=1,Table1[[#This Row],[weather_condition]]="Storm"),"High Risk", IF(Table1[[#This Row],[delayed]]=1,"Medium Risk","Low Risk"))</f>
        <v>Low Risk</v>
      </c>
    </row>
    <row r="2425" spans="1:14" x14ac:dyDescent="0.35">
      <c r="A2425">
        <v>2424</v>
      </c>
      <c r="B2425" s="1">
        <v>45027.958333333336</v>
      </c>
      <c r="C2425" s="2">
        <v>4.7916666666666663E-2</v>
      </c>
      <c r="D2425" s="3">
        <v>1272</v>
      </c>
      <c r="E2425" s="3">
        <v>363</v>
      </c>
      <c r="F2425" s="2">
        <v>26.208333333333332</v>
      </c>
      <c r="G2425" t="s">
        <v>2816</v>
      </c>
      <c r="H2425" t="s">
        <v>2817</v>
      </c>
      <c r="I2425" s="2">
        <v>0.71319444444444446</v>
      </c>
      <c r="J2425" s="4" t="str">
        <f>IF(Table1[[#This Row],[processing_time_hours]]&gt;1.5,"Slow", "Fast")</f>
        <v>Fast</v>
      </c>
      <c r="K2425" t="s">
        <v>2814</v>
      </c>
      <c r="L2425" s="3">
        <v>1</v>
      </c>
      <c r="M2425" t="str">
        <f>IF(Table1[[#This Row],[delayed]]=1,"Delayed","On Time")</f>
        <v>Delayed</v>
      </c>
      <c r="N2425" t="str">
        <f>IF(AND(Table1[[#This Row],[delayed]]=1,Table1[[#This Row],[weather_condition]]="Storm"),"High Risk", IF(Table1[[#This Row],[delayed]]=1,"Medium Risk","Low Risk"))</f>
        <v>High Risk</v>
      </c>
    </row>
    <row r="2426" spans="1:14" x14ac:dyDescent="0.35">
      <c r="A2426">
        <v>2425</v>
      </c>
      <c r="B2426" s="1">
        <v>45028</v>
      </c>
      <c r="C2426" s="2">
        <v>5.9027777777777783E-2</v>
      </c>
      <c r="D2426" s="3">
        <v>2662</v>
      </c>
      <c r="E2426" s="3">
        <v>462</v>
      </c>
      <c r="F2426" s="2">
        <v>69.836805555555557</v>
      </c>
      <c r="G2426" t="s">
        <v>2816</v>
      </c>
      <c r="H2426" t="s">
        <v>2817</v>
      </c>
      <c r="I2426" s="2">
        <v>2.6256944444444446</v>
      </c>
      <c r="J2426" s="4" t="str">
        <f>IF(Table1[[#This Row],[processing_time_hours]]&gt;1.5,"Slow", "Fast")</f>
        <v>Slow</v>
      </c>
      <c r="K2426" t="s">
        <v>2821</v>
      </c>
      <c r="L2426" s="3">
        <v>0</v>
      </c>
      <c r="M2426" t="str">
        <f>IF(Table1[[#This Row],[delayed]]=1,"Delayed","On Time")</f>
        <v>On Time</v>
      </c>
      <c r="N2426" t="str">
        <f>IF(AND(Table1[[#This Row],[delayed]]=1,Table1[[#This Row],[weather_condition]]="Storm"),"High Risk", IF(Table1[[#This Row],[delayed]]=1,"Medium Risk","Low Risk"))</f>
        <v>Low Risk</v>
      </c>
    </row>
    <row r="2427" spans="1:14" x14ac:dyDescent="0.35">
      <c r="A2427">
        <v>2426</v>
      </c>
      <c r="B2427" s="1">
        <v>45028.041666666664</v>
      </c>
      <c r="C2427" s="2">
        <v>5.1388888888888894E-2</v>
      </c>
      <c r="D2427" s="3">
        <v>703</v>
      </c>
      <c r="E2427" s="3">
        <v>396</v>
      </c>
      <c r="F2427" s="2">
        <v>6.4638888888888886</v>
      </c>
      <c r="G2427" t="s">
        <v>2815</v>
      </c>
      <c r="H2427" t="s">
        <v>2817</v>
      </c>
      <c r="I2427" s="2">
        <v>2.9194444444444443</v>
      </c>
      <c r="J2427" s="4" t="str">
        <f>IF(Table1[[#This Row],[processing_time_hours]]&gt;1.5,"Slow", "Fast")</f>
        <v>Slow</v>
      </c>
      <c r="K2427" t="s">
        <v>2814</v>
      </c>
      <c r="L2427" s="3">
        <v>1</v>
      </c>
      <c r="M2427" t="str">
        <f>IF(Table1[[#This Row],[delayed]]=1,"Delayed","On Time")</f>
        <v>Delayed</v>
      </c>
      <c r="N2427" t="str">
        <f>IF(AND(Table1[[#This Row],[delayed]]=1,Table1[[#This Row],[weather_condition]]="Storm"),"High Risk", IF(Table1[[#This Row],[delayed]]=1,"Medium Risk","Low Risk"))</f>
        <v>High Risk</v>
      </c>
    </row>
    <row r="2428" spans="1:14" x14ac:dyDescent="0.35">
      <c r="A2428">
        <v>2427</v>
      </c>
      <c r="B2428" s="1">
        <v>45028.083333333336</v>
      </c>
      <c r="C2428" s="2">
        <v>5.9722222222222225E-2</v>
      </c>
      <c r="D2428" s="3">
        <v>1260</v>
      </c>
      <c r="E2428" s="3">
        <v>276</v>
      </c>
      <c r="F2428" s="2">
        <v>21.754166666666666</v>
      </c>
      <c r="G2428" t="s">
        <v>2812</v>
      </c>
      <c r="H2428" t="s">
        <v>2820</v>
      </c>
      <c r="I2428" s="2">
        <v>2.1312500000000001</v>
      </c>
      <c r="J2428" s="4" t="str">
        <f>IF(Table1[[#This Row],[processing_time_hours]]&gt;1.5,"Slow", "Fast")</f>
        <v>Slow</v>
      </c>
      <c r="K2428" t="s">
        <v>2818</v>
      </c>
      <c r="L2428" s="3">
        <v>0</v>
      </c>
      <c r="M2428" t="str">
        <f>IF(Table1[[#This Row],[delayed]]=1,"Delayed","On Time")</f>
        <v>On Time</v>
      </c>
      <c r="N2428" t="str">
        <f>IF(AND(Table1[[#This Row],[delayed]]=1,Table1[[#This Row],[weather_condition]]="Storm"),"High Risk", IF(Table1[[#This Row],[delayed]]=1,"Medium Risk","Low Risk"))</f>
        <v>Low Risk</v>
      </c>
    </row>
    <row r="2429" spans="1:14" x14ac:dyDescent="0.35">
      <c r="A2429">
        <v>2428</v>
      </c>
      <c r="B2429" s="1">
        <v>45028.125</v>
      </c>
      <c r="C2429" s="2">
        <v>4.5833333333333337E-2</v>
      </c>
      <c r="D2429" s="3">
        <v>4716</v>
      </c>
      <c r="E2429" s="3">
        <v>316</v>
      </c>
      <c r="F2429" s="2">
        <v>21.458333333333332</v>
      </c>
      <c r="G2429" t="s">
        <v>2815</v>
      </c>
      <c r="H2429" t="s">
        <v>2820</v>
      </c>
      <c r="I2429" s="2">
        <v>1.3763888888888889</v>
      </c>
      <c r="J2429" s="4" t="str">
        <f>IF(Table1[[#This Row],[processing_time_hours]]&gt;1.5,"Slow", "Fast")</f>
        <v>Fast</v>
      </c>
      <c r="K2429" t="s">
        <v>2821</v>
      </c>
      <c r="L2429" s="3">
        <v>0</v>
      </c>
      <c r="M2429" t="str">
        <f>IF(Table1[[#This Row],[delayed]]=1,"Delayed","On Time")</f>
        <v>On Time</v>
      </c>
      <c r="N2429" t="str">
        <f>IF(AND(Table1[[#This Row],[delayed]]=1,Table1[[#This Row],[weather_condition]]="Storm"),"High Risk", IF(Table1[[#This Row],[delayed]]=1,"Medium Risk","Low Risk"))</f>
        <v>Low Risk</v>
      </c>
    </row>
    <row r="2430" spans="1:14" x14ac:dyDescent="0.35">
      <c r="A2430">
        <v>2429</v>
      </c>
      <c r="B2430" s="1">
        <v>45028.166666666664</v>
      </c>
      <c r="C2430" s="2">
        <v>5.9722222222222225E-2</v>
      </c>
      <c r="D2430" s="3">
        <v>3816</v>
      </c>
      <c r="E2430" s="3">
        <v>182</v>
      </c>
      <c r="F2430" s="2">
        <v>19.460416666666667</v>
      </c>
      <c r="G2430" t="s">
        <v>2815</v>
      </c>
      <c r="H2430" t="s">
        <v>2822</v>
      </c>
      <c r="I2430" s="2">
        <v>0.25277777777777777</v>
      </c>
      <c r="J2430" s="4" t="str">
        <f>IF(Table1[[#This Row],[processing_time_hours]]&gt;1.5,"Slow", "Fast")</f>
        <v>Fast</v>
      </c>
      <c r="K2430" t="s">
        <v>2814</v>
      </c>
      <c r="L2430" s="3">
        <v>0</v>
      </c>
      <c r="M2430" t="str">
        <f>IF(Table1[[#This Row],[delayed]]=1,"Delayed","On Time")</f>
        <v>On Time</v>
      </c>
      <c r="N2430" t="str">
        <f>IF(AND(Table1[[#This Row],[delayed]]=1,Table1[[#This Row],[weather_condition]]="Storm"),"High Risk", IF(Table1[[#This Row],[delayed]]=1,"Medium Risk","Low Risk"))</f>
        <v>Low Risk</v>
      </c>
    </row>
    <row r="2431" spans="1:14" x14ac:dyDescent="0.35">
      <c r="A2431">
        <v>2430</v>
      </c>
      <c r="B2431" s="1">
        <v>45028.208333333336</v>
      </c>
      <c r="C2431" s="2">
        <v>4.4444444444444446E-2</v>
      </c>
      <c r="D2431" s="3">
        <v>1129</v>
      </c>
      <c r="E2431" s="3">
        <v>174</v>
      </c>
      <c r="F2431" s="2">
        <v>33.088888888888889</v>
      </c>
      <c r="G2431" t="s">
        <v>2812</v>
      </c>
      <c r="H2431" t="s">
        <v>2813</v>
      </c>
      <c r="I2431" s="2">
        <v>2.0430555555555556</v>
      </c>
      <c r="J2431" s="4" t="str">
        <f>IF(Table1[[#This Row],[processing_time_hours]]&gt;1.5,"Slow", "Fast")</f>
        <v>Slow</v>
      </c>
      <c r="K2431" t="s">
        <v>2818</v>
      </c>
      <c r="L2431" s="3">
        <v>0</v>
      </c>
      <c r="M2431" t="str">
        <f>IF(Table1[[#This Row],[delayed]]=1,"Delayed","On Time")</f>
        <v>On Time</v>
      </c>
      <c r="N2431" t="str">
        <f>IF(AND(Table1[[#This Row],[delayed]]=1,Table1[[#This Row],[weather_condition]]="Storm"),"High Risk", IF(Table1[[#This Row],[delayed]]=1,"Medium Risk","Low Risk"))</f>
        <v>Low Risk</v>
      </c>
    </row>
    <row r="2432" spans="1:14" x14ac:dyDescent="0.35">
      <c r="A2432">
        <v>2431</v>
      </c>
      <c r="B2432" s="1">
        <v>45028.25</v>
      </c>
      <c r="C2432" s="2">
        <v>6.6666666666666666E-2</v>
      </c>
      <c r="D2432" s="3">
        <v>492</v>
      </c>
      <c r="E2432" s="3">
        <v>217</v>
      </c>
      <c r="F2432" s="2">
        <v>70.876388888888883</v>
      </c>
      <c r="G2432" t="s">
        <v>2815</v>
      </c>
      <c r="H2432" t="s">
        <v>2813</v>
      </c>
      <c r="I2432" s="2">
        <v>2.4222222222222221</v>
      </c>
      <c r="J2432" s="4" t="str">
        <f>IF(Table1[[#This Row],[processing_time_hours]]&gt;1.5,"Slow", "Fast")</f>
        <v>Slow</v>
      </c>
      <c r="K2432" t="s">
        <v>2821</v>
      </c>
      <c r="L2432" s="3">
        <v>0</v>
      </c>
      <c r="M2432" t="str">
        <f>IF(Table1[[#This Row],[delayed]]=1,"Delayed","On Time")</f>
        <v>On Time</v>
      </c>
      <c r="N2432" t="str">
        <f>IF(AND(Table1[[#This Row],[delayed]]=1,Table1[[#This Row],[weather_condition]]="Storm"),"High Risk", IF(Table1[[#This Row],[delayed]]=1,"Medium Risk","Low Risk"))</f>
        <v>Low Risk</v>
      </c>
    </row>
    <row r="2433" spans="1:14" x14ac:dyDescent="0.35">
      <c r="A2433">
        <v>2432</v>
      </c>
      <c r="B2433" s="1">
        <v>45028.291666666664</v>
      </c>
      <c r="C2433" s="2">
        <v>4.8611111111111112E-3</v>
      </c>
      <c r="D2433" s="3">
        <v>1743</v>
      </c>
      <c r="E2433" s="3">
        <v>365</v>
      </c>
      <c r="F2433" s="2">
        <v>56.666666666666664</v>
      </c>
      <c r="G2433" t="s">
        <v>2816</v>
      </c>
      <c r="H2433" t="s">
        <v>2822</v>
      </c>
      <c r="I2433" s="2">
        <v>1.2548611111111112</v>
      </c>
      <c r="J2433" s="4" t="str">
        <f>IF(Table1[[#This Row],[processing_time_hours]]&gt;1.5,"Slow", "Fast")</f>
        <v>Fast</v>
      </c>
      <c r="K2433" t="s">
        <v>2818</v>
      </c>
      <c r="L2433" s="3">
        <v>1</v>
      </c>
      <c r="M2433" t="str">
        <f>IF(Table1[[#This Row],[delayed]]=1,"Delayed","On Time")</f>
        <v>Delayed</v>
      </c>
      <c r="N2433" t="str">
        <f>IF(AND(Table1[[#This Row],[delayed]]=1,Table1[[#This Row],[weather_condition]]="Storm"),"High Risk", IF(Table1[[#This Row],[delayed]]=1,"Medium Risk","Low Risk"))</f>
        <v>Medium Risk</v>
      </c>
    </row>
    <row r="2434" spans="1:14" x14ac:dyDescent="0.35">
      <c r="A2434">
        <v>2433</v>
      </c>
      <c r="B2434" s="1">
        <v>45028.333333333336</v>
      </c>
      <c r="C2434" s="2">
        <v>4.1666666666666666E-3</v>
      </c>
      <c r="D2434" s="3">
        <v>2408</v>
      </c>
      <c r="E2434" s="3">
        <v>349</v>
      </c>
      <c r="F2434" s="2">
        <v>76.25277777777778</v>
      </c>
      <c r="G2434" t="s">
        <v>2812</v>
      </c>
      <c r="H2434" t="s">
        <v>2813</v>
      </c>
      <c r="I2434" s="2">
        <v>0.25486111111111109</v>
      </c>
      <c r="J2434" s="4" t="str">
        <f>IF(Table1[[#This Row],[processing_time_hours]]&gt;1.5,"Slow", "Fast")</f>
        <v>Fast</v>
      </c>
      <c r="K2434" t="s">
        <v>2814</v>
      </c>
      <c r="L2434" s="3">
        <v>0</v>
      </c>
      <c r="M2434" t="str">
        <f>IF(Table1[[#This Row],[delayed]]=1,"Delayed","On Time")</f>
        <v>On Time</v>
      </c>
      <c r="N2434" t="str">
        <f>IF(AND(Table1[[#This Row],[delayed]]=1,Table1[[#This Row],[weather_condition]]="Storm"),"High Risk", IF(Table1[[#This Row],[delayed]]=1,"Medium Risk","Low Risk"))</f>
        <v>Low Risk</v>
      </c>
    </row>
    <row r="2435" spans="1:14" x14ac:dyDescent="0.35">
      <c r="A2435">
        <v>2434</v>
      </c>
      <c r="B2435" s="1">
        <v>45028.375</v>
      </c>
      <c r="C2435" s="2">
        <v>6.3888888888888898E-2</v>
      </c>
      <c r="D2435" s="3">
        <v>4251</v>
      </c>
      <c r="E2435" s="3">
        <v>30</v>
      </c>
      <c r="F2435" s="2">
        <v>40.875</v>
      </c>
      <c r="G2435" t="s">
        <v>2815</v>
      </c>
      <c r="H2435" t="s">
        <v>2820</v>
      </c>
      <c r="I2435" s="2">
        <v>1.3333333333333333</v>
      </c>
      <c r="J2435" s="4" t="str">
        <f>IF(Table1[[#This Row],[processing_time_hours]]&gt;1.5,"Slow", "Fast")</f>
        <v>Fast</v>
      </c>
      <c r="K2435" t="s">
        <v>2821</v>
      </c>
      <c r="L2435" s="3">
        <v>0</v>
      </c>
      <c r="M2435" t="str">
        <f>IF(Table1[[#This Row],[delayed]]=1,"Delayed","On Time")</f>
        <v>On Time</v>
      </c>
      <c r="N2435" t="str">
        <f>IF(AND(Table1[[#This Row],[delayed]]=1,Table1[[#This Row],[weather_condition]]="Storm"),"High Risk", IF(Table1[[#This Row],[delayed]]=1,"Medium Risk","Low Risk"))</f>
        <v>Low Risk</v>
      </c>
    </row>
    <row r="2436" spans="1:14" x14ac:dyDescent="0.35">
      <c r="A2436">
        <v>2435</v>
      </c>
      <c r="B2436" s="1">
        <v>45028.416666666664</v>
      </c>
      <c r="C2436" s="2">
        <v>5.0694444444444438E-2</v>
      </c>
      <c r="D2436" s="3">
        <v>872</v>
      </c>
      <c r="E2436" s="3">
        <v>393</v>
      </c>
      <c r="F2436" s="2">
        <v>62.043749999999996</v>
      </c>
      <c r="G2436" t="s">
        <v>2815</v>
      </c>
      <c r="H2436" t="s">
        <v>2822</v>
      </c>
      <c r="I2436" s="2">
        <v>0.25069444444444444</v>
      </c>
      <c r="J2436" s="4" t="str">
        <f>IF(Table1[[#This Row],[processing_time_hours]]&gt;1.5,"Slow", "Fast")</f>
        <v>Fast</v>
      </c>
      <c r="K2436" t="s">
        <v>2814</v>
      </c>
      <c r="L2436" s="3">
        <v>0</v>
      </c>
      <c r="M2436" t="str">
        <f>IF(Table1[[#This Row],[delayed]]=1,"Delayed","On Time")</f>
        <v>On Time</v>
      </c>
      <c r="N2436" t="str">
        <f>IF(AND(Table1[[#This Row],[delayed]]=1,Table1[[#This Row],[weather_condition]]="Storm"),"High Risk", IF(Table1[[#This Row],[delayed]]=1,"Medium Risk","Low Risk"))</f>
        <v>Low Risk</v>
      </c>
    </row>
    <row r="2437" spans="1:14" x14ac:dyDescent="0.35">
      <c r="A2437">
        <v>2436</v>
      </c>
      <c r="B2437" s="1">
        <v>45028.458333333336</v>
      </c>
      <c r="C2437" s="2">
        <v>5.2777777777777778E-2</v>
      </c>
      <c r="D2437" s="3">
        <v>2982</v>
      </c>
      <c r="E2437" s="3">
        <v>127</v>
      </c>
      <c r="F2437" s="2">
        <v>54.422916666666673</v>
      </c>
      <c r="G2437" t="s">
        <v>2815</v>
      </c>
      <c r="H2437" t="s">
        <v>2822</v>
      </c>
      <c r="I2437" s="2">
        <v>0.46319444444444446</v>
      </c>
      <c r="J2437" s="4" t="str">
        <f>IF(Table1[[#This Row],[processing_time_hours]]&gt;1.5,"Slow", "Fast")</f>
        <v>Fast</v>
      </c>
      <c r="K2437" t="s">
        <v>2818</v>
      </c>
      <c r="L2437" s="3">
        <v>0</v>
      </c>
      <c r="M2437" t="str">
        <f>IF(Table1[[#This Row],[delayed]]=1,"Delayed","On Time")</f>
        <v>On Time</v>
      </c>
      <c r="N2437" t="str">
        <f>IF(AND(Table1[[#This Row],[delayed]]=1,Table1[[#This Row],[weather_condition]]="Storm"),"High Risk", IF(Table1[[#This Row],[delayed]]=1,"Medium Risk","Low Risk"))</f>
        <v>Low Risk</v>
      </c>
    </row>
    <row r="2438" spans="1:14" x14ac:dyDescent="0.35">
      <c r="A2438">
        <v>2437</v>
      </c>
      <c r="B2438" s="1">
        <v>45028.5</v>
      </c>
      <c r="C2438" s="2">
        <v>4.5833333333333337E-2</v>
      </c>
      <c r="D2438" s="3">
        <v>400</v>
      </c>
      <c r="E2438" s="3">
        <v>159</v>
      </c>
      <c r="F2438" s="2">
        <v>24.293749999999999</v>
      </c>
      <c r="G2438" t="s">
        <v>2815</v>
      </c>
      <c r="H2438" t="s">
        <v>2813</v>
      </c>
      <c r="I2438" s="2">
        <v>0.71180555555555547</v>
      </c>
      <c r="J2438" s="4" t="str">
        <f>IF(Table1[[#This Row],[processing_time_hours]]&gt;1.5,"Slow", "Fast")</f>
        <v>Fast</v>
      </c>
      <c r="K2438" t="s">
        <v>2814</v>
      </c>
      <c r="L2438" s="3">
        <v>0</v>
      </c>
      <c r="M2438" t="str">
        <f>IF(Table1[[#This Row],[delayed]]=1,"Delayed","On Time")</f>
        <v>On Time</v>
      </c>
      <c r="N2438" t="str">
        <f>IF(AND(Table1[[#This Row],[delayed]]=1,Table1[[#This Row],[weather_condition]]="Storm"),"High Risk", IF(Table1[[#This Row],[delayed]]=1,"Medium Risk","Low Risk"))</f>
        <v>Low Risk</v>
      </c>
    </row>
    <row r="2439" spans="1:14" x14ac:dyDescent="0.35">
      <c r="A2439">
        <v>2438</v>
      </c>
      <c r="B2439" s="1">
        <v>45028.541666666664</v>
      </c>
      <c r="C2439" s="2">
        <v>4.7222222222222221E-2</v>
      </c>
      <c r="D2439" s="3">
        <v>3667</v>
      </c>
      <c r="E2439" s="3">
        <v>198</v>
      </c>
      <c r="F2439" s="2">
        <v>83.131250000000009</v>
      </c>
      <c r="G2439" t="s">
        <v>2816</v>
      </c>
      <c r="H2439" t="s">
        <v>2822</v>
      </c>
      <c r="I2439" s="2">
        <v>2.0034722222222223</v>
      </c>
      <c r="J2439" s="4" t="str">
        <f>IF(Table1[[#This Row],[processing_time_hours]]&gt;1.5,"Slow", "Fast")</f>
        <v>Slow</v>
      </c>
      <c r="K2439" t="s">
        <v>2821</v>
      </c>
      <c r="L2439" s="3">
        <v>0</v>
      </c>
      <c r="M2439" t="str">
        <f>IF(Table1[[#This Row],[delayed]]=1,"Delayed","On Time")</f>
        <v>On Time</v>
      </c>
      <c r="N2439" t="str">
        <f>IF(AND(Table1[[#This Row],[delayed]]=1,Table1[[#This Row],[weather_condition]]="Storm"),"High Risk", IF(Table1[[#This Row],[delayed]]=1,"Medium Risk","Low Risk"))</f>
        <v>Low Risk</v>
      </c>
    </row>
    <row r="2440" spans="1:14" x14ac:dyDescent="0.35">
      <c r="A2440">
        <v>2439</v>
      </c>
      <c r="B2440" s="1">
        <v>45028.583333333336</v>
      </c>
      <c r="C2440" s="2">
        <v>5.2777777777777778E-2</v>
      </c>
      <c r="D2440" s="3">
        <v>4678</v>
      </c>
      <c r="E2440" s="3">
        <v>229</v>
      </c>
      <c r="F2440" s="2">
        <v>65.583333333333329</v>
      </c>
      <c r="G2440" t="s">
        <v>2816</v>
      </c>
      <c r="H2440" t="s">
        <v>2820</v>
      </c>
      <c r="I2440" s="2">
        <v>1.3805555555555555</v>
      </c>
      <c r="J2440" s="4" t="str">
        <f>IF(Table1[[#This Row],[processing_time_hours]]&gt;1.5,"Slow", "Fast")</f>
        <v>Fast</v>
      </c>
      <c r="K2440" t="s">
        <v>2821</v>
      </c>
      <c r="L2440" s="3">
        <v>0</v>
      </c>
      <c r="M2440" t="str">
        <f>IF(Table1[[#This Row],[delayed]]=1,"Delayed","On Time")</f>
        <v>On Time</v>
      </c>
      <c r="N2440" t="str">
        <f>IF(AND(Table1[[#This Row],[delayed]]=1,Table1[[#This Row],[weather_condition]]="Storm"),"High Risk", IF(Table1[[#This Row],[delayed]]=1,"Medium Risk","Low Risk"))</f>
        <v>Low Risk</v>
      </c>
    </row>
    <row r="2441" spans="1:14" x14ac:dyDescent="0.35">
      <c r="A2441">
        <v>2440</v>
      </c>
      <c r="B2441" s="1">
        <v>45028.625</v>
      </c>
      <c r="C2441" s="2">
        <v>4.9999999999999996E-2</v>
      </c>
      <c r="D2441" s="3">
        <v>2874</v>
      </c>
      <c r="E2441" s="3">
        <v>83</v>
      </c>
      <c r="F2441" s="2">
        <v>2.3805555555555555</v>
      </c>
      <c r="G2441" t="s">
        <v>2812</v>
      </c>
      <c r="H2441" t="s">
        <v>2817</v>
      </c>
      <c r="I2441" s="2">
        <v>2.2097222222222221</v>
      </c>
      <c r="J2441" s="4" t="str">
        <f>IF(Table1[[#This Row],[processing_time_hours]]&gt;1.5,"Slow", "Fast")</f>
        <v>Slow</v>
      </c>
      <c r="K2441" t="s">
        <v>2814</v>
      </c>
      <c r="L2441" s="3">
        <v>1</v>
      </c>
      <c r="M2441" t="str">
        <f>IF(Table1[[#This Row],[delayed]]=1,"Delayed","On Time")</f>
        <v>Delayed</v>
      </c>
      <c r="N2441" t="str">
        <f>IF(AND(Table1[[#This Row],[delayed]]=1,Table1[[#This Row],[weather_condition]]="Storm"),"High Risk", IF(Table1[[#This Row],[delayed]]=1,"Medium Risk","Low Risk"))</f>
        <v>High Risk</v>
      </c>
    </row>
    <row r="2442" spans="1:14" x14ac:dyDescent="0.35">
      <c r="A2442">
        <v>2441</v>
      </c>
      <c r="B2442" s="1">
        <v>45028.666666666664</v>
      </c>
      <c r="C2442" s="2">
        <v>5.5555555555555558E-3</v>
      </c>
      <c r="D2442" s="3">
        <v>468</v>
      </c>
      <c r="E2442" s="3">
        <v>139</v>
      </c>
      <c r="F2442" s="2">
        <v>80.378472222222214</v>
      </c>
      <c r="G2442" t="s">
        <v>2819</v>
      </c>
      <c r="H2442" t="s">
        <v>2822</v>
      </c>
      <c r="I2442" s="2">
        <v>2.4215277777777779</v>
      </c>
      <c r="J2442" s="4" t="str">
        <f>IF(Table1[[#This Row],[processing_time_hours]]&gt;1.5,"Slow", "Fast")</f>
        <v>Slow</v>
      </c>
      <c r="K2442" t="s">
        <v>2814</v>
      </c>
      <c r="L2442" s="3">
        <v>0</v>
      </c>
      <c r="M2442" t="str">
        <f>IF(Table1[[#This Row],[delayed]]=1,"Delayed","On Time")</f>
        <v>On Time</v>
      </c>
      <c r="N2442" t="str">
        <f>IF(AND(Table1[[#This Row],[delayed]]=1,Table1[[#This Row],[weather_condition]]="Storm"),"High Risk", IF(Table1[[#This Row],[delayed]]=1,"Medium Risk","Low Risk"))</f>
        <v>Low Risk</v>
      </c>
    </row>
    <row r="2443" spans="1:14" x14ac:dyDescent="0.35">
      <c r="A2443">
        <v>2442</v>
      </c>
      <c r="B2443" s="1">
        <v>45028.708333333336</v>
      </c>
      <c r="C2443" s="2">
        <v>4.9305555555555554E-2</v>
      </c>
      <c r="D2443" s="3">
        <v>2747</v>
      </c>
      <c r="E2443" s="3">
        <v>422</v>
      </c>
      <c r="F2443" s="2">
        <v>31.089583333333334</v>
      </c>
      <c r="G2443" t="s">
        <v>2812</v>
      </c>
      <c r="H2443" t="s">
        <v>2813</v>
      </c>
      <c r="I2443" s="2">
        <v>2.0861111111111112</v>
      </c>
      <c r="J2443" s="4" t="str">
        <f>IF(Table1[[#This Row],[processing_time_hours]]&gt;1.5,"Slow", "Fast")</f>
        <v>Slow</v>
      </c>
      <c r="K2443" t="s">
        <v>2818</v>
      </c>
      <c r="L2443" s="3">
        <v>0</v>
      </c>
      <c r="M2443" t="str">
        <f>IF(Table1[[#This Row],[delayed]]=1,"Delayed","On Time")</f>
        <v>On Time</v>
      </c>
      <c r="N2443" t="str">
        <f>IF(AND(Table1[[#This Row],[delayed]]=1,Table1[[#This Row],[weather_condition]]="Storm"),"High Risk", IF(Table1[[#This Row],[delayed]]=1,"Medium Risk","Low Risk"))</f>
        <v>Low Risk</v>
      </c>
    </row>
    <row r="2444" spans="1:14" x14ac:dyDescent="0.35">
      <c r="A2444">
        <v>2443</v>
      </c>
      <c r="B2444" s="1">
        <v>45028.75</v>
      </c>
      <c r="C2444" s="2">
        <v>5.3472222222222227E-2</v>
      </c>
      <c r="D2444" s="3">
        <v>3231</v>
      </c>
      <c r="E2444" s="3">
        <v>40</v>
      </c>
      <c r="F2444" s="2">
        <v>41.212499999999999</v>
      </c>
      <c r="G2444" t="s">
        <v>2815</v>
      </c>
      <c r="H2444" t="s">
        <v>2813</v>
      </c>
      <c r="I2444" s="2">
        <v>0.7090277777777777</v>
      </c>
      <c r="J2444" s="4" t="str">
        <f>IF(Table1[[#This Row],[processing_time_hours]]&gt;1.5,"Slow", "Fast")</f>
        <v>Fast</v>
      </c>
      <c r="K2444" t="s">
        <v>2821</v>
      </c>
      <c r="L2444" s="3">
        <v>0</v>
      </c>
      <c r="M2444" t="str">
        <f>IF(Table1[[#This Row],[delayed]]=1,"Delayed","On Time")</f>
        <v>On Time</v>
      </c>
      <c r="N2444" t="str">
        <f>IF(AND(Table1[[#This Row],[delayed]]=1,Table1[[#This Row],[weather_condition]]="Storm"),"High Risk", IF(Table1[[#This Row],[delayed]]=1,"Medium Risk","Low Risk"))</f>
        <v>Low Risk</v>
      </c>
    </row>
    <row r="2445" spans="1:14" x14ac:dyDescent="0.35">
      <c r="A2445">
        <v>2444</v>
      </c>
      <c r="B2445" s="1">
        <v>45028.791666666664</v>
      </c>
      <c r="C2445" s="2">
        <v>4.2361111111111106E-2</v>
      </c>
      <c r="D2445" s="3">
        <v>2815</v>
      </c>
      <c r="E2445" s="3">
        <v>422</v>
      </c>
      <c r="F2445" s="2">
        <v>22.542361111111109</v>
      </c>
      <c r="G2445" t="s">
        <v>2819</v>
      </c>
      <c r="H2445" t="s">
        <v>2817</v>
      </c>
      <c r="I2445" s="2">
        <v>1.375</v>
      </c>
      <c r="J2445" s="4" t="str">
        <f>IF(Table1[[#This Row],[processing_time_hours]]&gt;1.5,"Slow", "Fast")</f>
        <v>Fast</v>
      </c>
      <c r="K2445" t="s">
        <v>2814</v>
      </c>
      <c r="L2445" s="3">
        <v>0</v>
      </c>
      <c r="M2445" t="str">
        <f>IF(Table1[[#This Row],[delayed]]=1,"Delayed","On Time")</f>
        <v>On Time</v>
      </c>
      <c r="N2445" t="str">
        <f>IF(AND(Table1[[#This Row],[delayed]]=1,Table1[[#This Row],[weather_condition]]="Storm"),"High Risk", IF(Table1[[#This Row],[delayed]]=1,"Medium Risk","Low Risk"))</f>
        <v>Low Risk</v>
      </c>
    </row>
    <row r="2446" spans="1:14" x14ac:dyDescent="0.35">
      <c r="A2446">
        <v>2445</v>
      </c>
      <c r="B2446" s="1">
        <v>45028.833333333336</v>
      </c>
      <c r="C2446" s="2">
        <v>5.5555555555555558E-3</v>
      </c>
      <c r="D2446" s="3">
        <v>3452</v>
      </c>
      <c r="E2446" s="3">
        <v>330</v>
      </c>
      <c r="F2446" s="2">
        <v>21.797222222222221</v>
      </c>
      <c r="G2446" t="s">
        <v>2812</v>
      </c>
      <c r="H2446" t="s">
        <v>2820</v>
      </c>
      <c r="I2446" s="2">
        <v>2.5062500000000001</v>
      </c>
      <c r="J2446" s="4" t="str">
        <f>IF(Table1[[#This Row],[processing_time_hours]]&gt;1.5,"Slow", "Fast")</f>
        <v>Slow</v>
      </c>
      <c r="K2446" t="s">
        <v>2821</v>
      </c>
      <c r="L2446" s="3">
        <v>1</v>
      </c>
      <c r="M2446" t="str">
        <f>IF(Table1[[#This Row],[delayed]]=1,"Delayed","On Time")</f>
        <v>Delayed</v>
      </c>
      <c r="N2446" t="str">
        <f>IF(AND(Table1[[#This Row],[delayed]]=1,Table1[[#This Row],[weather_condition]]="Storm"),"High Risk", IF(Table1[[#This Row],[delayed]]=1,"Medium Risk","Low Risk"))</f>
        <v>Medium Risk</v>
      </c>
    </row>
    <row r="2447" spans="1:14" x14ac:dyDescent="0.35">
      <c r="A2447">
        <v>2446</v>
      </c>
      <c r="B2447" s="1">
        <v>45028.875</v>
      </c>
      <c r="C2447" s="2">
        <v>5.8333333333333327E-2</v>
      </c>
      <c r="D2447" s="3">
        <v>1755</v>
      </c>
      <c r="E2447" s="3">
        <v>314</v>
      </c>
      <c r="F2447" s="2">
        <v>61.168749999999996</v>
      </c>
      <c r="G2447" t="s">
        <v>2819</v>
      </c>
      <c r="H2447" t="s">
        <v>2822</v>
      </c>
      <c r="I2447" s="2">
        <v>0.1673611111111111</v>
      </c>
      <c r="J2447" s="4" t="str">
        <f>IF(Table1[[#This Row],[processing_time_hours]]&gt;1.5,"Slow", "Fast")</f>
        <v>Fast</v>
      </c>
      <c r="K2447" t="s">
        <v>2821</v>
      </c>
      <c r="L2447" s="3">
        <v>0</v>
      </c>
      <c r="M2447" t="str">
        <f>IF(Table1[[#This Row],[delayed]]=1,"Delayed","On Time")</f>
        <v>On Time</v>
      </c>
      <c r="N2447" t="str">
        <f>IF(AND(Table1[[#This Row],[delayed]]=1,Table1[[#This Row],[weather_condition]]="Storm"),"High Risk", IF(Table1[[#This Row],[delayed]]=1,"Medium Risk","Low Risk"))</f>
        <v>Low Risk</v>
      </c>
    </row>
    <row r="2448" spans="1:14" x14ac:dyDescent="0.35">
      <c r="A2448">
        <v>2447</v>
      </c>
      <c r="B2448" s="1">
        <v>45028.916666666664</v>
      </c>
      <c r="C2448" s="2">
        <v>6.6666666666666666E-2</v>
      </c>
      <c r="D2448" s="3">
        <v>4586</v>
      </c>
      <c r="E2448" s="3">
        <v>376</v>
      </c>
      <c r="F2448" s="2">
        <v>6.6305555555555555</v>
      </c>
      <c r="G2448" t="s">
        <v>2819</v>
      </c>
      <c r="H2448" t="s">
        <v>2820</v>
      </c>
      <c r="I2448" s="2">
        <v>1.8756944444444443</v>
      </c>
      <c r="J2448" s="4" t="str">
        <f>IF(Table1[[#This Row],[processing_time_hours]]&gt;1.5,"Slow", "Fast")</f>
        <v>Slow</v>
      </c>
      <c r="K2448" t="s">
        <v>2814</v>
      </c>
      <c r="L2448" s="3">
        <v>0</v>
      </c>
      <c r="M2448" t="str">
        <f>IF(Table1[[#This Row],[delayed]]=1,"Delayed","On Time")</f>
        <v>On Time</v>
      </c>
      <c r="N2448" t="str">
        <f>IF(AND(Table1[[#This Row],[delayed]]=1,Table1[[#This Row],[weather_condition]]="Storm"),"High Risk", IF(Table1[[#This Row],[delayed]]=1,"Medium Risk","Low Risk"))</f>
        <v>Low Risk</v>
      </c>
    </row>
    <row r="2449" spans="1:14" x14ac:dyDescent="0.35">
      <c r="A2449">
        <v>2448</v>
      </c>
      <c r="B2449" s="1">
        <v>45028.958333333336</v>
      </c>
      <c r="C2449" s="2">
        <v>6.1805555555555558E-2</v>
      </c>
      <c r="D2449" s="3">
        <v>4311</v>
      </c>
      <c r="E2449" s="3">
        <v>5</v>
      </c>
      <c r="F2449" s="2">
        <v>70.712499999999991</v>
      </c>
      <c r="G2449" t="s">
        <v>2819</v>
      </c>
      <c r="H2449" t="s">
        <v>2820</v>
      </c>
      <c r="I2449" s="2">
        <v>0.29375000000000001</v>
      </c>
      <c r="J2449" s="4" t="str">
        <f>IF(Table1[[#This Row],[processing_time_hours]]&gt;1.5,"Slow", "Fast")</f>
        <v>Fast</v>
      </c>
      <c r="K2449" t="s">
        <v>2814</v>
      </c>
      <c r="L2449" s="3">
        <v>0</v>
      </c>
      <c r="M2449" t="str">
        <f>IF(Table1[[#This Row],[delayed]]=1,"Delayed","On Time")</f>
        <v>On Time</v>
      </c>
      <c r="N2449" t="str">
        <f>IF(AND(Table1[[#This Row],[delayed]]=1,Table1[[#This Row],[weather_condition]]="Storm"),"High Risk", IF(Table1[[#This Row],[delayed]]=1,"Medium Risk","Low Risk"))</f>
        <v>Low Risk</v>
      </c>
    </row>
    <row r="2450" spans="1:14" x14ac:dyDescent="0.35">
      <c r="A2450">
        <v>2449</v>
      </c>
      <c r="B2450" s="1">
        <v>45029</v>
      </c>
      <c r="C2450" s="2">
        <v>4.3750000000000004E-2</v>
      </c>
      <c r="D2450" s="3">
        <v>476</v>
      </c>
      <c r="E2450" s="3">
        <v>47</v>
      </c>
      <c r="F2450" s="2">
        <v>3.0041666666666664</v>
      </c>
      <c r="G2450" t="s">
        <v>2815</v>
      </c>
      <c r="H2450" t="s">
        <v>2813</v>
      </c>
      <c r="I2450" s="2">
        <v>2.379861111111111</v>
      </c>
      <c r="J2450" s="4" t="str">
        <f>IF(Table1[[#This Row],[processing_time_hours]]&gt;1.5,"Slow", "Fast")</f>
        <v>Slow</v>
      </c>
      <c r="K2450" t="s">
        <v>2814</v>
      </c>
      <c r="L2450" s="3">
        <v>1</v>
      </c>
      <c r="M2450" t="str">
        <f>IF(Table1[[#This Row],[delayed]]=1,"Delayed","On Time")</f>
        <v>Delayed</v>
      </c>
      <c r="N2450" t="str">
        <f>IF(AND(Table1[[#This Row],[delayed]]=1,Table1[[#This Row],[weather_condition]]="Storm"),"High Risk", IF(Table1[[#This Row],[delayed]]=1,"Medium Risk","Low Risk"))</f>
        <v>Medium Risk</v>
      </c>
    </row>
    <row r="2451" spans="1:14" x14ac:dyDescent="0.35">
      <c r="A2451">
        <v>2450</v>
      </c>
      <c r="B2451" s="1">
        <v>45029.041666666664</v>
      </c>
      <c r="C2451" s="2">
        <v>5.2083333333333336E-2</v>
      </c>
      <c r="D2451" s="3">
        <v>3757</v>
      </c>
      <c r="E2451" s="3">
        <v>444</v>
      </c>
      <c r="F2451" s="2">
        <v>6.667361111111112</v>
      </c>
      <c r="G2451" t="s">
        <v>2815</v>
      </c>
      <c r="H2451" t="s">
        <v>2813</v>
      </c>
      <c r="I2451" s="2">
        <v>0.13055555555555556</v>
      </c>
      <c r="J2451" s="4" t="str">
        <f>IF(Table1[[#This Row],[processing_time_hours]]&gt;1.5,"Slow", "Fast")</f>
        <v>Fast</v>
      </c>
      <c r="K2451" t="s">
        <v>2821</v>
      </c>
      <c r="L2451" s="3">
        <v>0</v>
      </c>
      <c r="M2451" t="str">
        <f>IF(Table1[[#This Row],[delayed]]=1,"Delayed","On Time")</f>
        <v>On Time</v>
      </c>
      <c r="N2451" t="str">
        <f>IF(AND(Table1[[#This Row],[delayed]]=1,Table1[[#This Row],[weather_condition]]="Storm"),"High Risk", IF(Table1[[#This Row],[delayed]]=1,"Medium Risk","Low Risk"))</f>
        <v>Low Risk</v>
      </c>
    </row>
    <row r="2452" spans="1:14" x14ac:dyDescent="0.35">
      <c r="A2452">
        <v>2451</v>
      </c>
      <c r="B2452" s="1">
        <v>45029.083333333336</v>
      </c>
      <c r="C2452" s="2">
        <v>6.2499999999999995E-3</v>
      </c>
      <c r="D2452" s="3">
        <v>2748</v>
      </c>
      <c r="E2452" s="3">
        <v>343</v>
      </c>
      <c r="F2452" s="2">
        <v>11.547916666666666</v>
      </c>
      <c r="G2452" t="s">
        <v>2816</v>
      </c>
      <c r="H2452" t="s">
        <v>2817</v>
      </c>
      <c r="I2452" s="2">
        <v>2.0881944444444445</v>
      </c>
      <c r="J2452" s="4" t="str">
        <f>IF(Table1[[#This Row],[processing_time_hours]]&gt;1.5,"Slow", "Fast")</f>
        <v>Slow</v>
      </c>
      <c r="K2452" t="s">
        <v>2821</v>
      </c>
      <c r="L2452" s="3">
        <v>0</v>
      </c>
      <c r="M2452" t="str">
        <f>IF(Table1[[#This Row],[delayed]]=1,"Delayed","On Time")</f>
        <v>On Time</v>
      </c>
      <c r="N2452" t="str">
        <f>IF(AND(Table1[[#This Row],[delayed]]=1,Table1[[#This Row],[weather_condition]]="Storm"),"High Risk", IF(Table1[[#This Row],[delayed]]=1,"Medium Risk","Low Risk"))</f>
        <v>Low Risk</v>
      </c>
    </row>
    <row r="2453" spans="1:14" x14ac:dyDescent="0.35">
      <c r="A2453">
        <v>2452</v>
      </c>
      <c r="B2453" s="1">
        <v>45029.125</v>
      </c>
      <c r="C2453" s="2">
        <v>6.1805555555555558E-2</v>
      </c>
      <c r="D2453" s="3">
        <v>2713</v>
      </c>
      <c r="E2453" s="3">
        <v>130</v>
      </c>
      <c r="F2453" s="2">
        <v>30.668055555555554</v>
      </c>
      <c r="G2453" t="s">
        <v>2816</v>
      </c>
      <c r="H2453" t="s">
        <v>2820</v>
      </c>
      <c r="I2453" s="2">
        <v>0.58472222222222225</v>
      </c>
      <c r="J2453" s="4" t="str">
        <f>IF(Table1[[#This Row],[processing_time_hours]]&gt;1.5,"Slow", "Fast")</f>
        <v>Fast</v>
      </c>
      <c r="K2453" t="s">
        <v>2821</v>
      </c>
      <c r="L2453" s="3">
        <v>0</v>
      </c>
      <c r="M2453" t="str">
        <f>IF(Table1[[#This Row],[delayed]]=1,"Delayed","On Time")</f>
        <v>On Time</v>
      </c>
      <c r="N2453" t="str">
        <f>IF(AND(Table1[[#This Row],[delayed]]=1,Table1[[#This Row],[weather_condition]]="Storm"),"High Risk", IF(Table1[[#This Row],[delayed]]=1,"Medium Risk","Low Risk"))</f>
        <v>Low Risk</v>
      </c>
    </row>
    <row r="2454" spans="1:14" x14ac:dyDescent="0.35">
      <c r="A2454">
        <v>2453</v>
      </c>
      <c r="B2454" s="1">
        <v>45029.166666666664</v>
      </c>
      <c r="C2454" s="2">
        <v>4.3055555555555562E-2</v>
      </c>
      <c r="D2454" s="3">
        <v>2245</v>
      </c>
      <c r="E2454" s="3">
        <v>466</v>
      </c>
      <c r="F2454" s="2">
        <v>30.295833333333334</v>
      </c>
      <c r="G2454" t="s">
        <v>2816</v>
      </c>
      <c r="H2454" t="s">
        <v>2813</v>
      </c>
      <c r="I2454" s="2">
        <v>0.42083333333333334</v>
      </c>
      <c r="J2454" s="4" t="str">
        <f>IF(Table1[[#This Row],[processing_time_hours]]&gt;1.5,"Slow", "Fast")</f>
        <v>Fast</v>
      </c>
      <c r="K2454" t="s">
        <v>2818</v>
      </c>
      <c r="L2454" s="3">
        <v>0</v>
      </c>
      <c r="M2454" t="str">
        <f>IF(Table1[[#This Row],[delayed]]=1,"Delayed","On Time")</f>
        <v>On Time</v>
      </c>
      <c r="N2454" t="str">
        <f>IF(AND(Table1[[#This Row],[delayed]]=1,Table1[[#This Row],[weather_condition]]="Storm"),"High Risk", IF(Table1[[#This Row],[delayed]]=1,"Medium Risk","Low Risk"))</f>
        <v>Low Risk</v>
      </c>
    </row>
    <row r="2455" spans="1:14" x14ac:dyDescent="0.35">
      <c r="A2455">
        <v>2454</v>
      </c>
      <c r="B2455" s="1">
        <v>45029.208333333336</v>
      </c>
      <c r="C2455" s="2">
        <v>4.2361111111111106E-2</v>
      </c>
      <c r="D2455" s="3">
        <v>2740</v>
      </c>
      <c r="E2455" s="3">
        <v>304</v>
      </c>
      <c r="F2455" s="2">
        <v>55.045833333333327</v>
      </c>
      <c r="G2455" t="s">
        <v>2812</v>
      </c>
      <c r="H2455" t="s">
        <v>2813</v>
      </c>
      <c r="I2455" s="2">
        <v>1.8333333333333333</v>
      </c>
      <c r="J2455" s="4" t="str">
        <f>IF(Table1[[#This Row],[processing_time_hours]]&gt;1.5,"Slow", "Fast")</f>
        <v>Slow</v>
      </c>
      <c r="K2455" t="s">
        <v>2821</v>
      </c>
      <c r="L2455" s="3">
        <v>0</v>
      </c>
      <c r="M2455" t="str">
        <f>IF(Table1[[#This Row],[delayed]]=1,"Delayed","On Time")</f>
        <v>On Time</v>
      </c>
      <c r="N2455" t="str">
        <f>IF(AND(Table1[[#This Row],[delayed]]=1,Table1[[#This Row],[weather_condition]]="Storm"),"High Risk", IF(Table1[[#This Row],[delayed]]=1,"Medium Risk","Low Risk"))</f>
        <v>Low Risk</v>
      </c>
    </row>
    <row r="2456" spans="1:14" x14ac:dyDescent="0.35">
      <c r="A2456">
        <v>2455</v>
      </c>
      <c r="B2456" s="1">
        <v>45029.25</v>
      </c>
      <c r="C2456" s="2">
        <v>5.5555555555555558E-3</v>
      </c>
      <c r="D2456" s="3">
        <v>4780</v>
      </c>
      <c r="E2456" s="3">
        <v>477</v>
      </c>
      <c r="F2456" s="2">
        <v>52.25555555555556</v>
      </c>
      <c r="G2456" t="s">
        <v>2812</v>
      </c>
      <c r="H2456" t="s">
        <v>2813</v>
      </c>
      <c r="I2456" s="2">
        <v>1.9625000000000001</v>
      </c>
      <c r="J2456" s="4" t="str">
        <f>IF(Table1[[#This Row],[processing_time_hours]]&gt;1.5,"Slow", "Fast")</f>
        <v>Slow</v>
      </c>
      <c r="K2456" t="s">
        <v>2814</v>
      </c>
      <c r="L2456" s="3">
        <v>0</v>
      </c>
      <c r="M2456" t="str">
        <f>IF(Table1[[#This Row],[delayed]]=1,"Delayed","On Time")</f>
        <v>On Time</v>
      </c>
      <c r="N2456" t="str">
        <f>IF(AND(Table1[[#This Row],[delayed]]=1,Table1[[#This Row],[weather_condition]]="Storm"),"High Risk", IF(Table1[[#This Row],[delayed]]=1,"Medium Risk","Low Risk"))</f>
        <v>Low Risk</v>
      </c>
    </row>
    <row r="2457" spans="1:14" x14ac:dyDescent="0.35">
      <c r="A2457">
        <v>2456</v>
      </c>
      <c r="B2457" s="1">
        <v>45029.291666666664</v>
      </c>
      <c r="C2457" s="2">
        <v>5.4166666666666669E-2</v>
      </c>
      <c r="D2457" s="3">
        <v>421</v>
      </c>
      <c r="E2457" s="3">
        <v>363</v>
      </c>
      <c r="F2457" s="2">
        <v>46.545833333333327</v>
      </c>
      <c r="G2457" t="s">
        <v>2816</v>
      </c>
      <c r="H2457" t="s">
        <v>2813</v>
      </c>
      <c r="I2457" s="2">
        <v>1.1284722222222221</v>
      </c>
      <c r="J2457" s="4" t="str">
        <f>IF(Table1[[#This Row],[processing_time_hours]]&gt;1.5,"Slow", "Fast")</f>
        <v>Fast</v>
      </c>
      <c r="K2457" t="s">
        <v>2821</v>
      </c>
      <c r="L2457" s="3">
        <v>0</v>
      </c>
      <c r="M2457" t="str">
        <f>IF(Table1[[#This Row],[delayed]]=1,"Delayed","On Time")</f>
        <v>On Time</v>
      </c>
      <c r="N2457" t="str">
        <f>IF(AND(Table1[[#This Row],[delayed]]=1,Table1[[#This Row],[weather_condition]]="Storm"),"High Risk", IF(Table1[[#This Row],[delayed]]=1,"Medium Risk","Low Risk"))</f>
        <v>Low Risk</v>
      </c>
    </row>
    <row r="2458" spans="1:14" x14ac:dyDescent="0.35">
      <c r="A2458">
        <v>2457</v>
      </c>
      <c r="B2458" s="1">
        <v>45029.333333333336</v>
      </c>
      <c r="C2458" s="2">
        <v>4.5138888888888888E-2</v>
      </c>
      <c r="D2458" s="3">
        <v>4135</v>
      </c>
      <c r="E2458" s="3">
        <v>369</v>
      </c>
      <c r="F2458" s="2">
        <v>14.670833333333334</v>
      </c>
      <c r="G2458" t="s">
        <v>2819</v>
      </c>
      <c r="H2458" t="s">
        <v>2813</v>
      </c>
      <c r="I2458" s="2">
        <v>0.38125000000000003</v>
      </c>
      <c r="J2458" s="4" t="str">
        <f>IF(Table1[[#This Row],[processing_time_hours]]&gt;1.5,"Slow", "Fast")</f>
        <v>Fast</v>
      </c>
      <c r="K2458" t="s">
        <v>2821</v>
      </c>
      <c r="L2458" s="3">
        <v>1</v>
      </c>
      <c r="M2458" t="str">
        <f>IF(Table1[[#This Row],[delayed]]=1,"Delayed","On Time")</f>
        <v>Delayed</v>
      </c>
      <c r="N2458" t="str">
        <f>IF(AND(Table1[[#This Row],[delayed]]=1,Table1[[#This Row],[weather_condition]]="Storm"),"High Risk", IF(Table1[[#This Row],[delayed]]=1,"Medium Risk","Low Risk"))</f>
        <v>Medium Risk</v>
      </c>
    </row>
    <row r="2459" spans="1:14" x14ac:dyDescent="0.35">
      <c r="A2459">
        <v>2458</v>
      </c>
      <c r="B2459" s="1">
        <v>45029.375</v>
      </c>
      <c r="C2459" s="2">
        <v>4.9305555555555554E-2</v>
      </c>
      <c r="D2459" s="3">
        <v>1701</v>
      </c>
      <c r="E2459" s="3">
        <v>216</v>
      </c>
      <c r="F2459" s="2">
        <v>20.630555555555556</v>
      </c>
      <c r="G2459" t="s">
        <v>2815</v>
      </c>
      <c r="H2459" t="s">
        <v>2822</v>
      </c>
      <c r="I2459" s="2">
        <v>1.0479166666666666</v>
      </c>
      <c r="J2459" s="4" t="str">
        <f>IF(Table1[[#This Row],[processing_time_hours]]&gt;1.5,"Slow", "Fast")</f>
        <v>Fast</v>
      </c>
      <c r="K2459" t="s">
        <v>2814</v>
      </c>
      <c r="L2459" s="3">
        <v>0</v>
      </c>
      <c r="M2459" t="str">
        <f>IF(Table1[[#This Row],[delayed]]=1,"Delayed","On Time")</f>
        <v>On Time</v>
      </c>
      <c r="N2459" t="str">
        <f>IF(AND(Table1[[#This Row],[delayed]]=1,Table1[[#This Row],[weather_condition]]="Storm"),"High Risk", IF(Table1[[#This Row],[delayed]]=1,"Medium Risk","Low Risk"))</f>
        <v>Low Risk</v>
      </c>
    </row>
    <row r="2460" spans="1:14" x14ac:dyDescent="0.35">
      <c r="A2460">
        <v>2459</v>
      </c>
      <c r="B2460" s="1">
        <v>45029.416666666664</v>
      </c>
      <c r="C2460" s="2">
        <v>5.1388888888888894E-2</v>
      </c>
      <c r="D2460" s="3">
        <v>3270</v>
      </c>
      <c r="E2460" s="3">
        <v>294</v>
      </c>
      <c r="F2460" s="2">
        <v>60.586111111111109</v>
      </c>
      <c r="G2460" t="s">
        <v>2815</v>
      </c>
      <c r="H2460" t="s">
        <v>2820</v>
      </c>
      <c r="I2460" s="2">
        <v>1.6694444444444445</v>
      </c>
      <c r="J2460" s="4" t="str">
        <f>IF(Table1[[#This Row],[processing_time_hours]]&gt;1.5,"Slow", "Fast")</f>
        <v>Slow</v>
      </c>
      <c r="K2460" t="s">
        <v>2818</v>
      </c>
      <c r="L2460" s="3">
        <v>1</v>
      </c>
      <c r="M2460" t="str">
        <f>IF(Table1[[#This Row],[delayed]]=1,"Delayed","On Time")</f>
        <v>Delayed</v>
      </c>
      <c r="N2460" t="str">
        <f>IF(AND(Table1[[#This Row],[delayed]]=1,Table1[[#This Row],[weather_condition]]="Storm"),"High Risk", IF(Table1[[#This Row],[delayed]]=1,"Medium Risk","Low Risk"))</f>
        <v>Medium Risk</v>
      </c>
    </row>
    <row r="2461" spans="1:14" x14ac:dyDescent="0.35">
      <c r="A2461">
        <v>2460</v>
      </c>
      <c r="B2461" s="1">
        <v>45029.458333333336</v>
      </c>
      <c r="C2461" s="2">
        <v>6.3194444444444442E-2</v>
      </c>
      <c r="D2461" s="3">
        <v>1557</v>
      </c>
      <c r="E2461" s="3">
        <v>147</v>
      </c>
      <c r="F2461" s="2">
        <v>58.459722222222219</v>
      </c>
      <c r="G2461" t="s">
        <v>2819</v>
      </c>
      <c r="H2461" t="s">
        <v>2822</v>
      </c>
      <c r="I2461" s="2">
        <v>0.79375000000000007</v>
      </c>
      <c r="J2461" s="4" t="str">
        <f>IF(Table1[[#This Row],[processing_time_hours]]&gt;1.5,"Slow", "Fast")</f>
        <v>Fast</v>
      </c>
      <c r="K2461" t="s">
        <v>2821</v>
      </c>
      <c r="L2461" s="3">
        <v>1</v>
      </c>
      <c r="M2461" t="str">
        <f>IF(Table1[[#This Row],[delayed]]=1,"Delayed","On Time")</f>
        <v>Delayed</v>
      </c>
      <c r="N2461" t="str">
        <f>IF(AND(Table1[[#This Row],[delayed]]=1,Table1[[#This Row],[weather_condition]]="Storm"),"High Risk", IF(Table1[[#This Row],[delayed]]=1,"Medium Risk","Low Risk"))</f>
        <v>Medium Risk</v>
      </c>
    </row>
    <row r="2462" spans="1:14" x14ac:dyDescent="0.35">
      <c r="A2462">
        <v>2461</v>
      </c>
      <c r="B2462" s="1">
        <v>45029.5</v>
      </c>
      <c r="C2462" s="2">
        <v>4.8611111111111112E-3</v>
      </c>
      <c r="D2462" s="3">
        <v>4371</v>
      </c>
      <c r="E2462" s="3">
        <v>285</v>
      </c>
      <c r="F2462" s="2">
        <v>75.087499999999991</v>
      </c>
      <c r="G2462" t="s">
        <v>2812</v>
      </c>
      <c r="H2462" t="s">
        <v>2822</v>
      </c>
      <c r="I2462" s="2">
        <v>0.62638888888888888</v>
      </c>
      <c r="J2462" s="4" t="str">
        <f>IF(Table1[[#This Row],[processing_time_hours]]&gt;1.5,"Slow", "Fast")</f>
        <v>Fast</v>
      </c>
      <c r="K2462" t="s">
        <v>2818</v>
      </c>
      <c r="L2462" s="3">
        <v>0</v>
      </c>
      <c r="M2462" t="str">
        <f>IF(Table1[[#This Row],[delayed]]=1,"Delayed","On Time")</f>
        <v>On Time</v>
      </c>
      <c r="N2462" t="str">
        <f>IF(AND(Table1[[#This Row],[delayed]]=1,Table1[[#This Row],[weather_condition]]="Storm"),"High Risk", IF(Table1[[#This Row],[delayed]]=1,"Medium Risk","Low Risk"))</f>
        <v>Low Risk</v>
      </c>
    </row>
    <row r="2463" spans="1:14" x14ac:dyDescent="0.35">
      <c r="A2463">
        <v>2462</v>
      </c>
      <c r="B2463" s="1">
        <v>45029.541666666664</v>
      </c>
      <c r="C2463" s="2">
        <v>6.3888888888888898E-2</v>
      </c>
      <c r="D2463" s="3">
        <v>3631</v>
      </c>
      <c r="E2463" s="3">
        <v>418</v>
      </c>
      <c r="F2463" s="2">
        <v>35.125</v>
      </c>
      <c r="G2463" t="s">
        <v>2816</v>
      </c>
      <c r="H2463" t="s">
        <v>2813</v>
      </c>
      <c r="I2463" s="2">
        <v>1.1680555555555556</v>
      </c>
      <c r="J2463" s="4" t="str">
        <f>IF(Table1[[#This Row],[processing_time_hours]]&gt;1.5,"Slow", "Fast")</f>
        <v>Fast</v>
      </c>
      <c r="K2463" t="s">
        <v>2821</v>
      </c>
      <c r="L2463" s="3">
        <v>1</v>
      </c>
      <c r="M2463" t="str">
        <f>IF(Table1[[#This Row],[delayed]]=1,"Delayed","On Time")</f>
        <v>Delayed</v>
      </c>
      <c r="N2463" t="str">
        <f>IF(AND(Table1[[#This Row],[delayed]]=1,Table1[[#This Row],[weather_condition]]="Storm"),"High Risk", IF(Table1[[#This Row],[delayed]]=1,"Medium Risk","Low Risk"))</f>
        <v>Medium Risk</v>
      </c>
    </row>
    <row r="2464" spans="1:14" x14ac:dyDescent="0.35">
      <c r="A2464">
        <v>2463</v>
      </c>
      <c r="B2464" s="1">
        <v>45029.583333333336</v>
      </c>
      <c r="C2464" s="2">
        <v>6.5277777777777782E-2</v>
      </c>
      <c r="D2464" s="3">
        <v>1158</v>
      </c>
      <c r="E2464" s="3">
        <v>286</v>
      </c>
      <c r="F2464" s="2">
        <v>63.166666666666664</v>
      </c>
      <c r="G2464" t="s">
        <v>2816</v>
      </c>
      <c r="H2464" t="s">
        <v>2813</v>
      </c>
      <c r="I2464" s="2">
        <v>1.3756944444444443</v>
      </c>
      <c r="J2464" s="4" t="str">
        <f>IF(Table1[[#This Row],[processing_time_hours]]&gt;1.5,"Slow", "Fast")</f>
        <v>Fast</v>
      </c>
      <c r="K2464" t="s">
        <v>2814</v>
      </c>
      <c r="L2464" s="3">
        <v>1</v>
      </c>
      <c r="M2464" t="str">
        <f>IF(Table1[[#This Row],[delayed]]=1,"Delayed","On Time")</f>
        <v>Delayed</v>
      </c>
      <c r="N2464" t="str">
        <f>IF(AND(Table1[[#This Row],[delayed]]=1,Table1[[#This Row],[weather_condition]]="Storm"),"High Risk", IF(Table1[[#This Row],[delayed]]=1,"Medium Risk","Low Risk"))</f>
        <v>Medium Risk</v>
      </c>
    </row>
    <row r="2465" spans="1:14" x14ac:dyDescent="0.35">
      <c r="A2465">
        <v>2464</v>
      </c>
      <c r="B2465" s="1">
        <v>45029.625</v>
      </c>
      <c r="C2465" s="2">
        <v>4.8611111111111112E-3</v>
      </c>
      <c r="D2465" s="3">
        <v>109</v>
      </c>
      <c r="E2465" s="3">
        <v>79</v>
      </c>
      <c r="F2465" s="2">
        <v>54.583333333333336</v>
      </c>
      <c r="G2465" t="s">
        <v>2815</v>
      </c>
      <c r="H2465" t="s">
        <v>2822</v>
      </c>
      <c r="I2465" s="2">
        <v>2.7083333333333335</v>
      </c>
      <c r="J2465" s="4" t="str">
        <f>IF(Table1[[#This Row],[processing_time_hours]]&gt;1.5,"Slow", "Fast")</f>
        <v>Slow</v>
      </c>
      <c r="K2465" t="s">
        <v>2821</v>
      </c>
      <c r="L2465" s="3">
        <v>0</v>
      </c>
      <c r="M2465" t="str">
        <f>IF(Table1[[#This Row],[delayed]]=1,"Delayed","On Time")</f>
        <v>On Time</v>
      </c>
      <c r="N2465" t="str">
        <f>IF(AND(Table1[[#This Row],[delayed]]=1,Table1[[#This Row],[weather_condition]]="Storm"),"High Risk", IF(Table1[[#This Row],[delayed]]=1,"Medium Risk","Low Risk"))</f>
        <v>Low Risk</v>
      </c>
    </row>
    <row r="2466" spans="1:14" x14ac:dyDescent="0.35">
      <c r="A2466">
        <v>2465</v>
      </c>
      <c r="B2466" s="1">
        <v>45029.666666666664</v>
      </c>
      <c r="C2466" s="2">
        <v>6.5277777777777782E-2</v>
      </c>
      <c r="D2466" s="3">
        <v>4177</v>
      </c>
      <c r="E2466" s="3">
        <v>400</v>
      </c>
      <c r="F2466" s="2">
        <v>24.464583333333334</v>
      </c>
      <c r="G2466" t="s">
        <v>2815</v>
      </c>
      <c r="H2466" t="s">
        <v>2822</v>
      </c>
      <c r="I2466" s="2">
        <v>2.5465277777777779</v>
      </c>
      <c r="J2466" s="4" t="str">
        <f>IF(Table1[[#This Row],[processing_time_hours]]&gt;1.5,"Slow", "Fast")</f>
        <v>Slow</v>
      </c>
      <c r="K2466" t="s">
        <v>2818</v>
      </c>
      <c r="L2466" s="3">
        <v>1</v>
      </c>
      <c r="M2466" t="str">
        <f>IF(Table1[[#This Row],[delayed]]=1,"Delayed","On Time")</f>
        <v>Delayed</v>
      </c>
      <c r="N2466" t="str">
        <f>IF(AND(Table1[[#This Row],[delayed]]=1,Table1[[#This Row],[weather_condition]]="Storm"),"High Risk", IF(Table1[[#This Row],[delayed]]=1,"Medium Risk","Low Risk"))</f>
        <v>Medium Risk</v>
      </c>
    </row>
    <row r="2467" spans="1:14" x14ac:dyDescent="0.35">
      <c r="A2467">
        <v>2466</v>
      </c>
      <c r="B2467" s="1">
        <v>45029.708333333336</v>
      </c>
      <c r="C2467" s="2">
        <v>4.3750000000000004E-2</v>
      </c>
      <c r="D2467" s="3">
        <v>1899</v>
      </c>
      <c r="E2467" s="3">
        <v>289</v>
      </c>
      <c r="F2467" s="2">
        <v>28.380555555555556</v>
      </c>
      <c r="G2467" t="s">
        <v>2812</v>
      </c>
      <c r="H2467" t="s">
        <v>2822</v>
      </c>
      <c r="I2467" s="2">
        <v>0.37777777777777777</v>
      </c>
      <c r="J2467" s="4" t="str">
        <f>IF(Table1[[#This Row],[processing_time_hours]]&gt;1.5,"Slow", "Fast")</f>
        <v>Fast</v>
      </c>
      <c r="K2467" t="s">
        <v>2818</v>
      </c>
      <c r="L2467" s="3">
        <v>0</v>
      </c>
      <c r="M2467" t="str">
        <f>IF(Table1[[#This Row],[delayed]]=1,"Delayed","On Time")</f>
        <v>On Time</v>
      </c>
      <c r="N2467" t="str">
        <f>IF(AND(Table1[[#This Row],[delayed]]=1,Table1[[#This Row],[weather_condition]]="Storm"),"High Risk", IF(Table1[[#This Row],[delayed]]=1,"Medium Risk","Low Risk"))</f>
        <v>Low Risk</v>
      </c>
    </row>
    <row r="2468" spans="1:14" x14ac:dyDescent="0.35">
      <c r="A2468">
        <v>2467</v>
      </c>
      <c r="B2468" s="1">
        <v>45029.75</v>
      </c>
      <c r="C2468" s="2">
        <v>5.2083333333333336E-2</v>
      </c>
      <c r="D2468" s="3">
        <v>382</v>
      </c>
      <c r="E2468" s="3">
        <v>202</v>
      </c>
      <c r="F2468" s="2">
        <v>69.131250000000009</v>
      </c>
      <c r="G2468" t="s">
        <v>2812</v>
      </c>
      <c r="H2468" t="s">
        <v>2817</v>
      </c>
      <c r="I2468" s="2">
        <v>1.6270833333333332</v>
      </c>
      <c r="J2468" s="4" t="str">
        <f>IF(Table1[[#This Row],[processing_time_hours]]&gt;1.5,"Slow", "Fast")</f>
        <v>Slow</v>
      </c>
      <c r="K2468" t="s">
        <v>2818</v>
      </c>
      <c r="L2468" s="3">
        <v>1</v>
      </c>
      <c r="M2468" t="str">
        <f>IF(Table1[[#This Row],[delayed]]=1,"Delayed","On Time")</f>
        <v>Delayed</v>
      </c>
      <c r="N2468" t="str">
        <f>IF(AND(Table1[[#This Row],[delayed]]=1,Table1[[#This Row],[weather_condition]]="Storm"),"High Risk", IF(Table1[[#This Row],[delayed]]=1,"Medium Risk","Low Risk"))</f>
        <v>High Risk</v>
      </c>
    </row>
    <row r="2469" spans="1:14" x14ac:dyDescent="0.35">
      <c r="A2469">
        <v>2468</v>
      </c>
      <c r="B2469" s="1">
        <v>45029.791666666664</v>
      </c>
      <c r="C2469" s="2">
        <v>4.4444444444444446E-2</v>
      </c>
      <c r="D2469" s="3">
        <v>301</v>
      </c>
      <c r="E2469" s="3">
        <v>355</v>
      </c>
      <c r="F2469" s="2">
        <v>58.585416666666667</v>
      </c>
      <c r="G2469" t="s">
        <v>2815</v>
      </c>
      <c r="H2469" t="s">
        <v>2813</v>
      </c>
      <c r="I2469" s="2">
        <v>1.0868055555555556</v>
      </c>
      <c r="J2469" s="4" t="str">
        <f>IF(Table1[[#This Row],[processing_time_hours]]&gt;1.5,"Slow", "Fast")</f>
        <v>Fast</v>
      </c>
      <c r="K2469" t="s">
        <v>2821</v>
      </c>
      <c r="L2469" s="3">
        <v>1</v>
      </c>
      <c r="M2469" t="str">
        <f>IF(Table1[[#This Row],[delayed]]=1,"Delayed","On Time")</f>
        <v>Delayed</v>
      </c>
      <c r="N2469" t="str">
        <f>IF(AND(Table1[[#This Row],[delayed]]=1,Table1[[#This Row],[weather_condition]]="Storm"),"High Risk", IF(Table1[[#This Row],[delayed]]=1,"Medium Risk","Low Risk"))</f>
        <v>Medium Risk</v>
      </c>
    </row>
    <row r="2470" spans="1:14" x14ac:dyDescent="0.35">
      <c r="A2470">
        <v>2469</v>
      </c>
      <c r="B2470" s="1">
        <v>45029.833333333336</v>
      </c>
      <c r="C2470" s="2">
        <v>5.0694444444444438E-2</v>
      </c>
      <c r="D2470" s="3">
        <v>1507</v>
      </c>
      <c r="E2470" s="3">
        <v>43</v>
      </c>
      <c r="F2470" s="2">
        <v>65.209722222222226</v>
      </c>
      <c r="G2470" t="s">
        <v>2816</v>
      </c>
      <c r="H2470" t="s">
        <v>2817</v>
      </c>
      <c r="I2470" s="2">
        <v>2.6715277777777775</v>
      </c>
      <c r="J2470" s="4" t="str">
        <f>IF(Table1[[#This Row],[processing_time_hours]]&gt;1.5,"Slow", "Fast")</f>
        <v>Slow</v>
      </c>
      <c r="K2470" t="s">
        <v>2821</v>
      </c>
      <c r="L2470" s="3">
        <v>0</v>
      </c>
      <c r="M2470" t="str">
        <f>IF(Table1[[#This Row],[delayed]]=1,"Delayed","On Time")</f>
        <v>On Time</v>
      </c>
      <c r="N2470" t="str">
        <f>IF(AND(Table1[[#This Row],[delayed]]=1,Table1[[#This Row],[weather_condition]]="Storm"),"High Risk", IF(Table1[[#This Row],[delayed]]=1,"Medium Risk","Low Risk"))</f>
        <v>Low Risk</v>
      </c>
    </row>
    <row r="2471" spans="1:14" x14ac:dyDescent="0.35">
      <c r="A2471">
        <v>2470</v>
      </c>
      <c r="B2471" s="1">
        <v>45029.875</v>
      </c>
      <c r="C2471" s="2">
        <v>4.9305555555555554E-2</v>
      </c>
      <c r="D2471" s="3">
        <v>2002</v>
      </c>
      <c r="E2471" s="3">
        <v>93</v>
      </c>
      <c r="F2471" s="2">
        <v>76.795138888888886</v>
      </c>
      <c r="G2471" t="s">
        <v>2816</v>
      </c>
      <c r="H2471" t="s">
        <v>2813</v>
      </c>
      <c r="I2471" s="2">
        <v>0.75277777777777777</v>
      </c>
      <c r="J2471" s="4" t="str">
        <f>IF(Table1[[#This Row],[processing_time_hours]]&gt;1.5,"Slow", "Fast")</f>
        <v>Fast</v>
      </c>
      <c r="K2471" t="s">
        <v>2818</v>
      </c>
      <c r="L2471" s="3">
        <v>0</v>
      </c>
      <c r="M2471" t="str">
        <f>IF(Table1[[#This Row],[delayed]]=1,"Delayed","On Time")</f>
        <v>On Time</v>
      </c>
      <c r="N2471" t="str">
        <f>IF(AND(Table1[[#This Row],[delayed]]=1,Table1[[#This Row],[weather_condition]]="Storm"),"High Risk", IF(Table1[[#This Row],[delayed]]=1,"Medium Risk","Low Risk"))</f>
        <v>Low Risk</v>
      </c>
    </row>
    <row r="2472" spans="1:14" x14ac:dyDescent="0.35">
      <c r="A2472">
        <v>2471</v>
      </c>
      <c r="B2472" s="1">
        <v>45029.916666666664</v>
      </c>
      <c r="C2472" s="2">
        <v>6.2499999999999995E-3</v>
      </c>
      <c r="D2472" s="3">
        <v>3586</v>
      </c>
      <c r="E2472" s="3">
        <v>132</v>
      </c>
      <c r="F2472" s="2">
        <v>42.791666666666664</v>
      </c>
      <c r="G2472" t="s">
        <v>2819</v>
      </c>
      <c r="H2472" t="s">
        <v>2820</v>
      </c>
      <c r="I2472" s="2">
        <v>0.29236111111111113</v>
      </c>
      <c r="J2472" s="4" t="str">
        <f>IF(Table1[[#This Row],[processing_time_hours]]&gt;1.5,"Slow", "Fast")</f>
        <v>Fast</v>
      </c>
      <c r="K2472" t="s">
        <v>2818</v>
      </c>
      <c r="L2472" s="3">
        <v>1</v>
      </c>
      <c r="M2472" t="str">
        <f>IF(Table1[[#This Row],[delayed]]=1,"Delayed","On Time")</f>
        <v>Delayed</v>
      </c>
      <c r="N2472" t="str">
        <f>IF(AND(Table1[[#This Row],[delayed]]=1,Table1[[#This Row],[weather_condition]]="Storm"),"High Risk", IF(Table1[[#This Row],[delayed]]=1,"Medium Risk","Low Risk"))</f>
        <v>Medium Risk</v>
      </c>
    </row>
    <row r="2473" spans="1:14" x14ac:dyDescent="0.35">
      <c r="A2473">
        <v>2472</v>
      </c>
      <c r="B2473" s="1">
        <v>45029.958333333336</v>
      </c>
      <c r="C2473" s="2">
        <v>6.458333333333334E-2</v>
      </c>
      <c r="D2473" s="3">
        <v>4628</v>
      </c>
      <c r="E2473" s="3">
        <v>284</v>
      </c>
      <c r="F2473" s="2">
        <v>25.588194444444444</v>
      </c>
      <c r="G2473" t="s">
        <v>2816</v>
      </c>
      <c r="H2473" t="s">
        <v>2813</v>
      </c>
      <c r="I2473" s="2">
        <v>1.0034722222222221</v>
      </c>
      <c r="J2473" s="4" t="str">
        <f>IF(Table1[[#This Row],[processing_time_hours]]&gt;1.5,"Slow", "Fast")</f>
        <v>Fast</v>
      </c>
      <c r="K2473" t="s">
        <v>2814</v>
      </c>
      <c r="L2473" s="3">
        <v>0</v>
      </c>
      <c r="M2473" t="str">
        <f>IF(Table1[[#This Row],[delayed]]=1,"Delayed","On Time")</f>
        <v>On Time</v>
      </c>
      <c r="N2473" t="str">
        <f>IF(AND(Table1[[#This Row],[delayed]]=1,Table1[[#This Row],[weather_condition]]="Storm"),"High Risk", IF(Table1[[#This Row],[delayed]]=1,"Medium Risk","Low Risk"))</f>
        <v>Low Risk</v>
      </c>
    </row>
    <row r="2474" spans="1:14" x14ac:dyDescent="0.35">
      <c r="A2474">
        <v>2473</v>
      </c>
      <c r="B2474" s="1">
        <v>45030</v>
      </c>
      <c r="C2474" s="2">
        <v>5.0694444444444438E-2</v>
      </c>
      <c r="D2474" s="3">
        <v>3949</v>
      </c>
      <c r="E2474" s="3">
        <v>141</v>
      </c>
      <c r="F2474" s="2">
        <v>49.50138888888889</v>
      </c>
      <c r="G2474" t="s">
        <v>2815</v>
      </c>
      <c r="H2474" t="s">
        <v>2820</v>
      </c>
      <c r="I2474" s="2">
        <v>2.5430555555555556</v>
      </c>
      <c r="J2474" s="4" t="str">
        <f>IF(Table1[[#This Row],[processing_time_hours]]&gt;1.5,"Slow", "Fast")</f>
        <v>Slow</v>
      </c>
      <c r="K2474" t="s">
        <v>2818</v>
      </c>
      <c r="L2474" s="3">
        <v>0</v>
      </c>
      <c r="M2474" t="str">
        <f>IF(Table1[[#This Row],[delayed]]=1,"Delayed","On Time")</f>
        <v>On Time</v>
      </c>
      <c r="N2474" t="str">
        <f>IF(AND(Table1[[#This Row],[delayed]]=1,Table1[[#This Row],[weather_condition]]="Storm"),"High Risk", IF(Table1[[#This Row],[delayed]]=1,"Medium Risk","Low Risk"))</f>
        <v>Low Risk</v>
      </c>
    </row>
    <row r="2475" spans="1:14" x14ac:dyDescent="0.35">
      <c r="A2475">
        <v>2474</v>
      </c>
      <c r="B2475" s="1">
        <v>45030.041666666664</v>
      </c>
      <c r="C2475" s="2">
        <v>5.1388888888888894E-2</v>
      </c>
      <c r="D2475" s="3">
        <v>996</v>
      </c>
      <c r="E2475" s="3">
        <v>69</v>
      </c>
      <c r="F2475" s="2">
        <v>51.458333333333336</v>
      </c>
      <c r="G2475" t="s">
        <v>2816</v>
      </c>
      <c r="H2475" t="s">
        <v>2820</v>
      </c>
      <c r="I2475" s="2">
        <v>0.46249999999999997</v>
      </c>
      <c r="J2475" s="4" t="str">
        <f>IF(Table1[[#This Row],[processing_time_hours]]&gt;1.5,"Slow", "Fast")</f>
        <v>Fast</v>
      </c>
      <c r="K2475" t="s">
        <v>2818</v>
      </c>
      <c r="L2475" s="3">
        <v>0</v>
      </c>
      <c r="M2475" t="str">
        <f>IF(Table1[[#This Row],[delayed]]=1,"Delayed","On Time")</f>
        <v>On Time</v>
      </c>
      <c r="N2475" t="str">
        <f>IF(AND(Table1[[#This Row],[delayed]]=1,Table1[[#This Row],[weather_condition]]="Storm"),"High Risk", IF(Table1[[#This Row],[delayed]]=1,"Medium Risk","Low Risk"))</f>
        <v>Low Risk</v>
      </c>
    </row>
    <row r="2476" spans="1:14" x14ac:dyDescent="0.35">
      <c r="A2476">
        <v>2475</v>
      </c>
      <c r="B2476" s="1">
        <v>45030.083333333336</v>
      </c>
      <c r="C2476" s="2">
        <v>6.8749999999999992E-2</v>
      </c>
      <c r="D2476" s="3">
        <v>1739</v>
      </c>
      <c r="E2476" s="3">
        <v>454</v>
      </c>
      <c r="F2476" s="2">
        <v>8.7083333333333339</v>
      </c>
      <c r="G2476" t="s">
        <v>2815</v>
      </c>
      <c r="H2476" t="s">
        <v>2820</v>
      </c>
      <c r="I2476" s="2">
        <v>0.13125000000000001</v>
      </c>
      <c r="J2476" s="4" t="str">
        <f>IF(Table1[[#This Row],[processing_time_hours]]&gt;1.5,"Slow", "Fast")</f>
        <v>Fast</v>
      </c>
      <c r="K2476" t="s">
        <v>2814</v>
      </c>
      <c r="L2476" s="3">
        <v>0</v>
      </c>
      <c r="M2476" t="str">
        <f>IF(Table1[[#This Row],[delayed]]=1,"Delayed","On Time")</f>
        <v>On Time</v>
      </c>
      <c r="N2476" t="str">
        <f>IF(AND(Table1[[#This Row],[delayed]]=1,Table1[[#This Row],[weather_condition]]="Storm"),"High Risk", IF(Table1[[#This Row],[delayed]]=1,"Medium Risk","Low Risk"))</f>
        <v>Low Risk</v>
      </c>
    </row>
    <row r="2477" spans="1:14" x14ac:dyDescent="0.35">
      <c r="A2477">
        <v>2476</v>
      </c>
      <c r="B2477" s="1">
        <v>45030.125</v>
      </c>
      <c r="C2477" s="2">
        <v>4.5833333333333337E-2</v>
      </c>
      <c r="D2477" s="3">
        <v>4570</v>
      </c>
      <c r="E2477" s="3">
        <v>483</v>
      </c>
      <c r="F2477" s="2">
        <v>15.671527777777778</v>
      </c>
      <c r="G2477" t="s">
        <v>2819</v>
      </c>
      <c r="H2477" t="s">
        <v>2822</v>
      </c>
      <c r="I2477" s="2">
        <v>2.9229166666666671</v>
      </c>
      <c r="J2477" s="4" t="str">
        <f>IF(Table1[[#This Row],[processing_time_hours]]&gt;1.5,"Slow", "Fast")</f>
        <v>Slow</v>
      </c>
      <c r="K2477" t="s">
        <v>2814</v>
      </c>
      <c r="L2477" s="3">
        <v>1</v>
      </c>
      <c r="M2477" t="str">
        <f>IF(Table1[[#This Row],[delayed]]=1,"Delayed","On Time")</f>
        <v>Delayed</v>
      </c>
      <c r="N2477" t="str">
        <f>IF(AND(Table1[[#This Row],[delayed]]=1,Table1[[#This Row],[weather_condition]]="Storm"),"High Risk", IF(Table1[[#This Row],[delayed]]=1,"Medium Risk","Low Risk"))</f>
        <v>Medium Risk</v>
      </c>
    </row>
    <row r="2478" spans="1:14" x14ac:dyDescent="0.35">
      <c r="A2478">
        <v>2477</v>
      </c>
      <c r="B2478" s="1">
        <v>45030.166666666664</v>
      </c>
      <c r="C2478" s="2">
        <v>5.486111111111111E-2</v>
      </c>
      <c r="D2478" s="3">
        <v>1034</v>
      </c>
      <c r="E2478" s="3">
        <v>392</v>
      </c>
      <c r="F2478" s="2">
        <v>72.795138888888886</v>
      </c>
      <c r="G2478" t="s">
        <v>2812</v>
      </c>
      <c r="H2478" t="s">
        <v>2820</v>
      </c>
      <c r="I2478" s="2">
        <v>2.5861111111111112</v>
      </c>
      <c r="J2478" s="4" t="str">
        <f>IF(Table1[[#This Row],[processing_time_hours]]&gt;1.5,"Slow", "Fast")</f>
        <v>Slow</v>
      </c>
      <c r="K2478" t="s">
        <v>2818</v>
      </c>
      <c r="L2478" s="3">
        <v>0</v>
      </c>
      <c r="M2478" t="str">
        <f>IF(Table1[[#This Row],[delayed]]=1,"Delayed","On Time")</f>
        <v>On Time</v>
      </c>
      <c r="N2478" t="str">
        <f>IF(AND(Table1[[#This Row],[delayed]]=1,Table1[[#This Row],[weather_condition]]="Storm"),"High Risk", IF(Table1[[#This Row],[delayed]]=1,"Medium Risk","Low Risk"))</f>
        <v>Low Risk</v>
      </c>
    </row>
    <row r="2479" spans="1:14" x14ac:dyDescent="0.35">
      <c r="A2479">
        <v>2478</v>
      </c>
      <c r="B2479" s="1">
        <v>45030.208333333336</v>
      </c>
      <c r="C2479" s="2">
        <v>5.8333333333333327E-2</v>
      </c>
      <c r="D2479" s="3">
        <v>3992</v>
      </c>
      <c r="E2479" s="3">
        <v>497</v>
      </c>
      <c r="F2479" s="2">
        <v>54.793055555555554</v>
      </c>
      <c r="G2479" t="s">
        <v>2816</v>
      </c>
      <c r="H2479" t="s">
        <v>2813</v>
      </c>
      <c r="I2479" s="2">
        <v>2.0479166666666666</v>
      </c>
      <c r="J2479" s="4" t="str">
        <f>IF(Table1[[#This Row],[processing_time_hours]]&gt;1.5,"Slow", "Fast")</f>
        <v>Slow</v>
      </c>
      <c r="K2479" t="s">
        <v>2814</v>
      </c>
      <c r="L2479" s="3">
        <v>0</v>
      </c>
      <c r="M2479" t="str">
        <f>IF(Table1[[#This Row],[delayed]]=1,"Delayed","On Time")</f>
        <v>On Time</v>
      </c>
      <c r="N2479" t="str">
        <f>IF(AND(Table1[[#This Row],[delayed]]=1,Table1[[#This Row],[weather_condition]]="Storm"),"High Risk", IF(Table1[[#This Row],[delayed]]=1,"Medium Risk","Low Risk"))</f>
        <v>Low Risk</v>
      </c>
    </row>
    <row r="2480" spans="1:14" x14ac:dyDescent="0.35">
      <c r="A2480">
        <v>2479</v>
      </c>
      <c r="B2480" s="1">
        <v>45030.25</v>
      </c>
      <c r="C2480" s="2">
        <v>5.9722222222222225E-2</v>
      </c>
      <c r="D2480" s="3">
        <v>3852</v>
      </c>
      <c r="E2480" s="3">
        <v>333</v>
      </c>
      <c r="F2480" s="2">
        <v>42.96319444444444</v>
      </c>
      <c r="G2480" t="s">
        <v>2815</v>
      </c>
      <c r="H2480" t="s">
        <v>2822</v>
      </c>
      <c r="I2480" s="2">
        <v>2.004861111111111</v>
      </c>
      <c r="J2480" s="4" t="str">
        <f>IF(Table1[[#This Row],[processing_time_hours]]&gt;1.5,"Slow", "Fast")</f>
        <v>Slow</v>
      </c>
      <c r="K2480" t="s">
        <v>2814</v>
      </c>
      <c r="L2480" s="3">
        <v>0</v>
      </c>
      <c r="M2480" t="str">
        <f>IF(Table1[[#This Row],[delayed]]=1,"Delayed","On Time")</f>
        <v>On Time</v>
      </c>
      <c r="N2480" t="str">
        <f>IF(AND(Table1[[#This Row],[delayed]]=1,Table1[[#This Row],[weather_condition]]="Storm"),"High Risk", IF(Table1[[#This Row],[delayed]]=1,"Medium Risk","Low Risk"))</f>
        <v>Low Risk</v>
      </c>
    </row>
    <row r="2481" spans="1:14" x14ac:dyDescent="0.35">
      <c r="A2481">
        <v>2480</v>
      </c>
      <c r="B2481" s="1">
        <v>45030.291666666664</v>
      </c>
      <c r="C2481" s="2">
        <v>4.5833333333333337E-2</v>
      </c>
      <c r="D2481" s="3">
        <v>1359</v>
      </c>
      <c r="E2481" s="3">
        <v>62</v>
      </c>
      <c r="F2481" s="2">
        <v>46.37638888888889</v>
      </c>
      <c r="G2481" t="s">
        <v>2815</v>
      </c>
      <c r="H2481" t="s">
        <v>2813</v>
      </c>
      <c r="I2481" s="2">
        <v>2.629861111111111</v>
      </c>
      <c r="J2481" s="4" t="str">
        <f>IF(Table1[[#This Row],[processing_time_hours]]&gt;1.5,"Slow", "Fast")</f>
        <v>Slow</v>
      </c>
      <c r="K2481" t="s">
        <v>2814</v>
      </c>
      <c r="L2481" s="3">
        <v>0</v>
      </c>
      <c r="M2481" t="str">
        <f>IF(Table1[[#This Row],[delayed]]=1,"Delayed","On Time")</f>
        <v>On Time</v>
      </c>
      <c r="N2481" t="str">
        <f>IF(AND(Table1[[#This Row],[delayed]]=1,Table1[[#This Row],[weather_condition]]="Storm"),"High Risk", IF(Table1[[#This Row],[delayed]]=1,"Medium Risk","Low Risk"))</f>
        <v>Low Risk</v>
      </c>
    </row>
    <row r="2482" spans="1:14" x14ac:dyDescent="0.35">
      <c r="A2482">
        <v>2481</v>
      </c>
      <c r="B2482" s="1">
        <v>45030.333333333336</v>
      </c>
      <c r="C2482" s="2">
        <v>5.0694444444444438E-2</v>
      </c>
      <c r="D2482" s="3">
        <v>530</v>
      </c>
      <c r="E2482" s="3">
        <v>337</v>
      </c>
      <c r="F2482" s="2">
        <v>57.959722222222219</v>
      </c>
      <c r="G2482" t="s">
        <v>2812</v>
      </c>
      <c r="H2482" t="s">
        <v>2817</v>
      </c>
      <c r="I2482" s="2">
        <v>2.8763888888888887</v>
      </c>
      <c r="J2482" s="4" t="str">
        <f>IF(Table1[[#This Row],[processing_time_hours]]&gt;1.5,"Slow", "Fast")</f>
        <v>Slow</v>
      </c>
      <c r="K2482" t="s">
        <v>2814</v>
      </c>
      <c r="L2482" s="3">
        <v>0</v>
      </c>
      <c r="M2482" t="str">
        <f>IF(Table1[[#This Row],[delayed]]=1,"Delayed","On Time")</f>
        <v>On Time</v>
      </c>
      <c r="N2482" t="str">
        <f>IF(AND(Table1[[#This Row],[delayed]]=1,Table1[[#This Row],[weather_condition]]="Storm"),"High Risk", IF(Table1[[#This Row],[delayed]]=1,"Medium Risk","Low Risk"))</f>
        <v>Low Risk</v>
      </c>
    </row>
    <row r="2483" spans="1:14" x14ac:dyDescent="0.35">
      <c r="A2483">
        <v>2482</v>
      </c>
      <c r="B2483" s="1">
        <v>45030.375</v>
      </c>
      <c r="C2483" s="2">
        <v>4.5833333333333337E-2</v>
      </c>
      <c r="D2483" s="3">
        <v>3544</v>
      </c>
      <c r="E2483" s="3">
        <v>467</v>
      </c>
      <c r="F2483" s="2">
        <v>31.255555555555556</v>
      </c>
      <c r="G2483" t="s">
        <v>2812</v>
      </c>
      <c r="H2483" t="s">
        <v>2820</v>
      </c>
      <c r="I2483" s="2">
        <v>1.1270833333333334</v>
      </c>
      <c r="J2483" s="4" t="str">
        <f>IF(Table1[[#This Row],[processing_time_hours]]&gt;1.5,"Slow", "Fast")</f>
        <v>Fast</v>
      </c>
      <c r="K2483" t="s">
        <v>2821</v>
      </c>
      <c r="L2483" s="3">
        <v>0</v>
      </c>
      <c r="M2483" t="str">
        <f>IF(Table1[[#This Row],[delayed]]=1,"Delayed","On Time")</f>
        <v>On Time</v>
      </c>
      <c r="N2483" t="str">
        <f>IF(AND(Table1[[#This Row],[delayed]]=1,Table1[[#This Row],[weather_condition]]="Storm"),"High Risk", IF(Table1[[#This Row],[delayed]]=1,"Medium Risk","Low Risk"))</f>
        <v>Low Risk</v>
      </c>
    </row>
    <row r="2484" spans="1:14" x14ac:dyDescent="0.35">
      <c r="A2484">
        <v>2483</v>
      </c>
      <c r="B2484" s="1">
        <v>45030.416666666664</v>
      </c>
      <c r="C2484" s="2">
        <v>6.2499999999999995E-3</v>
      </c>
      <c r="D2484" s="3">
        <v>1167</v>
      </c>
      <c r="E2484" s="3">
        <v>463</v>
      </c>
      <c r="F2484" s="2">
        <v>79.379861111111111</v>
      </c>
      <c r="G2484" t="s">
        <v>2819</v>
      </c>
      <c r="H2484" t="s">
        <v>2820</v>
      </c>
      <c r="I2484" s="2">
        <v>1.7090277777777778</v>
      </c>
      <c r="J2484" s="4" t="str">
        <f>IF(Table1[[#This Row],[processing_time_hours]]&gt;1.5,"Slow", "Fast")</f>
        <v>Slow</v>
      </c>
      <c r="K2484" t="s">
        <v>2818</v>
      </c>
      <c r="L2484" s="3">
        <v>0</v>
      </c>
      <c r="M2484" t="str">
        <f>IF(Table1[[#This Row],[delayed]]=1,"Delayed","On Time")</f>
        <v>On Time</v>
      </c>
      <c r="N2484" t="str">
        <f>IF(AND(Table1[[#This Row],[delayed]]=1,Table1[[#This Row],[weather_condition]]="Storm"),"High Risk", IF(Table1[[#This Row],[delayed]]=1,"Medium Risk","Low Risk"))</f>
        <v>Low Risk</v>
      </c>
    </row>
    <row r="2485" spans="1:14" x14ac:dyDescent="0.35">
      <c r="A2485">
        <v>2484</v>
      </c>
      <c r="B2485" s="1">
        <v>45030.458333333336</v>
      </c>
      <c r="C2485" s="2">
        <v>6.1805555555555558E-2</v>
      </c>
      <c r="D2485" s="3">
        <v>2559</v>
      </c>
      <c r="E2485" s="3">
        <v>47</v>
      </c>
      <c r="F2485" s="2">
        <v>10.333333333333334</v>
      </c>
      <c r="G2485" t="s">
        <v>2815</v>
      </c>
      <c r="H2485" t="s">
        <v>2813</v>
      </c>
      <c r="I2485" s="2">
        <v>1.6666666666666667</v>
      </c>
      <c r="J2485" s="4" t="str">
        <f>IF(Table1[[#This Row],[processing_time_hours]]&gt;1.5,"Slow", "Fast")</f>
        <v>Slow</v>
      </c>
      <c r="K2485" t="s">
        <v>2814</v>
      </c>
      <c r="L2485" s="3">
        <v>0</v>
      </c>
      <c r="M2485" t="str">
        <f>IF(Table1[[#This Row],[delayed]]=1,"Delayed","On Time")</f>
        <v>On Time</v>
      </c>
      <c r="N2485" t="str">
        <f>IF(AND(Table1[[#This Row],[delayed]]=1,Table1[[#This Row],[weather_condition]]="Storm"),"High Risk", IF(Table1[[#This Row],[delayed]]=1,"Medium Risk","Low Risk"))</f>
        <v>Low Risk</v>
      </c>
    </row>
    <row r="2486" spans="1:14" x14ac:dyDescent="0.35">
      <c r="A2486">
        <v>2485</v>
      </c>
      <c r="B2486" s="1">
        <v>45030.5</v>
      </c>
      <c r="C2486" s="2">
        <v>6.458333333333334E-2</v>
      </c>
      <c r="D2486" s="3">
        <v>4852</v>
      </c>
      <c r="E2486" s="3">
        <v>32</v>
      </c>
      <c r="F2486" s="2">
        <v>19.208333333333332</v>
      </c>
      <c r="G2486" t="s">
        <v>2816</v>
      </c>
      <c r="H2486" t="s">
        <v>2817</v>
      </c>
      <c r="I2486" s="2">
        <v>1.7111111111111112</v>
      </c>
      <c r="J2486" s="4" t="str">
        <f>IF(Table1[[#This Row],[processing_time_hours]]&gt;1.5,"Slow", "Fast")</f>
        <v>Slow</v>
      </c>
      <c r="K2486" t="s">
        <v>2821</v>
      </c>
      <c r="L2486" s="3">
        <v>1</v>
      </c>
      <c r="M2486" t="str">
        <f>IF(Table1[[#This Row],[delayed]]=1,"Delayed","On Time")</f>
        <v>Delayed</v>
      </c>
      <c r="N2486" t="str">
        <f>IF(AND(Table1[[#This Row],[delayed]]=1,Table1[[#This Row],[weather_condition]]="Storm"),"High Risk", IF(Table1[[#This Row],[delayed]]=1,"Medium Risk","Low Risk"))</f>
        <v>High Risk</v>
      </c>
    </row>
    <row r="2487" spans="1:14" x14ac:dyDescent="0.35">
      <c r="A2487">
        <v>2486</v>
      </c>
      <c r="B2487" s="1">
        <v>45030.541666666664</v>
      </c>
      <c r="C2487" s="2">
        <v>5.3472222222222227E-2</v>
      </c>
      <c r="D2487" s="3">
        <v>4641</v>
      </c>
      <c r="E2487" s="3">
        <v>83</v>
      </c>
      <c r="F2487" s="2">
        <v>46.087499999999999</v>
      </c>
      <c r="G2487" t="s">
        <v>2815</v>
      </c>
      <c r="H2487" t="s">
        <v>2820</v>
      </c>
      <c r="I2487" s="2">
        <v>2.5027777777777778</v>
      </c>
      <c r="J2487" s="4" t="str">
        <f>IF(Table1[[#This Row],[processing_time_hours]]&gt;1.5,"Slow", "Fast")</f>
        <v>Slow</v>
      </c>
      <c r="K2487" t="s">
        <v>2821</v>
      </c>
      <c r="L2487" s="3">
        <v>0</v>
      </c>
      <c r="M2487" t="str">
        <f>IF(Table1[[#This Row],[delayed]]=1,"Delayed","On Time")</f>
        <v>On Time</v>
      </c>
      <c r="N2487" t="str">
        <f>IF(AND(Table1[[#This Row],[delayed]]=1,Table1[[#This Row],[weather_condition]]="Storm"),"High Risk", IF(Table1[[#This Row],[delayed]]=1,"Medium Risk","Low Risk"))</f>
        <v>Low Risk</v>
      </c>
    </row>
    <row r="2488" spans="1:14" x14ac:dyDescent="0.35">
      <c r="A2488">
        <v>2487</v>
      </c>
      <c r="B2488" s="1">
        <v>45030.583333333336</v>
      </c>
      <c r="C2488" s="2">
        <v>4.2361111111111106E-2</v>
      </c>
      <c r="D2488" s="3">
        <v>403</v>
      </c>
      <c r="E2488" s="3">
        <v>343</v>
      </c>
      <c r="F2488" s="2">
        <v>16.255555555555556</v>
      </c>
      <c r="G2488" t="s">
        <v>2812</v>
      </c>
      <c r="H2488" t="s">
        <v>2822</v>
      </c>
      <c r="I2488" s="2">
        <v>2.2118055555555558</v>
      </c>
      <c r="J2488" s="4" t="str">
        <f>IF(Table1[[#This Row],[processing_time_hours]]&gt;1.5,"Slow", "Fast")</f>
        <v>Slow</v>
      </c>
      <c r="K2488" t="s">
        <v>2818</v>
      </c>
      <c r="L2488" s="3">
        <v>0</v>
      </c>
      <c r="M2488" t="str">
        <f>IF(Table1[[#This Row],[delayed]]=1,"Delayed","On Time")</f>
        <v>On Time</v>
      </c>
      <c r="N2488" t="str">
        <f>IF(AND(Table1[[#This Row],[delayed]]=1,Table1[[#This Row],[weather_condition]]="Storm"),"High Risk", IF(Table1[[#This Row],[delayed]]=1,"Medium Risk","Low Risk"))</f>
        <v>Low Risk</v>
      </c>
    </row>
    <row r="2489" spans="1:14" x14ac:dyDescent="0.35">
      <c r="A2489">
        <v>2488</v>
      </c>
      <c r="B2489" s="1">
        <v>45030.625</v>
      </c>
      <c r="C2489" s="2">
        <v>6.6666666666666666E-2</v>
      </c>
      <c r="D2489" s="3">
        <v>523</v>
      </c>
      <c r="E2489" s="3">
        <v>53</v>
      </c>
      <c r="F2489" s="2">
        <v>20.75138888888889</v>
      </c>
      <c r="G2489" t="s">
        <v>2816</v>
      </c>
      <c r="H2489" t="s">
        <v>2817</v>
      </c>
      <c r="I2489" s="2">
        <v>0.83333333333333337</v>
      </c>
      <c r="J2489" s="4" t="str">
        <f>IF(Table1[[#This Row],[processing_time_hours]]&gt;1.5,"Slow", "Fast")</f>
        <v>Fast</v>
      </c>
      <c r="K2489" t="s">
        <v>2821</v>
      </c>
      <c r="L2489" s="3">
        <v>1</v>
      </c>
      <c r="M2489" t="str">
        <f>IF(Table1[[#This Row],[delayed]]=1,"Delayed","On Time")</f>
        <v>Delayed</v>
      </c>
      <c r="N2489" t="str">
        <f>IF(AND(Table1[[#This Row],[delayed]]=1,Table1[[#This Row],[weather_condition]]="Storm"),"High Risk", IF(Table1[[#This Row],[delayed]]=1,"Medium Risk","Low Risk"))</f>
        <v>High Risk</v>
      </c>
    </row>
    <row r="2490" spans="1:14" x14ac:dyDescent="0.35">
      <c r="A2490">
        <v>2489</v>
      </c>
      <c r="B2490" s="1">
        <v>45030.666666666664</v>
      </c>
      <c r="C2490" s="2">
        <v>4.4444444444444446E-2</v>
      </c>
      <c r="D2490" s="3">
        <v>1055</v>
      </c>
      <c r="E2490" s="3">
        <v>376</v>
      </c>
      <c r="F2490" s="2">
        <v>63.712499999999999</v>
      </c>
      <c r="G2490" t="s">
        <v>2815</v>
      </c>
      <c r="H2490" t="s">
        <v>2817</v>
      </c>
      <c r="I2490" s="2">
        <v>1.7104166666666665</v>
      </c>
      <c r="J2490" s="4" t="str">
        <f>IF(Table1[[#This Row],[processing_time_hours]]&gt;1.5,"Slow", "Fast")</f>
        <v>Slow</v>
      </c>
      <c r="K2490" t="s">
        <v>2814</v>
      </c>
      <c r="L2490" s="3">
        <v>0</v>
      </c>
      <c r="M2490" t="str">
        <f>IF(Table1[[#This Row],[delayed]]=1,"Delayed","On Time")</f>
        <v>On Time</v>
      </c>
      <c r="N2490" t="str">
        <f>IF(AND(Table1[[#This Row],[delayed]]=1,Table1[[#This Row],[weather_condition]]="Storm"),"High Risk", IF(Table1[[#This Row],[delayed]]=1,"Medium Risk","Low Risk"))</f>
        <v>Low Risk</v>
      </c>
    </row>
    <row r="2491" spans="1:14" x14ac:dyDescent="0.35">
      <c r="A2491">
        <v>2490</v>
      </c>
      <c r="B2491" s="1">
        <v>45030.708333333336</v>
      </c>
      <c r="C2491" s="2">
        <v>4.7916666666666663E-2</v>
      </c>
      <c r="D2491" s="3">
        <v>1059</v>
      </c>
      <c r="E2491" s="3">
        <v>159</v>
      </c>
      <c r="F2491" s="2">
        <v>76.088888888888889</v>
      </c>
      <c r="G2491" t="s">
        <v>2812</v>
      </c>
      <c r="H2491" t="s">
        <v>2817</v>
      </c>
      <c r="I2491" s="2">
        <v>0.13055555555555556</v>
      </c>
      <c r="J2491" s="4" t="str">
        <f>IF(Table1[[#This Row],[processing_time_hours]]&gt;1.5,"Slow", "Fast")</f>
        <v>Fast</v>
      </c>
      <c r="K2491" t="s">
        <v>2821</v>
      </c>
      <c r="L2491" s="3">
        <v>0</v>
      </c>
      <c r="M2491" t="str">
        <f>IF(Table1[[#This Row],[delayed]]=1,"Delayed","On Time")</f>
        <v>On Time</v>
      </c>
      <c r="N2491" t="str">
        <f>IF(AND(Table1[[#This Row],[delayed]]=1,Table1[[#This Row],[weather_condition]]="Storm"),"High Risk", IF(Table1[[#This Row],[delayed]]=1,"Medium Risk","Low Risk"))</f>
        <v>Low Risk</v>
      </c>
    </row>
    <row r="2492" spans="1:14" x14ac:dyDescent="0.35">
      <c r="A2492">
        <v>2491</v>
      </c>
      <c r="B2492" s="1">
        <v>45030.75</v>
      </c>
      <c r="C2492" s="2">
        <v>4.2361111111111106E-2</v>
      </c>
      <c r="D2492" s="3">
        <v>3659</v>
      </c>
      <c r="E2492" s="3">
        <v>315</v>
      </c>
      <c r="F2492" s="2">
        <v>38.295138888888893</v>
      </c>
      <c r="G2492" t="s">
        <v>2812</v>
      </c>
      <c r="H2492" t="s">
        <v>2817</v>
      </c>
      <c r="I2492" s="2">
        <v>0.71388888888888891</v>
      </c>
      <c r="J2492" s="4" t="str">
        <f>IF(Table1[[#This Row],[processing_time_hours]]&gt;1.5,"Slow", "Fast")</f>
        <v>Fast</v>
      </c>
      <c r="K2492" t="s">
        <v>2814</v>
      </c>
      <c r="L2492" s="3">
        <v>1</v>
      </c>
      <c r="M2492" t="str">
        <f>IF(Table1[[#This Row],[delayed]]=1,"Delayed","On Time")</f>
        <v>Delayed</v>
      </c>
      <c r="N2492" t="str">
        <f>IF(AND(Table1[[#This Row],[delayed]]=1,Table1[[#This Row],[weather_condition]]="Storm"),"High Risk", IF(Table1[[#This Row],[delayed]]=1,"Medium Risk","Low Risk"))</f>
        <v>High Risk</v>
      </c>
    </row>
    <row r="2493" spans="1:14" x14ac:dyDescent="0.35">
      <c r="A2493">
        <v>2492</v>
      </c>
      <c r="B2493" s="1">
        <v>45030.791666666664</v>
      </c>
      <c r="C2493" s="2">
        <v>5.2777777777777778E-2</v>
      </c>
      <c r="D2493" s="3">
        <v>1164</v>
      </c>
      <c r="E2493" s="3">
        <v>378</v>
      </c>
      <c r="F2493" s="2">
        <v>10.709027777777777</v>
      </c>
      <c r="G2493" t="s">
        <v>2816</v>
      </c>
      <c r="H2493" t="s">
        <v>2822</v>
      </c>
      <c r="I2493" s="2">
        <v>2.7520833333333332</v>
      </c>
      <c r="J2493" s="4" t="str">
        <f>IF(Table1[[#This Row],[processing_time_hours]]&gt;1.5,"Slow", "Fast")</f>
        <v>Slow</v>
      </c>
      <c r="K2493" t="s">
        <v>2818</v>
      </c>
      <c r="L2493" s="3">
        <v>0</v>
      </c>
      <c r="M2493" t="str">
        <f>IF(Table1[[#This Row],[delayed]]=1,"Delayed","On Time")</f>
        <v>On Time</v>
      </c>
      <c r="N2493" t="str">
        <f>IF(AND(Table1[[#This Row],[delayed]]=1,Table1[[#This Row],[weather_condition]]="Storm"),"High Risk", IF(Table1[[#This Row],[delayed]]=1,"Medium Risk","Low Risk"))</f>
        <v>Low Risk</v>
      </c>
    </row>
    <row r="2494" spans="1:14" x14ac:dyDescent="0.35">
      <c r="A2494">
        <v>2493</v>
      </c>
      <c r="B2494" s="1">
        <v>45030.833333333336</v>
      </c>
      <c r="C2494" s="2">
        <v>6.1111111111111109E-2</v>
      </c>
      <c r="D2494" s="3">
        <v>1885</v>
      </c>
      <c r="E2494" s="3">
        <v>84</v>
      </c>
      <c r="F2494" s="2">
        <v>10.877777777777778</v>
      </c>
      <c r="G2494" t="s">
        <v>2812</v>
      </c>
      <c r="H2494" t="s">
        <v>2822</v>
      </c>
      <c r="I2494" s="2">
        <v>1.0041666666666667</v>
      </c>
      <c r="J2494" s="4" t="str">
        <f>IF(Table1[[#This Row],[processing_time_hours]]&gt;1.5,"Slow", "Fast")</f>
        <v>Fast</v>
      </c>
      <c r="K2494" t="s">
        <v>2814</v>
      </c>
      <c r="L2494" s="3">
        <v>0</v>
      </c>
      <c r="M2494" t="str">
        <f>IF(Table1[[#This Row],[delayed]]=1,"Delayed","On Time")</f>
        <v>On Time</v>
      </c>
      <c r="N2494" t="str">
        <f>IF(AND(Table1[[#This Row],[delayed]]=1,Table1[[#This Row],[weather_condition]]="Storm"),"High Risk", IF(Table1[[#This Row],[delayed]]=1,"Medium Risk","Low Risk"))</f>
        <v>Low Risk</v>
      </c>
    </row>
    <row r="2495" spans="1:14" x14ac:dyDescent="0.35">
      <c r="A2495">
        <v>2494</v>
      </c>
      <c r="B2495" s="1">
        <v>45030.875</v>
      </c>
      <c r="C2495" s="2">
        <v>6.7361111111111108E-2</v>
      </c>
      <c r="D2495" s="3">
        <v>3739</v>
      </c>
      <c r="E2495" s="3">
        <v>147</v>
      </c>
      <c r="F2495" s="2">
        <v>39.458333333333336</v>
      </c>
      <c r="G2495" t="s">
        <v>2816</v>
      </c>
      <c r="H2495" t="s">
        <v>2813</v>
      </c>
      <c r="I2495" s="2">
        <v>1.7090277777777778</v>
      </c>
      <c r="J2495" s="4" t="str">
        <f>IF(Table1[[#This Row],[processing_time_hours]]&gt;1.5,"Slow", "Fast")</f>
        <v>Slow</v>
      </c>
      <c r="K2495" t="s">
        <v>2818</v>
      </c>
      <c r="L2495" s="3">
        <v>0</v>
      </c>
      <c r="M2495" t="str">
        <f>IF(Table1[[#This Row],[delayed]]=1,"Delayed","On Time")</f>
        <v>On Time</v>
      </c>
      <c r="N2495" t="str">
        <f>IF(AND(Table1[[#This Row],[delayed]]=1,Table1[[#This Row],[weather_condition]]="Storm"),"High Risk", IF(Table1[[#This Row],[delayed]]=1,"Medium Risk","Low Risk"))</f>
        <v>Low Risk</v>
      </c>
    </row>
    <row r="2496" spans="1:14" x14ac:dyDescent="0.35">
      <c r="A2496">
        <v>2495</v>
      </c>
      <c r="B2496" s="1">
        <v>45030.916666666664</v>
      </c>
      <c r="C2496" s="2">
        <v>5.6944444444444443E-2</v>
      </c>
      <c r="D2496" s="3">
        <v>2072</v>
      </c>
      <c r="E2496" s="3">
        <v>45</v>
      </c>
      <c r="F2496" s="2">
        <v>5.8395833333333336</v>
      </c>
      <c r="G2496" t="s">
        <v>2815</v>
      </c>
      <c r="H2496" t="s">
        <v>2813</v>
      </c>
      <c r="I2496" s="2">
        <v>1.5833333333333333</v>
      </c>
      <c r="J2496" s="4" t="str">
        <f>IF(Table1[[#This Row],[processing_time_hours]]&gt;1.5,"Slow", "Fast")</f>
        <v>Slow</v>
      </c>
      <c r="K2496" t="s">
        <v>2818</v>
      </c>
      <c r="L2496" s="3">
        <v>0</v>
      </c>
      <c r="M2496" t="str">
        <f>IF(Table1[[#This Row],[delayed]]=1,"Delayed","On Time")</f>
        <v>On Time</v>
      </c>
      <c r="N2496" t="str">
        <f>IF(AND(Table1[[#This Row],[delayed]]=1,Table1[[#This Row],[weather_condition]]="Storm"),"High Risk", IF(Table1[[#This Row],[delayed]]=1,"Medium Risk","Low Risk"))</f>
        <v>Low Risk</v>
      </c>
    </row>
    <row r="2497" spans="1:14" x14ac:dyDescent="0.35">
      <c r="A2497">
        <v>2496</v>
      </c>
      <c r="B2497" s="1">
        <v>45030.958333333336</v>
      </c>
      <c r="C2497" s="2">
        <v>4.3750000000000004E-2</v>
      </c>
      <c r="D2497" s="3">
        <v>1474</v>
      </c>
      <c r="E2497" s="3">
        <v>199</v>
      </c>
      <c r="F2497" s="2">
        <v>64.75277777777778</v>
      </c>
      <c r="G2497" t="s">
        <v>2812</v>
      </c>
      <c r="H2497" t="s">
        <v>2820</v>
      </c>
      <c r="I2497" s="2">
        <v>2.7520833333333332</v>
      </c>
      <c r="J2497" s="4" t="str">
        <f>IF(Table1[[#This Row],[processing_time_hours]]&gt;1.5,"Slow", "Fast")</f>
        <v>Slow</v>
      </c>
      <c r="K2497" t="s">
        <v>2821</v>
      </c>
      <c r="L2497" s="3">
        <v>0</v>
      </c>
      <c r="M2497" t="str">
        <f>IF(Table1[[#This Row],[delayed]]=1,"Delayed","On Time")</f>
        <v>On Time</v>
      </c>
      <c r="N2497" t="str">
        <f>IF(AND(Table1[[#This Row],[delayed]]=1,Table1[[#This Row],[weather_condition]]="Storm"),"High Risk", IF(Table1[[#This Row],[delayed]]=1,"Medium Risk","Low Risk"))</f>
        <v>Low Risk</v>
      </c>
    </row>
    <row r="2498" spans="1:14" x14ac:dyDescent="0.35">
      <c r="A2498">
        <v>2497</v>
      </c>
      <c r="B2498" s="1">
        <v>45031</v>
      </c>
      <c r="C2498" s="2">
        <v>6.5972222222222224E-2</v>
      </c>
      <c r="D2498" s="3">
        <v>714</v>
      </c>
      <c r="E2498" s="3">
        <v>310</v>
      </c>
      <c r="F2498" s="2">
        <v>47.672222222222224</v>
      </c>
      <c r="G2498" t="s">
        <v>2812</v>
      </c>
      <c r="H2498" t="s">
        <v>2822</v>
      </c>
      <c r="I2498" s="2">
        <v>2.9604166666666667</v>
      </c>
      <c r="J2498" s="4" t="str">
        <f>IF(Table1[[#This Row],[processing_time_hours]]&gt;1.5,"Slow", "Fast")</f>
        <v>Slow</v>
      </c>
      <c r="K2498" t="s">
        <v>2814</v>
      </c>
      <c r="L2498" s="3">
        <v>1</v>
      </c>
      <c r="M2498" t="str">
        <f>IF(Table1[[#This Row],[delayed]]=1,"Delayed","On Time")</f>
        <v>Delayed</v>
      </c>
      <c r="N2498" t="str">
        <f>IF(AND(Table1[[#This Row],[delayed]]=1,Table1[[#This Row],[weather_condition]]="Storm"),"High Risk", IF(Table1[[#This Row],[delayed]]=1,"Medium Risk","Low Risk"))</f>
        <v>Medium Risk</v>
      </c>
    </row>
    <row r="2499" spans="1:14" x14ac:dyDescent="0.35">
      <c r="A2499">
        <v>2498</v>
      </c>
      <c r="B2499" s="1">
        <v>45031.041666666664</v>
      </c>
      <c r="C2499" s="2">
        <v>4.4444444444444446E-2</v>
      </c>
      <c r="D2499" s="3">
        <v>2002</v>
      </c>
      <c r="E2499" s="3">
        <v>168</v>
      </c>
      <c r="F2499" s="2">
        <v>50.25555555555556</v>
      </c>
      <c r="G2499" t="s">
        <v>2812</v>
      </c>
      <c r="H2499" t="s">
        <v>2817</v>
      </c>
      <c r="I2499" s="2">
        <v>0.87916666666666676</v>
      </c>
      <c r="J2499" s="4" t="str">
        <f>IF(Table1[[#This Row],[processing_time_hours]]&gt;1.5,"Slow", "Fast")</f>
        <v>Fast</v>
      </c>
      <c r="K2499" t="s">
        <v>2818</v>
      </c>
      <c r="L2499" s="3">
        <v>0</v>
      </c>
      <c r="M2499" t="str">
        <f>IF(Table1[[#This Row],[delayed]]=1,"Delayed","On Time")</f>
        <v>On Time</v>
      </c>
      <c r="N2499" t="str">
        <f>IF(AND(Table1[[#This Row],[delayed]]=1,Table1[[#This Row],[weather_condition]]="Storm"),"High Risk", IF(Table1[[#This Row],[delayed]]=1,"Medium Risk","Low Risk"))</f>
        <v>Low Risk</v>
      </c>
    </row>
    <row r="2500" spans="1:14" x14ac:dyDescent="0.35">
      <c r="A2500">
        <v>2499</v>
      </c>
      <c r="B2500" s="1">
        <v>45031.083333333336</v>
      </c>
      <c r="C2500" s="2">
        <v>4.7222222222222221E-2</v>
      </c>
      <c r="D2500" s="3">
        <v>489</v>
      </c>
      <c r="E2500" s="3">
        <v>97</v>
      </c>
      <c r="F2500" s="2">
        <v>3.0840277777777776</v>
      </c>
      <c r="G2500" t="s">
        <v>2812</v>
      </c>
      <c r="H2500" t="s">
        <v>2820</v>
      </c>
      <c r="I2500" s="2">
        <v>0.33611111111111108</v>
      </c>
      <c r="J2500" s="4" t="str">
        <f>IF(Table1[[#This Row],[processing_time_hours]]&gt;1.5,"Slow", "Fast")</f>
        <v>Fast</v>
      </c>
      <c r="K2500" t="s">
        <v>2814</v>
      </c>
      <c r="L2500" s="3">
        <v>1</v>
      </c>
      <c r="M2500" t="str">
        <f>IF(Table1[[#This Row],[delayed]]=1,"Delayed","On Time")</f>
        <v>Delayed</v>
      </c>
      <c r="N2500" t="str">
        <f>IF(AND(Table1[[#This Row],[delayed]]=1,Table1[[#This Row],[weather_condition]]="Storm"),"High Risk", IF(Table1[[#This Row],[delayed]]=1,"Medium Risk","Low Risk"))</f>
        <v>Medium Risk</v>
      </c>
    </row>
    <row r="2501" spans="1:14" x14ac:dyDescent="0.35">
      <c r="A2501">
        <v>2500</v>
      </c>
      <c r="B2501" s="1">
        <v>45031.125</v>
      </c>
      <c r="C2501" s="2">
        <v>4.7916666666666663E-2</v>
      </c>
      <c r="D2501" s="3">
        <v>3811</v>
      </c>
      <c r="E2501" s="3">
        <v>415</v>
      </c>
      <c r="F2501" s="2">
        <v>37.505555555555553</v>
      </c>
      <c r="G2501" t="s">
        <v>2815</v>
      </c>
      <c r="H2501" t="s">
        <v>2813</v>
      </c>
      <c r="I2501" s="2">
        <v>2.2506944444444446</v>
      </c>
      <c r="J2501" s="4" t="str">
        <f>IF(Table1[[#This Row],[processing_time_hours]]&gt;1.5,"Slow", "Fast")</f>
        <v>Slow</v>
      </c>
      <c r="K2501" t="s">
        <v>2818</v>
      </c>
      <c r="L2501" s="3">
        <v>0</v>
      </c>
      <c r="M2501" t="str">
        <f>IF(Table1[[#This Row],[delayed]]=1,"Delayed","On Time")</f>
        <v>On Time</v>
      </c>
      <c r="N2501" t="str">
        <f>IF(AND(Table1[[#This Row],[delayed]]=1,Table1[[#This Row],[weather_condition]]="Storm"),"High Risk", IF(Table1[[#This Row],[delayed]]=1,"Medium Risk","Low Risk"))</f>
        <v>Low Risk</v>
      </c>
    </row>
    <row r="2502" spans="1:14" x14ac:dyDescent="0.35">
      <c r="A2502">
        <v>2501</v>
      </c>
      <c r="B2502" s="1">
        <v>45031.166666666664</v>
      </c>
      <c r="C2502" s="2">
        <v>6.5972222222222224E-2</v>
      </c>
      <c r="D2502" s="3">
        <v>4735</v>
      </c>
      <c r="E2502" s="3">
        <v>491</v>
      </c>
      <c r="F2502" s="2">
        <v>75.041666666666671</v>
      </c>
      <c r="G2502" t="s">
        <v>2815</v>
      </c>
      <c r="H2502" t="s">
        <v>2822</v>
      </c>
      <c r="I2502" s="2">
        <v>1.9625000000000001</v>
      </c>
      <c r="J2502" s="4" t="str">
        <f>IF(Table1[[#This Row],[processing_time_hours]]&gt;1.5,"Slow", "Fast")</f>
        <v>Slow</v>
      </c>
      <c r="K2502" t="s">
        <v>2821</v>
      </c>
      <c r="L2502" s="3">
        <v>0</v>
      </c>
      <c r="M2502" t="str">
        <f>IF(Table1[[#This Row],[delayed]]=1,"Delayed","On Time")</f>
        <v>On Time</v>
      </c>
      <c r="N2502" t="str">
        <f>IF(AND(Table1[[#This Row],[delayed]]=1,Table1[[#This Row],[weather_condition]]="Storm"),"High Risk", IF(Table1[[#This Row],[delayed]]=1,"Medium Risk","Low Risk"))</f>
        <v>Low Risk</v>
      </c>
    </row>
    <row r="2503" spans="1:14" x14ac:dyDescent="0.35">
      <c r="A2503">
        <v>2502</v>
      </c>
      <c r="B2503" s="1">
        <v>45031.208333333336</v>
      </c>
      <c r="C2503" s="2">
        <v>5.2777777777777778E-2</v>
      </c>
      <c r="D2503" s="3">
        <v>4337</v>
      </c>
      <c r="E2503" s="3">
        <v>424</v>
      </c>
      <c r="F2503" s="2">
        <v>72.046527777777769</v>
      </c>
      <c r="G2503" t="s">
        <v>2819</v>
      </c>
      <c r="H2503" t="s">
        <v>2822</v>
      </c>
      <c r="I2503" s="2">
        <v>0.58958333333333335</v>
      </c>
      <c r="J2503" s="4" t="str">
        <f>IF(Table1[[#This Row],[processing_time_hours]]&gt;1.5,"Slow", "Fast")</f>
        <v>Fast</v>
      </c>
      <c r="K2503" t="s">
        <v>2821</v>
      </c>
      <c r="L2503" s="3">
        <v>1</v>
      </c>
      <c r="M2503" t="str">
        <f>IF(Table1[[#This Row],[delayed]]=1,"Delayed","On Time")</f>
        <v>Delayed</v>
      </c>
      <c r="N2503" t="str">
        <f>IF(AND(Table1[[#This Row],[delayed]]=1,Table1[[#This Row],[weather_condition]]="Storm"),"High Risk", IF(Table1[[#This Row],[delayed]]=1,"Medium Risk","Low Risk"))</f>
        <v>Medium Risk</v>
      </c>
    </row>
    <row r="2504" spans="1:14" x14ac:dyDescent="0.35">
      <c r="A2504">
        <v>2503</v>
      </c>
      <c r="B2504" s="1">
        <v>45031.25</v>
      </c>
      <c r="C2504" s="2">
        <v>6.5277777777777782E-2</v>
      </c>
      <c r="D2504" s="3">
        <v>3806</v>
      </c>
      <c r="E2504" s="3">
        <v>339</v>
      </c>
      <c r="F2504" s="2">
        <v>52.627777777777773</v>
      </c>
      <c r="G2504" t="s">
        <v>2816</v>
      </c>
      <c r="H2504" t="s">
        <v>2822</v>
      </c>
      <c r="I2504" s="2">
        <v>0.91666666666666663</v>
      </c>
      <c r="J2504" s="4" t="str">
        <f>IF(Table1[[#This Row],[processing_time_hours]]&gt;1.5,"Slow", "Fast")</f>
        <v>Fast</v>
      </c>
      <c r="K2504" t="s">
        <v>2821</v>
      </c>
      <c r="L2504" s="3">
        <v>0</v>
      </c>
      <c r="M2504" t="str">
        <f>IF(Table1[[#This Row],[delayed]]=1,"Delayed","On Time")</f>
        <v>On Time</v>
      </c>
      <c r="N2504" t="str">
        <f>IF(AND(Table1[[#This Row],[delayed]]=1,Table1[[#This Row],[weather_condition]]="Storm"),"High Risk", IF(Table1[[#This Row],[delayed]]=1,"Medium Risk","Low Risk"))</f>
        <v>Low Risk</v>
      </c>
    </row>
    <row r="2505" spans="1:14" x14ac:dyDescent="0.35">
      <c r="A2505">
        <v>2504</v>
      </c>
      <c r="B2505" s="1">
        <v>45031.291666666664</v>
      </c>
      <c r="C2505" s="2">
        <v>5.6944444444444443E-2</v>
      </c>
      <c r="D2505" s="3">
        <v>4710</v>
      </c>
      <c r="E2505" s="3">
        <v>54</v>
      </c>
      <c r="F2505" s="2">
        <v>31.547222222222221</v>
      </c>
      <c r="G2505" t="s">
        <v>2812</v>
      </c>
      <c r="H2505" t="s">
        <v>2817</v>
      </c>
      <c r="I2505" s="2">
        <v>2.7562500000000001</v>
      </c>
      <c r="J2505" s="4" t="str">
        <f>IF(Table1[[#This Row],[processing_time_hours]]&gt;1.5,"Slow", "Fast")</f>
        <v>Slow</v>
      </c>
      <c r="K2505" t="s">
        <v>2814</v>
      </c>
      <c r="L2505" s="3">
        <v>0</v>
      </c>
      <c r="M2505" t="str">
        <f>IF(Table1[[#This Row],[delayed]]=1,"Delayed","On Time")</f>
        <v>On Time</v>
      </c>
      <c r="N2505" t="str">
        <f>IF(AND(Table1[[#This Row],[delayed]]=1,Table1[[#This Row],[weather_condition]]="Storm"),"High Risk", IF(Table1[[#This Row],[delayed]]=1,"Medium Risk","Low Risk"))</f>
        <v>Low Risk</v>
      </c>
    </row>
    <row r="2506" spans="1:14" x14ac:dyDescent="0.35">
      <c r="A2506">
        <v>2505</v>
      </c>
      <c r="B2506" s="1">
        <v>45031.333333333336</v>
      </c>
      <c r="C2506" s="2">
        <v>5.486111111111111E-2</v>
      </c>
      <c r="D2506" s="3">
        <v>3250</v>
      </c>
      <c r="E2506" s="3">
        <v>320</v>
      </c>
      <c r="F2506" s="2">
        <v>36.50277777777778</v>
      </c>
      <c r="G2506" t="s">
        <v>2815</v>
      </c>
      <c r="H2506" t="s">
        <v>2813</v>
      </c>
      <c r="I2506" s="2">
        <v>2.5041666666666669</v>
      </c>
      <c r="J2506" s="4" t="str">
        <f>IF(Table1[[#This Row],[processing_time_hours]]&gt;1.5,"Slow", "Fast")</f>
        <v>Slow</v>
      </c>
      <c r="K2506" t="s">
        <v>2814</v>
      </c>
      <c r="L2506" s="3">
        <v>0</v>
      </c>
      <c r="M2506" t="str">
        <f>IF(Table1[[#This Row],[delayed]]=1,"Delayed","On Time")</f>
        <v>On Time</v>
      </c>
      <c r="N2506" t="str">
        <f>IF(AND(Table1[[#This Row],[delayed]]=1,Table1[[#This Row],[weather_condition]]="Storm"),"High Risk", IF(Table1[[#This Row],[delayed]]=1,"Medium Risk","Low Risk"))</f>
        <v>Low Risk</v>
      </c>
    </row>
    <row r="2507" spans="1:14" x14ac:dyDescent="0.35">
      <c r="A2507">
        <v>2506</v>
      </c>
      <c r="B2507" s="1">
        <v>45031.375</v>
      </c>
      <c r="C2507" s="2">
        <v>6.3194444444444442E-2</v>
      </c>
      <c r="D2507" s="3">
        <v>3639</v>
      </c>
      <c r="E2507" s="3">
        <v>14</v>
      </c>
      <c r="F2507" s="2">
        <v>44.838888888888896</v>
      </c>
      <c r="G2507" t="s">
        <v>2819</v>
      </c>
      <c r="H2507" t="s">
        <v>2822</v>
      </c>
      <c r="I2507" s="2">
        <v>0.25555555555555559</v>
      </c>
      <c r="J2507" s="4" t="str">
        <f>IF(Table1[[#This Row],[processing_time_hours]]&gt;1.5,"Slow", "Fast")</f>
        <v>Fast</v>
      </c>
      <c r="K2507" t="s">
        <v>2814</v>
      </c>
      <c r="L2507" s="3">
        <v>0</v>
      </c>
      <c r="M2507" t="str">
        <f>IF(Table1[[#This Row],[delayed]]=1,"Delayed","On Time")</f>
        <v>On Time</v>
      </c>
      <c r="N2507" t="str">
        <f>IF(AND(Table1[[#This Row],[delayed]]=1,Table1[[#This Row],[weather_condition]]="Storm"),"High Risk", IF(Table1[[#This Row],[delayed]]=1,"Medium Risk","Low Risk"))</f>
        <v>Low Risk</v>
      </c>
    </row>
    <row r="2508" spans="1:14" x14ac:dyDescent="0.35">
      <c r="A2508">
        <v>2507</v>
      </c>
      <c r="B2508" s="1">
        <v>45031.416666666664</v>
      </c>
      <c r="C2508" s="2">
        <v>4.7222222222222221E-2</v>
      </c>
      <c r="D2508" s="3">
        <v>810</v>
      </c>
      <c r="E2508" s="3">
        <v>163</v>
      </c>
      <c r="F2508" s="2">
        <v>14.377777777777778</v>
      </c>
      <c r="G2508" t="s">
        <v>2812</v>
      </c>
      <c r="H2508" t="s">
        <v>2822</v>
      </c>
      <c r="I2508" s="2">
        <v>2.6701388888888888</v>
      </c>
      <c r="J2508" s="4" t="str">
        <f>IF(Table1[[#This Row],[processing_time_hours]]&gt;1.5,"Slow", "Fast")</f>
        <v>Slow</v>
      </c>
      <c r="K2508" t="s">
        <v>2821</v>
      </c>
      <c r="L2508" s="3">
        <v>0</v>
      </c>
      <c r="M2508" t="str">
        <f>IF(Table1[[#This Row],[delayed]]=1,"Delayed","On Time")</f>
        <v>On Time</v>
      </c>
      <c r="N2508" t="str">
        <f>IF(AND(Table1[[#This Row],[delayed]]=1,Table1[[#This Row],[weather_condition]]="Storm"),"High Risk", IF(Table1[[#This Row],[delayed]]=1,"Medium Risk","Low Risk"))</f>
        <v>Low Risk</v>
      </c>
    </row>
    <row r="2509" spans="1:14" x14ac:dyDescent="0.35">
      <c r="A2509">
        <v>2508</v>
      </c>
      <c r="B2509" s="1">
        <v>45031.458333333336</v>
      </c>
      <c r="C2509" s="2">
        <v>4.9305555555555554E-2</v>
      </c>
      <c r="D2509" s="3">
        <v>3691</v>
      </c>
      <c r="E2509" s="3">
        <v>314</v>
      </c>
      <c r="F2509" s="2">
        <v>57.416666666666664</v>
      </c>
      <c r="G2509" t="s">
        <v>2812</v>
      </c>
      <c r="H2509" t="s">
        <v>2813</v>
      </c>
      <c r="I2509" s="2">
        <v>2.6312500000000001</v>
      </c>
      <c r="J2509" s="4" t="str">
        <f>IF(Table1[[#This Row],[processing_time_hours]]&gt;1.5,"Slow", "Fast")</f>
        <v>Slow</v>
      </c>
      <c r="K2509" t="s">
        <v>2814</v>
      </c>
      <c r="L2509" s="3">
        <v>0</v>
      </c>
      <c r="M2509" t="str">
        <f>IF(Table1[[#This Row],[delayed]]=1,"Delayed","On Time")</f>
        <v>On Time</v>
      </c>
      <c r="N2509" t="str">
        <f>IF(AND(Table1[[#This Row],[delayed]]=1,Table1[[#This Row],[weather_condition]]="Storm"),"High Risk", IF(Table1[[#This Row],[delayed]]=1,"Medium Risk","Low Risk"))</f>
        <v>Low Risk</v>
      </c>
    </row>
    <row r="2510" spans="1:14" x14ac:dyDescent="0.35">
      <c r="A2510">
        <v>2509</v>
      </c>
      <c r="B2510" s="1">
        <v>45031.5</v>
      </c>
      <c r="C2510" s="2">
        <v>6.6666666666666666E-2</v>
      </c>
      <c r="D2510" s="3">
        <v>4312</v>
      </c>
      <c r="E2510" s="3">
        <v>296</v>
      </c>
      <c r="F2510" s="2">
        <v>53.793055555555554</v>
      </c>
      <c r="G2510" t="s">
        <v>2819</v>
      </c>
      <c r="H2510" t="s">
        <v>2822</v>
      </c>
      <c r="I2510" s="2">
        <v>1.4625000000000001</v>
      </c>
      <c r="J2510" s="4" t="str">
        <f>IF(Table1[[#This Row],[processing_time_hours]]&gt;1.5,"Slow", "Fast")</f>
        <v>Fast</v>
      </c>
      <c r="K2510" t="s">
        <v>2814</v>
      </c>
      <c r="L2510" s="3">
        <v>1</v>
      </c>
      <c r="M2510" t="str">
        <f>IF(Table1[[#This Row],[delayed]]=1,"Delayed","On Time")</f>
        <v>Delayed</v>
      </c>
      <c r="N2510" t="str">
        <f>IF(AND(Table1[[#This Row],[delayed]]=1,Table1[[#This Row],[weather_condition]]="Storm"),"High Risk", IF(Table1[[#This Row],[delayed]]=1,"Medium Risk","Low Risk"))</f>
        <v>Medium Risk</v>
      </c>
    </row>
    <row r="2511" spans="1:14" x14ac:dyDescent="0.35">
      <c r="A2511">
        <v>2510</v>
      </c>
      <c r="B2511" s="1">
        <v>45031.541666666664</v>
      </c>
      <c r="C2511" s="2">
        <v>5.8333333333333327E-2</v>
      </c>
      <c r="D2511" s="3">
        <v>3518</v>
      </c>
      <c r="E2511" s="3">
        <v>129</v>
      </c>
      <c r="F2511" s="2">
        <v>18.541666666666668</v>
      </c>
      <c r="G2511" t="s">
        <v>2816</v>
      </c>
      <c r="H2511" t="s">
        <v>2820</v>
      </c>
      <c r="I2511" s="2">
        <v>0.50555555555555554</v>
      </c>
      <c r="J2511" s="4" t="str">
        <f>IF(Table1[[#This Row],[processing_time_hours]]&gt;1.5,"Slow", "Fast")</f>
        <v>Fast</v>
      </c>
      <c r="K2511" t="s">
        <v>2818</v>
      </c>
      <c r="L2511" s="3">
        <v>0</v>
      </c>
      <c r="M2511" t="str">
        <f>IF(Table1[[#This Row],[delayed]]=1,"Delayed","On Time")</f>
        <v>On Time</v>
      </c>
      <c r="N2511" t="str">
        <f>IF(AND(Table1[[#This Row],[delayed]]=1,Table1[[#This Row],[weather_condition]]="Storm"),"High Risk", IF(Table1[[#This Row],[delayed]]=1,"Medium Risk","Low Risk"))</f>
        <v>Low Risk</v>
      </c>
    </row>
    <row r="2512" spans="1:14" x14ac:dyDescent="0.35">
      <c r="A2512">
        <v>2511</v>
      </c>
      <c r="B2512" s="1">
        <v>45031.583333333336</v>
      </c>
      <c r="C2512" s="2">
        <v>5.2083333333333336E-2</v>
      </c>
      <c r="D2512" s="3">
        <v>522</v>
      </c>
      <c r="E2512" s="3">
        <v>169</v>
      </c>
      <c r="F2512" s="2">
        <v>1.6256944444444443</v>
      </c>
      <c r="G2512" t="s">
        <v>2812</v>
      </c>
      <c r="H2512" t="s">
        <v>2813</v>
      </c>
      <c r="I2512" s="2">
        <v>0.41875000000000001</v>
      </c>
      <c r="J2512" s="4" t="str">
        <f>IF(Table1[[#This Row],[processing_time_hours]]&gt;1.5,"Slow", "Fast")</f>
        <v>Fast</v>
      </c>
      <c r="K2512" t="s">
        <v>2818</v>
      </c>
      <c r="L2512" s="3">
        <v>0</v>
      </c>
      <c r="M2512" t="str">
        <f>IF(Table1[[#This Row],[delayed]]=1,"Delayed","On Time")</f>
        <v>On Time</v>
      </c>
      <c r="N2512" t="str">
        <f>IF(AND(Table1[[#This Row],[delayed]]=1,Table1[[#This Row],[weather_condition]]="Storm"),"High Risk", IF(Table1[[#This Row],[delayed]]=1,"Medium Risk","Low Risk"))</f>
        <v>Low Risk</v>
      </c>
    </row>
    <row r="2513" spans="1:14" x14ac:dyDescent="0.35">
      <c r="A2513">
        <v>2512</v>
      </c>
      <c r="B2513" s="1">
        <v>45031.625</v>
      </c>
      <c r="C2513" s="2">
        <v>5.9027777777777783E-2</v>
      </c>
      <c r="D2513" s="3">
        <v>3090</v>
      </c>
      <c r="E2513" s="3">
        <v>127</v>
      </c>
      <c r="F2513" s="2">
        <v>3.3784722222222219</v>
      </c>
      <c r="G2513" t="s">
        <v>2819</v>
      </c>
      <c r="H2513" t="s">
        <v>2813</v>
      </c>
      <c r="I2513" s="2">
        <v>0.25347222222222221</v>
      </c>
      <c r="J2513" s="4" t="str">
        <f>IF(Table1[[#This Row],[processing_time_hours]]&gt;1.5,"Slow", "Fast")</f>
        <v>Fast</v>
      </c>
      <c r="K2513" t="s">
        <v>2821</v>
      </c>
      <c r="L2513" s="3">
        <v>0</v>
      </c>
      <c r="M2513" t="str">
        <f>IF(Table1[[#This Row],[delayed]]=1,"Delayed","On Time")</f>
        <v>On Time</v>
      </c>
      <c r="N2513" t="str">
        <f>IF(AND(Table1[[#This Row],[delayed]]=1,Table1[[#This Row],[weather_condition]]="Storm"),"High Risk", IF(Table1[[#This Row],[delayed]]=1,"Medium Risk","Low Risk"))</f>
        <v>Low Risk</v>
      </c>
    </row>
    <row r="2514" spans="1:14" x14ac:dyDescent="0.35">
      <c r="A2514">
        <v>2513</v>
      </c>
      <c r="B2514" s="1">
        <v>45031.666666666664</v>
      </c>
      <c r="C2514" s="2">
        <v>6.2499999999999995E-3</v>
      </c>
      <c r="D2514" s="3">
        <v>1287</v>
      </c>
      <c r="E2514" s="3">
        <v>230</v>
      </c>
      <c r="F2514" s="2">
        <v>74.751388888888883</v>
      </c>
      <c r="G2514" t="s">
        <v>2816</v>
      </c>
      <c r="H2514" t="s">
        <v>2817</v>
      </c>
      <c r="I2514" s="2">
        <v>1.625</v>
      </c>
      <c r="J2514" s="4" t="str">
        <f>IF(Table1[[#This Row],[processing_time_hours]]&gt;1.5,"Slow", "Fast")</f>
        <v>Slow</v>
      </c>
      <c r="K2514" t="s">
        <v>2821</v>
      </c>
      <c r="L2514" s="3">
        <v>1</v>
      </c>
      <c r="M2514" t="str">
        <f>IF(Table1[[#This Row],[delayed]]=1,"Delayed","On Time")</f>
        <v>Delayed</v>
      </c>
      <c r="N2514" t="str">
        <f>IF(AND(Table1[[#This Row],[delayed]]=1,Table1[[#This Row],[weather_condition]]="Storm"),"High Risk", IF(Table1[[#This Row],[delayed]]=1,"Medium Risk","Low Risk"))</f>
        <v>High Risk</v>
      </c>
    </row>
    <row r="2515" spans="1:14" x14ac:dyDescent="0.35">
      <c r="A2515">
        <v>2514</v>
      </c>
      <c r="B2515" s="1">
        <v>45031.708333333336</v>
      </c>
      <c r="C2515" s="2">
        <v>6.1111111111111109E-2</v>
      </c>
      <c r="D2515" s="3">
        <v>1615</v>
      </c>
      <c r="E2515" s="3">
        <v>348</v>
      </c>
      <c r="F2515" s="2">
        <v>46.297916666666673</v>
      </c>
      <c r="G2515" t="s">
        <v>2819</v>
      </c>
      <c r="H2515" t="s">
        <v>2813</v>
      </c>
      <c r="I2515" s="2">
        <v>2.9201388888888888</v>
      </c>
      <c r="J2515" s="4" t="str">
        <f>IF(Table1[[#This Row],[processing_time_hours]]&gt;1.5,"Slow", "Fast")</f>
        <v>Slow</v>
      </c>
      <c r="K2515" t="s">
        <v>2821</v>
      </c>
      <c r="L2515" s="3">
        <v>1</v>
      </c>
      <c r="M2515" t="str">
        <f>IF(Table1[[#This Row],[delayed]]=1,"Delayed","On Time")</f>
        <v>Delayed</v>
      </c>
      <c r="N2515" t="str">
        <f>IF(AND(Table1[[#This Row],[delayed]]=1,Table1[[#This Row],[weather_condition]]="Storm"),"High Risk", IF(Table1[[#This Row],[delayed]]=1,"Medium Risk","Low Risk"))</f>
        <v>Medium Risk</v>
      </c>
    </row>
    <row r="2516" spans="1:14" x14ac:dyDescent="0.35">
      <c r="A2516">
        <v>2515</v>
      </c>
      <c r="B2516" s="1">
        <v>45031.75</v>
      </c>
      <c r="C2516" s="2">
        <v>5.5555555555555558E-3</v>
      </c>
      <c r="D2516" s="3">
        <v>1258</v>
      </c>
      <c r="E2516" s="3">
        <v>223</v>
      </c>
      <c r="F2516" s="2">
        <v>54.129861111111104</v>
      </c>
      <c r="G2516" t="s">
        <v>2815</v>
      </c>
      <c r="H2516" t="s">
        <v>2820</v>
      </c>
      <c r="I2516" s="2">
        <v>0.79583333333333339</v>
      </c>
      <c r="J2516" s="4" t="str">
        <f>IF(Table1[[#This Row],[processing_time_hours]]&gt;1.5,"Slow", "Fast")</f>
        <v>Fast</v>
      </c>
      <c r="K2516" t="s">
        <v>2821</v>
      </c>
      <c r="L2516" s="3">
        <v>1</v>
      </c>
      <c r="M2516" t="str">
        <f>IF(Table1[[#This Row],[delayed]]=1,"Delayed","On Time")</f>
        <v>Delayed</v>
      </c>
      <c r="N2516" t="str">
        <f>IF(AND(Table1[[#This Row],[delayed]]=1,Table1[[#This Row],[weather_condition]]="Storm"),"High Risk", IF(Table1[[#This Row],[delayed]]=1,"Medium Risk","Low Risk"))</f>
        <v>Medium Risk</v>
      </c>
    </row>
    <row r="2517" spans="1:14" x14ac:dyDescent="0.35">
      <c r="A2517">
        <v>2516</v>
      </c>
      <c r="B2517" s="1">
        <v>45031.791666666664</v>
      </c>
      <c r="C2517" s="2">
        <v>5.9027777777777783E-2</v>
      </c>
      <c r="D2517" s="3">
        <v>1599</v>
      </c>
      <c r="E2517" s="3">
        <v>476</v>
      </c>
      <c r="F2517" s="2">
        <v>80.172916666666666</v>
      </c>
      <c r="G2517" t="s">
        <v>2819</v>
      </c>
      <c r="H2517" t="s">
        <v>2817</v>
      </c>
      <c r="I2517" s="2">
        <v>1.375</v>
      </c>
      <c r="J2517" s="4" t="str">
        <f>IF(Table1[[#This Row],[processing_time_hours]]&gt;1.5,"Slow", "Fast")</f>
        <v>Fast</v>
      </c>
      <c r="K2517" t="s">
        <v>2821</v>
      </c>
      <c r="L2517" s="3">
        <v>0</v>
      </c>
      <c r="M2517" t="str">
        <f>IF(Table1[[#This Row],[delayed]]=1,"Delayed","On Time")</f>
        <v>On Time</v>
      </c>
      <c r="N2517" t="str">
        <f>IF(AND(Table1[[#This Row],[delayed]]=1,Table1[[#This Row],[weather_condition]]="Storm"),"High Risk", IF(Table1[[#This Row],[delayed]]=1,"Medium Risk","Low Risk"))</f>
        <v>Low Risk</v>
      </c>
    </row>
    <row r="2518" spans="1:14" x14ac:dyDescent="0.35">
      <c r="A2518">
        <v>2517</v>
      </c>
      <c r="B2518" s="1">
        <v>45031.833333333336</v>
      </c>
      <c r="C2518" s="2">
        <v>4.7916666666666663E-2</v>
      </c>
      <c r="D2518" s="3">
        <v>1809</v>
      </c>
      <c r="E2518" s="3">
        <v>244</v>
      </c>
      <c r="F2518" s="2">
        <v>32.379861111111111</v>
      </c>
      <c r="G2518" t="s">
        <v>2815</v>
      </c>
      <c r="H2518" t="s">
        <v>2813</v>
      </c>
      <c r="I2518" s="2">
        <v>0.4604166666666667</v>
      </c>
      <c r="J2518" s="4" t="str">
        <f>IF(Table1[[#This Row],[processing_time_hours]]&gt;1.5,"Slow", "Fast")</f>
        <v>Fast</v>
      </c>
      <c r="K2518" t="s">
        <v>2821</v>
      </c>
      <c r="L2518" s="3">
        <v>1</v>
      </c>
      <c r="M2518" t="str">
        <f>IF(Table1[[#This Row],[delayed]]=1,"Delayed","On Time")</f>
        <v>Delayed</v>
      </c>
      <c r="N2518" t="str">
        <f>IF(AND(Table1[[#This Row],[delayed]]=1,Table1[[#This Row],[weather_condition]]="Storm"),"High Risk", IF(Table1[[#This Row],[delayed]]=1,"Medium Risk","Low Risk"))</f>
        <v>Medium Risk</v>
      </c>
    </row>
    <row r="2519" spans="1:14" x14ac:dyDescent="0.35">
      <c r="A2519">
        <v>2518</v>
      </c>
      <c r="B2519" s="1">
        <v>45031.875</v>
      </c>
      <c r="C2519" s="2">
        <v>5.486111111111111E-2</v>
      </c>
      <c r="D2519" s="3">
        <v>661</v>
      </c>
      <c r="E2519" s="3">
        <v>194</v>
      </c>
      <c r="F2519" s="2">
        <v>55.877083333333331</v>
      </c>
      <c r="G2519" t="s">
        <v>2816</v>
      </c>
      <c r="H2519" t="s">
        <v>2813</v>
      </c>
      <c r="I2519" s="2">
        <v>1.2506944444444443</v>
      </c>
      <c r="J2519" s="4" t="str">
        <f>IF(Table1[[#This Row],[processing_time_hours]]&gt;1.5,"Slow", "Fast")</f>
        <v>Fast</v>
      </c>
      <c r="K2519" t="s">
        <v>2814</v>
      </c>
      <c r="L2519" s="3">
        <v>0</v>
      </c>
      <c r="M2519" t="str">
        <f>IF(Table1[[#This Row],[delayed]]=1,"Delayed","On Time")</f>
        <v>On Time</v>
      </c>
      <c r="N2519" t="str">
        <f>IF(AND(Table1[[#This Row],[delayed]]=1,Table1[[#This Row],[weather_condition]]="Storm"),"High Risk", IF(Table1[[#This Row],[delayed]]=1,"Medium Risk","Low Risk"))</f>
        <v>Low Risk</v>
      </c>
    </row>
    <row r="2520" spans="1:14" x14ac:dyDescent="0.35">
      <c r="A2520">
        <v>2519</v>
      </c>
      <c r="B2520" s="1">
        <v>45031.916666666664</v>
      </c>
      <c r="C2520" s="2">
        <v>6.5972222222222224E-2</v>
      </c>
      <c r="D2520" s="3">
        <v>2608</v>
      </c>
      <c r="E2520" s="3">
        <v>471</v>
      </c>
      <c r="F2520" s="2">
        <v>82.545833333333334</v>
      </c>
      <c r="G2520" t="s">
        <v>2816</v>
      </c>
      <c r="H2520" t="s">
        <v>2817</v>
      </c>
      <c r="I2520" s="2">
        <v>0.45833333333333331</v>
      </c>
      <c r="J2520" s="4" t="str">
        <f>IF(Table1[[#This Row],[processing_time_hours]]&gt;1.5,"Slow", "Fast")</f>
        <v>Fast</v>
      </c>
      <c r="K2520" t="s">
        <v>2818</v>
      </c>
      <c r="L2520" s="3">
        <v>0</v>
      </c>
      <c r="M2520" t="str">
        <f>IF(Table1[[#This Row],[delayed]]=1,"Delayed","On Time")</f>
        <v>On Time</v>
      </c>
      <c r="N2520" t="str">
        <f>IF(AND(Table1[[#This Row],[delayed]]=1,Table1[[#This Row],[weather_condition]]="Storm"),"High Risk", IF(Table1[[#This Row],[delayed]]=1,"Medium Risk","Low Risk"))</f>
        <v>Low Risk</v>
      </c>
    </row>
    <row r="2521" spans="1:14" x14ac:dyDescent="0.35">
      <c r="A2521">
        <v>2520</v>
      </c>
      <c r="B2521" s="1">
        <v>45031.958333333336</v>
      </c>
      <c r="C2521" s="2">
        <v>6.7361111111111108E-2</v>
      </c>
      <c r="D2521" s="3">
        <v>1801</v>
      </c>
      <c r="E2521" s="3">
        <v>447</v>
      </c>
      <c r="F2521" s="2">
        <v>36.710416666666667</v>
      </c>
      <c r="G2521" t="s">
        <v>2815</v>
      </c>
      <c r="H2521" t="s">
        <v>2822</v>
      </c>
      <c r="I2521" s="2">
        <v>1.4625000000000001</v>
      </c>
      <c r="J2521" s="4" t="str">
        <f>IF(Table1[[#This Row],[processing_time_hours]]&gt;1.5,"Slow", "Fast")</f>
        <v>Fast</v>
      </c>
      <c r="K2521" t="s">
        <v>2818</v>
      </c>
      <c r="L2521" s="3">
        <v>0</v>
      </c>
      <c r="M2521" t="str">
        <f>IF(Table1[[#This Row],[delayed]]=1,"Delayed","On Time")</f>
        <v>On Time</v>
      </c>
      <c r="N2521" t="str">
        <f>IF(AND(Table1[[#This Row],[delayed]]=1,Table1[[#This Row],[weather_condition]]="Storm"),"High Risk", IF(Table1[[#This Row],[delayed]]=1,"Medium Risk","Low Risk"))</f>
        <v>Low Risk</v>
      </c>
    </row>
    <row r="2522" spans="1:14" x14ac:dyDescent="0.35">
      <c r="A2522">
        <v>2521</v>
      </c>
      <c r="B2522" s="1">
        <v>45032</v>
      </c>
      <c r="C2522" s="2">
        <v>4.2361111111111106E-2</v>
      </c>
      <c r="D2522" s="3">
        <v>1189</v>
      </c>
      <c r="E2522" s="3">
        <v>451</v>
      </c>
      <c r="F2522" s="2">
        <v>49.418749999999996</v>
      </c>
      <c r="G2522" t="s">
        <v>2819</v>
      </c>
      <c r="H2522" t="s">
        <v>2813</v>
      </c>
      <c r="I2522" s="2">
        <v>1.1305555555555555</v>
      </c>
      <c r="J2522" s="4" t="str">
        <f>IF(Table1[[#This Row],[processing_time_hours]]&gt;1.5,"Slow", "Fast")</f>
        <v>Fast</v>
      </c>
      <c r="K2522" t="s">
        <v>2814</v>
      </c>
      <c r="L2522" s="3">
        <v>1</v>
      </c>
      <c r="M2522" t="str">
        <f>IF(Table1[[#This Row],[delayed]]=1,"Delayed","On Time")</f>
        <v>Delayed</v>
      </c>
      <c r="N2522" t="str">
        <f>IF(AND(Table1[[#This Row],[delayed]]=1,Table1[[#This Row],[weather_condition]]="Storm"),"High Risk", IF(Table1[[#This Row],[delayed]]=1,"Medium Risk","Low Risk"))</f>
        <v>Medium Risk</v>
      </c>
    </row>
    <row r="2523" spans="1:14" x14ac:dyDescent="0.35">
      <c r="A2523">
        <v>2522</v>
      </c>
      <c r="B2523" s="1">
        <v>45032.041666666664</v>
      </c>
      <c r="C2523" s="2">
        <v>4.8611111111111112E-3</v>
      </c>
      <c r="D2523" s="3">
        <v>2082</v>
      </c>
      <c r="E2523" s="3">
        <v>99</v>
      </c>
      <c r="F2523" s="2">
        <v>82.58819444444444</v>
      </c>
      <c r="G2523" t="s">
        <v>2812</v>
      </c>
      <c r="H2523" t="s">
        <v>2813</v>
      </c>
      <c r="I2523" s="2">
        <v>2.8374999999999999</v>
      </c>
      <c r="J2523" s="4" t="str">
        <f>IF(Table1[[#This Row],[processing_time_hours]]&gt;1.5,"Slow", "Fast")</f>
        <v>Slow</v>
      </c>
      <c r="K2523" t="s">
        <v>2818</v>
      </c>
      <c r="L2523" s="3">
        <v>0</v>
      </c>
      <c r="M2523" t="str">
        <f>IF(Table1[[#This Row],[delayed]]=1,"Delayed","On Time")</f>
        <v>On Time</v>
      </c>
      <c r="N2523" t="str">
        <f>IF(AND(Table1[[#This Row],[delayed]]=1,Table1[[#This Row],[weather_condition]]="Storm"),"High Risk", IF(Table1[[#This Row],[delayed]]=1,"Medium Risk","Low Risk"))</f>
        <v>Low Risk</v>
      </c>
    </row>
    <row r="2524" spans="1:14" x14ac:dyDescent="0.35">
      <c r="A2524">
        <v>2523</v>
      </c>
      <c r="B2524" s="1">
        <v>45032.083333333336</v>
      </c>
      <c r="C2524" s="2">
        <v>4.8611111111111112E-3</v>
      </c>
      <c r="D2524" s="3">
        <v>1693</v>
      </c>
      <c r="E2524" s="3">
        <v>433</v>
      </c>
      <c r="F2524" s="2">
        <v>37.547916666666666</v>
      </c>
      <c r="G2524" t="s">
        <v>2816</v>
      </c>
      <c r="H2524" t="s">
        <v>2820</v>
      </c>
      <c r="I2524" s="2">
        <v>1.0458333333333334</v>
      </c>
      <c r="J2524" s="4" t="str">
        <f>IF(Table1[[#This Row],[processing_time_hours]]&gt;1.5,"Slow", "Fast")</f>
        <v>Fast</v>
      </c>
      <c r="K2524" t="s">
        <v>2818</v>
      </c>
      <c r="L2524" s="3">
        <v>0</v>
      </c>
      <c r="M2524" t="str">
        <f>IF(Table1[[#This Row],[delayed]]=1,"Delayed","On Time")</f>
        <v>On Time</v>
      </c>
      <c r="N2524" t="str">
        <f>IF(AND(Table1[[#This Row],[delayed]]=1,Table1[[#This Row],[weather_condition]]="Storm"),"High Risk", IF(Table1[[#This Row],[delayed]]=1,"Medium Risk","Low Risk"))</f>
        <v>Low Risk</v>
      </c>
    </row>
    <row r="2525" spans="1:14" x14ac:dyDescent="0.35">
      <c r="A2525">
        <v>2524</v>
      </c>
      <c r="B2525" s="1">
        <v>45032.125</v>
      </c>
      <c r="C2525" s="2">
        <v>5.0694444444444438E-2</v>
      </c>
      <c r="D2525" s="3">
        <v>3860</v>
      </c>
      <c r="E2525" s="3">
        <v>334</v>
      </c>
      <c r="F2525" s="2">
        <v>22.547916666666666</v>
      </c>
      <c r="G2525" t="s">
        <v>2816</v>
      </c>
      <c r="H2525" t="s">
        <v>2817</v>
      </c>
      <c r="I2525" s="2">
        <v>1.7118055555555556</v>
      </c>
      <c r="J2525" s="4" t="str">
        <f>IF(Table1[[#This Row],[processing_time_hours]]&gt;1.5,"Slow", "Fast")</f>
        <v>Slow</v>
      </c>
      <c r="K2525" t="s">
        <v>2814</v>
      </c>
      <c r="L2525" s="3">
        <v>1</v>
      </c>
      <c r="M2525" t="str">
        <f>IF(Table1[[#This Row],[delayed]]=1,"Delayed","On Time")</f>
        <v>Delayed</v>
      </c>
      <c r="N2525" t="str">
        <f>IF(AND(Table1[[#This Row],[delayed]]=1,Table1[[#This Row],[weather_condition]]="Storm"),"High Risk", IF(Table1[[#This Row],[delayed]]=1,"Medium Risk","Low Risk"))</f>
        <v>High Risk</v>
      </c>
    </row>
    <row r="2526" spans="1:14" x14ac:dyDescent="0.35">
      <c r="A2526">
        <v>2525</v>
      </c>
      <c r="B2526" s="1">
        <v>45032.166666666664</v>
      </c>
      <c r="C2526" s="2">
        <v>4.9999999999999996E-2</v>
      </c>
      <c r="D2526" s="3">
        <v>222</v>
      </c>
      <c r="E2526" s="3">
        <v>294</v>
      </c>
      <c r="F2526" s="2">
        <v>62.127777777777773</v>
      </c>
      <c r="G2526" t="s">
        <v>2819</v>
      </c>
      <c r="H2526" t="s">
        <v>2817</v>
      </c>
      <c r="I2526" s="2">
        <v>1.5472222222222223</v>
      </c>
      <c r="J2526" s="4" t="str">
        <f>IF(Table1[[#This Row],[processing_time_hours]]&gt;1.5,"Slow", "Fast")</f>
        <v>Slow</v>
      </c>
      <c r="K2526" t="s">
        <v>2818</v>
      </c>
      <c r="L2526" s="3">
        <v>1</v>
      </c>
      <c r="M2526" t="str">
        <f>IF(Table1[[#This Row],[delayed]]=1,"Delayed","On Time")</f>
        <v>Delayed</v>
      </c>
      <c r="N2526" t="str">
        <f>IF(AND(Table1[[#This Row],[delayed]]=1,Table1[[#This Row],[weather_condition]]="Storm"),"High Risk", IF(Table1[[#This Row],[delayed]]=1,"Medium Risk","Low Risk"))</f>
        <v>High Risk</v>
      </c>
    </row>
    <row r="2527" spans="1:14" x14ac:dyDescent="0.35">
      <c r="A2527">
        <v>2526</v>
      </c>
      <c r="B2527" s="1">
        <v>45032.208333333336</v>
      </c>
      <c r="C2527" s="2">
        <v>4.9305555555555554E-2</v>
      </c>
      <c r="D2527" s="3">
        <v>3911</v>
      </c>
      <c r="E2527" s="3">
        <v>247</v>
      </c>
      <c r="F2527" s="2">
        <v>3.2972222222222225</v>
      </c>
      <c r="G2527" t="s">
        <v>2812</v>
      </c>
      <c r="H2527" t="s">
        <v>2820</v>
      </c>
      <c r="I2527" s="2">
        <v>0.17083333333333331</v>
      </c>
      <c r="J2527" s="4" t="str">
        <f>IF(Table1[[#This Row],[processing_time_hours]]&gt;1.5,"Slow", "Fast")</f>
        <v>Fast</v>
      </c>
      <c r="K2527" t="s">
        <v>2814</v>
      </c>
      <c r="L2527" s="3">
        <v>0</v>
      </c>
      <c r="M2527" t="str">
        <f>IF(Table1[[#This Row],[delayed]]=1,"Delayed","On Time")</f>
        <v>On Time</v>
      </c>
      <c r="N2527" t="str">
        <f>IF(AND(Table1[[#This Row],[delayed]]=1,Table1[[#This Row],[weather_condition]]="Storm"),"High Risk", IF(Table1[[#This Row],[delayed]]=1,"Medium Risk","Low Risk"))</f>
        <v>Low Risk</v>
      </c>
    </row>
    <row r="2528" spans="1:14" x14ac:dyDescent="0.35">
      <c r="A2528">
        <v>2527</v>
      </c>
      <c r="B2528" s="1">
        <v>45032.25</v>
      </c>
      <c r="C2528" s="2">
        <v>5.486111111111111E-2</v>
      </c>
      <c r="D2528" s="3">
        <v>2488</v>
      </c>
      <c r="E2528" s="3">
        <v>333</v>
      </c>
      <c r="F2528" s="2">
        <v>31.669444444444448</v>
      </c>
      <c r="G2528" t="s">
        <v>2816</v>
      </c>
      <c r="H2528" t="s">
        <v>2820</v>
      </c>
      <c r="I2528" s="2">
        <v>2.1694444444444447</v>
      </c>
      <c r="J2528" s="4" t="str">
        <f>IF(Table1[[#This Row],[processing_time_hours]]&gt;1.5,"Slow", "Fast")</f>
        <v>Slow</v>
      </c>
      <c r="K2528" t="s">
        <v>2814</v>
      </c>
      <c r="L2528" s="3">
        <v>0</v>
      </c>
      <c r="M2528" t="str">
        <f>IF(Table1[[#This Row],[delayed]]=1,"Delayed","On Time")</f>
        <v>On Time</v>
      </c>
      <c r="N2528" t="str">
        <f>IF(AND(Table1[[#This Row],[delayed]]=1,Table1[[#This Row],[weather_condition]]="Storm"),"High Risk", IF(Table1[[#This Row],[delayed]]=1,"Medium Risk","Low Risk"))</f>
        <v>Low Risk</v>
      </c>
    </row>
    <row r="2529" spans="1:14" x14ac:dyDescent="0.35">
      <c r="A2529">
        <v>2528</v>
      </c>
      <c r="B2529" s="1">
        <v>45032.291666666664</v>
      </c>
      <c r="C2529" s="2">
        <v>4.8611111111111112E-3</v>
      </c>
      <c r="D2529" s="3">
        <v>3615</v>
      </c>
      <c r="E2529" s="3">
        <v>211</v>
      </c>
      <c r="F2529" s="2">
        <v>21.087500000000002</v>
      </c>
      <c r="G2529" t="s">
        <v>2815</v>
      </c>
      <c r="H2529" t="s">
        <v>2822</v>
      </c>
      <c r="I2529" s="2">
        <v>2.3374999999999999</v>
      </c>
      <c r="J2529" s="4" t="str">
        <f>IF(Table1[[#This Row],[processing_time_hours]]&gt;1.5,"Slow", "Fast")</f>
        <v>Slow</v>
      </c>
      <c r="K2529" t="s">
        <v>2821</v>
      </c>
      <c r="L2529" s="3">
        <v>0</v>
      </c>
      <c r="M2529" t="str">
        <f>IF(Table1[[#This Row],[delayed]]=1,"Delayed","On Time")</f>
        <v>On Time</v>
      </c>
      <c r="N2529" t="str">
        <f>IF(AND(Table1[[#This Row],[delayed]]=1,Table1[[#This Row],[weather_condition]]="Storm"),"High Risk", IF(Table1[[#This Row],[delayed]]=1,"Medium Risk","Low Risk"))</f>
        <v>Low Risk</v>
      </c>
    </row>
    <row r="2530" spans="1:14" x14ac:dyDescent="0.35">
      <c r="A2530">
        <v>2529</v>
      </c>
      <c r="B2530" s="1">
        <v>45032.333333333336</v>
      </c>
      <c r="C2530" s="2">
        <v>6.1805555555555558E-2</v>
      </c>
      <c r="D2530" s="3">
        <v>3417</v>
      </c>
      <c r="E2530" s="3">
        <v>249</v>
      </c>
      <c r="F2530" s="2">
        <v>73.875694444444449</v>
      </c>
      <c r="G2530" t="s">
        <v>2819</v>
      </c>
      <c r="H2530" t="s">
        <v>2820</v>
      </c>
      <c r="I2530" s="2">
        <v>0.96388888888888891</v>
      </c>
      <c r="J2530" s="4" t="str">
        <f>IF(Table1[[#This Row],[processing_time_hours]]&gt;1.5,"Slow", "Fast")</f>
        <v>Fast</v>
      </c>
      <c r="K2530" t="s">
        <v>2818</v>
      </c>
      <c r="L2530" s="3">
        <v>0</v>
      </c>
      <c r="M2530" t="str">
        <f>IF(Table1[[#This Row],[delayed]]=1,"Delayed","On Time")</f>
        <v>On Time</v>
      </c>
      <c r="N2530" t="str">
        <f>IF(AND(Table1[[#This Row],[delayed]]=1,Table1[[#This Row],[weather_condition]]="Storm"),"High Risk", IF(Table1[[#This Row],[delayed]]=1,"Medium Risk","Low Risk"))</f>
        <v>Low Risk</v>
      </c>
    </row>
    <row r="2531" spans="1:14" x14ac:dyDescent="0.35">
      <c r="A2531">
        <v>2530</v>
      </c>
      <c r="B2531" s="1">
        <v>45032.375</v>
      </c>
      <c r="C2531" s="2">
        <v>4.2361111111111106E-2</v>
      </c>
      <c r="D2531" s="3">
        <v>3785</v>
      </c>
      <c r="E2531" s="3">
        <v>20</v>
      </c>
      <c r="F2531" s="2">
        <v>11.418055555555556</v>
      </c>
      <c r="G2531" t="s">
        <v>2816</v>
      </c>
      <c r="H2531" t="s">
        <v>2813</v>
      </c>
      <c r="I2531" s="2">
        <v>1.1708333333333334</v>
      </c>
      <c r="J2531" s="4" t="str">
        <f>IF(Table1[[#This Row],[processing_time_hours]]&gt;1.5,"Slow", "Fast")</f>
        <v>Fast</v>
      </c>
      <c r="K2531" t="s">
        <v>2814</v>
      </c>
      <c r="L2531" s="3">
        <v>0</v>
      </c>
      <c r="M2531" t="str">
        <f>IF(Table1[[#This Row],[delayed]]=1,"Delayed","On Time")</f>
        <v>On Time</v>
      </c>
      <c r="N2531" t="str">
        <f>IF(AND(Table1[[#This Row],[delayed]]=1,Table1[[#This Row],[weather_condition]]="Storm"),"High Risk", IF(Table1[[#This Row],[delayed]]=1,"Medium Risk","Low Risk"))</f>
        <v>Low Risk</v>
      </c>
    </row>
    <row r="2532" spans="1:14" x14ac:dyDescent="0.35">
      <c r="A2532">
        <v>2531</v>
      </c>
      <c r="B2532" s="1">
        <v>45032.416666666664</v>
      </c>
      <c r="C2532" s="2">
        <v>6.8749999999999992E-2</v>
      </c>
      <c r="D2532" s="3">
        <v>3583</v>
      </c>
      <c r="E2532" s="3">
        <v>327</v>
      </c>
      <c r="F2532" s="2">
        <v>12.125</v>
      </c>
      <c r="G2532" t="s">
        <v>2816</v>
      </c>
      <c r="H2532" t="s">
        <v>2813</v>
      </c>
      <c r="I2532" s="2">
        <v>2.8333333333333335</v>
      </c>
      <c r="J2532" s="4" t="str">
        <f>IF(Table1[[#This Row],[processing_time_hours]]&gt;1.5,"Slow", "Fast")</f>
        <v>Slow</v>
      </c>
      <c r="K2532" t="s">
        <v>2821</v>
      </c>
      <c r="L2532" s="3">
        <v>0</v>
      </c>
      <c r="M2532" t="str">
        <f>IF(Table1[[#This Row],[delayed]]=1,"Delayed","On Time")</f>
        <v>On Time</v>
      </c>
      <c r="N2532" t="str">
        <f>IF(AND(Table1[[#This Row],[delayed]]=1,Table1[[#This Row],[weather_condition]]="Storm"),"High Risk", IF(Table1[[#This Row],[delayed]]=1,"Medium Risk","Low Risk"))</f>
        <v>Low Risk</v>
      </c>
    </row>
    <row r="2533" spans="1:14" x14ac:dyDescent="0.35">
      <c r="A2533">
        <v>2532</v>
      </c>
      <c r="B2533" s="1">
        <v>45032.458333333336</v>
      </c>
      <c r="C2533" s="2">
        <v>4.7222222222222221E-2</v>
      </c>
      <c r="D2533" s="3">
        <v>3994</v>
      </c>
      <c r="E2533" s="3">
        <v>299</v>
      </c>
      <c r="F2533" s="2">
        <v>77.252083333333331</v>
      </c>
      <c r="G2533" t="s">
        <v>2815</v>
      </c>
      <c r="H2533" t="s">
        <v>2817</v>
      </c>
      <c r="I2533" s="2">
        <v>1.2562499999999999</v>
      </c>
      <c r="J2533" s="4" t="str">
        <f>IF(Table1[[#This Row],[processing_time_hours]]&gt;1.5,"Slow", "Fast")</f>
        <v>Fast</v>
      </c>
      <c r="K2533" t="s">
        <v>2814</v>
      </c>
      <c r="L2533" s="3">
        <v>0</v>
      </c>
      <c r="M2533" t="str">
        <f>IF(Table1[[#This Row],[delayed]]=1,"Delayed","On Time")</f>
        <v>On Time</v>
      </c>
      <c r="N2533" t="str">
        <f>IF(AND(Table1[[#This Row],[delayed]]=1,Table1[[#This Row],[weather_condition]]="Storm"),"High Risk", IF(Table1[[#This Row],[delayed]]=1,"Medium Risk","Low Risk"))</f>
        <v>Low Risk</v>
      </c>
    </row>
    <row r="2534" spans="1:14" x14ac:dyDescent="0.35">
      <c r="A2534">
        <v>2533</v>
      </c>
      <c r="B2534" s="1">
        <v>45032.5</v>
      </c>
      <c r="C2534" s="2">
        <v>6.6666666666666666E-2</v>
      </c>
      <c r="D2534" s="3">
        <v>4415</v>
      </c>
      <c r="E2534" s="3">
        <v>255</v>
      </c>
      <c r="F2534" s="2">
        <v>48.209722222222219</v>
      </c>
      <c r="G2534" t="s">
        <v>2812</v>
      </c>
      <c r="H2534" t="s">
        <v>2813</v>
      </c>
      <c r="I2534" s="2">
        <v>0.12638888888888888</v>
      </c>
      <c r="J2534" s="4" t="str">
        <f>IF(Table1[[#This Row],[processing_time_hours]]&gt;1.5,"Slow", "Fast")</f>
        <v>Fast</v>
      </c>
      <c r="K2534" t="s">
        <v>2821</v>
      </c>
      <c r="L2534" s="3">
        <v>1</v>
      </c>
      <c r="M2534" t="str">
        <f>IF(Table1[[#This Row],[delayed]]=1,"Delayed","On Time")</f>
        <v>Delayed</v>
      </c>
      <c r="N2534" t="str">
        <f>IF(AND(Table1[[#This Row],[delayed]]=1,Table1[[#This Row],[weather_condition]]="Storm"),"High Risk", IF(Table1[[#This Row],[delayed]]=1,"Medium Risk","Low Risk"))</f>
        <v>Medium Risk</v>
      </c>
    </row>
    <row r="2535" spans="1:14" x14ac:dyDescent="0.35">
      <c r="A2535">
        <v>2534</v>
      </c>
      <c r="B2535" s="1">
        <v>45032.541666666664</v>
      </c>
      <c r="C2535" s="2">
        <v>6.0416666666666667E-2</v>
      </c>
      <c r="D2535" s="3">
        <v>1653</v>
      </c>
      <c r="E2535" s="3">
        <v>261</v>
      </c>
      <c r="F2535" s="2">
        <v>50.337499999999999</v>
      </c>
      <c r="G2535" t="s">
        <v>2812</v>
      </c>
      <c r="H2535" t="s">
        <v>2822</v>
      </c>
      <c r="I2535" s="2">
        <v>8.5416666666666655E-2</v>
      </c>
      <c r="J2535" s="4" t="str">
        <f>IF(Table1[[#This Row],[processing_time_hours]]&gt;1.5,"Slow", "Fast")</f>
        <v>Fast</v>
      </c>
      <c r="K2535" t="s">
        <v>2821</v>
      </c>
      <c r="L2535" s="3">
        <v>0</v>
      </c>
      <c r="M2535" t="str">
        <f>IF(Table1[[#This Row],[delayed]]=1,"Delayed","On Time")</f>
        <v>On Time</v>
      </c>
      <c r="N2535" t="str">
        <f>IF(AND(Table1[[#This Row],[delayed]]=1,Table1[[#This Row],[weather_condition]]="Storm"),"High Risk", IF(Table1[[#This Row],[delayed]]=1,"Medium Risk","Low Risk"))</f>
        <v>Low Risk</v>
      </c>
    </row>
    <row r="2536" spans="1:14" x14ac:dyDescent="0.35">
      <c r="A2536">
        <v>2535</v>
      </c>
      <c r="B2536" s="1">
        <v>45032.583333333336</v>
      </c>
      <c r="C2536" s="2">
        <v>6.5972222222222224E-2</v>
      </c>
      <c r="D2536" s="3">
        <v>4132</v>
      </c>
      <c r="E2536" s="3">
        <v>163</v>
      </c>
      <c r="F2536" s="2">
        <v>47.381250000000001</v>
      </c>
      <c r="G2536" t="s">
        <v>2816</v>
      </c>
      <c r="H2536" t="s">
        <v>2822</v>
      </c>
      <c r="I2536" s="2">
        <v>1.8770833333333332</v>
      </c>
      <c r="J2536" s="4" t="str">
        <f>IF(Table1[[#This Row],[processing_time_hours]]&gt;1.5,"Slow", "Fast")</f>
        <v>Slow</v>
      </c>
      <c r="K2536" t="s">
        <v>2821</v>
      </c>
      <c r="L2536" s="3">
        <v>0</v>
      </c>
      <c r="M2536" t="str">
        <f>IF(Table1[[#This Row],[delayed]]=1,"Delayed","On Time")</f>
        <v>On Time</v>
      </c>
      <c r="N2536" t="str">
        <f>IF(AND(Table1[[#This Row],[delayed]]=1,Table1[[#This Row],[weather_condition]]="Storm"),"High Risk", IF(Table1[[#This Row],[delayed]]=1,"Medium Risk","Low Risk"))</f>
        <v>Low Risk</v>
      </c>
    </row>
    <row r="2537" spans="1:14" x14ac:dyDescent="0.35">
      <c r="A2537">
        <v>2536</v>
      </c>
      <c r="B2537" s="1">
        <v>45032.625</v>
      </c>
      <c r="C2537" s="2">
        <v>5.3472222222222227E-2</v>
      </c>
      <c r="D2537" s="3">
        <v>3484</v>
      </c>
      <c r="E2537" s="3">
        <v>87</v>
      </c>
      <c r="F2537" s="2">
        <v>10.961805555555555</v>
      </c>
      <c r="G2537" t="s">
        <v>2819</v>
      </c>
      <c r="H2537" t="s">
        <v>2820</v>
      </c>
      <c r="I2537" s="2">
        <v>1.0888888888888888</v>
      </c>
      <c r="J2537" s="4" t="str">
        <f>IF(Table1[[#This Row],[processing_time_hours]]&gt;1.5,"Slow", "Fast")</f>
        <v>Fast</v>
      </c>
      <c r="K2537" t="s">
        <v>2821</v>
      </c>
      <c r="L2537" s="3">
        <v>1</v>
      </c>
      <c r="M2537" t="str">
        <f>IF(Table1[[#This Row],[delayed]]=1,"Delayed","On Time")</f>
        <v>Delayed</v>
      </c>
      <c r="N2537" t="str">
        <f>IF(AND(Table1[[#This Row],[delayed]]=1,Table1[[#This Row],[weather_condition]]="Storm"),"High Risk", IF(Table1[[#This Row],[delayed]]=1,"Medium Risk","Low Risk"))</f>
        <v>Medium Risk</v>
      </c>
    </row>
    <row r="2538" spans="1:14" x14ac:dyDescent="0.35">
      <c r="A2538">
        <v>2537</v>
      </c>
      <c r="B2538" s="1">
        <v>45032.666666666664</v>
      </c>
      <c r="C2538" s="2">
        <v>5.0694444444444438E-2</v>
      </c>
      <c r="D2538" s="3">
        <v>3323</v>
      </c>
      <c r="E2538" s="3">
        <v>149</v>
      </c>
      <c r="F2538" s="2">
        <v>69.834722222222226</v>
      </c>
      <c r="G2538" t="s">
        <v>2819</v>
      </c>
      <c r="H2538" t="s">
        <v>2822</v>
      </c>
      <c r="I2538" s="2">
        <v>1.9208333333333334</v>
      </c>
      <c r="J2538" s="4" t="str">
        <f>IF(Table1[[#This Row],[processing_time_hours]]&gt;1.5,"Slow", "Fast")</f>
        <v>Slow</v>
      </c>
      <c r="K2538" t="s">
        <v>2818</v>
      </c>
      <c r="L2538" s="3">
        <v>1</v>
      </c>
      <c r="M2538" t="str">
        <f>IF(Table1[[#This Row],[delayed]]=1,"Delayed","On Time")</f>
        <v>Delayed</v>
      </c>
      <c r="N2538" t="str">
        <f>IF(AND(Table1[[#This Row],[delayed]]=1,Table1[[#This Row],[weather_condition]]="Storm"),"High Risk", IF(Table1[[#This Row],[delayed]]=1,"Medium Risk","Low Risk"))</f>
        <v>Medium Risk</v>
      </c>
    </row>
    <row r="2539" spans="1:14" x14ac:dyDescent="0.35">
      <c r="A2539">
        <v>2538</v>
      </c>
      <c r="B2539" s="1">
        <v>45032.708333333336</v>
      </c>
      <c r="C2539" s="2">
        <v>5.8333333333333327E-2</v>
      </c>
      <c r="D2539" s="3">
        <v>3258</v>
      </c>
      <c r="E2539" s="3">
        <v>58</v>
      </c>
      <c r="F2539" s="2">
        <v>17.336805555555554</v>
      </c>
      <c r="G2539" t="s">
        <v>2819</v>
      </c>
      <c r="H2539" t="s">
        <v>2813</v>
      </c>
      <c r="I2539" s="2">
        <v>0.25486111111111109</v>
      </c>
      <c r="J2539" s="4" t="str">
        <f>IF(Table1[[#This Row],[processing_time_hours]]&gt;1.5,"Slow", "Fast")</f>
        <v>Fast</v>
      </c>
      <c r="K2539" t="s">
        <v>2821</v>
      </c>
      <c r="L2539" s="3">
        <v>0</v>
      </c>
      <c r="M2539" t="str">
        <f>IF(Table1[[#This Row],[delayed]]=1,"Delayed","On Time")</f>
        <v>On Time</v>
      </c>
      <c r="N2539" t="str">
        <f>IF(AND(Table1[[#This Row],[delayed]]=1,Table1[[#This Row],[weather_condition]]="Storm"),"High Risk", IF(Table1[[#This Row],[delayed]]=1,"Medium Risk","Low Risk"))</f>
        <v>Low Risk</v>
      </c>
    </row>
    <row r="2540" spans="1:14" x14ac:dyDescent="0.35">
      <c r="A2540">
        <v>2539</v>
      </c>
      <c r="B2540" s="1">
        <v>45032.75</v>
      </c>
      <c r="C2540" s="2">
        <v>4.7222222222222221E-2</v>
      </c>
      <c r="D2540" s="3">
        <v>2838</v>
      </c>
      <c r="E2540" s="3">
        <v>219</v>
      </c>
      <c r="F2540" s="2">
        <v>75.170833333333334</v>
      </c>
      <c r="G2540" t="s">
        <v>2815</v>
      </c>
      <c r="H2540" t="s">
        <v>2813</v>
      </c>
      <c r="I2540" s="2">
        <v>2.755555555555556</v>
      </c>
      <c r="J2540" s="4" t="str">
        <f>IF(Table1[[#This Row],[processing_time_hours]]&gt;1.5,"Slow", "Fast")</f>
        <v>Slow</v>
      </c>
      <c r="K2540" t="s">
        <v>2818</v>
      </c>
      <c r="L2540" s="3">
        <v>0</v>
      </c>
      <c r="M2540" t="str">
        <f>IF(Table1[[#This Row],[delayed]]=1,"Delayed","On Time")</f>
        <v>On Time</v>
      </c>
      <c r="N2540" t="str">
        <f>IF(AND(Table1[[#This Row],[delayed]]=1,Table1[[#This Row],[weather_condition]]="Storm"),"High Risk", IF(Table1[[#This Row],[delayed]]=1,"Medium Risk","Low Risk"))</f>
        <v>Low Risk</v>
      </c>
    </row>
    <row r="2541" spans="1:14" x14ac:dyDescent="0.35">
      <c r="A2541">
        <v>2540</v>
      </c>
      <c r="B2541" s="1">
        <v>45032.791666666664</v>
      </c>
      <c r="C2541" s="2">
        <v>5.3472222222222227E-2</v>
      </c>
      <c r="D2541" s="3">
        <v>4472</v>
      </c>
      <c r="E2541" s="3">
        <v>473</v>
      </c>
      <c r="F2541" s="2">
        <v>75.541666666666671</v>
      </c>
      <c r="G2541" t="s">
        <v>2812</v>
      </c>
      <c r="H2541" t="s">
        <v>2813</v>
      </c>
      <c r="I2541" s="2">
        <v>1.627777777777778</v>
      </c>
      <c r="J2541" s="4" t="str">
        <f>IF(Table1[[#This Row],[processing_time_hours]]&gt;1.5,"Slow", "Fast")</f>
        <v>Slow</v>
      </c>
      <c r="K2541" t="s">
        <v>2814</v>
      </c>
      <c r="L2541" s="3">
        <v>0</v>
      </c>
      <c r="M2541" t="str">
        <f>IF(Table1[[#This Row],[delayed]]=1,"Delayed","On Time")</f>
        <v>On Time</v>
      </c>
      <c r="N2541" t="str">
        <f>IF(AND(Table1[[#This Row],[delayed]]=1,Table1[[#This Row],[weather_condition]]="Storm"),"High Risk", IF(Table1[[#This Row],[delayed]]=1,"Medium Risk","Low Risk"))</f>
        <v>Low Risk</v>
      </c>
    </row>
    <row r="2542" spans="1:14" x14ac:dyDescent="0.35">
      <c r="A2542">
        <v>2541</v>
      </c>
      <c r="B2542" s="1">
        <v>45032.833333333336</v>
      </c>
      <c r="C2542" s="2">
        <v>5.6944444444444443E-2</v>
      </c>
      <c r="D2542" s="3">
        <v>3991</v>
      </c>
      <c r="E2542" s="3">
        <v>235</v>
      </c>
      <c r="F2542" s="2">
        <v>11.005555555555555</v>
      </c>
      <c r="G2542" t="s">
        <v>2819</v>
      </c>
      <c r="H2542" t="s">
        <v>2820</v>
      </c>
      <c r="I2542" s="2">
        <v>1.5847222222222221</v>
      </c>
      <c r="J2542" s="4" t="str">
        <f>IF(Table1[[#This Row],[processing_time_hours]]&gt;1.5,"Slow", "Fast")</f>
        <v>Slow</v>
      </c>
      <c r="K2542" t="s">
        <v>2821</v>
      </c>
      <c r="L2542" s="3">
        <v>0</v>
      </c>
      <c r="M2542" t="str">
        <f>IF(Table1[[#This Row],[delayed]]=1,"Delayed","On Time")</f>
        <v>On Time</v>
      </c>
      <c r="N2542" t="str">
        <f>IF(AND(Table1[[#This Row],[delayed]]=1,Table1[[#This Row],[weather_condition]]="Storm"),"High Risk", IF(Table1[[#This Row],[delayed]]=1,"Medium Risk","Low Risk"))</f>
        <v>Low Risk</v>
      </c>
    </row>
    <row r="2543" spans="1:14" x14ac:dyDescent="0.35">
      <c r="A2543">
        <v>2542</v>
      </c>
      <c r="B2543" s="1">
        <v>45032.875</v>
      </c>
      <c r="C2543" s="2">
        <v>4.5138888888888888E-2</v>
      </c>
      <c r="D2543" s="3">
        <v>3120</v>
      </c>
      <c r="E2543" s="3">
        <v>85</v>
      </c>
      <c r="F2543" s="2">
        <v>3.3395833333333336</v>
      </c>
      <c r="G2543" t="s">
        <v>2819</v>
      </c>
      <c r="H2543" t="s">
        <v>2820</v>
      </c>
      <c r="I2543" s="2">
        <v>2.6277777777777778</v>
      </c>
      <c r="J2543" s="4" t="str">
        <f>IF(Table1[[#This Row],[processing_time_hours]]&gt;1.5,"Slow", "Fast")</f>
        <v>Slow</v>
      </c>
      <c r="K2543" t="s">
        <v>2814</v>
      </c>
      <c r="L2543" s="3">
        <v>0</v>
      </c>
      <c r="M2543" t="str">
        <f>IF(Table1[[#This Row],[delayed]]=1,"Delayed","On Time")</f>
        <v>On Time</v>
      </c>
      <c r="N2543" t="str">
        <f>IF(AND(Table1[[#This Row],[delayed]]=1,Table1[[#This Row],[weather_condition]]="Storm"),"High Risk", IF(Table1[[#This Row],[delayed]]=1,"Medium Risk","Low Risk"))</f>
        <v>Low Risk</v>
      </c>
    </row>
    <row r="2544" spans="1:14" x14ac:dyDescent="0.35">
      <c r="A2544">
        <v>2543</v>
      </c>
      <c r="B2544" s="1">
        <v>45032.916666666664</v>
      </c>
      <c r="C2544" s="2">
        <v>6.3888888888888898E-2</v>
      </c>
      <c r="D2544" s="3">
        <v>762</v>
      </c>
      <c r="E2544" s="3">
        <v>180</v>
      </c>
      <c r="F2544" s="2">
        <v>0.75069444444444444</v>
      </c>
      <c r="G2544" t="s">
        <v>2815</v>
      </c>
      <c r="H2544" t="s">
        <v>2817</v>
      </c>
      <c r="I2544" s="2">
        <v>2.5861111111111112</v>
      </c>
      <c r="J2544" s="4" t="str">
        <f>IF(Table1[[#This Row],[processing_time_hours]]&gt;1.5,"Slow", "Fast")</f>
        <v>Slow</v>
      </c>
      <c r="K2544" t="s">
        <v>2821</v>
      </c>
      <c r="L2544" s="3">
        <v>1</v>
      </c>
      <c r="M2544" t="str">
        <f>IF(Table1[[#This Row],[delayed]]=1,"Delayed","On Time")</f>
        <v>Delayed</v>
      </c>
      <c r="N2544" t="str">
        <f>IF(AND(Table1[[#This Row],[delayed]]=1,Table1[[#This Row],[weather_condition]]="Storm"),"High Risk", IF(Table1[[#This Row],[delayed]]=1,"Medium Risk","Low Risk"))</f>
        <v>High Risk</v>
      </c>
    </row>
    <row r="2545" spans="1:14" x14ac:dyDescent="0.35">
      <c r="A2545">
        <v>2544</v>
      </c>
      <c r="B2545" s="1">
        <v>45032.958333333336</v>
      </c>
      <c r="C2545" s="2">
        <v>5.4166666666666669E-2</v>
      </c>
      <c r="D2545" s="3">
        <v>4493</v>
      </c>
      <c r="E2545" s="3">
        <v>300</v>
      </c>
      <c r="F2545" s="2">
        <v>55.420138888888886</v>
      </c>
      <c r="G2545" t="s">
        <v>2812</v>
      </c>
      <c r="H2545" t="s">
        <v>2813</v>
      </c>
      <c r="I2545" s="2">
        <v>2.213888888888889</v>
      </c>
      <c r="J2545" s="4" t="str">
        <f>IF(Table1[[#This Row],[processing_time_hours]]&gt;1.5,"Slow", "Fast")</f>
        <v>Slow</v>
      </c>
      <c r="K2545" t="s">
        <v>2818</v>
      </c>
      <c r="L2545" s="3">
        <v>0</v>
      </c>
      <c r="M2545" t="str">
        <f>IF(Table1[[#This Row],[delayed]]=1,"Delayed","On Time")</f>
        <v>On Time</v>
      </c>
      <c r="N2545" t="str">
        <f>IF(AND(Table1[[#This Row],[delayed]]=1,Table1[[#This Row],[weather_condition]]="Storm"),"High Risk", IF(Table1[[#This Row],[delayed]]=1,"Medium Risk","Low Risk"))</f>
        <v>Low Risk</v>
      </c>
    </row>
    <row r="2546" spans="1:14" x14ac:dyDescent="0.35">
      <c r="A2546">
        <v>2545</v>
      </c>
      <c r="B2546" s="1">
        <v>45033</v>
      </c>
      <c r="C2546" s="2">
        <v>5.6250000000000001E-2</v>
      </c>
      <c r="D2546" s="3">
        <v>1918</v>
      </c>
      <c r="E2546" s="3">
        <v>413</v>
      </c>
      <c r="F2546" s="2">
        <v>53.834027777777777</v>
      </c>
      <c r="G2546" t="s">
        <v>2819</v>
      </c>
      <c r="H2546" t="s">
        <v>2820</v>
      </c>
      <c r="I2546" s="2">
        <v>1.2506944444444443</v>
      </c>
      <c r="J2546" s="4" t="str">
        <f>IF(Table1[[#This Row],[processing_time_hours]]&gt;1.5,"Slow", "Fast")</f>
        <v>Fast</v>
      </c>
      <c r="K2546" t="s">
        <v>2814</v>
      </c>
      <c r="L2546" s="3">
        <v>1</v>
      </c>
      <c r="M2546" t="str">
        <f>IF(Table1[[#This Row],[delayed]]=1,"Delayed","On Time")</f>
        <v>Delayed</v>
      </c>
      <c r="N2546" t="str">
        <f>IF(AND(Table1[[#This Row],[delayed]]=1,Table1[[#This Row],[weather_condition]]="Storm"),"High Risk", IF(Table1[[#This Row],[delayed]]=1,"Medium Risk","Low Risk"))</f>
        <v>Medium Risk</v>
      </c>
    </row>
    <row r="2547" spans="1:14" x14ac:dyDescent="0.35">
      <c r="A2547">
        <v>2546</v>
      </c>
      <c r="B2547" s="1">
        <v>45033.041666666664</v>
      </c>
      <c r="C2547" s="2">
        <v>6.0416666666666667E-2</v>
      </c>
      <c r="D2547" s="3">
        <v>2319</v>
      </c>
      <c r="E2547" s="3">
        <v>388</v>
      </c>
      <c r="F2547" s="2">
        <v>6.2562500000000005</v>
      </c>
      <c r="G2547" t="s">
        <v>2819</v>
      </c>
      <c r="H2547" t="s">
        <v>2820</v>
      </c>
      <c r="I2547" s="2">
        <v>1.1263888888888889</v>
      </c>
      <c r="J2547" s="4" t="str">
        <f>IF(Table1[[#This Row],[processing_time_hours]]&gt;1.5,"Slow", "Fast")</f>
        <v>Fast</v>
      </c>
      <c r="K2547" t="s">
        <v>2818</v>
      </c>
      <c r="L2547" s="3">
        <v>0</v>
      </c>
      <c r="M2547" t="str">
        <f>IF(Table1[[#This Row],[delayed]]=1,"Delayed","On Time")</f>
        <v>On Time</v>
      </c>
      <c r="N2547" t="str">
        <f>IF(AND(Table1[[#This Row],[delayed]]=1,Table1[[#This Row],[weather_condition]]="Storm"),"High Risk", IF(Table1[[#This Row],[delayed]]=1,"Medium Risk","Low Risk"))</f>
        <v>Low Risk</v>
      </c>
    </row>
    <row r="2548" spans="1:14" x14ac:dyDescent="0.35">
      <c r="A2548">
        <v>2547</v>
      </c>
      <c r="B2548" s="1">
        <v>45033.083333333336</v>
      </c>
      <c r="C2548" s="2">
        <v>6.6666666666666666E-2</v>
      </c>
      <c r="D2548" s="3">
        <v>4767</v>
      </c>
      <c r="E2548" s="3">
        <v>227</v>
      </c>
      <c r="F2548" s="2">
        <v>43.797222222222224</v>
      </c>
      <c r="G2548" t="s">
        <v>2815</v>
      </c>
      <c r="H2548" t="s">
        <v>2813</v>
      </c>
      <c r="I2548" s="2">
        <v>2.9583333333333335</v>
      </c>
      <c r="J2548" s="4" t="str">
        <f>IF(Table1[[#This Row],[processing_time_hours]]&gt;1.5,"Slow", "Fast")</f>
        <v>Slow</v>
      </c>
      <c r="K2548" t="s">
        <v>2821</v>
      </c>
      <c r="L2548" s="3">
        <v>0</v>
      </c>
      <c r="M2548" t="str">
        <f>IF(Table1[[#This Row],[delayed]]=1,"Delayed","On Time")</f>
        <v>On Time</v>
      </c>
      <c r="N2548" t="str">
        <f>IF(AND(Table1[[#This Row],[delayed]]=1,Table1[[#This Row],[weather_condition]]="Storm"),"High Risk", IF(Table1[[#This Row],[delayed]]=1,"Medium Risk","Low Risk"))</f>
        <v>Low Risk</v>
      </c>
    </row>
    <row r="2549" spans="1:14" x14ac:dyDescent="0.35">
      <c r="A2549">
        <v>2548</v>
      </c>
      <c r="B2549" s="1">
        <v>45033.125</v>
      </c>
      <c r="C2549" s="2">
        <v>4.5138888888888888E-2</v>
      </c>
      <c r="D2549" s="3">
        <v>1911</v>
      </c>
      <c r="E2549" s="3">
        <v>150</v>
      </c>
      <c r="F2549" s="2">
        <v>50.795833333333327</v>
      </c>
      <c r="G2549" t="s">
        <v>2819</v>
      </c>
      <c r="H2549" t="s">
        <v>2820</v>
      </c>
      <c r="I2549" s="2">
        <v>2.3777777777777778</v>
      </c>
      <c r="J2549" s="4" t="str">
        <f>IF(Table1[[#This Row],[processing_time_hours]]&gt;1.5,"Slow", "Fast")</f>
        <v>Slow</v>
      </c>
      <c r="K2549" t="s">
        <v>2814</v>
      </c>
      <c r="L2549" s="3">
        <v>0</v>
      </c>
      <c r="M2549" t="str">
        <f>IF(Table1[[#This Row],[delayed]]=1,"Delayed","On Time")</f>
        <v>On Time</v>
      </c>
      <c r="N2549" t="str">
        <f>IF(AND(Table1[[#This Row],[delayed]]=1,Table1[[#This Row],[weather_condition]]="Storm"),"High Risk", IF(Table1[[#This Row],[delayed]]=1,"Medium Risk","Low Risk"))</f>
        <v>Low Risk</v>
      </c>
    </row>
    <row r="2550" spans="1:14" x14ac:dyDescent="0.35">
      <c r="A2550">
        <v>2549</v>
      </c>
      <c r="B2550" s="1">
        <v>45033.166666666664</v>
      </c>
      <c r="C2550" s="2">
        <v>4.7222222222222221E-2</v>
      </c>
      <c r="D2550" s="3">
        <v>633</v>
      </c>
      <c r="E2550" s="3">
        <v>48</v>
      </c>
      <c r="F2550" s="2">
        <v>56.084722222222219</v>
      </c>
      <c r="G2550" t="s">
        <v>2812</v>
      </c>
      <c r="H2550" t="s">
        <v>2813</v>
      </c>
      <c r="I2550" s="2">
        <v>1.0881944444444445</v>
      </c>
      <c r="J2550" s="4" t="str">
        <f>IF(Table1[[#This Row],[processing_time_hours]]&gt;1.5,"Slow", "Fast")</f>
        <v>Fast</v>
      </c>
      <c r="K2550" t="s">
        <v>2818</v>
      </c>
      <c r="L2550" s="3">
        <v>1</v>
      </c>
      <c r="M2550" t="str">
        <f>IF(Table1[[#This Row],[delayed]]=1,"Delayed","On Time")</f>
        <v>Delayed</v>
      </c>
      <c r="N2550" t="str">
        <f>IF(AND(Table1[[#This Row],[delayed]]=1,Table1[[#This Row],[weather_condition]]="Storm"),"High Risk", IF(Table1[[#This Row],[delayed]]=1,"Medium Risk","Low Risk"))</f>
        <v>Medium Risk</v>
      </c>
    </row>
    <row r="2551" spans="1:14" x14ac:dyDescent="0.35">
      <c r="A2551">
        <v>2550</v>
      </c>
      <c r="B2551" s="1">
        <v>45033.208333333336</v>
      </c>
      <c r="C2551" s="2">
        <v>4.5138888888888888E-2</v>
      </c>
      <c r="D2551" s="3">
        <v>1614</v>
      </c>
      <c r="E2551" s="3">
        <v>356</v>
      </c>
      <c r="F2551" s="2">
        <v>1.0833333333333333</v>
      </c>
      <c r="G2551" t="s">
        <v>2816</v>
      </c>
      <c r="H2551" t="s">
        <v>2813</v>
      </c>
      <c r="I2551" s="2">
        <v>2.6291666666666669</v>
      </c>
      <c r="J2551" s="4" t="str">
        <f>IF(Table1[[#This Row],[processing_time_hours]]&gt;1.5,"Slow", "Fast")</f>
        <v>Slow</v>
      </c>
      <c r="K2551" t="s">
        <v>2821</v>
      </c>
      <c r="L2551" s="3">
        <v>0</v>
      </c>
      <c r="M2551" t="str">
        <f>IF(Table1[[#This Row],[delayed]]=1,"Delayed","On Time")</f>
        <v>On Time</v>
      </c>
      <c r="N2551" t="str">
        <f>IF(AND(Table1[[#This Row],[delayed]]=1,Table1[[#This Row],[weather_condition]]="Storm"),"High Risk", IF(Table1[[#This Row],[delayed]]=1,"Medium Risk","Low Risk"))</f>
        <v>Low Risk</v>
      </c>
    </row>
    <row r="2552" spans="1:14" x14ac:dyDescent="0.35">
      <c r="A2552">
        <v>2551</v>
      </c>
      <c r="B2552" s="1">
        <v>45033.25</v>
      </c>
      <c r="C2552" s="2">
        <v>6.8749999999999992E-2</v>
      </c>
      <c r="D2552" s="3">
        <v>2217</v>
      </c>
      <c r="E2552" s="3">
        <v>486</v>
      </c>
      <c r="F2552" s="2">
        <v>55.502083333333331</v>
      </c>
      <c r="G2552" t="s">
        <v>2815</v>
      </c>
      <c r="H2552" t="s">
        <v>2822</v>
      </c>
      <c r="I2552" s="2">
        <v>1.3375000000000001</v>
      </c>
      <c r="J2552" s="4" t="str">
        <f>IF(Table1[[#This Row],[processing_time_hours]]&gt;1.5,"Slow", "Fast")</f>
        <v>Fast</v>
      </c>
      <c r="K2552" t="s">
        <v>2821</v>
      </c>
      <c r="L2552" s="3">
        <v>0</v>
      </c>
      <c r="M2552" t="str">
        <f>IF(Table1[[#This Row],[delayed]]=1,"Delayed","On Time")</f>
        <v>On Time</v>
      </c>
      <c r="N2552" t="str">
        <f>IF(AND(Table1[[#This Row],[delayed]]=1,Table1[[#This Row],[weather_condition]]="Storm"),"High Risk", IF(Table1[[#This Row],[delayed]]=1,"Medium Risk","Low Risk"))</f>
        <v>Low Risk</v>
      </c>
    </row>
    <row r="2553" spans="1:14" x14ac:dyDescent="0.35">
      <c r="A2553">
        <v>2552</v>
      </c>
      <c r="B2553" s="1">
        <v>45033.291666666664</v>
      </c>
      <c r="C2553" s="2">
        <v>5.3472222222222227E-2</v>
      </c>
      <c r="D2553" s="3">
        <v>3532</v>
      </c>
      <c r="E2553" s="3">
        <v>138</v>
      </c>
      <c r="F2553" s="2">
        <v>38.003472222222221</v>
      </c>
      <c r="G2553" t="s">
        <v>2819</v>
      </c>
      <c r="H2553" t="s">
        <v>2822</v>
      </c>
      <c r="I2553" s="2">
        <v>0.46111111111111108</v>
      </c>
      <c r="J2553" s="4" t="str">
        <f>IF(Table1[[#This Row],[processing_time_hours]]&gt;1.5,"Slow", "Fast")</f>
        <v>Fast</v>
      </c>
      <c r="K2553" t="s">
        <v>2821</v>
      </c>
      <c r="L2553" s="3">
        <v>0</v>
      </c>
      <c r="M2553" t="str">
        <f>IF(Table1[[#This Row],[delayed]]=1,"Delayed","On Time")</f>
        <v>On Time</v>
      </c>
      <c r="N2553" t="str">
        <f>IF(AND(Table1[[#This Row],[delayed]]=1,Table1[[#This Row],[weather_condition]]="Storm"),"High Risk", IF(Table1[[#This Row],[delayed]]=1,"Medium Risk","Low Risk"))</f>
        <v>Low Risk</v>
      </c>
    </row>
    <row r="2554" spans="1:14" x14ac:dyDescent="0.35">
      <c r="A2554">
        <v>2553</v>
      </c>
      <c r="B2554" s="1">
        <v>45033.333333333336</v>
      </c>
      <c r="C2554" s="2">
        <v>6.1805555555555558E-2</v>
      </c>
      <c r="D2554" s="3">
        <v>3900</v>
      </c>
      <c r="E2554" s="3">
        <v>73</v>
      </c>
      <c r="F2554" s="2">
        <v>33.543749999999996</v>
      </c>
      <c r="G2554" t="s">
        <v>2816</v>
      </c>
      <c r="H2554" t="s">
        <v>2820</v>
      </c>
      <c r="I2554" s="2">
        <v>4.2361111111111106E-2</v>
      </c>
      <c r="J2554" s="4" t="str">
        <f>IF(Table1[[#This Row],[processing_time_hours]]&gt;1.5,"Slow", "Fast")</f>
        <v>Fast</v>
      </c>
      <c r="K2554" t="s">
        <v>2814</v>
      </c>
      <c r="L2554" s="3">
        <v>0</v>
      </c>
      <c r="M2554" t="str">
        <f>IF(Table1[[#This Row],[delayed]]=1,"Delayed","On Time")</f>
        <v>On Time</v>
      </c>
      <c r="N2554" t="str">
        <f>IF(AND(Table1[[#This Row],[delayed]]=1,Table1[[#This Row],[weather_condition]]="Storm"),"High Risk", IF(Table1[[#This Row],[delayed]]=1,"Medium Risk","Low Risk"))</f>
        <v>Low Risk</v>
      </c>
    </row>
    <row r="2555" spans="1:14" x14ac:dyDescent="0.35">
      <c r="A2555">
        <v>2554</v>
      </c>
      <c r="B2555" s="1">
        <v>45033.375</v>
      </c>
      <c r="C2555" s="2">
        <v>4.6527777777777779E-2</v>
      </c>
      <c r="D2555" s="3">
        <v>3767</v>
      </c>
      <c r="E2555" s="3">
        <v>245</v>
      </c>
      <c r="F2555" s="2">
        <v>53.252777777777773</v>
      </c>
      <c r="G2555" t="s">
        <v>2812</v>
      </c>
      <c r="H2555" t="s">
        <v>2822</v>
      </c>
      <c r="I2555" s="2">
        <v>2.1680555555555556</v>
      </c>
      <c r="J2555" s="4" t="str">
        <f>IF(Table1[[#This Row],[processing_time_hours]]&gt;1.5,"Slow", "Fast")</f>
        <v>Slow</v>
      </c>
      <c r="K2555" t="s">
        <v>2814</v>
      </c>
      <c r="L2555" s="3">
        <v>0</v>
      </c>
      <c r="M2555" t="str">
        <f>IF(Table1[[#This Row],[delayed]]=1,"Delayed","On Time")</f>
        <v>On Time</v>
      </c>
      <c r="N2555" t="str">
        <f>IF(AND(Table1[[#This Row],[delayed]]=1,Table1[[#This Row],[weather_condition]]="Storm"),"High Risk", IF(Table1[[#This Row],[delayed]]=1,"Medium Risk","Low Risk"))</f>
        <v>Low Risk</v>
      </c>
    </row>
    <row r="2556" spans="1:14" x14ac:dyDescent="0.35">
      <c r="A2556">
        <v>2555</v>
      </c>
      <c r="B2556" s="1">
        <v>45033.416666666664</v>
      </c>
      <c r="C2556" s="2">
        <v>6.7361111111111108E-2</v>
      </c>
      <c r="D2556" s="3">
        <v>593</v>
      </c>
      <c r="E2556" s="3">
        <v>432</v>
      </c>
      <c r="F2556" s="2">
        <v>63.170138888888886</v>
      </c>
      <c r="G2556" t="s">
        <v>2815</v>
      </c>
      <c r="H2556" t="s">
        <v>2820</v>
      </c>
      <c r="I2556" s="2">
        <v>2.3374999999999999</v>
      </c>
      <c r="J2556" s="4" t="str">
        <f>IF(Table1[[#This Row],[processing_time_hours]]&gt;1.5,"Slow", "Fast")</f>
        <v>Slow</v>
      </c>
      <c r="K2556" t="s">
        <v>2821</v>
      </c>
      <c r="L2556" s="3">
        <v>1</v>
      </c>
      <c r="M2556" t="str">
        <f>IF(Table1[[#This Row],[delayed]]=1,"Delayed","On Time")</f>
        <v>Delayed</v>
      </c>
      <c r="N2556" t="str">
        <f>IF(AND(Table1[[#This Row],[delayed]]=1,Table1[[#This Row],[weather_condition]]="Storm"),"High Risk", IF(Table1[[#This Row],[delayed]]=1,"Medium Risk","Low Risk"))</f>
        <v>Medium Risk</v>
      </c>
    </row>
    <row r="2557" spans="1:14" x14ac:dyDescent="0.35">
      <c r="A2557">
        <v>2556</v>
      </c>
      <c r="B2557" s="1">
        <v>45033.458333333336</v>
      </c>
      <c r="C2557" s="2">
        <v>4.5138888888888888E-2</v>
      </c>
      <c r="D2557" s="3">
        <v>675</v>
      </c>
      <c r="E2557" s="3">
        <v>88</v>
      </c>
      <c r="F2557" s="2">
        <v>23.12777777777778</v>
      </c>
      <c r="G2557" t="s">
        <v>2815</v>
      </c>
      <c r="H2557" t="s">
        <v>2822</v>
      </c>
      <c r="I2557" s="2">
        <v>1.8361111111111112</v>
      </c>
      <c r="J2557" s="4" t="str">
        <f>IF(Table1[[#This Row],[processing_time_hours]]&gt;1.5,"Slow", "Fast")</f>
        <v>Slow</v>
      </c>
      <c r="K2557" t="s">
        <v>2814</v>
      </c>
      <c r="L2557" s="3">
        <v>0</v>
      </c>
      <c r="M2557" t="str">
        <f>IF(Table1[[#This Row],[delayed]]=1,"Delayed","On Time")</f>
        <v>On Time</v>
      </c>
      <c r="N2557" t="str">
        <f>IF(AND(Table1[[#This Row],[delayed]]=1,Table1[[#This Row],[weather_condition]]="Storm"),"High Risk", IF(Table1[[#This Row],[delayed]]=1,"Medium Risk","Low Risk"))</f>
        <v>Low Risk</v>
      </c>
    </row>
    <row r="2558" spans="1:14" x14ac:dyDescent="0.35">
      <c r="A2558">
        <v>2557</v>
      </c>
      <c r="B2558" s="1">
        <v>45033.5</v>
      </c>
      <c r="C2558" s="2">
        <v>6.0416666666666667E-2</v>
      </c>
      <c r="D2558" s="3">
        <v>2025</v>
      </c>
      <c r="E2558" s="3">
        <v>62</v>
      </c>
      <c r="F2558" s="2">
        <v>56.000694444444441</v>
      </c>
      <c r="G2558" t="s">
        <v>2816</v>
      </c>
      <c r="H2558" t="s">
        <v>2817</v>
      </c>
      <c r="I2558" s="2">
        <v>1.7923611111111111</v>
      </c>
      <c r="J2558" s="4" t="str">
        <f>IF(Table1[[#This Row],[processing_time_hours]]&gt;1.5,"Slow", "Fast")</f>
        <v>Slow</v>
      </c>
      <c r="K2558" t="s">
        <v>2821</v>
      </c>
      <c r="L2558" s="3">
        <v>1</v>
      </c>
      <c r="M2558" t="str">
        <f>IF(Table1[[#This Row],[delayed]]=1,"Delayed","On Time")</f>
        <v>Delayed</v>
      </c>
      <c r="N2558" t="str">
        <f>IF(AND(Table1[[#This Row],[delayed]]=1,Table1[[#This Row],[weather_condition]]="Storm"),"High Risk", IF(Table1[[#This Row],[delayed]]=1,"Medium Risk","Low Risk"))</f>
        <v>High Risk</v>
      </c>
    </row>
    <row r="2559" spans="1:14" x14ac:dyDescent="0.35">
      <c r="A2559">
        <v>2558</v>
      </c>
      <c r="B2559" s="1">
        <v>45033.541666666664</v>
      </c>
      <c r="C2559" s="2">
        <v>4.2361111111111106E-2</v>
      </c>
      <c r="D2559" s="3">
        <v>1752</v>
      </c>
      <c r="E2559" s="3">
        <v>345</v>
      </c>
      <c r="F2559" s="2">
        <v>8.2097222222222221</v>
      </c>
      <c r="G2559" t="s">
        <v>2815</v>
      </c>
      <c r="H2559" t="s">
        <v>2820</v>
      </c>
      <c r="I2559" s="2">
        <v>4.7222222222222221E-2</v>
      </c>
      <c r="J2559" s="4" t="str">
        <f>IF(Table1[[#This Row],[processing_time_hours]]&gt;1.5,"Slow", "Fast")</f>
        <v>Fast</v>
      </c>
      <c r="K2559" t="s">
        <v>2821</v>
      </c>
      <c r="L2559" s="3">
        <v>0</v>
      </c>
      <c r="M2559" t="str">
        <f>IF(Table1[[#This Row],[delayed]]=1,"Delayed","On Time")</f>
        <v>On Time</v>
      </c>
      <c r="N2559" t="str">
        <f>IF(AND(Table1[[#This Row],[delayed]]=1,Table1[[#This Row],[weather_condition]]="Storm"),"High Risk", IF(Table1[[#This Row],[delayed]]=1,"Medium Risk","Low Risk"))</f>
        <v>Low Risk</v>
      </c>
    </row>
    <row r="2560" spans="1:14" x14ac:dyDescent="0.35">
      <c r="A2560">
        <v>2559</v>
      </c>
      <c r="B2560" s="1">
        <v>45033.583333333336</v>
      </c>
      <c r="C2560" s="2">
        <v>6.5972222222222224E-2</v>
      </c>
      <c r="D2560" s="3">
        <v>3568</v>
      </c>
      <c r="E2560" s="3">
        <v>371</v>
      </c>
      <c r="F2560" s="2">
        <v>11.084722222222224</v>
      </c>
      <c r="G2560" t="s">
        <v>2812</v>
      </c>
      <c r="H2560" t="s">
        <v>2822</v>
      </c>
      <c r="I2560" s="2">
        <v>1.2541666666666667</v>
      </c>
      <c r="J2560" s="4" t="str">
        <f>IF(Table1[[#This Row],[processing_time_hours]]&gt;1.5,"Slow", "Fast")</f>
        <v>Fast</v>
      </c>
      <c r="K2560" t="s">
        <v>2821</v>
      </c>
      <c r="L2560" s="3">
        <v>1</v>
      </c>
      <c r="M2560" t="str">
        <f>IF(Table1[[#This Row],[delayed]]=1,"Delayed","On Time")</f>
        <v>Delayed</v>
      </c>
      <c r="N2560" t="str">
        <f>IF(AND(Table1[[#This Row],[delayed]]=1,Table1[[#This Row],[weather_condition]]="Storm"),"High Risk", IF(Table1[[#This Row],[delayed]]=1,"Medium Risk","Low Risk"))</f>
        <v>Medium Risk</v>
      </c>
    </row>
    <row r="2561" spans="1:14" x14ac:dyDescent="0.35">
      <c r="A2561">
        <v>2560</v>
      </c>
      <c r="B2561" s="1">
        <v>45033.625</v>
      </c>
      <c r="C2561" s="2">
        <v>5.2777777777777778E-2</v>
      </c>
      <c r="D2561" s="3">
        <v>1037</v>
      </c>
      <c r="E2561" s="3">
        <v>10</v>
      </c>
      <c r="F2561" s="2">
        <v>38.87916666666667</v>
      </c>
      <c r="G2561" t="s">
        <v>2816</v>
      </c>
      <c r="H2561" t="s">
        <v>2822</v>
      </c>
      <c r="I2561" s="2">
        <v>0.12569444444444444</v>
      </c>
      <c r="J2561" s="4" t="str">
        <f>IF(Table1[[#This Row],[processing_time_hours]]&gt;1.5,"Slow", "Fast")</f>
        <v>Fast</v>
      </c>
      <c r="K2561" t="s">
        <v>2821</v>
      </c>
      <c r="L2561" s="3">
        <v>0</v>
      </c>
      <c r="M2561" t="str">
        <f>IF(Table1[[#This Row],[delayed]]=1,"Delayed","On Time")</f>
        <v>On Time</v>
      </c>
      <c r="N2561" t="str">
        <f>IF(AND(Table1[[#This Row],[delayed]]=1,Table1[[#This Row],[weather_condition]]="Storm"),"High Risk", IF(Table1[[#This Row],[delayed]]=1,"Medium Risk","Low Risk"))</f>
        <v>Low Risk</v>
      </c>
    </row>
    <row r="2562" spans="1:14" x14ac:dyDescent="0.35">
      <c r="A2562">
        <v>2561</v>
      </c>
      <c r="B2562" s="1">
        <v>45033.666666666664</v>
      </c>
      <c r="C2562" s="2">
        <v>5.9027777777777783E-2</v>
      </c>
      <c r="D2562" s="3">
        <v>319</v>
      </c>
      <c r="E2562" s="3">
        <v>398</v>
      </c>
      <c r="F2562" s="2">
        <v>12.169444444444444</v>
      </c>
      <c r="G2562" t="s">
        <v>2815</v>
      </c>
      <c r="H2562" t="s">
        <v>2813</v>
      </c>
      <c r="I2562" s="2">
        <v>8.6805555555555566E-2</v>
      </c>
      <c r="J2562" s="4" t="str">
        <f>IF(Table1[[#This Row],[processing_time_hours]]&gt;1.5,"Slow", "Fast")</f>
        <v>Fast</v>
      </c>
      <c r="K2562" t="s">
        <v>2818</v>
      </c>
      <c r="L2562" s="3">
        <v>1</v>
      </c>
      <c r="M2562" t="str">
        <f>IF(Table1[[#This Row],[delayed]]=1,"Delayed","On Time")</f>
        <v>Delayed</v>
      </c>
      <c r="N2562" t="str">
        <f>IF(AND(Table1[[#This Row],[delayed]]=1,Table1[[#This Row],[weather_condition]]="Storm"),"High Risk", IF(Table1[[#This Row],[delayed]]=1,"Medium Risk","Low Risk"))</f>
        <v>Medium Risk</v>
      </c>
    </row>
    <row r="2563" spans="1:14" x14ac:dyDescent="0.35">
      <c r="A2563">
        <v>2562</v>
      </c>
      <c r="B2563" s="1">
        <v>45033.708333333336</v>
      </c>
      <c r="C2563" s="2">
        <v>5.8333333333333327E-2</v>
      </c>
      <c r="D2563" s="3">
        <v>1586</v>
      </c>
      <c r="E2563" s="3">
        <v>199</v>
      </c>
      <c r="F2563" s="2">
        <v>50.170138888888886</v>
      </c>
      <c r="G2563" t="s">
        <v>2816</v>
      </c>
      <c r="H2563" t="s">
        <v>2822</v>
      </c>
      <c r="I2563" s="2">
        <v>2.2923611111111111</v>
      </c>
      <c r="J2563" s="4" t="str">
        <f>IF(Table1[[#This Row],[processing_time_hours]]&gt;1.5,"Slow", "Fast")</f>
        <v>Slow</v>
      </c>
      <c r="K2563" t="s">
        <v>2818</v>
      </c>
      <c r="L2563" s="3">
        <v>0</v>
      </c>
      <c r="M2563" t="str">
        <f>IF(Table1[[#This Row],[delayed]]=1,"Delayed","On Time")</f>
        <v>On Time</v>
      </c>
      <c r="N2563" t="str">
        <f>IF(AND(Table1[[#This Row],[delayed]]=1,Table1[[#This Row],[weather_condition]]="Storm"),"High Risk", IF(Table1[[#This Row],[delayed]]=1,"Medium Risk","Low Risk"))</f>
        <v>Low Risk</v>
      </c>
    </row>
    <row r="2564" spans="1:14" x14ac:dyDescent="0.35">
      <c r="A2564">
        <v>2563</v>
      </c>
      <c r="B2564" s="1">
        <v>45033.75</v>
      </c>
      <c r="C2564" s="2">
        <v>4.7222222222222221E-2</v>
      </c>
      <c r="D2564" s="3">
        <v>3940</v>
      </c>
      <c r="E2564" s="3">
        <v>381</v>
      </c>
      <c r="F2564" s="2">
        <v>42.125</v>
      </c>
      <c r="G2564" t="s">
        <v>2812</v>
      </c>
      <c r="H2564" t="s">
        <v>2817</v>
      </c>
      <c r="I2564" s="2">
        <v>0.41666666666666669</v>
      </c>
      <c r="J2564" s="4" t="str">
        <f>IF(Table1[[#This Row],[processing_time_hours]]&gt;1.5,"Slow", "Fast")</f>
        <v>Fast</v>
      </c>
      <c r="K2564" t="s">
        <v>2818</v>
      </c>
      <c r="L2564" s="3">
        <v>0</v>
      </c>
      <c r="M2564" t="str">
        <f>IF(Table1[[#This Row],[delayed]]=1,"Delayed","On Time")</f>
        <v>On Time</v>
      </c>
      <c r="N2564" t="str">
        <f>IF(AND(Table1[[#This Row],[delayed]]=1,Table1[[#This Row],[weather_condition]]="Storm"),"High Risk", IF(Table1[[#This Row],[delayed]]=1,"Medium Risk","Low Risk"))</f>
        <v>Low Risk</v>
      </c>
    </row>
    <row r="2565" spans="1:14" x14ac:dyDescent="0.35">
      <c r="A2565">
        <v>2564</v>
      </c>
      <c r="B2565" s="1">
        <v>45033.791666666664</v>
      </c>
      <c r="C2565" s="2">
        <v>5.4166666666666669E-2</v>
      </c>
      <c r="D2565" s="3">
        <v>1181</v>
      </c>
      <c r="E2565" s="3">
        <v>242</v>
      </c>
      <c r="F2565" s="2">
        <v>74.917361111111106</v>
      </c>
      <c r="G2565" t="s">
        <v>2815</v>
      </c>
      <c r="H2565" t="s">
        <v>2820</v>
      </c>
      <c r="I2565" s="2">
        <v>0.37916666666666665</v>
      </c>
      <c r="J2565" s="4" t="str">
        <f>IF(Table1[[#This Row],[processing_time_hours]]&gt;1.5,"Slow", "Fast")</f>
        <v>Fast</v>
      </c>
      <c r="K2565" t="s">
        <v>2818</v>
      </c>
      <c r="L2565" s="3">
        <v>0</v>
      </c>
      <c r="M2565" t="str">
        <f>IF(Table1[[#This Row],[delayed]]=1,"Delayed","On Time")</f>
        <v>On Time</v>
      </c>
      <c r="N2565" t="str">
        <f>IF(AND(Table1[[#This Row],[delayed]]=1,Table1[[#This Row],[weather_condition]]="Storm"),"High Risk", IF(Table1[[#This Row],[delayed]]=1,"Medium Risk","Low Risk"))</f>
        <v>Low Risk</v>
      </c>
    </row>
    <row r="2566" spans="1:14" x14ac:dyDescent="0.35">
      <c r="A2566">
        <v>2565</v>
      </c>
      <c r="B2566" s="1">
        <v>45033.833333333336</v>
      </c>
      <c r="C2566" s="2">
        <v>4.1666666666666666E-3</v>
      </c>
      <c r="D2566" s="3">
        <v>4655</v>
      </c>
      <c r="E2566" s="3">
        <v>476</v>
      </c>
      <c r="F2566" s="2">
        <v>58.547916666666673</v>
      </c>
      <c r="G2566" t="s">
        <v>2819</v>
      </c>
      <c r="H2566" t="s">
        <v>2820</v>
      </c>
      <c r="I2566" s="2">
        <v>2.0055555555555555</v>
      </c>
      <c r="J2566" s="4" t="str">
        <f>IF(Table1[[#This Row],[processing_time_hours]]&gt;1.5,"Slow", "Fast")</f>
        <v>Slow</v>
      </c>
      <c r="K2566" t="s">
        <v>2821</v>
      </c>
      <c r="L2566" s="3">
        <v>1</v>
      </c>
      <c r="M2566" t="str">
        <f>IF(Table1[[#This Row],[delayed]]=1,"Delayed","On Time")</f>
        <v>Delayed</v>
      </c>
      <c r="N2566" t="str">
        <f>IF(AND(Table1[[#This Row],[delayed]]=1,Table1[[#This Row],[weather_condition]]="Storm"),"High Risk", IF(Table1[[#This Row],[delayed]]=1,"Medium Risk","Low Risk"))</f>
        <v>Medium Risk</v>
      </c>
    </row>
    <row r="2567" spans="1:14" x14ac:dyDescent="0.35">
      <c r="A2567">
        <v>2566</v>
      </c>
      <c r="B2567" s="1">
        <v>45033.875</v>
      </c>
      <c r="C2567" s="2">
        <v>6.3194444444444442E-2</v>
      </c>
      <c r="D2567" s="3">
        <v>1763</v>
      </c>
      <c r="E2567" s="3">
        <v>153</v>
      </c>
      <c r="F2567" s="2">
        <v>21.835416666666664</v>
      </c>
      <c r="G2567" t="s">
        <v>2812</v>
      </c>
      <c r="H2567" t="s">
        <v>2820</v>
      </c>
      <c r="I2567" s="2">
        <v>0.5444444444444444</v>
      </c>
      <c r="J2567" s="4" t="str">
        <f>IF(Table1[[#This Row],[processing_time_hours]]&gt;1.5,"Slow", "Fast")</f>
        <v>Fast</v>
      </c>
      <c r="K2567" t="s">
        <v>2821</v>
      </c>
      <c r="L2567" s="3">
        <v>0</v>
      </c>
      <c r="M2567" t="str">
        <f>IF(Table1[[#This Row],[delayed]]=1,"Delayed","On Time")</f>
        <v>On Time</v>
      </c>
      <c r="N2567" t="str">
        <f>IF(AND(Table1[[#This Row],[delayed]]=1,Table1[[#This Row],[weather_condition]]="Storm"),"High Risk", IF(Table1[[#This Row],[delayed]]=1,"Medium Risk","Low Risk"))</f>
        <v>Low Risk</v>
      </c>
    </row>
    <row r="2568" spans="1:14" x14ac:dyDescent="0.35">
      <c r="A2568">
        <v>2567</v>
      </c>
      <c r="B2568" s="1">
        <v>45033.916666666664</v>
      </c>
      <c r="C2568" s="2">
        <v>5.4166666666666669E-2</v>
      </c>
      <c r="D2568" s="3">
        <v>605</v>
      </c>
      <c r="E2568" s="3">
        <v>76</v>
      </c>
      <c r="F2568" s="2">
        <v>79.921527777777769</v>
      </c>
      <c r="G2568" t="s">
        <v>2815</v>
      </c>
      <c r="H2568" t="s">
        <v>2813</v>
      </c>
      <c r="I2568" s="2">
        <v>0.79236111111111107</v>
      </c>
      <c r="J2568" s="4" t="str">
        <f>IF(Table1[[#This Row],[processing_time_hours]]&gt;1.5,"Slow", "Fast")</f>
        <v>Fast</v>
      </c>
      <c r="K2568" t="s">
        <v>2818</v>
      </c>
      <c r="L2568" s="3">
        <v>1</v>
      </c>
      <c r="M2568" t="str">
        <f>IF(Table1[[#This Row],[delayed]]=1,"Delayed","On Time")</f>
        <v>Delayed</v>
      </c>
      <c r="N2568" t="str">
        <f>IF(AND(Table1[[#This Row],[delayed]]=1,Table1[[#This Row],[weather_condition]]="Storm"),"High Risk", IF(Table1[[#This Row],[delayed]]=1,"Medium Risk","Low Risk"))</f>
        <v>Medium Risk</v>
      </c>
    </row>
    <row r="2569" spans="1:14" x14ac:dyDescent="0.35">
      <c r="A2569">
        <v>2568</v>
      </c>
      <c r="B2569" s="1">
        <v>45033.958333333336</v>
      </c>
      <c r="C2569" s="2">
        <v>4.9305555555555554E-2</v>
      </c>
      <c r="D2569" s="3">
        <v>3883</v>
      </c>
      <c r="E2569" s="3">
        <v>332</v>
      </c>
      <c r="F2569" s="2">
        <v>67.793055555555554</v>
      </c>
      <c r="G2569" t="s">
        <v>2815</v>
      </c>
      <c r="H2569" t="s">
        <v>2817</v>
      </c>
      <c r="I2569" s="2">
        <v>1.5020833333333332</v>
      </c>
      <c r="J2569" s="4" t="str">
        <f>IF(Table1[[#This Row],[processing_time_hours]]&gt;1.5,"Slow", "Fast")</f>
        <v>Slow</v>
      </c>
      <c r="K2569" t="s">
        <v>2821</v>
      </c>
      <c r="L2569" s="3">
        <v>0</v>
      </c>
      <c r="M2569" t="str">
        <f>IF(Table1[[#This Row],[delayed]]=1,"Delayed","On Time")</f>
        <v>On Time</v>
      </c>
      <c r="N2569" t="str">
        <f>IF(AND(Table1[[#This Row],[delayed]]=1,Table1[[#This Row],[weather_condition]]="Storm"),"High Risk", IF(Table1[[#This Row],[delayed]]=1,"Medium Risk","Low Risk"))</f>
        <v>Low Risk</v>
      </c>
    </row>
    <row r="2570" spans="1:14" x14ac:dyDescent="0.35">
      <c r="A2570">
        <v>2569</v>
      </c>
      <c r="B2570" s="1">
        <v>45034</v>
      </c>
      <c r="C2570" s="2">
        <v>5.2777777777777778E-2</v>
      </c>
      <c r="D2570" s="3">
        <v>2136</v>
      </c>
      <c r="E2570" s="3">
        <v>253</v>
      </c>
      <c r="F2570" s="2">
        <v>21.458333333333332</v>
      </c>
      <c r="G2570" t="s">
        <v>2815</v>
      </c>
      <c r="H2570" t="s">
        <v>2820</v>
      </c>
      <c r="I2570" s="2">
        <v>2.2083333333333335</v>
      </c>
      <c r="J2570" s="4" t="str">
        <f>IF(Table1[[#This Row],[processing_time_hours]]&gt;1.5,"Slow", "Fast")</f>
        <v>Slow</v>
      </c>
      <c r="K2570" t="s">
        <v>2818</v>
      </c>
      <c r="L2570" s="3">
        <v>0</v>
      </c>
      <c r="M2570" t="str">
        <f>IF(Table1[[#This Row],[delayed]]=1,"Delayed","On Time")</f>
        <v>On Time</v>
      </c>
      <c r="N2570" t="str">
        <f>IF(AND(Table1[[#This Row],[delayed]]=1,Table1[[#This Row],[weather_condition]]="Storm"),"High Risk", IF(Table1[[#This Row],[delayed]]=1,"Medium Risk","Low Risk"))</f>
        <v>Low Risk</v>
      </c>
    </row>
    <row r="2571" spans="1:14" x14ac:dyDescent="0.35">
      <c r="A2571">
        <v>2570</v>
      </c>
      <c r="B2571" s="1">
        <v>45034.041666666664</v>
      </c>
      <c r="C2571" s="2">
        <v>5.2777777777777778E-2</v>
      </c>
      <c r="D2571" s="3">
        <v>4677</v>
      </c>
      <c r="E2571" s="3">
        <v>338</v>
      </c>
      <c r="F2571" s="2">
        <v>77.921527777777769</v>
      </c>
      <c r="G2571" t="s">
        <v>2815</v>
      </c>
      <c r="H2571" t="s">
        <v>2817</v>
      </c>
      <c r="I2571" s="2">
        <v>1.6708333333333334</v>
      </c>
      <c r="J2571" s="4" t="str">
        <f>IF(Table1[[#This Row],[processing_time_hours]]&gt;1.5,"Slow", "Fast")</f>
        <v>Slow</v>
      </c>
      <c r="K2571" t="s">
        <v>2821</v>
      </c>
      <c r="L2571" s="3">
        <v>0</v>
      </c>
      <c r="M2571" t="str">
        <f>IF(Table1[[#This Row],[delayed]]=1,"Delayed","On Time")</f>
        <v>On Time</v>
      </c>
      <c r="N2571" t="str">
        <f>IF(AND(Table1[[#This Row],[delayed]]=1,Table1[[#This Row],[weather_condition]]="Storm"),"High Risk", IF(Table1[[#This Row],[delayed]]=1,"Medium Risk","Low Risk"))</f>
        <v>Low Risk</v>
      </c>
    </row>
    <row r="2572" spans="1:14" x14ac:dyDescent="0.35">
      <c r="A2572">
        <v>2571</v>
      </c>
      <c r="B2572" s="1">
        <v>45034.083333333336</v>
      </c>
      <c r="C2572" s="2">
        <v>4.5833333333333337E-2</v>
      </c>
      <c r="D2572" s="3">
        <v>4848</v>
      </c>
      <c r="E2572" s="3">
        <v>185</v>
      </c>
      <c r="F2572" s="2">
        <v>78.462499999999991</v>
      </c>
      <c r="G2572" t="s">
        <v>2819</v>
      </c>
      <c r="H2572" t="s">
        <v>2813</v>
      </c>
      <c r="I2572" s="2">
        <v>0.33958333333333335</v>
      </c>
      <c r="J2572" s="4" t="str">
        <f>IF(Table1[[#This Row],[processing_time_hours]]&gt;1.5,"Slow", "Fast")</f>
        <v>Fast</v>
      </c>
      <c r="K2572" t="s">
        <v>2821</v>
      </c>
      <c r="L2572" s="3">
        <v>0</v>
      </c>
      <c r="M2572" t="str">
        <f>IF(Table1[[#This Row],[delayed]]=1,"Delayed","On Time")</f>
        <v>On Time</v>
      </c>
      <c r="N2572" t="str">
        <f>IF(AND(Table1[[#This Row],[delayed]]=1,Table1[[#This Row],[weather_condition]]="Storm"),"High Risk", IF(Table1[[#This Row],[delayed]]=1,"Medium Risk","Low Risk"))</f>
        <v>Low Risk</v>
      </c>
    </row>
    <row r="2573" spans="1:14" x14ac:dyDescent="0.35">
      <c r="A2573">
        <v>2572</v>
      </c>
      <c r="B2573" s="1">
        <v>45034.125</v>
      </c>
      <c r="C2573" s="2">
        <v>5.2083333333333336E-2</v>
      </c>
      <c r="D2573" s="3">
        <v>2657</v>
      </c>
      <c r="E2573" s="3">
        <v>298</v>
      </c>
      <c r="F2573" s="2">
        <v>9.0881944444444454</v>
      </c>
      <c r="G2573" t="s">
        <v>2819</v>
      </c>
      <c r="H2573" t="s">
        <v>2822</v>
      </c>
      <c r="I2573" s="2">
        <v>1.2965277777777777</v>
      </c>
      <c r="J2573" s="4" t="str">
        <f>IF(Table1[[#This Row],[processing_time_hours]]&gt;1.5,"Slow", "Fast")</f>
        <v>Fast</v>
      </c>
      <c r="K2573" t="s">
        <v>2821</v>
      </c>
      <c r="L2573" s="3">
        <v>0</v>
      </c>
      <c r="M2573" t="str">
        <f>IF(Table1[[#This Row],[delayed]]=1,"Delayed","On Time")</f>
        <v>On Time</v>
      </c>
      <c r="N2573" t="str">
        <f>IF(AND(Table1[[#This Row],[delayed]]=1,Table1[[#This Row],[weather_condition]]="Storm"),"High Risk", IF(Table1[[#This Row],[delayed]]=1,"Medium Risk","Low Risk"))</f>
        <v>Low Risk</v>
      </c>
    </row>
    <row r="2574" spans="1:14" x14ac:dyDescent="0.35">
      <c r="A2574">
        <v>2573</v>
      </c>
      <c r="B2574" s="1">
        <v>45034.166666666664</v>
      </c>
      <c r="C2574" s="2">
        <v>6.0416666666666667E-2</v>
      </c>
      <c r="D2574" s="3">
        <v>4902</v>
      </c>
      <c r="E2574" s="3">
        <v>227</v>
      </c>
      <c r="F2574" s="2">
        <v>57.38055555555556</v>
      </c>
      <c r="G2574" t="s">
        <v>2819</v>
      </c>
      <c r="H2574" t="s">
        <v>2813</v>
      </c>
      <c r="I2574" s="2">
        <v>2.1680555555555556</v>
      </c>
      <c r="J2574" s="4" t="str">
        <f>IF(Table1[[#This Row],[processing_time_hours]]&gt;1.5,"Slow", "Fast")</f>
        <v>Slow</v>
      </c>
      <c r="K2574" t="s">
        <v>2818</v>
      </c>
      <c r="L2574" s="3">
        <v>0</v>
      </c>
      <c r="M2574" t="str">
        <f>IF(Table1[[#This Row],[delayed]]=1,"Delayed","On Time")</f>
        <v>On Time</v>
      </c>
      <c r="N2574" t="str">
        <f>IF(AND(Table1[[#This Row],[delayed]]=1,Table1[[#This Row],[weather_condition]]="Storm"),"High Risk", IF(Table1[[#This Row],[delayed]]=1,"Medium Risk","Low Risk"))</f>
        <v>Low Risk</v>
      </c>
    </row>
    <row r="2575" spans="1:14" x14ac:dyDescent="0.35">
      <c r="A2575">
        <v>2574</v>
      </c>
      <c r="B2575" s="1">
        <v>45034.208333333336</v>
      </c>
      <c r="C2575" s="2">
        <v>5.6944444444444443E-2</v>
      </c>
      <c r="D2575" s="3">
        <v>552</v>
      </c>
      <c r="E2575" s="3">
        <v>87</v>
      </c>
      <c r="F2575" s="2">
        <v>51.21180555555555</v>
      </c>
      <c r="G2575" t="s">
        <v>2815</v>
      </c>
      <c r="H2575" t="s">
        <v>2817</v>
      </c>
      <c r="I2575" s="2">
        <v>1.9180555555555554</v>
      </c>
      <c r="J2575" s="4" t="str">
        <f>IF(Table1[[#This Row],[processing_time_hours]]&gt;1.5,"Slow", "Fast")</f>
        <v>Slow</v>
      </c>
      <c r="K2575" t="s">
        <v>2818</v>
      </c>
      <c r="L2575" s="3">
        <v>0</v>
      </c>
      <c r="M2575" t="str">
        <f>IF(Table1[[#This Row],[delayed]]=1,"Delayed","On Time")</f>
        <v>On Time</v>
      </c>
      <c r="N2575" t="str">
        <f>IF(AND(Table1[[#This Row],[delayed]]=1,Table1[[#This Row],[weather_condition]]="Storm"),"High Risk", IF(Table1[[#This Row],[delayed]]=1,"Medium Risk","Low Risk"))</f>
        <v>Low Risk</v>
      </c>
    </row>
    <row r="2576" spans="1:14" x14ac:dyDescent="0.35">
      <c r="A2576">
        <v>2575</v>
      </c>
      <c r="B2576" s="1">
        <v>45034.25</v>
      </c>
      <c r="C2576" s="2">
        <v>4.1666666666666664E-2</v>
      </c>
      <c r="D2576" s="3">
        <v>256</v>
      </c>
      <c r="E2576" s="3">
        <v>336</v>
      </c>
      <c r="F2576" s="2">
        <v>82.547222222222231</v>
      </c>
      <c r="G2576" t="s">
        <v>2816</v>
      </c>
      <c r="H2576" t="s">
        <v>2817</v>
      </c>
      <c r="I2576" s="2">
        <v>0.125</v>
      </c>
      <c r="J2576" s="4" t="str">
        <f>IF(Table1[[#This Row],[processing_time_hours]]&gt;1.5,"Slow", "Fast")</f>
        <v>Fast</v>
      </c>
      <c r="K2576" t="s">
        <v>2814</v>
      </c>
      <c r="L2576" s="3">
        <v>0</v>
      </c>
      <c r="M2576" t="str">
        <f>IF(Table1[[#This Row],[delayed]]=1,"Delayed","On Time")</f>
        <v>On Time</v>
      </c>
      <c r="N2576" t="str">
        <f>IF(AND(Table1[[#This Row],[delayed]]=1,Table1[[#This Row],[weather_condition]]="Storm"),"High Risk", IF(Table1[[#This Row],[delayed]]=1,"Medium Risk","Low Risk"))</f>
        <v>Low Risk</v>
      </c>
    </row>
    <row r="2577" spans="1:14" x14ac:dyDescent="0.35">
      <c r="A2577">
        <v>2576</v>
      </c>
      <c r="B2577" s="1">
        <v>45034.291666666664</v>
      </c>
      <c r="C2577" s="2">
        <v>6.2499999999999995E-3</v>
      </c>
      <c r="D2577" s="3">
        <v>2819</v>
      </c>
      <c r="E2577" s="3">
        <v>97</v>
      </c>
      <c r="F2577" s="2">
        <v>78.004166666666663</v>
      </c>
      <c r="G2577" t="s">
        <v>2812</v>
      </c>
      <c r="H2577" t="s">
        <v>2822</v>
      </c>
      <c r="I2577" s="2">
        <v>2.6270833333333332</v>
      </c>
      <c r="J2577" s="4" t="str">
        <f>IF(Table1[[#This Row],[processing_time_hours]]&gt;1.5,"Slow", "Fast")</f>
        <v>Slow</v>
      </c>
      <c r="K2577" t="s">
        <v>2818</v>
      </c>
      <c r="L2577" s="3">
        <v>1</v>
      </c>
      <c r="M2577" t="str">
        <f>IF(Table1[[#This Row],[delayed]]=1,"Delayed","On Time")</f>
        <v>Delayed</v>
      </c>
      <c r="N2577" t="str">
        <f>IF(AND(Table1[[#This Row],[delayed]]=1,Table1[[#This Row],[weather_condition]]="Storm"),"High Risk", IF(Table1[[#This Row],[delayed]]=1,"Medium Risk","Low Risk"))</f>
        <v>Medium Risk</v>
      </c>
    </row>
    <row r="2578" spans="1:14" x14ac:dyDescent="0.35">
      <c r="A2578">
        <v>2577</v>
      </c>
      <c r="B2578" s="1">
        <v>45034.333333333336</v>
      </c>
      <c r="C2578" s="2">
        <v>6.458333333333334E-2</v>
      </c>
      <c r="D2578" s="3">
        <v>1450</v>
      </c>
      <c r="E2578" s="3">
        <v>310</v>
      </c>
      <c r="F2578" s="2">
        <v>60.417361111111113</v>
      </c>
      <c r="G2578" t="s">
        <v>2819</v>
      </c>
      <c r="H2578" t="s">
        <v>2822</v>
      </c>
      <c r="I2578" s="2">
        <v>1.8812499999999999</v>
      </c>
      <c r="J2578" s="4" t="str">
        <f>IF(Table1[[#This Row],[processing_time_hours]]&gt;1.5,"Slow", "Fast")</f>
        <v>Slow</v>
      </c>
      <c r="K2578" t="s">
        <v>2821</v>
      </c>
      <c r="L2578" s="3">
        <v>0</v>
      </c>
      <c r="M2578" t="str">
        <f>IF(Table1[[#This Row],[delayed]]=1,"Delayed","On Time")</f>
        <v>On Time</v>
      </c>
      <c r="N2578" t="str">
        <f>IF(AND(Table1[[#This Row],[delayed]]=1,Table1[[#This Row],[weather_condition]]="Storm"),"High Risk", IF(Table1[[#This Row],[delayed]]=1,"Medium Risk","Low Risk"))</f>
        <v>Low Risk</v>
      </c>
    </row>
    <row r="2579" spans="1:14" x14ac:dyDescent="0.35">
      <c r="A2579">
        <v>2578</v>
      </c>
      <c r="B2579" s="1">
        <v>45034.375</v>
      </c>
      <c r="C2579" s="2">
        <v>4.5833333333333337E-2</v>
      </c>
      <c r="D2579" s="3">
        <v>2848</v>
      </c>
      <c r="E2579" s="3">
        <v>124</v>
      </c>
      <c r="F2579" s="2">
        <v>66.208333333333329</v>
      </c>
      <c r="G2579" t="s">
        <v>2819</v>
      </c>
      <c r="H2579" t="s">
        <v>2813</v>
      </c>
      <c r="I2579" s="2">
        <v>2.754861111111111</v>
      </c>
      <c r="J2579" s="4" t="str">
        <f>IF(Table1[[#This Row],[processing_time_hours]]&gt;1.5,"Slow", "Fast")</f>
        <v>Slow</v>
      </c>
      <c r="K2579" t="s">
        <v>2814</v>
      </c>
      <c r="L2579" s="3">
        <v>0</v>
      </c>
      <c r="M2579" t="str">
        <f>IF(Table1[[#This Row],[delayed]]=1,"Delayed","On Time")</f>
        <v>On Time</v>
      </c>
      <c r="N2579" t="str">
        <f>IF(AND(Table1[[#This Row],[delayed]]=1,Table1[[#This Row],[weather_condition]]="Storm"),"High Risk", IF(Table1[[#This Row],[delayed]]=1,"Medium Risk","Low Risk"))</f>
        <v>Low Risk</v>
      </c>
    </row>
    <row r="2580" spans="1:14" x14ac:dyDescent="0.35">
      <c r="A2580">
        <v>2579</v>
      </c>
      <c r="B2580" s="1">
        <v>45034.416666666664</v>
      </c>
      <c r="C2580" s="2">
        <v>5.6250000000000001E-2</v>
      </c>
      <c r="D2580" s="3">
        <v>3162</v>
      </c>
      <c r="E2580" s="3">
        <v>296</v>
      </c>
      <c r="F2580" s="2">
        <v>43.920138888888886</v>
      </c>
      <c r="G2580" t="s">
        <v>2812</v>
      </c>
      <c r="H2580" t="s">
        <v>2813</v>
      </c>
      <c r="I2580" s="2">
        <v>0.21180555555555555</v>
      </c>
      <c r="J2580" s="4" t="str">
        <f>IF(Table1[[#This Row],[processing_time_hours]]&gt;1.5,"Slow", "Fast")</f>
        <v>Fast</v>
      </c>
      <c r="K2580" t="s">
        <v>2821</v>
      </c>
      <c r="L2580" s="3">
        <v>1</v>
      </c>
      <c r="M2580" t="str">
        <f>IF(Table1[[#This Row],[delayed]]=1,"Delayed","On Time")</f>
        <v>Delayed</v>
      </c>
      <c r="N2580" t="str">
        <f>IF(AND(Table1[[#This Row],[delayed]]=1,Table1[[#This Row],[weather_condition]]="Storm"),"High Risk", IF(Table1[[#This Row],[delayed]]=1,"Medium Risk","Low Risk"))</f>
        <v>Medium Risk</v>
      </c>
    </row>
    <row r="2581" spans="1:14" x14ac:dyDescent="0.35">
      <c r="A2581">
        <v>2580</v>
      </c>
      <c r="B2581" s="1">
        <v>45034.458333333336</v>
      </c>
      <c r="C2581" s="2">
        <v>4.8611111111111112E-3</v>
      </c>
      <c r="D2581" s="3">
        <v>1120</v>
      </c>
      <c r="E2581" s="3">
        <v>21</v>
      </c>
      <c r="F2581" s="2">
        <v>78.958333333333329</v>
      </c>
      <c r="G2581" t="s">
        <v>2815</v>
      </c>
      <c r="H2581" t="s">
        <v>2820</v>
      </c>
      <c r="I2581" s="2">
        <v>8.4722222222222213E-2</v>
      </c>
      <c r="J2581" s="4" t="str">
        <f>IF(Table1[[#This Row],[processing_time_hours]]&gt;1.5,"Slow", "Fast")</f>
        <v>Fast</v>
      </c>
      <c r="K2581" t="s">
        <v>2814</v>
      </c>
      <c r="L2581" s="3">
        <v>1</v>
      </c>
      <c r="M2581" t="str">
        <f>IF(Table1[[#This Row],[delayed]]=1,"Delayed","On Time")</f>
        <v>Delayed</v>
      </c>
      <c r="N2581" t="str">
        <f>IF(AND(Table1[[#This Row],[delayed]]=1,Table1[[#This Row],[weather_condition]]="Storm"),"High Risk", IF(Table1[[#This Row],[delayed]]=1,"Medium Risk","Low Risk"))</f>
        <v>Medium Risk</v>
      </c>
    </row>
    <row r="2582" spans="1:14" x14ac:dyDescent="0.35">
      <c r="A2582">
        <v>2581</v>
      </c>
      <c r="B2582" s="1">
        <v>45034.5</v>
      </c>
      <c r="C2582" s="2">
        <v>4.8611111111111112E-3</v>
      </c>
      <c r="D2582" s="3">
        <v>3550</v>
      </c>
      <c r="E2582" s="3">
        <v>331</v>
      </c>
      <c r="F2582" s="2">
        <v>56.003472222222221</v>
      </c>
      <c r="G2582" t="s">
        <v>2819</v>
      </c>
      <c r="H2582" t="s">
        <v>2822</v>
      </c>
      <c r="I2582" s="2">
        <v>0.79583333333333339</v>
      </c>
      <c r="J2582" s="4" t="str">
        <f>IF(Table1[[#This Row],[processing_time_hours]]&gt;1.5,"Slow", "Fast")</f>
        <v>Fast</v>
      </c>
      <c r="K2582" t="s">
        <v>2818</v>
      </c>
      <c r="L2582" s="3">
        <v>0</v>
      </c>
      <c r="M2582" t="str">
        <f>IF(Table1[[#This Row],[delayed]]=1,"Delayed","On Time")</f>
        <v>On Time</v>
      </c>
      <c r="N2582" t="str">
        <f>IF(AND(Table1[[#This Row],[delayed]]=1,Table1[[#This Row],[weather_condition]]="Storm"),"High Risk", IF(Table1[[#This Row],[delayed]]=1,"Medium Risk","Low Risk"))</f>
        <v>Low Risk</v>
      </c>
    </row>
    <row r="2583" spans="1:14" x14ac:dyDescent="0.35">
      <c r="A2583">
        <v>2582</v>
      </c>
      <c r="B2583" s="1">
        <v>45034.541666666664</v>
      </c>
      <c r="C2583" s="2">
        <v>5.0694444444444438E-2</v>
      </c>
      <c r="D2583" s="3">
        <v>2519</v>
      </c>
      <c r="E2583" s="3">
        <v>226</v>
      </c>
      <c r="F2583" s="2">
        <v>23.670138888888889</v>
      </c>
      <c r="G2583" t="s">
        <v>2812</v>
      </c>
      <c r="H2583" t="s">
        <v>2817</v>
      </c>
      <c r="I2583" s="2">
        <v>0.37916666666666665</v>
      </c>
      <c r="J2583" s="4" t="str">
        <f>IF(Table1[[#This Row],[processing_time_hours]]&gt;1.5,"Slow", "Fast")</f>
        <v>Fast</v>
      </c>
      <c r="K2583" t="s">
        <v>2818</v>
      </c>
      <c r="L2583" s="3">
        <v>0</v>
      </c>
      <c r="M2583" t="str">
        <f>IF(Table1[[#This Row],[delayed]]=1,"Delayed","On Time")</f>
        <v>On Time</v>
      </c>
      <c r="N2583" t="str">
        <f>IF(AND(Table1[[#This Row],[delayed]]=1,Table1[[#This Row],[weather_condition]]="Storm"),"High Risk", IF(Table1[[#This Row],[delayed]]=1,"Medium Risk","Low Risk"))</f>
        <v>Low Risk</v>
      </c>
    </row>
    <row r="2584" spans="1:14" x14ac:dyDescent="0.35">
      <c r="A2584">
        <v>2583</v>
      </c>
      <c r="B2584" s="1">
        <v>45034.583333333336</v>
      </c>
      <c r="C2584" s="2">
        <v>5.7638888888888885E-2</v>
      </c>
      <c r="D2584" s="3">
        <v>4635</v>
      </c>
      <c r="E2584" s="3">
        <v>150</v>
      </c>
      <c r="F2584" s="2">
        <v>74.714583333333337</v>
      </c>
      <c r="G2584" t="s">
        <v>2816</v>
      </c>
      <c r="H2584" t="s">
        <v>2822</v>
      </c>
      <c r="I2584" s="2">
        <v>1.4631944444444445</v>
      </c>
      <c r="J2584" s="4" t="str">
        <f>IF(Table1[[#This Row],[processing_time_hours]]&gt;1.5,"Slow", "Fast")</f>
        <v>Fast</v>
      </c>
      <c r="K2584" t="s">
        <v>2818</v>
      </c>
      <c r="L2584" s="3">
        <v>1</v>
      </c>
      <c r="M2584" t="str">
        <f>IF(Table1[[#This Row],[delayed]]=1,"Delayed","On Time")</f>
        <v>Delayed</v>
      </c>
      <c r="N2584" t="str">
        <f>IF(AND(Table1[[#This Row],[delayed]]=1,Table1[[#This Row],[weather_condition]]="Storm"),"High Risk", IF(Table1[[#This Row],[delayed]]=1,"Medium Risk","Low Risk"))</f>
        <v>Medium Risk</v>
      </c>
    </row>
    <row r="2585" spans="1:14" x14ac:dyDescent="0.35">
      <c r="A2585">
        <v>2584</v>
      </c>
      <c r="B2585" s="1">
        <v>45034.625</v>
      </c>
      <c r="C2585" s="2">
        <v>5.3472222222222227E-2</v>
      </c>
      <c r="D2585" s="3">
        <v>2868</v>
      </c>
      <c r="E2585" s="3">
        <v>169</v>
      </c>
      <c r="F2585" s="2">
        <v>83</v>
      </c>
      <c r="G2585" t="s">
        <v>2815</v>
      </c>
      <c r="H2585" t="s">
        <v>2822</v>
      </c>
      <c r="I2585" s="2">
        <v>2.7506944444444446</v>
      </c>
      <c r="J2585" s="4" t="str">
        <f>IF(Table1[[#This Row],[processing_time_hours]]&gt;1.5,"Slow", "Fast")</f>
        <v>Slow</v>
      </c>
      <c r="K2585" t="s">
        <v>2818</v>
      </c>
      <c r="L2585" s="3">
        <v>1</v>
      </c>
      <c r="M2585" t="str">
        <f>IF(Table1[[#This Row],[delayed]]=1,"Delayed","On Time")</f>
        <v>Delayed</v>
      </c>
      <c r="N2585" t="str">
        <f>IF(AND(Table1[[#This Row],[delayed]]=1,Table1[[#This Row],[weather_condition]]="Storm"),"High Risk", IF(Table1[[#This Row],[delayed]]=1,"Medium Risk","Low Risk"))</f>
        <v>Medium Risk</v>
      </c>
    </row>
    <row r="2586" spans="1:14" x14ac:dyDescent="0.35">
      <c r="A2586">
        <v>2585</v>
      </c>
      <c r="B2586" s="1">
        <v>45034.666666666664</v>
      </c>
      <c r="C2586" s="2">
        <v>5.2777777777777778E-2</v>
      </c>
      <c r="D2586" s="3">
        <v>2101</v>
      </c>
      <c r="E2586" s="3">
        <v>67</v>
      </c>
      <c r="F2586" s="2">
        <v>28.666666666666668</v>
      </c>
      <c r="G2586" t="s">
        <v>2812</v>
      </c>
      <c r="H2586" t="s">
        <v>2822</v>
      </c>
      <c r="I2586" s="2">
        <v>1.4194444444444445</v>
      </c>
      <c r="J2586" s="4" t="str">
        <f>IF(Table1[[#This Row],[processing_time_hours]]&gt;1.5,"Slow", "Fast")</f>
        <v>Fast</v>
      </c>
      <c r="K2586" t="s">
        <v>2821</v>
      </c>
      <c r="L2586" s="3">
        <v>0</v>
      </c>
      <c r="M2586" t="str">
        <f>IF(Table1[[#This Row],[delayed]]=1,"Delayed","On Time")</f>
        <v>On Time</v>
      </c>
      <c r="N2586" t="str">
        <f>IF(AND(Table1[[#This Row],[delayed]]=1,Table1[[#This Row],[weather_condition]]="Storm"),"High Risk", IF(Table1[[#This Row],[delayed]]=1,"Medium Risk","Low Risk"))</f>
        <v>Low Risk</v>
      </c>
    </row>
    <row r="2587" spans="1:14" x14ac:dyDescent="0.35">
      <c r="A2587">
        <v>2586</v>
      </c>
      <c r="B2587" s="1">
        <v>45034.708333333336</v>
      </c>
      <c r="C2587" s="2">
        <v>5.2083333333333336E-2</v>
      </c>
      <c r="D2587" s="3">
        <v>1232</v>
      </c>
      <c r="E2587" s="3">
        <v>222</v>
      </c>
      <c r="F2587" s="2">
        <v>30.880555555555556</v>
      </c>
      <c r="G2587" t="s">
        <v>2819</v>
      </c>
      <c r="H2587" t="s">
        <v>2820</v>
      </c>
      <c r="I2587" s="2">
        <v>2.0423611111111111</v>
      </c>
      <c r="J2587" s="4" t="str">
        <f>IF(Table1[[#This Row],[processing_time_hours]]&gt;1.5,"Slow", "Fast")</f>
        <v>Slow</v>
      </c>
      <c r="K2587" t="s">
        <v>2821</v>
      </c>
      <c r="L2587" s="3">
        <v>0</v>
      </c>
      <c r="M2587" t="str">
        <f>IF(Table1[[#This Row],[delayed]]=1,"Delayed","On Time")</f>
        <v>On Time</v>
      </c>
      <c r="N2587" t="str">
        <f>IF(AND(Table1[[#This Row],[delayed]]=1,Table1[[#This Row],[weather_condition]]="Storm"),"High Risk", IF(Table1[[#This Row],[delayed]]=1,"Medium Risk","Low Risk"))</f>
        <v>Low Risk</v>
      </c>
    </row>
    <row r="2588" spans="1:14" x14ac:dyDescent="0.35">
      <c r="A2588">
        <v>2587</v>
      </c>
      <c r="B2588" s="1">
        <v>45034.75</v>
      </c>
      <c r="C2588" s="2">
        <v>6.8749999999999992E-2</v>
      </c>
      <c r="D2588" s="3">
        <v>2082</v>
      </c>
      <c r="E2588" s="3">
        <v>377</v>
      </c>
      <c r="F2588" s="2">
        <v>36.12777777777778</v>
      </c>
      <c r="G2588" t="s">
        <v>2816</v>
      </c>
      <c r="H2588" t="s">
        <v>2822</v>
      </c>
      <c r="I2588" s="2">
        <v>1.7138888888888888</v>
      </c>
      <c r="J2588" s="4" t="str">
        <f>IF(Table1[[#This Row],[processing_time_hours]]&gt;1.5,"Slow", "Fast")</f>
        <v>Slow</v>
      </c>
      <c r="K2588" t="s">
        <v>2818</v>
      </c>
      <c r="L2588" s="3">
        <v>0</v>
      </c>
      <c r="M2588" t="str">
        <f>IF(Table1[[#This Row],[delayed]]=1,"Delayed","On Time")</f>
        <v>On Time</v>
      </c>
      <c r="N2588" t="str">
        <f>IF(AND(Table1[[#This Row],[delayed]]=1,Table1[[#This Row],[weather_condition]]="Storm"),"High Risk", IF(Table1[[#This Row],[delayed]]=1,"Medium Risk","Low Risk"))</f>
        <v>Low Risk</v>
      </c>
    </row>
    <row r="2589" spans="1:14" x14ac:dyDescent="0.35">
      <c r="A2589">
        <v>2588</v>
      </c>
      <c r="B2589" s="1">
        <v>45034.791666666664</v>
      </c>
      <c r="C2589" s="2">
        <v>5.3472222222222227E-2</v>
      </c>
      <c r="D2589" s="3">
        <v>3619</v>
      </c>
      <c r="E2589" s="3">
        <v>101</v>
      </c>
      <c r="F2589" s="2">
        <v>73.793055555555554</v>
      </c>
      <c r="G2589" t="s">
        <v>2812</v>
      </c>
      <c r="H2589" t="s">
        <v>2820</v>
      </c>
      <c r="I2589" s="2">
        <v>0.96458333333333324</v>
      </c>
      <c r="J2589" s="4" t="str">
        <f>IF(Table1[[#This Row],[processing_time_hours]]&gt;1.5,"Slow", "Fast")</f>
        <v>Fast</v>
      </c>
      <c r="K2589" t="s">
        <v>2818</v>
      </c>
      <c r="L2589" s="3">
        <v>1</v>
      </c>
      <c r="M2589" t="str">
        <f>IF(Table1[[#This Row],[delayed]]=1,"Delayed","On Time")</f>
        <v>Delayed</v>
      </c>
      <c r="N2589" t="str">
        <f>IF(AND(Table1[[#This Row],[delayed]]=1,Table1[[#This Row],[weather_condition]]="Storm"),"High Risk", IF(Table1[[#This Row],[delayed]]=1,"Medium Risk","Low Risk"))</f>
        <v>Medium Risk</v>
      </c>
    </row>
    <row r="2590" spans="1:14" x14ac:dyDescent="0.35">
      <c r="A2590">
        <v>2589</v>
      </c>
      <c r="B2590" s="1">
        <v>45034.833333333336</v>
      </c>
      <c r="C2590" s="2">
        <v>6.7361111111111108E-2</v>
      </c>
      <c r="D2590" s="3">
        <v>423</v>
      </c>
      <c r="E2590" s="3">
        <v>33</v>
      </c>
      <c r="F2590" s="2">
        <v>38.33958333333333</v>
      </c>
      <c r="G2590" t="s">
        <v>2812</v>
      </c>
      <c r="H2590" t="s">
        <v>2813</v>
      </c>
      <c r="I2590" s="2">
        <v>2.2965277777777779</v>
      </c>
      <c r="J2590" s="4" t="str">
        <f>IF(Table1[[#This Row],[processing_time_hours]]&gt;1.5,"Slow", "Fast")</f>
        <v>Slow</v>
      </c>
      <c r="K2590" t="s">
        <v>2814</v>
      </c>
      <c r="L2590" s="3">
        <v>1</v>
      </c>
      <c r="M2590" t="str">
        <f>IF(Table1[[#This Row],[delayed]]=1,"Delayed","On Time")</f>
        <v>Delayed</v>
      </c>
      <c r="N2590" t="str">
        <f>IF(AND(Table1[[#This Row],[delayed]]=1,Table1[[#This Row],[weather_condition]]="Storm"),"High Risk", IF(Table1[[#This Row],[delayed]]=1,"Medium Risk","Low Risk"))</f>
        <v>Medium Risk</v>
      </c>
    </row>
    <row r="2591" spans="1:14" x14ac:dyDescent="0.35">
      <c r="A2591">
        <v>2590</v>
      </c>
      <c r="B2591" s="1">
        <v>45034.875</v>
      </c>
      <c r="C2591" s="2">
        <v>4.1666666666666664E-2</v>
      </c>
      <c r="D2591" s="3">
        <v>420</v>
      </c>
      <c r="E2591" s="3">
        <v>276</v>
      </c>
      <c r="F2591" s="2">
        <v>24.584722222222222</v>
      </c>
      <c r="G2591" t="s">
        <v>2819</v>
      </c>
      <c r="H2591" t="s">
        <v>2817</v>
      </c>
      <c r="I2591" s="2">
        <v>2.4611111111111112</v>
      </c>
      <c r="J2591" s="4" t="str">
        <f>IF(Table1[[#This Row],[processing_time_hours]]&gt;1.5,"Slow", "Fast")</f>
        <v>Slow</v>
      </c>
      <c r="K2591" t="s">
        <v>2821</v>
      </c>
      <c r="L2591" s="3">
        <v>0</v>
      </c>
      <c r="M2591" t="str">
        <f>IF(Table1[[#This Row],[delayed]]=1,"Delayed","On Time")</f>
        <v>On Time</v>
      </c>
      <c r="N2591" t="str">
        <f>IF(AND(Table1[[#This Row],[delayed]]=1,Table1[[#This Row],[weather_condition]]="Storm"),"High Risk", IF(Table1[[#This Row],[delayed]]=1,"Medium Risk","Low Risk"))</f>
        <v>Low Risk</v>
      </c>
    </row>
    <row r="2592" spans="1:14" x14ac:dyDescent="0.35">
      <c r="A2592">
        <v>2591</v>
      </c>
      <c r="B2592" s="1">
        <v>45034.916666666664</v>
      </c>
      <c r="C2592" s="2">
        <v>5.9027777777777783E-2</v>
      </c>
      <c r="D2592" s="3">
        <v>4932</v>
      </c>
      <c r="E2592" s="3">
        <v>290</v>
      </c>
      <c r="F2592" s="2">
        <v>56.379166666666663</v>
      </c>
      <c r="G2592" t="s">
        <v>2812</v>
      </c>
      <c r="H2592" t="s">
        <v>2813</v>
      </c>
      <c r="I2592" s="2">
        <v>0.25</v>
      </c>
      <c r="J2592" s="4" t="str">
        <f>IF(Table1[[#This Row],[processing_time_hours]]&gt;1.5,"Slow", "Fast")</f>
        <v>Fast</v>
      </c>
      <c r="K2592" t="s">
        <v>2818</v>
      </c>
      <c r="L2592" s="3">
        <v>1</v>
      </c>
      <c r="M2592" t="str">
        <f>IF(Table1[[#This Row],[delayed]]=1,"Delayed","On Time")</f>
        <v>Delayed</v>
      </c>
      <c r="N2592" t="str">
        <f>IF(AND(Table1[[#This Row],[delayed]]=1,Table1[[#This Row],[weather_condition]]="Storm"),"High Risk", IF(Table1[[#This Row],[delayed]]=1,"Medium Risk","Low Risk"))</f>
        <v>Medium Risk</v>
      </c>
    </row>
    <row r="2593" spans="1:14" x14ac:dyDescent="0.35">
      <c r="A2593">
        <v>2592</v>
      </c>
      <c r="B2593" s="1">
        <v>45034.958333333336</v>
      </c>
      <c r="C2593" s="2">
        <v>6.8749999999999992E-2</v>
      </c>
      <c r="D2593" s="3">
        <v>1027</v>
      </c>
      <c r="E2593" s="3">
        <v>437</v>
      </c>
      <c r="F2593" s="2">
        <v>0.62708333333333333</v>
      </c>
      <c r="G2593" t="s">
        <v>2815</v>
      </c>
      <c r="H2593" t="s">
        <v>2820</v>
      </c>
      <c r="I2593" s="2">
        <v>2.9590277777777776</v>
      </c>
      <c r="J2593" s="4" t="str">
        <f>IF(Table1[[#This Row],[processing_time_hours]]&gt;1.5,"Slow", "Fast")</f>
        <v>Slow</v>
      </c>
      <c r="K2593" t="s">
        <v>2814</v>
      </c>
      <c r="L2593" s="3">
        <v>0</v>
      </c>
      <c r="M2593" t="str">
        <f>IF(Table1[[#This Row],[delayed]]=1,"Delayed","On Time")</f>
        <v>On Time</v>
      </c>
      <c r="N2593" t="str">
        <f>IF(AND(Table1[[#This Row],[delayed]]=1,Table1[[#This Row],[weather_condition]]="Storm"),"High Risk", IF(Table1[[#This Row],[delayed]]=1,"Medium Risk","Low Risk"))</f>
        <v>Low Risk</v>
      </c>
    </row>
    <row r="2594" spans="1:14" x14ac:dyDescent="0.35">
      <c r="A2594">
        <v>2593</v>
      </c>
      <c r="B2594" s="1">
        <v>45035</v>
      </c>
      <c r="C2594" s="2">
        <v>4.1666666666666664E-2</v>
      </c>
      <c r="D2594" s="3">
        <v>616</v>
      </c>
      <c r="E2594" s="3">
        <v>411</v>
      </c>
      <c r="F2594" s="2">
        <v>52.169444444444444</v>
      </c>
      <c r="G2594" t="s">
        <v>2819</v>
      </c>
      <c r="H2594" t="s">
        <v>2820</v>
      </c>
      <c r="I2594" s="2">
        <v>0.92291666666666661</v>
      </c>
      <c r="J2594" s="4" t="str">
        <f>IF(Table1[[#This Row],[processing_time_hours]]&gt;1.5,"Slow", "Fast")</f>
        <v>Fast</v>
      </c>
      <c r="K2594" t="s">
        <v>2814</v>
      </c>
      <c r="L2594" s="3">
        <v>0</v>
      </c>
      <c r="M2594" t="str">
        <f>IF(Table1[[#This Row],[delayed]]=1,"Delayed","On Time")</f>
        <v>On Time</v>
      </c>
      <c r="N2594" t="str">
        <f>IF(AND(Table1[[#This Row],[delayed]]=1,Table1[[#This Row],[weather_condition]]="Storm"),"High Risk", IF(Table1[[#This Row],[delayed]]=1,"Medium Risk","Low Risk"))</f>
        <v>Low Risk</v>
      </c>
    </row>
    <row r="2595" spans="1:14" x14ac:dyDescent="0.35">
      <c r="A2595">
        <v>2594</v>
      </c>
      <c r="B2595" s="1">
        <v>45035.041666666664</v>
      </c>
      <c r="C2595" s="2">
        <v>6.458333333333334E-2</v>
      </c>
      <c r="D2595" s="3">
        <v>3742</v>
      </c>
      <c r="E2595" s="3">
        <v>325</v>
      </c>
      <c r="F2595" s="2">
        <v>39.670833333333334</v>
      </c>
      <c r="G2595" t="s">
        <v>2816</v>
      </c>
      <c r="H2595" t="s">
        <v>2813</v>
      </c>
      <c r="I2595" s="2">
        <v>2.4194444444444447</v>
      </c>
      <c r="J2595" s="4" t="str">
        <f>IF(Table1[[#This Row],[processing_time_hours]]&gt;1.5,"Slow", "Fast")</f>
        <v>Slow</v>
      </c>
      <c r="K2595" t="s">
        <v>2818</v>
      </c>
      <c r="L2595" s="3">
        <v>0</v>
      </c>
      <c r="M2595" t="str">
        <f>IF(Table1[[#This Row],[delayed]]=1,"Delayed","On Time")</f>
        <v>On Time</v>
      </c>
      <c r="N2595" t="str">
        <f>IF(AND(Table1[[#This Row],[delayed]]=1,Table1[[#This Row],[weather_condition]]="Storm"),"High Risk", IF(Table1[[#This Row],[delayed]]=1,"Medium Risk","Low Risk"))</f>
        <v>Low Risk</v>
      </c>
    </row>
    <row r="2596" spans="1:14" x14ac:dyDescent="0.35">
      <c r="A2596">
        <v>2595</v>
      </c>
      <c r="B2596" s="1">
        <v>45035.083333333336</v>
      </c>
      <c r="C2596" s="2">
        <v>6.1805555555555558E-2</v>
      </c>
      <c r="D2596" s="3">
        <v>1014</v>
      </c>
      <c r="E2596" s="3">
        <v>99</v>
      </c>
      <c r="F2596" s="2">
        <v>61.502083333333331</v>
      </c>
      <c r="G2596" t="s">
        <v>2812</v>
      </c>
      <c r="H2596" t="s">
        <v>2822</v>
      </c>
      <c r="I2596" s="2">
        <v>1.7916666666666667</v>
      </c>
      <c r="J2596" s="4" t="str">
        <f>IF(Table1[[#This Row],[processing_time_hours]]&gt;1.5,"Slow", "Fast")</f>
        <v>Slow</v>
      </c>
      <c r="K2596" t="s">
        <v>2818</v>
      </c>
      <c r="L2596" s="3">
        <v>0</v>
      </c>
      <c r="M2596" t="str">
        <f>IF(Table1[[#This Row],[delayed]]=1,"Delayed","On Time")</f>
        <v>On Time</v>
      </c>
      <c r="N2596" t="str">
        <f>IF(AND(Table1[[#This Row],[delayed]]=1,Table1[[#This Row],[weather_condition]]="Storm"),"High Risk", IF(Table1[[#This Row],[delayed]]=1,"Medium Risk","Low Risk"))</f>
        <v>Low Risk</v>
      </c>
    </row>
    <row r="2597" spans="1:14" x14ac:dyDescent="0.35">
      <c r="A2597">
        <v>2596</v>
      </c>
      <c r="B2597" s="1">
        <v>45035.125</v>
      </c>
      <c r="C2597" s="2">
        <v>4.7916666666666663E-2</v>
      </c>
      <c r="D2597" s="3">
        <v>3746</v>
      </c>
      <c r="E2597" s="3">
        <v>329</v>
      </c>
      <c r="F2597" s="2">
        <v>73.750694444444449</v>
      </c>
      <c r="G2597" t="s">
        <v>2816</v>
      </c>
      <c r="H2597" t="s">
        <v>2813</v>
      </c>
      <c r="I2597" s="2">
        <v>1.877777777777778</v>
      </c>
      <c r="J2597" s="4" t="str">
        <f>IF(Table1[[#This Row],[processing_time_hours]]&gt;1.5,"Slow", "Fast")</f>
        <v>Slow</v>
      </c>
      <c r="K2597" t="s">
        <v>2814</v>
      </c>
      <c r="L2597" s="3">
        <v>0</v>
      </c>
      <c r="M2597" t="str">
        <f>IF(Table1[[#This Row],[delayed]]=1,"Delayed","On Time")</f>
        <v>On Time</v>
      </c>
      <c r="N2597" t="str">
        <f>IF(AND(Table1[[#This Row],[delayed]]=1,Table1[[#This Row],[weather_condition]]="Storm"),"High Risk", IF(Table1[[#This Row],[delayed]]=1,"Medium Risk","Low Risk"))</f>
        <v>Low Risk</v>
      </c>
    </row>
    <row r="2598" spans="1:14" x14ac:dyDescent="0.35">
      <c r="A2598">
        <v>2597</v>
      </c>
      <c r="B2598" s="1">
        <v>45035.166666666664</v>
      </c>
      <c r="C2598" s="2">
        <v>4.6527777777777779E-2</v>
      </c>
      <c r="D2598" s="3">
        <v>4234</v>
      </c>
      <c r="E2598" s="3">
        <v>216</v>
      </c>
      <c r="F2598" s="2">
        <v>27.297916666666666</v>
      </c>
      <c r="G2598" t="s">
        <v>2816</v>
      </c>
      <c r="H2598" t="s">
        <v>2813</v>
      </c>
      <c r="I2598" s="2">
        <v>2.7104166666666667</v>
      </c>
      <c r="J2598" s="4" t="str">
        <f>IF(Table1[[#This Row],[processing_time_hours]]&gt;1.5,"Slow", "Fast")</f>
        <v>Slow</v>
      </c>
      <c r="K2598" t="s">
        <v>2814</v>
      </c>
      <c r="L2598" s="3">
        <v>1</v>
      </c>
      <c r="M2598" t="str">
        <f>IF(Table1[[#This Row],[delayed]]=1,"Delayed","On Time")</f>
        <v>Delayed</v>
      </c>
      <c r="N2598" t="str">
        <f>IF(AND(Table1[[#This Row],[delayed]]=1,Table1[[#This Row],[weather_condition]]="Storm"),"High Risk", IF(Table1[[#This Row],[delayed]]=1,"Medium Risk","Low Risk"))</f>
        <v>Medium Risk</v>
      </c>
    </row>
    <row r="2599" spans="1:14" x14ac:dyDescent="0.35">
      <c r="A2599">
        <v>2598</v>
      </c>
      <c r="B2599" s="1">
        <v>45035.208333333336</v>
      </c>
      <c r="C2599" s="2">
        <v>4.3055555555555562E-2</v>
      </c>
      <c r="D2599" s="3">
        <v>4326</v>
      </c>
      <c r="E2599" s="3">
        <v>282</v>
      </c>
      <c r="F2599" s="2">
        <v>2.9645833333333336</v>
      </c>
      <c r="G2599" t="s">
        <v>2815</v>
      </c>
      <c r="H2599" t="s">
        <v>2820</v>
      </c>
      <c r="I2599" s="2">
        <v>2.5874999999999999</v>
      </c>
      <c r="J2599" s="4" t="str">
        <f>IF(Table1[[#This Row],[processing_time_hours]]&gt;1.5,"Slow", "Fast")</f>
        <v>Slow</v>
      </c>
      <c r="K2599" t="s">
        <v>2814</v>
      </c>
      <c r="L2599" s="3">
        <v>1</v>
      </c>
      <c r="M2599" t="str">
        <f>IF(Table1[[#This Row],[delayed]]=1,"Delayed","On Time")</f>
        <v>Delayed</v>
      </c>
      <c r="N2599" t="str">
        <f>IF(AND(Table1[[#This Row],[delayed]]=1,Table1[[#This Row],[weather_condition]]="Storm"),"High Risk", IF(Table1[[#This Row],[delayed]]=1,"Medium Risk","Low Risk"))</f>
        <v>Medium Risk</v>
      </c>
    </row>
    <row r="2600" spans="1:14" x14ac:dyDescent="0.35">
      <c r="A2600">
        <v>2599</v>
      </c>
      <c r="B2600" s="1">
        <v>45035.25</v>
      </c>
      <c r="C2600" s="2">
        <v>4.7916666666666663E-2</v>
      </c>
      <c r="D2600" s="3">
        <v>3561</v>
      </c>
      <c r="E2600" s="3">
        <v>294</v>
      </c>
      <c r="F2600" s="2">
        <v>9.4194444444444443</v>
      </c>
      <c r="G2600" t="s">
        <v>2816</v>
      </c>
      <c r="H2600" t="s">
        <v>2820</v>
      </c>
      <c r="I2600" s="2">
        <v>2.3354166666666667</v>
      </c>
      <c r="J2600" s="4" t="str">
        <f>IF(Table1[[#This Row],[processing_time_hours]]&gt;1.5,"Slow", "Fast")</f>
        <v>Slow</v>
      </c>
      <c r="K2600" t="s">
        <v>2814</v>
      </c>
      <c r="L2600" s="3">
        <v>0</v>
      </c>
      <c r="M2600" t="str">
        <f>IF(Table1[[#This Row],[delayed]]=1,"Delayed","On Time")</f>
        <v>On Time</v>
      </c>
      <c r="N2600" t="str">
        <f>IF(AND(Table1[[#This Row],[delayed]]=1,Table1[[#This Row],[weather_condition]]="Storm"),"High Risk", IF(Table1[[#This Row],[delayed]]=1,"Medium Risk","Low Risk"))</f>
        <v>Low Risk</v>
      </c>
    </row>
    <row r="2601" spans="1:14" x14ac:dyDescent="0.35">
      <c r="A2601">
        <v>2600</v>
      </c>
      <c r="B2601" s="1">
        <v>45035.291666666664</v>
      </c>
      <c r="C2601" s="2">
        <v>5.6250000000000001E-2</v>
      </c>
      <c r="D2601" s="3">
        <v>469</v>
      </c>
      <c r="E2601" s="3">
        <v>336</v>
      </c>
      <c r="F2601" s="2">
        <v>12.713194444444445</v>
      </c>
      <c r="G2601" t="s">
        <v>2812</v>
      </c>
      <c r="H2601" t="s">
        <v>2813</v>
      </c>
      <c r="I2601" s="2">
        <v>0.9194444444444444</v>
      </c>
      <c r="J2601" s="4" t="str">
        <f>IF(Table1[[#This Row],[processing_time_hours]]&gt;1.5,"Slow", "Fast")</f>
        <v>Fast</v>
      </c>
      <c r="K2601" t="s">
        <v>2814</v>
      </c>
      <c r="L2601" s="3">
        <v>0</v>
      </c>
      <c r="M2601" t="str">
        <f>IF(Table1[[#This Row],[delayed]]=1,"Delayed","On Time")</f>
        <v>On Time</v>
      </c>
      <c r="N2601" t="str">
        <f>IF(AND(Table1[[#This Row],[delayed]]=1,Table1[[#This Row],[weather_condition]]="Storm"),"High Risk", IF(Table1[[#This Row],[delayed]]=1,"Medium Risk","Low Risk"))</f>
        <v>Low Risk</v>
      </c>
    </row>
    <row r="2602" spans="1:14" x14ac:dyDescent="0.35">
      <c r="A2602">
        <v>2601</v>
      </c>
      <c r="B2602" s="1">
        <v>45035.333333333336</v>
      </c>
      <c r="C2602" s="2">
        <v>5.3472222222222227E-2</v>
      </c>
      <c r="D2602" s="3">
        <v>4236</v>
      </c>
      <c r="E2602" s="3">
        <v>376</v>
      </c>
      <c r="F2602" s="2">
        <v>77.5</v>
      </c>
      <c r="G2602" t="s">
        <v>2812</v>
      </c>
      <c r="H2602" t="s">
        <v>2817</v>
      </c>
      <c r="I2602" s="2">
        <v>0.67222222222222217</v>
      </c>
      <c r="J2602" s="4" t="str">
        <f>IF(Table1[[#This Row],[processing_time_hours]]&gt;1.5,"Slow", "Fast")</f>
        <v>Fast</v>
      </c>
      <c r="K2602" t="s">
        <v>2818</v>
      </c>
      <c r="L2602" s="3">
        <v>0</v>
      </c>
      <c r="M2602" t="str">
        <f>IF(Table1[[#This Row],[delayed]]=1,"Delayed","On Time")</f>
        <v>On Time</v>
      </c>
      <c r="N2602" t="str">
        <f>IF(AND(Table1[[#This Row],[delayed]]=1,Table1[[#This Row],[weather_condition]]="Storm"),"High Risk", IF(Table1[[#This Row],[delayed]]=1,"Medium Risk","Low Risk"))</f>
        <v>Low Risk</v>
      </c>
    </row>
    <row r="2603" spans="1:14" x14ac:dyDescent="0.35">
      <c r="A2603">
        <v>2602</v>
      </c>
      <c r="B2603" s="1">
        <v>45035.375</v>
      </c>
      <c r="C2603" s="2">
        <v>6.2499999999999995E-3</v>
      </c>
      <c r="D2603" s="3">
        <v>2254</v>
      </c>
      <c r="E2603" s="3">
        <v>206</v>
      </c>
      <c r="F2603" s="2">
        <v>71.959722222222226</v>
      </c>
      <c r="G2603" t="s">
        <v>2812</v>
      </c>
      <c r="H2603" t="s">
        <v>2813</v>
      </c>
      <c r="I2603" s="2">
        <v>2.1277777777777778</v>
      </c>
      <c r="J2603" s="4" t="str">
        <f>IF(Table1[[#This Row],[processing_time_hours]]&gt;1.5,"Slow", "Fast")</f>
        <v>Slow</v>
      </c>
      <c r="K2603" t="s">
        <v>2818</v>
      </c>
      <c r="L2603" s="3">
        <v>0</v>
      </c>
      <c r="M2603" t="str">
        <f>IF(Table1[[#This Row],[delayed]]=1,"Delayed","On Time")</f>
        <v>On Time</v>
      </c>
      <c r="N2603" t="str">
        <f>IF(AND(Table1[[#This Row],[delayed]]=1,Table1[[#This Row],[weather_condition]]="Storm"),"High Risk", IF(Table1[[#This Row],[delayed]]=1,"Medium Risk","Low Risk"))</f>
        <v>Low Risk</v>
      </c>
    </row>
    <row r="2604" spans="1:14" x14ac:dyDescent="0.35">
      <c r="A2604">
        <v>2603</v>
      </c>
      <c r="B2604" s="1">
        <v>45035.416666666664</v>
      </c>
      <c r="C2604" s="2">
        <v>4.9999999999999996E-2</v>
      </c>
      <c r="D2604" s="3">
        <v>2697</v>
      </c>
      <c r="E2604" s="3">
        <v>483</v>
      </c>
      <c r="F2604" s="2">
        <v>21.417361111111109</v>
      </c>
      <c r="G2604" t="s">
        <v>2812</v>
      </c>
      <c r="H2604" t="s">
        <v>2813</v>
      </c>
      <c r="I2604" s="2">
        <v>0.21041666666666667</v>
      </c>
      <c r="J2604" s="4" t="str">
        <f>IF(Table1[[#This Row],[processing_time_hours]]&gt;1.5,"Slow", "Fast")</f>
        <v>Fast</v>
      </c>
      <c r="K2604" t="s">
        <v>2821</v>
      </c>
      <c r="L2604" s="3">
        <v>0</v>
      </c>
      <c r="M2604" t="str">
        <f>IF(Table1[[#This Row],[delayed]]=1,"Delayed","On Time")</f>
        <v>On Time</v>
      </c>
      <c r="N2604" t="str">
        <f>IF(AND(Table1[[#This Row],[delayed]]=1,Table1[[#This Row],[weather_condition]]="Storm"),"High Risk", IF(Table1[[#This Row],[delayed]]=1,"Medium Risk","Low Risk"))</f>
        <v>Low Risk</v>
      </c>
    </row>
    <row r="2605" spans="1:14" x14ac:dyDescent="0.35">
      <c r="A2605">
        <v>2604</v>
      </c>
      <c r="B2605" s="1">
        <v>45035.458333333336</v>
      </c>
      <c r="C2605" s="2">
        <v>5.9027777777777783E-2</v>
      </c>
      <c r="D2605" s="3">
        <v>1077</v>
      </c>
      <c r="E2605" s="3">
        <v>49</v>
      </c>
      <c r="F2605" s="2">
        <v>52.129861111111104</v>
      </c>
      <c r="G2605" t="s">
        <v>2819</v>
      </c>
      <c r="H2605" t="s">
        <v>2817</v>
      </c>
      <c r="I2605" s="2">
        <v>1.8791666666666667</v>
      </c>
      <c r="J2605" s="4" t="str">
        <f>IF(Table1[[#This Row],[processing_time_hours]]&gt;1.5,"Slow", "Fast")</f>
        <v>Slow</v>
      </c>
      <c r="K2605" t="s">
        <v>2821</v>
      </c>
      <c r="L2605" s="3">
        <v>0</v>
      </c>
      <c r="M2605" t="str">
        <f>IF(Table1[[#This Row],[delayed]]=1,"Delayed","On Time")</f>
        <v>On Time</v>
      </c>
      <c r="N2605" t="str">
        <f>IF(AND(Table1[[#This Row],[delayed]]=1,Table1[[#This Row],[weather_condition]]="Storm"),"High Risk", IF(Table1[[#This Row],[delayed]]=1,"Medium Risk","Low Risk"))</f>
        <v>Low Risk</v>
      </c>
    </row>
    <row r="2606" spans="1:14" x14ac:dyDescent="0.35">
      <c r="A2606">
        <v>2605</v>
      </c>
      <c r="B2606" s="1">
        <v>45035.5</v>
      </c>
      <c r="C2606" s="2">
        <v>5.1388888888888894E-2</v>
      </c>
      <c r="D2606" s="3">
        <v>2010</v>
      </c>
      <c r="E2606" s="3">
        <v>310</v>
      </c>
      <c r="F2606" s="2">
        <v>35.877083333333331</v>
      </c>
      <c r="G2606" t="s">
        <v>2812</v>
      </c>
      <c r="H2606" t="s">
        <v>2813</v>
      </c>
      <c r="I2606" s="2">
        <v>2.2930555555555556</v>
      </c>
      <c r="J2606" s="4" t="str">
        <f>IF(Table1[[#This Row],[processing_time_hours]]&gt;1.5,"Slow", "Fast")</f>
        <v>Slow</v>
      </c>
      <c r="K2606" t="s">
        <v>2814</v>
      </c>
      <c r="L2606" s="3">
        <v>0</v>
      </c>
      <c r="M2606" t="str">
        <f>IF(Table1[[#This Row],[delayed]]=1,"Delayed","On Time")</f>
        <v>On Time</v>
      </c>
      <c r="N2606" t="str">
        <f>IF(AND(Table1[[#This Row],[delayed]]=1,Table1[[#This Row],[weather_condition]]="Storm"),"High Risk", IF(Table1[[#This Row],[delayed]]=1,"Medium Risk","Low Risk"))</f>
        <v>Low Risk</v>
      </c>
    </row>
    <row r="2607" spans="1:14" x14ac:dyDescent="0.35">
      <c r="A2607">
        <v>2606</v>
      </c>
      <c r="B2607" s="1">
        <v>45035.541666666664</v>
      </c>
      <c r="C2607" s="2">
        <v>4.7916666666666663E-2</v>
      </c>
      <c r="D2607" s="3">
        <v>4505</v>
      </c>
      <c r="E2607" s="3">
        <v>282</v>
      </c>
      <c r="F2607" s="2">
        <v>39.293055555555554</v>
      </c>
      <c r="G2607" t="s">
        <v>2815</v>
      </c>
      <c r="H2607" t="s">
        <v>2822</v>
      </c>
      <c r="I2607" s="2">
        <v>1.2951388888888888</v>
      </c>
      <c r="J2607" s="4" t="str">
        <f>IF(Table1[[#This Row],[processing_time_hours]]&gt;1.5,"Slow", "Fast")</f>
        <v>Fast</v>
      </c>
      <c r="K2607" t="s">
        <v>2818</v>
      </c>
      <c r="L2607" s="3">
        <v>0</v>
      </c>
      <c r="M2607" t="str">
        <f>IF(Table1[[#This Row],[delayed]]=1,"Delayed","On Time")</f>
        <v>On Time</v>
      </c>
      <c r="N2607" t="str">
        <f>IF(AND(Table1[[#This Row],[delayed]]=1,Table1[[#This Row],[weather_condition]]="Storm"),"High Risk", IF(Table1[[#This Row],[delayed]]=1,"Medium Risk","Low Risk"))</f>
        <v>Low Risk</v>
      </c>
    </row>
    <row r="2608" spans="1:14" x14ac:dyDescent="0.35">
      <c r="A2608">
        <v>2607</v>
      </c>
      <c r="B2608" s="1">
        <v>45035.583333333336</v>
      </c>
      <c r="C2608" s="2">
        <v>6.3194444444444442E-2</v>
      </c>
      <c r="D2608" s="3">
        <v>2948</v>
      </c>
      <c r="E2608" s="3">
        <v>126</v>
      </c>
      <c r="F2608" s="2">
        <v>67.13055555555556</v>
      </c>
      <c r="G2608" t="s">
        <v>2812</v>
      </c>
      <c r="H2608" t="s">
        <v>2817</v>
      </c>
      <c r="I2608" s="2">
        <v>2</v>
      </c>
      <c r="J2608" s="4" t="str">
        <f>IF(Table1[[#This Row],[processing_time_hours]]&gt;1.5,"Slow", "Fast")</f>
        <v>Slow</v>
      </c>
      <c r="K2608" t="s">
        <v>2814</v>
      </c>
      <c r="L2608" s="3">
        <v>0</v>
      </c>
      <c r="M2608" t="str">
        <f>IF(Table1[[#This Row],[delayed]]=1,"Delayed","On Time")</f>
        <v>On Time</v>
      </c>
      <c r="N2608" t="str">
        <f>IF(AND(Table1[[#This Row],[delayed]]=1,Table1[[#This Row],[weather_condition]]="Storm"),"High Risk", IF(Table1[[#This Row],[delayed]]=1,"Medium Risk","Low Risk"))</f>
        <v>Low Risk</v>
      </c>
    </row>
    <row r="2609" spans="1:14" x14ac:dyDescent="0.35">
      <c r="A2609">
        <v>2608</v>
      </c>
      <c r="B2609" s="1">
        <v>45035.625</v>
      </c>
      <c r="C2609" s="2">
        <v>4.9999999999999996E-2</v>
      </c>
      <c r="D2609" s="3">
        <v>220</v>
      </c>
      <c r="E2609" s="3">
        <v>1</v>
      </c>
      <c r="F2609" s="2">
        <v>17.462500000000002</v>
      </c>
      <c r="G2609" t="s">
        <v>2819</v>
      </c>
      <c r="H2609" t="s">
        <v>2820</v>
      </c>
      <c r="I2609" s="2">
        <v>1.7145833333333333</v>
      </c>
      <c r="J2609" s="4" t="str">
        <f>IF(Table1[[#This Row],[processing_time_hours]]&gt;1.5,"Slow", "Fast")</f>
        <v>Slow</v>
      </c>
      <c r="K2609" t="s">
        <v>2814</v>
      </c>
      <c r="L2609" s="3">
        <v>0</v>
      </c>
      <c r="M2609" t="str">
        <f>IF(Table1[[#This Row],[delayed]]=1,"Delayed","On Time")</f>
        <v>On Time</v>
      </c>
      <c r="N2609" t="str">
        <f>IF(AND(Table1[[#This Row],[delayed]]=1,Table1[[#This Row],[weather_condition]]="Storm"),"High Risk", IF(Table1[[#This Row],[delayed]]=1,"Medium Risk","Low Risk"))</f>
        <v>Low Risk</v>
      </c>
    </row>
    <row r="2610" spans="1:14" x14ac:dyDescent="0.35">
      <c r="A2610">
        <v>2609</v>
      </c>
      <c r="B2610" s="1">
        <v>45035.666666666664</v>
      </c>
      <c r="C2610" s="2">
        <v>5.6250000000000001E-2</v>
      </c>
      <c r="D2610" s="3">
        <v>3831</v>
      </c>
      <c r="E2610" s="3">
        <v>320</v>
      </c>
      <c r="F2610" s="2">
        <v>81.834027777777777</v>
      </c>
      <c r="G2610" t="s">
        <v>2819</v>
      </c>
      <c r="H2610" t="s">
        <v>2820</v>
      </c>
      <c r="I2610" s="2">
        <v>2.0854166666666667</v>
      </c>
      <c r="J2610" s="4" t="str">
        <f>IF(Table1[[#This Row],[processing_time_hours]]&gt;1.5,"Slow", "Fast")</f>
        <v>Slow</v>
      </c>
      <c r="K2610" t="s">
        <v>2818</v>
      </c>
      <c r="L2610" s="3">
        <v>0</v>
      </c>
      <c r="M2610" t="str">
        <f>IF(Table1[[#This Row],[delayed]]=1,"Delayed","On Time")</f>
        <v>On Time</v>
      </c>
      <c r="N2610" t="str">
        <f>IF(AND(Table1[[#This Row],[delayed]]=1,Table1[[#This Row],[weather_condition]]="Storm"),"High Risk", IF(Table1[[#This Row],[delayed]]=1,"Medium Risk","Low Risk"))</f>
        <v>Low Risk</v>
      </c>
    </row>
    <row r="2611" spans="1:14" x14ac:dyDescent="0.35">
      <c r="A2611">
        <v>2610</v>
      </c>
      <c r="B2611" s="1">
        <v>45035.708333333336</v>
      </c>
      <c r="C2611" s="2">
        <v>4.8611111111111112E-3</v>
      </c>
      <c r="D2611" s="3">
        <v>3900</v>
      </c>
      <c r="E2611" s="3">
        <v>73</v>
      </c>
      <c r="F2611" s="2">
        <v>37.459027777777777</v>
      </c>
      <c r="G2611" t="s">
        <v>2812</v>
      </c>
      <c r="H2611" t="s">
        <v>2822</v>
      </c>
      <c r="I2611" s="2">
        <v>2.5430555555555556</v>
      </c>
      <c r="J2611" s="4" t="str">
        <f>IF(Table1[[#This Row],[processing_time_hours]]&gt;1.5,"Slow", "Fast")</f>
        <v>Slow</v>
      </c>
      <c r="K2611" t="s">
        <v>2818</v>
      </c>
      <c r="L2611" s="3">
        <v>0</v>
      </c>
      <c r="M2611" t="str">
        <f>IF(Table1[[#This Row],[delayed]]=1,"Delayed","On Time")</f>
        <v>On Time</v>
      </c>
      <c r="N2611" t="str">
        <f>IF(AND(Table1[[#This Row],[delayed]]=1,Table1[[#This Row],[weather_condition]]="Storm"),"High Risk", IF(Table1[[#This Row],[delayed]]=1,"Medium Risk","Low Risk"))</f>
        <v>Low Risk</v>
      </c>
    </row>
    <row r="2612" spans="1:14" x14ac:dyDescent="0.35">
      <c r="A2612">
        <v>2611</v>
      </c>
      <c r="B2612" s="1">
        <v>45035.75</v>
      </c>
      <c r="C2612" s="2">
        <v>5.9722222222222225E-2</v>
      </c>
      <c r="D2612" s="3">
        <v>1631</v>
      </c>
      <c r="E2612" s="3">
        <v>349</v>
      </c>
      <c r="F2612" s="2">
        <v>70.375694444444449</v>
      </c>
      <c r="G2612" t="s">
        <v>2816</v>
      </c>
      <c r="H2612" t="s">
        <v>2813</v>
      </c>
      <c r="I2612" s="2">
        <v>1.1673611111111111</v>
      </c>
      <c r="J2612" s="4" t="str">
        <f>IF(Table1[[#This Row],[processing_time_hours]]&gt;1.5,"Slow", "Fast")</f>
        <v>Fast</v>
      </c>
      <c r="K2612" t="s">
        <v>2821</v>
      </c>
      <c r="L2612" s="3">
        <v>0</v>
      </c>
      <c r="M2612" t="str">
        <f>IF(Table1[[#This Row],[delayed]]=1,"Delayed","On Time")</f>
        <v>On Time</v>
      </c>
      <c r="N2612" t="str">
        <f>IF(AND(Table1[[#This Row],[delayed]]=1,Table1[[#This Row],[weather_condition]]="Storm"),"High Risk", IF(Table1[[#This Row],[delayed]]=1,"Medium Risk","Low Risk"))</f>
        <v>Low Risk</v>
      </c>
    </row>
    <row r="2613" spans="1:14" x14ac:dyDescent="0.35">
      <c r="A2613">
        <v>2612</v>
      </c>
      <c r="B2613" s="1">
        <v>45035.791666666664</v>
      </c>
      <c r="C2613" s="2">
        <v>4.6527777777777779E-2</v>
      </c>
      <c r="D2613" s="3">
        <v>1644</v>
      </c>
      <c r="E2613" s="3">
        <v>363</v>
      </c>
      <c r="F2613" s="2">
        <v>27.293749999999999</v>
      </c>
      <c r="G2613" t="s">
        <v>2812</v>
      </c>
      <c r="H2613" t="s">
        <v>2813</v>
      </c>
      <c r="I2613" s="2">
        <v>8.5416666666666655E-2</v>
      </c>
      <c r="J2613" s="4" t="str">
        <f>IF(Table1[[#This Row],[processing_time_hours]]&gt;1.5,"Slow", "Fast")</f>
        <v>Fast</v>
      </c>
      <c r="K2613" t="s">
        <v>2814</v>
      </c>
      <c r="L2613" s="3">
        <v>0</v>
      </c>
      <c r="M2613" t="str">
        <f>IF(Table1[[#This Row],[delayed]]=1,"Delayed","On Time")</f>
        <v>On Time</v>
      </c>
      <c r="N2613" t="str">
        <f>IF(AND(Table1[[#This Row],[delayed]]=1,Table1[[#This Row],[weather_condition]]="Storm"),"High Risk", IF(Table1[[#This Row],[delayed]]=1,"Medium Risk","Low Risk"))</f>
        <v>Low Risk</v>
      </c>
    </row>
    <row r="2614" spans="1:14" x14ac:dyDescent="0.35">
      <c r="A2614">
        <v>2613</v>
      </c>
      <c r="B2614" s="1">
        <v>45035.833333333336</v>
      </c>
      <c r="C2614" s="2">
        <v>4.3750000000000004E-2</v>
      </c>
      <c r="D2614" s="3">
        <v>3448</v>
      </c>
      <c r="E2614" s="3">
        <v>18</v>
      </c>
      <c r="F2614" s="2">
        <v>46.922916666666673</v>
      </c>
      <c r="G2614" t="s">
        <v>2815</v>
      </c>
      <c r="H2614" t="s">
        <v>2822</v>
      </c>
      <c r="I2614" s="2">
        <v>1.2965277777777777</v>
      </c>
      <c r="J2614" s="4" t="str">
        <f>IF(Table1[[#This Row],[processing_time_hours]]&gt;1.5,"Slow", "Fast")</f>
        <v>Fast</v>
      </c>
      <c r="K2614" t="s">
        <v>2818</v>
      </c>
      <c r="L2614" s="3">
        <v>1</v>
      </c>
      <c r="M2614" t="str">
        <f>IF(Table1[[#This Row],[delayed]]=1,"Delayed","On Time")</f>
        <v>Delayed</v>
      </c>
      <c r="N2614" t="str">
        <f>IF(AND(Table1[[#This Row],[delayed]]=1,Table1[[#This Row],[weather_condition]]="Storm"),"High Risk", IF(Table1[[#This Row],[delayed]]=1,"Medium Risk","Low Risk"))</f>
        <v>Medium Risk</v>
      </c>
    </row>
    <row r="2615" spans="1:14" x14ac:dyDescent="0.35">
      <c r="A2615">
        <v>2614</v>
      </c>
      <c r="B2615" s="1">
        <v>45035.875</v>
      </c>
      <c r="C2615" s="2">
        <v>5.9027777777777783E-2</v>
      </c>
      <c r="D2615" s="3">
        <v>2538</v>
      </c>
      <c r="E2615" s="3">
        <v>390</v>
      </c>
      <c r="F2615" s="2">
        <v>7.3368055555555562</v>
      </c>
      <c r="G2615" t="s">
        <v>2815</v>
      </c>
      <c r="H2615" t="s">
        <v>2813</v>
      </c>
      <c r="I2615" s="2">
        <v>0.42222222222222222</v>
      </c>
      <c r="J2615" s="4" t="str">
        <f>IF(Table1[[#This Row],[processing_time_hours]]&gt;1.5,"Slow", "Fast")</f>
        <v>Fast</v>
      </c>
      <c r="K2615" t="s">
        <v>2814</v>
      </c>
      <c r="L2615" s="3">
        <v>0</v>
      </c>
      <c r="M2615" t="str">
        <f>IF(Table1[[#This Row],[delayed]]=1,"Delayed","On Time")</f>
        <v>On Time</v>
      </c>
      <c r="N2615" t="str">
        <f>IF(AND(Table1[[#This Row],[delayed]]=1,Table1[[#This Row],[weather_condition]]="Storm"),"High Risk", IF(Table1[[#This Row],[delayed]]=1,"Medium Risk","Low Risk"))</f>
        <v>Low Risk</v>
      </c>
    </row>
    <row r="2616" spans="1:14" x14ac:dyDescent="0.35">
      <c r="A2616">
        <v>2615</v>
      </c>
      <c r="B2616" s="1">
        <v>45035.916666666664</v>
      </c>
      <c r="C2616" s="2">
        <v>5.5555555555555558E-3</v>
      </c>
      <c r="D2616" s="3">
        <v>700</v>
      </c>
      <c r="E2616" s="3">
        <v>496</v>
      </c>
      <c r="F2616" s="2">
        <v>40.87777777777778</v>
      </c>
      <c r="G2616" t="s">
        <v>2812</v>
      </c>
      <c r="H2616" t="s">
        <v>2820</v>
      </c>
      <c r="I2616" s="2">
        <v>1.8361111111111112</v>
      </c>
      <c r="J2616" s="4" t="str">
        <f>IF(Table1[[#This Row],[processing_time_hours]]&gt;1.5,"Slow", "Fast")</f>
        <v>Slow</v>
      </c>
      <c r="K2616" t="s">
        <v>2814</v>
      </c>
      <c r="L2616" s="3">
        <v>0</v>
      </c>
      <c r="M2616" t="str">
        <f>IF(Table1[[#This Row],[delayed]]=1,"Delayed","On Time")</f>
        <v>On Time</v>
      </c>
      <c r="N2616" t="str">
        <f>IF(AND(Table1[[#This Row],[delayed]]=1,Table1[[#This Row],[weather_condition]]="Storm"),"High Risk", IF(Table1[[#This Row],[delayed]]=1,"Medium Risk","Low Risk"))</f>
        <v>Low Risk</v>
      </c>
    </row>
    <row r="2617" spans="1:14" x14ac:dyDescent="0.35">
      <c r="A2617">
        <v>2616</v>
      </c>
      <c r="B2617" s="1">
        <v>45035.958333333336</v>
      </c>
      <c r="C2617" s="2">
        <v>5.9722222222222225E-2</v>
      </c>
      <c r="D2617" s="3">
        <v>3721</v>
      </c>
      <c r="E2617" s="3">
        <v>444</v>
      </c>
      <c r="F2617" s="2">
        <v>24.547222222222221</v>
      </c>
      <c r="G2617" t="s">
        <v>2812</v>
      </c>
      <c r="H2617" t="s">
        <v>2822</v>
      </c>
      <c r="I2617" s="2">
        <v>1.1284722222222221</v>
      </c>
      <c r="J2617" s="4" t="str">
        <f>IF(Table1[[#This Row],[processing_time_hours]]&gt;1.5,"Slow", "Fast")</f>
        <v>Fast</v>
      </c>
      <c r="K2617" t="s">
        <v>2821</v>
      </c>
      <c r="L2617" s="3">
        <v>1</v>
      </c>
      <c r="M2617" t="str">
        <f>IF(Table1[[#This Row],[delayed]]=1,"Delayed","On Time")</f>
        <v>Delayed</v>
      </c>
      <c r="N2617" t="str">
        <f>IF(AND(Table1[[#This Row],[delayed]]=1,Table1[[#This Row],[weather_condition]]="Storm"),"High Risk", IF(Table1[[#This Row],[delayed]]=1,"Medium Risk","Low Risk"))</f>
        <v>Medium Risk</v>
      </c>
    </row>
    <row r="2618" spans="1:14" x14ac:dyDescent="0.35">
      <c r="A2618">
        <v>2617</v>
      </c>
      <c r="B2618" s="1">
        <v>45036</v>
      </c>
      <c r="C2618" s="2">
        <v>4.3750000000000004E-2</v>
      </c>
      <c r="D2618" s="3">
        <v>2114</v>
      </c>
      <c r="E2618" s="3">
        <v>399</v>
      </c>
      <c r="F2618" s="2">
        <v>31.75277777777778</v>
      </c>
      <c r="G2618" t="s">
        <v>2812</v>
      </c>
      <c r="H2618" t="s">
        <v>2820</v>
      </c>
      <c r="I2618" s="2">
        <v>0.41875000000000001</v>
      </c>
      <c r="J2618" s="4" t="str">
        <f>IF(Table1[[#This Row],[processing_time_hours]]&gt;1.5,"Slow", "Fast")</f>
        <v>Fast</v>
      </c>
      <c r="K2618" t="s">
        <v>2818</v>
      </c>
      <c r="L2618" s="3">
        <v>0</v>
      </c>
      <c r="M2618" t="str">
        <f>IF(Table1[[#This Row],[delayed]]=1,"Delayed","On Time")</f>
        <v>On Time</v>
      </c>
      <c r="N2618" t="str">
        <f>IF(AND(Table1[[#This Row],[delayed]]=1,Table1[[#This Row],[weather_condition]]="Storm"),"High Risk", IF(Table1[[#This Row],[delayed]]=1,"Medium Risk","Low Risk"))</f>
        <v>Low Risk</v>
      </c>
    </row>
    <row r="2619" spans="1:14" x14ac:dyDescent="0.35">
      <c r="A2619">
        <v>2618</v>
      </c>
      <c r="B2619" s="1">
        <v>45036.041666666664</v>
      </c>
      <c r="C2619" s="2">
        <v>6.3194444444444442E-2</v>
      </c>
      <c r="D2619" s="3">
        <v>3645</v>
      </c>
      <c r="E2619" s="3">
        <v>54</v>
      </c>
      <c r="F2619" s="2">
        <v>70.209722222222226</v>
      </c>
      <c r="G2619" t="s">
        <v>2815</v>
      </c>
      <c r="H2619" t="s">
        <v>2813</v>
      </c>
      <c r="I2619" s="2">
        <v>2.2124999999999999</v>
      </c>
      <c r="J2619" s="4" t="str">
        <f>IF(Table1[[#This Row],[processing_time_hours]]&gt;1.5,"Slow", "Fast")</f>
        <v>Slow</v>
      </c>
      <c r="K2619" t="s">
        <v>2821</v>
      </c>
      <c r="L2619" s="3">
        <v>1</v>
      </c>
      <c r="M2619" t="str">
        <f>IF(Table1[[#This Row],[delayed]]=1,"Delayed","On Time")</f>
        <v>Delayed</v>
      </c>
      <c r="N2619" t="str">
        <f>IF(AND(Table1[[#This Row],[delayed]]=1,Table1[[#This Row],[weather_condition]]="Storm"),"High Risk", IF(Table1[[#This Row],[delayed]]=1,"Medium Risk","Low Risk"))</f>
        <v>Medium Risk</v>
      </c>
    </row>
    <row r="2620" spans="1:14" x14ac:dyDescent="0.35">
      <c r="A2620">
        <v>2619</v>
      </c>
      <c r="B2620" s="1">
        <v>45036.083333333336</v>
      </c>
      <c r="C2620" s="2">
        <v>4.3055555555555562E-2</v>
      </c>
      <c r="D2620" s="3">
        <v>700</v>
      </c>
      <c r="E2620" s="3">
        <v>452</v>
      </c>
      <c r="F2620" s="2">
        <v>80.042361111111106</v>
      </c>
      <c r="G2620" t="s">
        <v>2816</v>
      </c>
      <c r="H2620" t="s">
        <v>2820</v>
      </c>
      <c r="I2620" s="2">
        <v>2.5847222222222221</v>
      </c>
      <c r="J2620" s="4" t="str">
        <f>IF(Table1[[#This Row],[processing_time_hours]]&gt;1.5,"Slow", "Fast")</f>
        <v>Slow</v>
      </c>
      <c r="K2620" t="s">
        <v>2814</v>
      </c>
      <c r="L2620" s="3">
        <v>0</v>
      </c>
      <c r="M2620" t="str">
        <f>IF(Table1[[#This Row],[delayed]]=1,"Delayed","On Time")</f>
        <v>On Time</v>
      </c>
      <c r="N2620" t="str">
        <f>IF(AND(Table1[[#This Row],[delayed]]=1,Table1[[#This Row],[weather_condition]]="Storm"),"High Risk", IF(Table1[[#This Row],[delayed]]=1,"Medium Risk","Low Risk"))</f>
        <v>Low Risk</v>
      </c>
    </row>
    <row r="2621" spans="1:14" x14ac:dyDescent="0.35">
      <c r="A2621">
        <v>2620</v>
      </c>
      <c r="B2621" s="1">
        <v>45036.125</v>
      </c>
      <c r="C2621" s="2">
        <v>6.805555555555555E-2</v>
      </c>
      <c r="D2621" s="3">
        <v>1251</v>
      </c>
      <c r="E2621" s="3">
        <v>167</v>
      </c>
      <c r="F2621" s="2">
        <v>13.628472222222221</v>
      </c>
      <c r="G2621" t="s">
        <v>2816</v>
      </c>
      <c r="H2621" t="s">
        <v>2817</v>
      </c>
      <c r="I2621" s="2">
        <v>0.67152777777777783</v>
      </c>
      <c r="J2621" s="4" t="str">
        <f>IF(Table1[[#This Row],[processing_time_hours]]&gt;1.5,"Slow", "Fast")</f>
        <v>Fast</v>
      </c>
      <c r="K2621" t="s">
        <v>2821</v>
      </c>
      <c r="L2621" s="3">
        <v>1</v>
      </c>
      <c r="M2621" t="str">
        <f>IF(Table1[[#This Row],[delayed]]=1,"Delayed","On Time")</f>
        <v>Delayed</v>
      </c>
      <c r="N2621" t="str">
        <f>IF(AND(Table1[[#This Row],[delayed]]=1,Table1[[#This Row],[weather_condition]]="Storm"),"High Risk", IF(Table1[[#This Row],[delayed]]=1,"Medium Risk","Low Risk"))</f>
        <v>High Risk</v>
      </c>
    </row>
    <row r="2622" spans="1:14" x14ac:dyDescent="0.35">
      <c r="A2622">
        <v>2621</v>
      </c>
      <c r="B2622" s="1">
        <v>45036.166666666664</v>
      </c>
      <c r="C2622" s="2">
        <v>6.805555555555555E-2</v>
      </c>
      <c r="D2622" s="3">
        <v>4363</v>
      </c>
      <c r="E2622" s="3">
        <v>447</v>
      </c>
      <c r="F2622" s="2">
        <v>67.500694444444449</v>
      </c>
      <c r="G2622" t="s">
        <v>2812</v>
      </c>
      <c r="H2622" t="s">
        <v>2820</v>
      </c>
      <c r="I2622" s="2">
        <v>2.3812500000000001</v>
      </c>
      <c r="J2622" s="4" t="str">
        <f>IF(Table1[[#This Row],[processing_time_hours]]&gt;1.5,"Slow", "Fast")</f>
        <v>Slow</v>
      </c>
      <c r="K2622" t="s">
        <v>2821</v>
      </c>
      <c r="L2622" s="3">
        <v>0</v>
      </c>
      <c r="M2622" t="str">
        <f>IF(Table1[[#This Row],[delayed]]=1,"Delayed","On Time")</f>
        <v>On Time</v>
      </c>
      <c r="N2622" t="str">
        <f>IF(AND(Table1[[#This Row],[delayed]]=1,Table1[[#This Row],[weather_condition]]="Storm"),"High Risk", IF(Table1[[#This Row],[delayed]]=1,"Medium Risk","Low Risk"))</f>
        <v>Low Risk</v>
      </c>
    </row>
    <row r="2623" spans="1:14" x14ac:dyDescent="0.35">
      <c r="A2623">
        <v>2622</v>
      </c>
      <c r="B2623" s="1">
        <v>45036.208333333336</v>
      </c>
      <c r="C2623" s="2">
        <v>6.3888888888888898E-2</v>
      </c>
      <c r="D2623" s="3">
        <v>3671</v>
      </c>
      <c r="E2623" s="3">
        <v>293</v>
      </c>
      <c r="F2623" s="2">
        <v>70.919444444444437</v>
      </c>
      <c r="G2623" t="s">
        <v>2815</v>
      </c>
      <c r="H2623" t="s">
        <v>2822</v>
      </c>
      <c r="I2623" s="2">
        <v>0.75416666666666676</v>
      </c>
      <c r="J2623" s="4" t="str">
        <f>IF(Table1[[#This Row],[processing_time_hours]]&gt;1.5,"Slow", "Fast")</f>
        <v>Fast</v>
      </c>
      <c r="K2623" t="s">
        <v>2818</v>
      </c>
      <c r="L2623" s="3">
        <v>0</v>
      </c>
      <c r="M2623" t="str">
        <f>IF(Table1[[#This Row],[delayed]]=1,"Delayed","On Time")</f>
        <v>On Time</v>
      </c>
      <c r="N2623" t="str">
        <f>IF(AND(Table1[[#This Row],[delayed]]=1,Table1[[#This Row],[weather_condition]]="Storm"),"High Risk", IF(Table1[[#This Row],[delayed]]=1,"Medium Risk","Low Risk"))</f>
        <v>Low Risk</v>
      </c>
    </row>
    <row r="2624" spans="1:14" x14ac:dyDescent="0.35">
      <c r="A2624">
        <v>2623</v>
      </c>
      <c r="B2624" s="1">
        <v>45036.25</v>
      </c>
      <c r="C2624" s="2">
        <v>5.0694444444444438E-2</v>
      </c>
      <c r="D2624" s="3">
        <v>1386</v>
      </c>
      <c r="E2624" s="3">
        <v>457</v>
      </c>
      <c r="F2624" s="2">
        <v>54.339583333333337</v>
      </c>
      <c r="G2624" t="s">
        <v>2819</v>
      </c>
      <c r="H2624" t="s">
        <v>2820</v>
      </c>
      <c r="I2624" s="2">
        <v>0.3354166666666667</v>
      </c>
      <c r="J2624" s="4" t="str">
        <f>IF(Table1[[#This Row],[processing_time_hours]]&gt;1.5,"Slow", "Fast")</f>
        <v>Fast</v>
      </c>
      <c r="K2624" t="s">
        <v>2814</v>
      </c>
      <c r="L2624" s="3">
        <v>0</v>
      </c>
      <c r="M2624" t="str">
        <f>IF(Table1[[#This Row],[delayed]]=1,"Delayed","On Time")</f>
        <v>On Time</v>
      </c>
      <c r="N2624" t="str">
        <f>IF(AND(Table1[[#This Row],[delayed]]=1,Table1[[#This Row],[weather_condition]]="Storm"),"High Risk", IF(Table1[[#This Row],[delayed]]=1,"Medium Risk","Low Risk"))</f>
        <v>Low Risk</v>
      </c>
    </row>
    <row r="2625" spans="1:14" x14ac:dyDescent="0.35">
      <c r="A2625">
        <v>2624</v>
      </c>
      <c r="B2625" s="1">
        <v>45036.291666666664</v>
      </c>
      <c r="C2625" s="2">
        <v>5.9722222222222225E-2</v>
      </c>
      <c r="D2625" s="3">
        <v>3681</v>
      </c>
      <c r="E2625" s="3">
        <v>497</v>
      </c>
      <c r="F2625" s="2">
        <v>30.045138888888889</v>
      </c>
      <c r="G2625" t="s">
        <v>2816</v>
      </c>
      <c r="H2625" t="s">
        <v>2813</v>
      </c>
      <c r="I2625" s="2">
        <v>0.83680555555555547</v>
      </c>
      <c r="J2625" s="4" t="str">
        <f>IF(Table1[[#This Row],[processing_time_hours]]&gt;1.5,"Slow", "Fast")</f>
        <v>Fast</v>
      </c>
      <c r="K2625" t="s">
        <v>2818</v>
      </c>
      <c r="L2625" s="3">
        <v>0</v>
      </c>
      <c r="M2625" t="str">
        <f>IF(Table1[[#This Row],[delayed]]=1,"Delayed","On Time")</f>
        <v>On Time</v>
      </c>
      <c r="N2625" t="str">
        <f>IF(AND(Table1[[#This Row],[delayed]]=1,Table1[[#This Row],[weather_condition]]="Storm"),"High Risk", IF(Table1[[#This Row],[delayed]]=1,"Medium Risk","Low Risk"))</f>
        <v>Low Risk</v>
      </c>
    </row>
    <row r="2626" spans="1:14" x14ac:dyDescent="0.35">
      <c r="A2626">
        <v>2625</v>
      </c>
      <c r="B2626" s="1">
        <v>45036.333333333336</v>
      </c>
      <c r="C2626" s="2">
        <v>4.1666666666666664E-2</v>
      </c>
      <c r="D2626" s="3">
        <v>4038</v>
      </c>
      <c r="E2626" s="3">
        <v>272</v>
      </c>
      <c r="F2626" s="2">
        <v>61.045138888888886</v>
      </c>
      <c r="G2626" t="s">
        <v>2815</v>
      </c>
      <c r="H2626" t="s">
        <v>2822</v>
      </c>
      <c r="I2626" s="2">
        <v>0.62986111111111109</v>
      </c>
      <c r="J2626" s="4" t="str">
        <f>IF(Table1[[#This Row],[processing_time_hours]]&gt;1.5,"Slow", "Fast")</f>
        <v>Fast</v>
      </c>
      <c r="K2626" t="s">
        <v>2818</v>
      </c>
      <c r="L2626" s="3">
        <v>0</v>
      </c>
      <c r="M2626" t="str">
        <f>IF(Table1[[#This Row],[delayed]]=1,"Delayed","On Time")</f>
        <v>On Time</v>
      </c>
      <c r="N2626" t="str">
        <f>IF(AND(Table1[[#This Row],[delayed]]=1,Table1[[#This Row],[weather_condition]]="Storm"),"High Risk", IF(Table1[[#This Row],[delayed]]=1,"Medium Risk","Low Risk"))</f>
        <v>Low Risk</v>
      </c>
    </row>
    <row r="2627" spans="1:14" x14ac:dyDescent="0.35">
      <c r="A2627">
        <v>2626</v>
      </c>
      <c r="B2627" s="1">
        <v>45036.375</v>
      </c>
      <c r="C2627" s="2">
        <v>6.1805555555555558E-2</v>
      </c>
      <c r="D2627" s="3">
        <v>2794</v>
      </c>
      <c r="E2627" s="3">
        <v>72</v>
      </c>
      <c r="F2627" s="2">
        <v>0.66805555555555562</v>
      </c>
      <c r="G2627" t="s">
        <v>2819</v>
      </c>
      <c r="H2627" t="s">
        <v>2813</v>
      </c>
      <c r="I2627" s="2">
        <v>2.254861111111111</v>
      </c>
      <c r="J2627" s="4" t="str">
        <f>IF(Table1[[#This Row],[processing_time_hours]]&gt;1.5,"Slow", "Fast")</f>
        <v>Slow</v>
      </c>
      <c r="K2627" t="s">
        <v>2818</v>
      </c>
      <c r="L2627" s="3">
        <v>1</v>
      </c>
      <c r="M2627" t="str">
        <f>IF(Table1[[#This Row],[delayed]]=1,"Delayed","On Time")</f>
        <v>Delayed</v>
      </c>
      <c r="N2627" t="str">
        <f>IF(AND(Table1[[#This Row],[delayed]]=1,Table1[[#This Row],[weather_condition]]="Storm"),"High Risk", IF(Table1[[#This Row],[delayed]]=1,"Medium Risk","Low Risk"))</f>
        <v>Medium Risk</v>
      </c>
    </row>
    <row r="2628" spans="1:14" x14ac:dyDescent="0.35">
      <c r="A2628">
        <v>2627</v>
      </c>
      <c r="B2628" s="1">
        <v>45036.416666666664</v>
      </c>
      <c r="C2628" s="2">
        <v>5.9722222222222225E-2</v>
      </c>
      <c r="D2628" s="3">
        <v>3240</v>
      </c>
      <c r="E2628" s="3">
        <v>319</v>
      </c>
      <c r="F2628" s="2">
        <v>1.3388888888888888</v>
      </c>
      <c r="G2628" t="s">
        <v>2812</v>
      </c>
      <c r="H2628" t="s">
        <v>2822</v>
      </c>
      <c r="I2628" s="2">
        <v>2.1277777777777778</v>
      </c>
      <c r="J2628" s="4" t="str">
        <f>IF(Table1[[#This Row],[processing_time_hours]]&gt;1.5,"Slow", "Fast")</f>
        <v>Slow</v>
      </c>
      <c r="K2628" t="s">
        <v>2818</v>
      </c>
      <c r="L2628" s="3">
        <v>0</v>
      </c>
      <c r="M2628" t="str">
        <f>IF(Table1[[#This Row],[delayed]]=1,"Delayed","On Time")</f>
        <v>On Time</v>
      </c>
      <c r="N2628" t="str">
        <f>IF(AND(Table1[[#This Row],[delayed]]=1,Table1[[#This Row],[weather_condition]]="Storm"),"High Risk", IF(Table1[[#This Row],[delayed]]=1,"Medium Risk","Low Risk"))</f>
        <v>Low Risk</v>
      </c>
    </row>
    <row r="2629" spans="1:14" x14ac:dyDescent="0.35">
      <c r="A2629">
        <v>2628</v>
      </c>
      <c r="B2629" s="1">
        <v>45036.458333333336</v>
      </c>
      <c r="C2629" s="2">
        <v>4.2361111111111106E-2</v>
      </c>
      <c r="D2629" s="3">
        <v>1480</v>
      </c>
      <c r="E2629" s="3">
        <v>55</v>
      </c>
      <c r="F2629" s="2">
        <v>12.002083333333333</v>
      </c>
      <c r="G2629" t="s">
        <v>2812</v>
      </c>
      <c r="H2629" t="s">
        <v>2822</v>
      </c>
      <c r="I2629" s="2">
        <v>1.3791666666666667</v>
      </c>
      <c r="J2629" s="4" t="str">
        <f>IF(Table1[[#This Row],[processing_time_hours]]&gt;1.5,"Slow", "Fast")</f>
        <v>Fast</v>
      </c>
      <c r="K2629" t="s">
        <v>2821</v>
      </c>
      <c r="L2629" s="3">
        <v>1</v>
      </c>
      <c r="M2629" t="str">
        <f>IF(Table1[[#This Row],[delayed]]=1,"Delayed","On Time")</f>
        <v>Delayed</v>
      </c>
      <c r="N2629" t="str">
        <f>IF(AND(Table1[[#This Row],[delayed]]=1,Table1[[#This Row],[weather_condition]]="Storm"),"High Risk", IF(Table1[[#This Row],[delayed]]=1,"Medium Risk","Low Risk"))</f>
        <v>Medium Risk</v>
      </c>
    </row>
    <row r="2630" spans="1:14" x14ac:dyDescent="0.35">
      <c r="A2630">
        <v>2629</v>
      </c>
      <c r="B2630" s="1">
        <v>45036.5</v>
      </c>
      <c r="C2630" s="2">
        <v>4.2361111111111106E-2</v>
      </c>
      <c r="D2630" s="3">
        <v>4618</v>
      </c>
      <c r="E2630" s="3">
        <v>430</v>
      </c>
      <c r="F2630" s="2">
        <v>78.38055555555556</v>
      </c>
      <c r="G2630" t="s">
        <v>2815</v>
      </c>
      <c r="H2630" t="s">
        <v>2822</v>
      </c>
      <c r="I2630" s="2">
        <v>0.79722222222222217</v>
      </c>
      <c r="J2630" s="4" t="str">
        <f>IF(Table1[[#This Row],[processing_time_hours]]&gt;1.5,"Slow", "Fast")</f>
        <v>Fast</v>
      </c>
      <c r="K2630" t="s">
        <v>2818</v>
      </c>
      <c r="L2630" s="3">
        <v>0</v>
      </c>
      <c r="M2630" t="str">
        <f>IF(Table1[[#This Row],[delayed]]=1,"Delayed","On Time")</f>
        <v>On Time</v>
      </c>
      <c r="N2630" t="str">
        <f>IF(AND(Table1[[#This Row],[delayed]]=1,Table1[[#This Row],[weather_condition]]="Storm"),"High Risk", IF(Table1[[#This Row],[delayed]]=1,"Medium Risk","Low Risk"))</f>
        <v>Low Risk</v>
      </c>
    </row>
    <row r="2631" spans="1:14" x14ac:dyDescent="0.35">
      <c r="A2631">
        <v>2630</v>
      </c>
      <c r="B2631" s="1">
        <v>45036.541666666664</v>
      </c>
      <c r="C2631" s="2">
        <v>5.9027777777777783E-2</v>
      </c>
      <c r="D2631" s="3">
        <v>1102</v>
      </c>
      <c r="E2631" s="3">
        <v>493</v>
      </c>
      <c r="F2631" s="2">
        <v>8.7083333333333339</v>
      </c>
      <c r="G2631" t="s">
        <v>2816</v>
      </c>
      <c r="H2631" t="s">
        <v>2820</v>
      </c>
      <c r="I2631" s="2">
        <v>0.50208333333333333</v>
      </c>
      <c r="J2631" s="4" t="str">
        <f>IF(Table1[[#This Row],[processing_time_hours]]&gt;1.5,"Slow", "Fast")</f>
        <v>Fast</v>
      </c>
      <c r="K2631" t="s">
        <v>2821</v>
      </c>
      <c r="L2631" s="3">
        <v>1</v>
      </c>
      <c r="M2631" t="str">
        <f>IF(Table1[[#This Row],[delayed]]=1,"Delayed","On Time")</f>
        <v>Delayed</v>
      </c>
      <c r="N2631" t="str">
        <f>IF(AND(Table1[[#This Row],[delayed]]=1,Table1[[#This Row],[weather_condition]]="Storm"),"High Risk", IF(Table1[[#This Row],[delayed]]=1,"Medium Risk","Low Risk"))</f>
        <v>Medium Risk</v>
      </c>
    </row>
    <row r="2632" spans="1:14" x14ac:dyDescent="0.35">
      <c r="A2632">
        <v>2631</v>
      </c>
      <c r="B2632" s="1">
        <v>45036.583333333336</v>
      </c>
      <c r="C2632" s="2">
        <v>5.486111111111111E-2</v>
      </c>
      <c r="D2632" s="3">
        <v>4012</v>
      </c>
      <c r="E2632" s="3">
        <v>408</v>
      </c>
      <c r="F2632" s="2">
        <v>35.75416666666667</v>
      </c>
      <c r="G2632" t="s">
        <v>2812</v>
      </c>
      <c r="H2632" t="s">
        <v>2822</v>
      </c>
      <c r="I2632" s="2">
        <v>1.1729166666666666</v>
      </c>
      <c r="J2632" s="4" t="str">
        <f>IF(Table1[[#This Row],[processing_time_hours]]&gt;1.5,"Slow", "Fast")</f>
        <v>Fast</v>
      </c>
      <c r="K2632" t="s">
        <v>2818</v>
      </c>
      <c r="L2632" s="3">
        <v>0</v>
      </c>
      <c r="M2632" t="str">
        <f>IF(Table1[[#This Row],[delayed]]=1,"Delayed","On Time")</f>
        <v>On Time</v>
      </c>
      <c r="N2632" t="str">
        <f>IF(AND(Table1[[#This Row],[delayed]]=1,Table1[[#This Row],[weather_condition]]="Storm"),"High Risk", IF(Table1[[#This Row],[delayed]]=1,"Medium Risk","Low Risk"))</f>
        <v>Low Risk</v>
      </c>
    </row>
    <row r="2633" spans="1:14" x14ac:dyDescent="0.35">
      <c r="A2633">
        <v>2632</v>
      </c>
      <c r="B2633" s="1">
        <v>45036.625</v>
      </c>
      <c r="C2633" s="2">
        <v>5.5555555555555558E-3</v>
      </c>
      <c r="D2633" s="3">
        <v>2003</v>
      </c>
      <c r="E2633" s="3">
        <v>376</v>
      </c>
      <c r="F2633" s="2">
        <v>26.505555555555556</v>
      </c>
      <c r="G2633" t="s">
        <v>2816</v>
      </c>
      <c r="H2633" t="s">
        <v>2813</v>
      </c>
      <c r="I2633" s="2">
        <v>0.58958333333333335</v>
      </c>
      <c r="J2633" s="4" t="str">
        <f>IF(Table1[[#This Row],[processing_time_hours]]&gt;1.5,"Slow", "Fast")</f>
        <v>Fast</v>
      </c>
      <c r="K2633" t="s">
        <v>2821</v>
      </c>
      <c r="L2633" s="3">
        <v>0</v>
      </c>
      <c r="M2633" t="str">
        <f>IF(Table1[[#This Row],[delayed]]=1,"Delayed","On Time")</f>
        <v>On Time</v>
      </c>
      <c r="N2633" t="str">
        <f>IF(AND(Table1[[#This Row],[delayed]]=1,Table1[[#This Row],[weather_condition]]="Storm"),"High Risk", IF(Table1[[#This Row],[delayed]]=1,"Medium Risk","Low Risk"))</f>
        <v>Low Risk</v>
      </c>
    </row>
    <row r="2634" spans="1:14" x14ac:dyDescent="0.35">
      <c r="A2634">
        <v>2633</v>
      </c>
      <c r="B2634" s="1">
        <v>45036.666666666664</v>
      </c>
      <c r="C2634" s="2">
        <v>4.7222222222222221E-2</v>
      </c>
      <c r="D2634" s="3">
        <v>1400</v>
      </c>
      <c r="E2634" s="3">
        <v>369</v>
      </c>
      <c r="F2634" s="2">
        <v>81.879861111111111</v>
      </c>
      <c r="G2634" t="s">
        <v>2812</v>
      </c>
      <c r="H2634" t="s">
        <v>2822</v>
      </c>
      <c r="I2634" s="2">
        <v>0.92222222222222217</v>
      </c>
      <c r="J2634" s="4" t="str">
        <f>IF(Table1[[#This Row],[processing_time_hours]]&gt;1.5,"Slow", "Fast")</f>
        <v>Fast</v>
      </c>
      <c r="K2634" t="s">
        <v>2814</v>
      </c>
      <c r="L2634" s="3">
        <v>0</v>
      </c>
      <c r="M2634" t="str">
        <f>IF(Table1[[#This Row],[delayed]]=1,"Delayed","On Time")</f>
        <v>On Time</v>
      </c>
      <c r="N2634" t="str">
        <f>IF(AND(Table1[[#This Row],[delayed]]=1,Table1[[#This Row],[weather_condition]]="Storm"),"High Risk", IF(Table1[[#This Row],[delayed]]=1,"Medium Risk","Low Risk"))</f>
        <v>Low Risk</v>
      </c>
    </row>
    <row r="2635" spans="1:14" x14ac:dyDescent="0.35">
      <c r="A2635">
        <v>2634</v>
      </c>
      <c r="B2635" s="1">
        <v>45036.708333333336</v>
      </c>
      <c r="C2635" s="2">
        <v>4.9999999999999996E-2</v>
      </c>
      <c r="D2635" s="3">
        <v>3716</v>
      </c>
      <c r="E2635" s="3">
        <v>359</v>
      </c>
      <c r="F2635" s="2">
        <v>10.088888888888889</v>
      </c>
      <c r="G2635" t="s">
        <v>2816</v>
      </c>
      <c r="H2635" t="s">
        <v>2817</v>
      </c>
      <c r="I2635" s="2">
        <v>0.83819444444444446</v>
      </c>
      <c r="J2635" s="4" t="str">
        <f>IF(Table1[[#This Row],[processing_time_hours]]&gt;1.5,"Slow", "Fast")</f>
        <v>Fast</v>
      </c>
      <c r="K2635" t="s">
        <v>2818</v>
      </c>
      <c r="L2635" s="3">
        <v>0</v>
      </c>
      <c r="M2635" t="str">
        <f>IF(Table1[[#This Row],[delayed]]=1,"Delayed","On Time")</f>
        <v>On Time</v>
      </c>
      <c r="N2635" t="str">
        <f>IF(AND(Table1[[#This Row],[delayed]]=1,Table1[[#This Row],[weather_condition]]="Storm"),"High Risk", IF(Table1[[#This Row],[delayed]]=1,"Medium Risk","Low Risk"))</f>
        <v>Low Risk</v>
      </c>
    </row>
    <row r="2636" spans="1:14" x14ac:dyDescent="0.35">
      <c r="A2636">
        <v>2635</v>
      </c>
      <c r="B2636" s="1">
        <v>45036.75</v>
      </c>
      <c r="C2636" s="2">
        <v>6.6666666666666666E-2</v>
      </c>
      <c r="D2636" s="3">
        <v>1382</v>
      </c>
      <c r="E2636" s="3">
        <v>384</v>
      </c>
      <c r="F2636" s="2">
        <v>62.377777777777773</v>
      </c>
      <c r="G2636" t="s">
        <v>2819</v>
      </c>
      <c r="H2636" t="s">
        <v>2822</v>
      </c>
      <c r="I2636" s="2">
        <v>1.7131944444444445</v>
      </c>
      <c r="J2636" s="4" t="str">
        <f>IF(Table1[[#This Row],[processing_time_hours]]&gt;1.5,"Slow", "Fast")</f>
        <v>Slow</v>
      </c>
      <c r="K2636" t="s">
        <v>2818</v>
      </c>
      <c r="L2636" s="3">
        <v>1</v>
      </c>
      <c r="M2636" t="str">
        <f>IF(Table1[[#This Row],[delayed]]=1,"Delayed","On Time")</f>
        <v>Delayed</v>
      </c>
      <c r="N2636" t="str">
        <f>IF(AND(Table1[[#This Row],[delayed]]=1,Table1[[#This Row],[weather_condition]]="Storm"),"High Risk", IF(Table1[[#This Row],[delayed]]=1,"Medium Risk","Low Risk"))</f>
        <v>Medium Risk</v>
      </c>
    </row>
    <row r="2637" spans="1:14" x14ac:dyDescent="0.35">
      <c r="A2637">
        <v>2636</v>
      </c>
      <c r="B2637" s="1">
        <v>45036.791666666664</v>
      </c>
      <c r="C2637" s="2">
        <v>5.2083333333333336E-2</v>
      </c>
      <c r="D2637" s="3">
        <v>2052</v>
      </c>
      <c r="E2637" s="3">
        <v>158</v>
      </c>
      <c r="F2637" s="2">
        <v>31.796527777777779</v>
      </c>
      <c r="G2637" t="s">
        <v>2816</v>
      </c>
      <c r="H2637" t="s">
        <v>2820</v>
      </c>
      <c r="I2637" s="2">
        <v>1.5423611111111111</v>
      </c>
      <c r="J2637" s="4" t="str">
        <f>IF(Table1[[#This Row],[processing_time_hours]]&gt;1.5,"Slow", "Fast")</f>
        <v>Slow</v>
      </c>
      <c r="K2637" t="s">
        <v>2814</v>
      </c>
      <c r="L2637" s="3">
        <v>1</v>
      </c>
      <c r="M2637" t="str">
        <f>IF(Table1[[#This Row],[delayed]]=1,"Delayed","On Time")</f>
        <v>Delayed</v>
      </c>
      <c r="N2637" t="str">
        <f>IF(AND(Table1[[#This Row],[delayed]]=1,Table1[[#This Row],[weather_condition]]="Storm"),"High Risk", IF(Table1[[#This Row],[delayed]]=1,"Medium Risk","Low Risk"))</f>
        <v>Medium Risk</v>
      </c>
    </row>
    <row r="2638" spans="1:14" x14ac:dyDescent="0.35">
      <c r="A2638">
        <v>2637</v>
      </c>
      <c r="B2638" s="1">
        <v>45036.833333333336</v>
      </c>
      <c r="C2638" s="2">
        <v>6.8749999999999992E-2</v>
      </c>
      <c r="D2638" s="3">
        <v>2368</v>
      </c>
      <c r="E2638" s="3">
        <v>379</v>
      </c>
      <c r="F2638" s="2">
        <v>72.711111111111109</v>
      </c>
      <c r="G2638" t="s">
        <v>2812</v>
      </c>
      <c r="H2638" t="s">
        <v>2817</v>
      </c>
      <c r="I2638" s="2">
        <v>1.7944444444444445</v>
      </c>
      <c r="J2638" s="4" t="str">
        <f>IF(Table1[[#This Row],[processing_time_hours]]&gt;1.5,"Slow", "Fast")</f>
        <v>Slow</v>
      </c>
      <c r="K2638" t="s">
        <v>2821</v>
      </c>
      <c r="L2638" s="3">
        <v>0</v>
      </c>
      <c r="M2638" t="str">
        <f>IF(Table1[[#This Row],[delayed]]=1,"Delayed","On Time")</f>
        <v>On Time</v>
      </c>
      <c r="N2638" t="str">
        <f>IF(AND(Table1[[#This Row],[delayed]]=1,Table1[[#This Row],[weather_condition]]="Storm"),"High Risk", IF(Table1[[#This Row],[delayed]]=1,"Medium Risk","Low Risk"))</f>
        <v>Low Risk</v>
      </c>
    </row>
    <row r="2639" spans="1:14" x14ac:dyDescent="0.35">
      <c r="A2639">
        <v>2638</v>
      </c>
      <c r="B2639" s="1">
        <v>45036.875</v>
      </c>
      <c r="C2639" s="2">
        <v>4.6527777777777779E-2</v>
      </c>
      <c r="D2639" s="3">
        <v>1005</v>
      </c>
      <c r="E2639" s="3">
        <v>364</v>
      </c>
      <c r="F2639" s="2">
        <v>41.503472222222221</v>
      </c>
      <c r="G2639" t="s">
        <v>2816</v>
      </c>
      <c r="H2639" t="s">
        <v>2822</v>
      </c>
      <c r="I2639" s="2">
        <v>1.1694444444444445</v>
      </c>
      <c r="J2639" s="4" t="str">
        <f>IF(Table1[[#This Row],[processing_time_hours]]&gt;1.5,"Slow", "Fast")</f>
        <v>Fast</v>
      </c>
      <c r="K2639" t="s">
        <v>2818</v>
      </c>
      <c r="L2639" s="3">
        <v>0</v>
      </c>
      <c r="M2639" t="str">
        <f>IF(Table1[[#This Row],[delayed]]=1,"Delayed","On Time")</f>
        <v>On Time</v>
      </c>
      <c r="N2639" t="str">
        <f>IF(AND(Table1[[#This Row],[delayed]]=1,Table1[[#This Row],[weather_condition]]="Storm"),"High Risk", IF(Table1[[#This Row],[delayed]]=1,"Medium Risk","Low Risk"))</f>
        <v>Low Risk</v>
      </c>
    </row>
    <row r="2640" spans="1:14" x14ac:dyDescent="0.35">
      <c r="A2640">
        <v>2639</v>
      </c>
      <c r="B2640" s="1">
        <v>45036.916666666664</v>
      </c>
      <c r="C2640" s="2">
        <v>5.6250000000000001E-2</v>
      </c>
      <c r="D2640" s="3">
        <v>2487</v>
      </c>
      <c r="E2640" s="3">
        <v>391</v>
      </c>
      <c r="F2640" s="2">
        <v>28.127083333333331</v>
      </c>
      <c r="G2640" t="s">
        <v>2812</v>
      </c>
      <c r="H2640" t="s">
        <v>2813</v>
      </c>
      <c r="I2640" s="2">
        <v>1.0888888888888888</v>
      </c>
      <c r="J2640" s="4" t="str">
        <f>IF(Table1[[#This Row],[processing_time_hours]]&gt;1.5,"Slow", "Fast")</f>
        <v>Fast</v>
      </c>
      <c r="K2640" t="s">
        <v>2821</v>
      </c>
      <c r="L2640" s="3">
        <v>0</v>
      </c>
      <c r="M2640" t="str">
        <f>IF(Table1[[#This Row],[delayed]]=1,"Delayed","On Time")</f>
        <v>On Time</v>
      </c>
      <c r="N2640" t="str">
        <f>IF(AND(Table1[[#This Row],[delayed]]=1,Table1[[#This Row],[weather_condition]]="Storm"),"High Risk", IF(Table1[[#This Row],[delayed]]=1,"Medium Risk","Low Risk"))</f>
        <v>Low Risk</v>
      </c>
    </row>
    <row r="2641" spans="1:14" x14ac:dyDescent="0.35">
      <c r="A2641">
        <v>2640</v>
      </c>
      <c r="B2641" s="1">
        <v>45036.958333333336</v>
      </c>
      <c r="C2641" s="2">
        <v>5.9722222222222225E-2</v>
      </c>
      <c r="D2641" s="3">
        <v>1553</v>
      </c>
      <c r="E2641" s="3">
        <v>166</v>
      </c>
      <c r="F2641" s="2">
        <v>77.502083333333331</v>
      </c>
      <c r="G2641" t="s">
        <v>2815</v>
      </c>
      <c r="H2641" t="s">
        <v>2822</v>
      </c>
      <c r="I2641" s="2">
        <v>0.20902777777777778</v>
      </c>
      <c r="J2641" s="4" t="str">
        <f>IF(Table1[[#This Row],[processing_time_hours]]&gt;1.5,"Slow", "Fast")</f>
        <v>Fast</v>
      </c>
      <c r="K2641" t="s">
        <v>2821</v>
      </c>
      <c r="L2641" s="3">
        <v>0</v>
      </c>
      <c r="M2641" t="str">
        <f>IF(Table1[[#This Row],[delayed]]=1,"Delayed","On Time")</f>
        <v>On Time</v>
      </c>
      <c r="N2641" t="str">
        <f>IF(AND(Table1[[#This Row],[delayed]]=1,Table1[[#This Row],[weather_condition]]="Storm"),"High Risk", IF(Table1[[#This Row],[delayed]]=1,"Medium Risk","Low Risk"))</f>
        <v>Low Risk</v>
      </c>
    </row>
    <row r="2642" spans="1:14" x14ac:dyDescent="0.35">
      <c r="A2642">
        <v>2641</v>
      </c>
      <c r="B2642" s="1">
        <v>45037</v>
      </c>
      <c r="C2642" s="2">
        <v>6.0416666666666667E-2</v>
      </c>
      <c r="D2642" s="3">
        <v>4568</v>
      </c>
      <c r="E2642" s="3">
        <v>276</v>
      </c>
      <c r="F2642" s="2">
        <v>80.33541666666666</v>
      </c>
      <c r="G2642" t="s">
        <v>2812</v>
      </c>
      <c r="H2642" t="s">
        <v>2820</v>
      </c>
      <c r="I2642" s="2">
        <v>1.4180555555555554</v>
      </c>
      <c r="J2642" s="4" t="str">
        <f>IF(Table1[[#This Row],[processing_time_hours]]&gt;1.5,"Slow", "Fast")</f>
        <v>Fast</v>
      </c>
      <c r="K2642" t="s">
        <v>2821</v>
      </c>
      <c r="L2642" s="3">
        <v>1</v>
      </c>
      <c r="M2642" t="str">
        <f>IF(Table1[[#This Row],[delayed]]=1,"Delayed","On Time")</f>
        <v>Delayed</v>
      </c>
      <c r="N2642" t="str">
        <f>IF(AND(Table1[[#This Row],[delayed]]=1,Table1[[#This Row],[weather_condition]]="Storm"),"High Risk", IF(Table1[[#This Row],[delayed]]=1,"Medium Risk","Low Risk"))</f>
        <v>Medium Risk</v>
      </c>
    </row>
    <row r="2643" spans="1:14" x14ac:dyDescent="0.35">
      <c r="A2643">
        <v>2642</v>
      </c>
      <c r="B2643" s="1">
        <v>45037.041666666664</v>
      </c>
      <c r="C2643" s="2">
        <v>6.3888888888888898E-2</v>
      </c>
      <c r="D2643" s="3">
        <v>2677</v>
      </c>
      <c r="E2643" s="3">
        <v>80</v>
      </c>
      <c r="F2643" s="2">
        <v>56.213888888888896</v>
      </c>
      <c r="G2643" t="s">
        <v>2816</v>
      </c>
      <c r="H2643" t="s">
        <v>2817</v>
      </c>
      <c r="I2643" s="2">
        <v>2.7506944444444446</v>
      </c>
      <c r="J2643" s="4" t="str">
        <f>IF(Table1[[#This Row],[processing_time_hours]]&gt;1.5,"Slow", "Fast")</f>
        <v>Slow</v>
      </c>
      <c r="K2643" t="s">
        <v>2818</v>
      </c>
      <c r="L2643" s="3">
        <v>0</v>
      </c>
      <c r="M2643" t="str">
        <f>IF(Table1[[#This Row],[delayed]]=1,"Delayed","On Time")</f>
        <v>On Time</v>
      </c>
      <c r="N2643" t="str">
        <f>IF(AND(Table1[[#This Row],[delayed]]=1,Table1[[#This Row],[weather_condition]]="Storm"),"High Risk", IF(Table1[[#This Row],[delayed]]=1,"Medium Risk","Low Risk"))</f>
        <v>Low Risk</v>
      </c>
    </row>
    <row r="2644" spans="1:14" x14ac:dyDescent="0.35">
      <c r="A2644">
        <v>2643</v>
      </c>
      <c r="B2644" s="1">
        <v>45037.083333333336</v>
      </c>
      <c r="C2644" s="2">
        <v>6.2499999999999995E-3</v>
      </c>
      <c r="D2644" s="3">
        <v>1497</v>
      </c>
      <c r="E2644" s="3">
        <v>380</v>
      </c>
      <c r="F2644" s="2">
        <v>57.961111111111109</v>
      </c>
      <c r="G2644" t="s">
        <v>2812</v>
      </c>
      <c r="H2644" t="s">
        <v>2822</v>
      </c>
      <c r="I2644" s="2">
        <v>1.5048611111111112</v>
      </c>
      <c r="J2644" s="4" t="str">
        <f>IF(Table1[[#This Row],[processing_time_hours]]&gt;1.5,"Slow", "Fast")</f>
        <v>Slow</v>
      </c>
      <c r="K2644" t="s">
        <v>2818</v>
      </c>
      <c r="L2644" s="3">
        <v>1</v>
      </c>
      <c r="M2644" t="str">
        <f>IF(Table1[[#This Row],[delayed]]=1,"Delayed","On Time")</f>
        <v>Delayed</v>
      </c>
      <c r="N2644" t="str">
        <f>IF(AND(Table1[[#This Row],[delayed]]=1,Table1[[#This Row],[weather_condition]]="Storm"),"High Risk", IF(Table1[[#This Row],[delayed]]=1,"Medium Risk","Low Risk"))</f>
        <v>Medium Risk</v>
      </c>
    </row>
    <row r="2645" spans="1:14" x14ac:dyDescent="0.35">
      <c r="A2645">
        <v>2644</v>
      </c>
      <c r="B2645" s="1">
        <v>45037.125</v>
      </c>
      <c r="C2645" s="2">
        <v>6.458333333333334E-2</v>
      </c>
      <c r="D2645" s="3">
        <v>3277</v>
      </c>
      <c r="E2645" s="3">
        <v>420</v>
      </c>
      <c r="F2645" s="2">
        <v>15.170138888888888</v>
      </c>
      <c r="G2645" t="s">
        <v>2819</v>
      </c>
      <c r="H2645" t="s">
        <v>2813</v>
      </c>
      <c r="I2645" s="2">
        <v>1.0416666666666667</v>
      </c>
      <c r="J2645" s="4" t="str">
        <f>IF(Table1[[#This Row],[processing_time_hours]]&gt;1.5,"Slow", "Fast")</f>
        <v>Fast</v>
      </c>
      <c r="K2645" t="s">
        <v>2818</v>
      </c>
      <c r="L2645" s="3">
        <v>0</v>
      </c>
      <c r="M2645" t="str">
        <f>IF(Table1[[#This Row],[delayed]]=1,"Delayed","On Time")</f>
        <v>On Time</v>
      </c>
      <c r="N2645" t="str">
        <f>IF(AND(Table1[[#This Row],[delayed]]=1,Table1[[#This Row],[weather_condition]]="Storm"),"High Risk", IF(Table1[[#This Row],[delayed]]=1,"Medium Risk","Low Risk"))</f>
        <v>Low Risk</v>
      </c>
    </row>
    <row r="2646" spans="1:14" x14ac:dyDescent="0.35">
      <c r="A2646">
        <v>2645</v>
      </c>
      <c r="B2646" s="1">
        <v>45037.166666666664</v>
      </c>
      <c r="C2646" s="2">
        <v>4.3055555555555562E-2</v>
      </c>
      <c r="D2646" s="3">
        <v>3055</v>
      </c>
      <c r="E2646" s="3">
        <v>269</v>
      </c>
      <c r="F2646" s="2">
        <v>5.3784722222222223</v>
      </c>
      <c r="G2646" t="s">
        <v>2812</v>
      </c>
      <c r="H2646" t="s">
        <v>2813</v>
      </c>
      <c r="I2646" s="2">
        <v>1.8368055555555556</v>
      </c>
      <c r="J2646" s="4" t="str">
        <f>IF(Table1[[#This Row],[processing_time_hours]]&gt;1.5,"Slow", "Fast")</f>
        <v>Slow</v>
      </c>
      <c r="K2646" t="s">
        <v>2818</v>
      </c>
      <c r="L2646" s="3">
        <v>1</v>
      </c>
      <c r="M2646" t="str">
        <f>IF(Table1[[#This Row],[delayed]]=1,"Delayed","On Time")</f>
        <v>Delayed</v>
      </c>
      <c r="N2646" t="str">
        <f>IF(AND(Table1[[#This Row],[delayed]]=1,Table1[[#This Row],[weather_condition]]="Storm"),"High Risk", IF(Table1[[#This Row],[delayed]]=1,"Medium Risk","Low Risk"))</f>
        <v>Medium Risk</v>
      </c>
    </row>
    <row r="2647" spans="1:14" x14ac:dyDescent="0.35">
      <c r="A2647">
        <v>2646</v>
      </c>
      <c r="B2647" s="1">
        <v>45037.208333333336</v>
      </c>
      <c r="C2647" s="2">
        <v>4.3750000000000004E-2</v>
      </c>
      <c r="D2647" s="3">
        <v>2063</v>
      </c>
      <c r="E2647" s="3">
        <v>20</v>
      </c>
      <c r="F2647" s="2">
        <v>52.794444444444444</v>
      </c>
      <c r="G2647" t="s">
        <v>2819</v>
      </c>
      <c r="H2647" t="s">
        <v>2817</v>
      </c>
      <c r="I2647" s="2">
        <v>1.8805555555555555</v>
      </c>
      <c r="J2647" s="4" t="str">
        <f>IF(Table1[[#This Row],[processing_time_hours]]&gt;1.5,"Slow", "Fast")</f>
        <v>Slow</v>
      </c>
      <c r="K2647" t="s">
        <v>2821</v>
      </c>
      <c r="L2647" s="3">
        <v>0</v>
      </c>
      <c r="M2647" t="str">
        <f>IF(Table1[[#This Row],[delayed]]=1,"Delayed","On Time")</f>
        <v>On Time</v>
      </c>
      <c r="N2647" t="str">
        <f>IF(AND(Table1[[#This Row],[delayed]]=1,Table1[[#This Row],[weather_condition]]="Storm"),"High Risk", IF(Table1[[#This Row],[delayed]]=1,"Medium Risk","Low Risk"))</f>
        <v>Low Risk</v>
      </c>
    </row>
    <row r="2648" spans="1:14" x14ac:dyDescent="0.35">
      <c r="A2648">
        <v>2647</v>
      </c>
      <c r="B2648" s="1">
        <v>45037.25</v>
      </c>
      <c r="C2648" s="2">
        <v>4.5138888888888888E-2</v>
      </c>
      <c r="D2648" s="3">
        <v>1570</v>
      </c>
      <c r="E2648" s="3">
        <v>487</v>
      </c>
      <c r="F2648" s="2">
        <v>34.835416666666667</v>
      </c>
      <c r="G2648" t="s">
        <v>2812</v>
      </c>
      <c r="H2648" t="s">
        <v>2817</v>
      </c>
      <c r="I2648" s="2">
        <v>0.21388888888888891</v>
      </c>
      <c r="J2648" s="4" t="str">
        <f>IF(Table1[[#This Row],[processing_time_hours]]&gt;1.5,"Slow", "Fast")</f>
        <v>Fast</v>
      </c>
      <c r="K2648" t="s">
        <v>2814</v>
      </c>
      <c r="L2648" s="3">
        <v>0</v>
      </c>
      <c r="M2648" t="str">
        <f>IF(Table1[[#This Row],[delayed]]=1,"Delayed","On Time")</f>
        <v>On Time</v>
      </c>
      <c r="N2648" t="str">
        <f>IF(AND(Table1[[#This Row],[delayed]]=1,Table1[[#This Row],[weather_condition]]="Storm"),"High Risk", IF(Table1[[#This Row],[delayed]]=1,"Medium Risk","Low Risk"))</f>
        <v>Low Risk</v>
      </c>
    </row>
    <row r="2649" spans="1:14" x14ac:dyDescent="0.35">
      <c r="A2649">
        <v>2648</v>
      </c>
      <c r="B2649" s="1">
        <v>45037.291666666664</v>
      </c>
      <c r="C2649" s="2">
        <v>4.7222222222222221E-2</v>
      </c>
      <c r="D2649" s="3">
        <v>3628</v>
      </c>
      <c r="E2649" s="3">
        <v>316</v>
      </c>
      <c r="F2649" s="2">
        <v>41.71458333333333</v>
      </c>
      <c r="G2649" t="s">
        <v>2812</v>
      </c>
      <c r="H2649" t="s">
        <v>2817</v>
      </c>
      <c r="I2649" s="2">
        <v>1.9604166666666665</v>
      </c>
      <c r="J2649" s="4" t="str">
        <f>IF(Table1[[#This Row],[processing_time_hours]]&gt;1.5,"Slow", "Fast")</f>
        <v>Slow</v>
      </c>
      <c r="K2649" t="s">
        <v>2821</v>
      </c>
      <c r="L2649" s="3">
        <v>1</v>
      </c>
      <c r="M2649" t="str">
        <f>IF(Table1[[#This Row],[delayed]]=1,"Delayed","On Time")</f>
        <v>Delayed</v>
      </c>
      <c r="N2649" t="str">
        <f>IF(AND(Table1[[#This Row],[delayed]]=1,Table1[[#This Row],[weather_condition]]="Storm"),"High Risk", IF(Table1[[#This Row],[delayed]]=1,"Medium Risk","Low Risk"))</f>
        <v>High Risk</v>
      </c>
    </row>
    <row r="2650" spans="1:14" x14ac:dyDescent="0.35">
      <c r="A2650">
        <v>2649</v>
      </c>
      <c r="B2650" s="1">
        <v>45037.333333333336</v>
      </c>
      <c r="C2650" s="2">
        <v>6.1805555555555558E-2</v>
      </c>
      <c r="D2650" s="3">
        <v>2971</v>
      </c>
      <c r="E2650" s="3">
        <v>332</v>
      </c>
      <c r="F2650" s="2">
        <v>68.836805555555557</v>
      </c>
      <c r="G2650" t="s">
        <v>2815</v>
      </c>
      <c r="H2650" t="s">
        <v>2820</v>
      </c>
      <c r="I2650" s="2">
        <v>0.63055555555555554</v>
      </c>
      <c r="J2650" s="4" t="str">
        <f>IF(Table1[[#This Row],[processing_time_hours]]&gt;1.5,"Slow", "Fast")</f>
        <v>Fast</v>
      </c>
      <c r="K2650" t="s">
        <v>2814</v>
      </c>
      <c r="L2650" s="3">
        <v>1</v>
      </c>
      <c r="M2650" t="str">
        <f>IF(Table1[[#This Row],[delayed]]=1,"Delayed","On Time")</f>
        <v>Delayed</v>
      </c>
      <c r="N2650" t="str">
        <f>IF(AND(Table1[[#This Row],[delayed]]=1,Table1[[#This Row],[weather_condition]]="Storm"),"High Risk", IF(Table1[[#This Row],[delayed]]=1,"Medium Risk","Low Risk"))</f>
        <v>Medium Risk</v>
      </c>
    </row>
    <row r="2651" spans="1:14" x14ac:dyDescent="0.35">
      <c r="A2651">
        <v>2650</v>
      </c>
      <c r="B2651" s="1">
        <v>45037.375</v>
      </c>
      <c r="C2651" s="2">
        <v>5.6944444444444443E-2</v>
      </c>
      <c r="D2651" s="3">
        <v>682</v>
      </c>
      <c r="E2651" s="3">
        <v>496</v>
      </c>
      <c r="F2651" s="2">
        <v>39.12916666666667</v>
      </c>
      <c r="G2651" t="s">
        <v>2819</v>
      </c>
      <c r="H2651" t="s">
        <v>2817</v>
      </c>
      <c r="I2651" s="2">
        <v>0.66666666666666663</v>
      </c>
      <c r="J2651" s="4" t="str">
        <f>IF(Table1[[#This Row],[processing_time_hours]]&gt;1.5,"Slow", "Fast")</f>
        <v>Fast</v>
      </c>
      <c r="K2651" t="s">
        <v>2814</v>
      </c>
      <c r="L2651" s="3">
        <v>0</v>
      </c>
      <c r="M2651" t="str">
        <f>IF(Table1[[#This Row],[delayed]]=1,"Delayed","On Time")</f>
        <v>On Time</v>
      </c>
      <c r="N2651" t="str">
        <f>IF(AND(Table1[[#This Row],[delayed]]=1,Table1[[#This Row],[weather_condition]]="Storm"),"High Risk", IF(Table1[[#This Row],[delayed]]=1,"Medium Risk","Low Risk"))</f>
        <v>Low Risk</v>
      </c>
    </row>
    <row r="2652" spans="1:14" x14ac:dyDescent="0.35">
      <c r="A2652">
        <v>2651</v>
      </c>
      <c r="B2652" s="1">
        <v>45037.416666666664</v>
      </c>
      <c r="C2652" s="2">
        <v>6.1111111111111109E-2</v>
      </c>
      <c r="D2652" s="3">
        <v>1052</v>
      </c>
      <c r="E2652" s="3">
        <v>211</v>
      </c>
      <c r="F2652" s="2">
        <v>71.711805555555557</v>
      </c>
      <c r="G2652" t="s">
        <v>2816</v>
      </c>
      <c r="H2652" t="s">
        <v>2817</v>
      </c>
      <c r="I2652" s="2">
        <v>2.7124999999999999</v>
      </c>
      <c r="J2652" s="4" t="str">
        <f>IF(Table1[[#This Row],[processing_time_hours]]&gt;1.5,"Slow", "Fast")</f>
        <v>Slow</v>
      </c>
      <c r="K2652" t="s">
        <v>2821</v>
      </c>
      <c r="L2652" s="3">
        <v>0</v>
      </c>
      <c r="M2652" t="str">
        <f>IF(Table1[[#This Row],[delayed]]=1,"Delayed","On Time")</f>
        <v>On Time</v>
      </c>
      <c r="N2652" t="str">
        <f>IF(AND(Table1[[#This Row],[delayed]]=1,Table1[[#This Row],[weather_condition]]="Storm"),"High Risk", IF(Table1[[#This Row],[delayed]]=1,"Medium Risk","Low Risk"))</f>
        <v>Low Risk</v>
      </c>
    </row>
    <row r="2653" spans="1:14" x14ac:dyDescent="0.35">
      <c r="A2653">
        <v>2652</v>
      </c>
      <c r="B2653" s="1">
        <v>45037.458333333336</v>
      </c>
      <c r="C2653" s="2">
        <v>5.8333333333333327E-2</v>
      </c>
      <c r="D2653" s="3">
        <v>1088</v>
      </c>
      <c r="E2653" s="3">
        <v>445</v>
      </c>
      <c r="F2653" s="2">
        <v>32.833333333333336</v>
      </c>
      <c r="G2653" t="s">
        <v>2816</v>
      </c>
      <c r="H2653" t="s">
        <v>2813</v>
      </c>
      <c r="I2653" s="2">
        <v>2.0479166666666666</v>
      </c>
      <c r="J2653" s="4" t="str">
        <f>IF(Table1[[#This Row],[processing_time_hours]]&gt;1.5,"Slow", "Fast")</f>
        <v>Slow</v>
      </c>
      <c r="K2653" t="s">
        <v>2818</v>
      </c>
      <c r="L2653" s="3">
        <v>0</v>
      </c>
      <c r="M2653" t="str">
        <f>IF(Table1[[#This Row],[delayed]]=1,"Delayed","On Time")</f>
        <v>On Time</v>
      </c>
      <c r="N2653" t="str">
        <f>IF(AND(Table1[[#This Row],[delayed]]=1,Table1[[#This Row],[weather_condition]]="Storm"),"High Risk", IF(Table1[[#This Row],[delayed]]=1,"Medium Risk","Low Risk"))</f>
        <v>Low Risk</v>
      </c>
    </row>
    <row r="2654" spans="1:14" x14ac:dyDescent="0.35">
      <c r="A2654">
        <v>2653</v>
      </c>
      <c r="B2654" s="1">
        <v>45037.5</v>
      </c>
      <c r="C2654" s="2">
        <v>5.6944444444444443E-2</v>
      </c>
      <c r="D2654" s="3">
        <v>2562</v>
      </c>
      <c r="E2654" s="3">
        <v>213</v>
      </c>
      <c r="F2654" s="2">
        <v>75.922222222222231</v>
      </c>
      <c r="G2654" t="s">
        <v>2819</v>
      </c>
      <c r="H2654" t="s">
        <v>2820</v>
      </c>
      <c r="I2654" s="2">
        <v>1.7944444444444445</v>
      </c>
      <c r="J2654" s="4" t="str">
        <f>IF(Table1[[#This Row],[processing_time_hours]]&gt;1.5,"Slow", "Fast")</f>
        <v>Slow</v>
      </c>
      <c r="K2654" t="s">
        <v>2821</v>
      </c>
      <c r="L2654" s="3">
        <v>0</v>
      </c>
      <c r="M2654" t="str">
        <f>IF(Table1[[#This Row],[delayed]]=1,"Delayed","On Time")</f>
        <v>On Time</v>
      </c>
      <c r="N2654" t="str">
        <f>IF(AND(Table1[[#This Row],[delayed]]=1,Table1[[#This Row],[weather_condition]]="Storm"),"High Risk", IF(Table1[[#This Row],[delayed]]=1,"Medium Risk","Low Risk"))</f>
        <v>Low Risk</v>
      </c>
    </row>
    <row r="2655" spans="1:14" x14ac:dyDescent="0.35">
      <c r="A2655">
        <v>2654</v>
      </c>
      <c r="B2655" s="1">
        <v>45037.541666666664</v>
      </c>
      <c r="C2655" s="2">
        <v>4.6527777777777779E-2</v>
      </c>
      <c r="D2655" s="3">
        <v>3820</v>
      </c>
      <c r="E2655" s="3">
        <v>43</v>
      </c>
      <c r="F2655" s="2">
        <v>42.377083333333331</v>
      </c>
      <c r="G2655" t="s">
        <v>2815</v>
      </c>
      <c r="H2655" t="s">
        <v>2813</v>
      </c>
      <c r="I2655" s="2">
        <v>2.2534722222222223</v>
      </c>
      <c r="J2655" s="4" t="str">
        <f>IF(Table1[[#This Row],[processing_time_hours]]&gt;1.5,"Slow", "Fast")</f>
        <v>Slow</v>
      </c>
      <c r="K2655" t="s">
        <v>2818</v>
      </c>
      <c r="L2655" s="3">
        <v>1</v>
      </c>
      <c r="M2655" t="str">
        <f>IF(Table1[[#This Row],[delayed]]=1,"Delayed","On Time")</f>
        <v>Delayed</v>
      </c>
      <c r="N2655" t="str">
        <f>IF(AND(Table1[[#This Row],[delayed]]=1,Table1[[#This Row],[weather_condition]]="Storm"),"High Risk", IF(Table1[[#This Row],[delayed]]=1,"Medium Risk","Low Risk"))</f>
        <v>Medium Risk</v>
      </c>
    </row>
    <row r="2656" spans="1:14" x14ac:dyDescent="0.35">
      <c r="A2656">
        <v>2655</v>
      </c>
      <c r="B2656" s="1">
        <v>45037.583333333336</v>
      </c>
      <c r="C2656" s="2">
        <v>6.5277777777777782E-2</v>
      </c>
      <c r="D2656" s="3">
        <v>2482</v>
      </c>
      <c r="E2656" s="3">
        <v>71</v>
      </c>
      <c r="F2656" s="2">
        <v>22.378472222222225</v>
      </c>
      <c r="G2656" t="s">
        <v>2819</v>
      </c>
      <c r="H2656" t="s">
        <v>2820</v>
      </c>
      <c r="I2656" s="2">
        <v>1.6305555555555555</v>
      </c>
      <c r="J2656" s="4" t="str">
        <f>IF(Table1[[#This Row],[processing_time_hours]]&gt;1.5,"Slow", "Fast")</f>
        <v>Slow</v>
      </c>
      <c r="K2656" t="s">
        <v>2821</v>
      </c>
      <c r="L2656" s="3">
        <v>0</v>
      </c>
      <c r="M2656" t="str">
        <f>IF(Table1[[#This Row],[delayed]]=1,"Delayed","On Time")</f>
        <v>On Time</v>
      </c>
      <c r="N2656" t="str">
        <f>IF(AND(Table1[[#This Row],[delayed]]=1,Table1[[#This Row],[weather_condition]]="Storm"),"High Risk", IF(Table1[[#This Row],[delayed]]=1,"Medium Risk","Low Risk"))</f>
        <v>Low Risk</v>
      </c>
    </row>
    <row r="2657" spans="1:14" x14ac:dyDescent="0.35">
      <c r="A2657">
        <v>2656</v>
      </c>
      <c r="B2657" s="1">
        <v>45037.625</v>
      </c>
      <c r="C2657" s="2">
        <v>6.3194444444444442E-2</v>
      </c>
      <c r="D2657" s="3">
        <v>3763</v>
      </c>
      <c r="E2657" s="3">
        <v>65</v>
      </c>
      <c r="F2657" s="2">
        <v>17.129861111111111</v>
      </c>
      <c r="G2657" t="s">
        <v>2816</v>
      </c>
      <c r="H2657" t="s">
        <v>2820</v>
      </c>
      <c r="I2657" s="2">
        <v>1.9645833333333333</v>
      </c>
      <c r="J2657" s="4" t="str">
        <f>IF(Table1[[#This Row],[processing_time_hours]]&gt;1.5,"Slow", "Fast")</f>
        <v>Slow</v>
      </c>
      <c r="K2657" t="s">
        <v>2814</v>
      </c>
      <c r="L2657" s="3">
        <v>0</v>
      </c>
      <c r="M2657" t="str">
        <f>IF(Table1[[#This Row],[delayed]]=1,"Delayed","On Time")</f>
        <v>On Time</v>
      </c>
      <c r="N2657" t="str">
        <f>IF(AND(Table1[[#This Row],[delayed]]=1,Table1[[#This Row],[weather_condition]]="Storm"),"High Risk", IF(Table1[[#This Row],[delayed]]=1,"Medium Risk","Low Risk"))</f>
        <v>Low Risk</v>
      </c>
    </row>
    <row r="2658" spans="1:14" x14ac:dyDescent="0.35">
      <c r="A2658">
        <v>2657</v>
      </c>
      <c r="B2658" s="1">
        <v>45037.666666666664</v>
      </c>
      <c r="C2658" s="2">
        <v>6.2499999999999995E-3</v>
      </c>
      <c r="D2658" s="3">
        <v>3978</v>
      </c>
      <c r="E2658" s="3">
        <v>351</v>
      </c>
      <c r="F2658" s="2">
        <v>6.834027777777778</v>
      </c>
      <c r="G2658" t="s">
        <v>2815</v>
      </c>
      <c r="H2658" t="s">
        <v>2820</v>
      </c>
      <c r="I2658" s="2">
        <v>0.58819444444444446</v>
      </c>
      <c r="J2658" s="4" t="str">
        <f>IF(Table1[[#This Row],[processing_time_hours]]&gt;1.5,"Slow", "Fast")</f>
        <v>Fast</v>
      </c>
      <c r="K2658" t="s">
        <v>2818</v>
      </c>
      <c r="L2658" s="3">
        <v>1</v>
      </c>
      <c r="M2658" t="str">
        <f>IF(Table1[[#This Row],[delayed]]=1,"Delayed","On Time")</f>
        <v>Delayed</v>
      </c>
      <c r="N2658" t="str">
        <f>IF(AND(Table1[[#This Row],[delayed]]=1,Table1[[#This Row],[weather_condition]]="Storm"),"High Risk", IF(Table1[[#This Row],[delayed]]=1,"Medium Risk","Low Risk"))</f>
        <v>Medium Risk</v>
      </c>
    </row>
    <row r="2659" spans="1:14" x14ac:dyDescent="0.35">
      <c r="A2659">
        <v>2658</v>
      </c>
      <c r="B2659" s="1">
        <v>45037.708333333336</v>
      </c>
      <c r="C2659" s="2">
        <v>6.7361111111111108E-2</v>
      </c>
      <c r="D2659" s="3">
        <v>53</v>
      </c>
      <c r="E2659" s="3">
        <v>222</v>
      </c>
      <c r="F2659" s="2">
        <v>58.709722222222219</v>
      </c>
      <c r="G2659" t="s">
        <v>2815</v>
      </c>
      <c r="H2659" t="s">
        <v>2813</v>
      </c>
      <c r="I2659" s="2">
        <v>2.2090277777777776</v>
      </c>
      <c r="J2659" s="4" t="str">
        <f>IF(Table1[[#This Row],[processing_time_hours]]&gt;1.5,"Slow", "Fast")</f>
        <v>Slow</v>
      </c>
      <c r="K2659" t="s">
        <v>2814</v>
      </c>
      <c r="L2659" s="3">
        <v>0</v>
      </c>
      <c r="M2659" t="str">
        <f>IF(Table1[[#This Row],[delayed]]=1,"Delayed","On Time")</f>
        <v>On Time</v>
      </c>
      <c r="N2659" t="str">
        <f>IF(AND(Table1[[#This Row],[delayed]]=1,Table1[[#This Row],[weather_condition]]="Storm"),"High Risk", IF(Table1[[#This Row],[delayed]]=1,"Medium Risk","Low Risk"))</f>
        <v>Low Risk</v>
      </c>
    </row>
    <row r="2660" spans="1:14" x14ac:dyDescent="0.35">
      <c r="A2660">
        <v>2659</v>
      </c>
      <c r="B2660" s="1">
        <v>45037.75</v>
      </c>
      <c r="C2660" s="2">
        <v>5.2777777777777778E-2</v>
      </c>
      <c r="D2660" s="3">
        <v>3395</v>
      </c>
      <c r="E2660" s="3">
        <v>168</v>
      </c>
      <c r="F2660" s="2">
        <v>26.838888888888889</v>
      </c>
      <c r="G2660" t="s">
        <v>2816</v>
      </c>
      <c r="H2660" t="s">
        <v>2813</v>
      </c>
      <c r="I2660" s="2">
        <v>2.129861111111111</v>
      </c>
      <c r="J2660" s="4" t="str">
        <f>IF(Table1[[#This Row],[processing_time_hours]]&gt;1.5,"Slow", "Fast")</f>
        <v>Slow</v>
      </c>
      <c r="K2660" t="s">
        <v>2821</v>
      </c>
      <c r="L2660" s="3">
        <v>1</v>
      </c>
      <c r="M2660" t="str">
        <f>IF(Table1[[#This Row],[delayed]]=1,"Delayed","On Time")</f>
        <v>Delayed</v>
      </c>
      <c r="N2660" t="str">
        <f>IF(AND(Table1[[#This Row],[delayed]]=1,Table1[[#This Row],[weather_condition]]="Storm"),"High Risk", IF(Table1[[#This Row],[delayed]]=1,"Medium Risk","Low Risk"))</f>
        <v>Medium Risk</v>
      </c>
    </row>
    <row r="2661" spans="1:14" x14ac:dyDescent="0.35">
      <c r="A2661">
        <v>2660</v>
      </c>
      <c r="B2661" s="1">
        <v>45037.791666666664</v>
      </c>
      <c r="C2661" s="2">
        <v>5.3472222222222227E-2</v>
      </c>
      <c r="D2661" s="3">
        <v>2905</v>
      </c>
      <c r="E2661" s="3">
        <v>306</v>
      </c>
      <c r="F2661" s="2">
        <v>28.710416666666664</v>
      </c>
      <c r="G2661" t="s">
        <v>2812</v>
      </c>
      <c r="H2661" t="s">
        <v>2820</v>
      </c>
      <c r="I2661" s="2">
        <v>1.5416666666666667</v>
      </c>
      <c r="J2661" s="4" t="str">
        <f>IF(Table1[[#This Row],[processing_time_hours]]&gt;1.5,"Slow", "Fast")</f>
        <v>Slow</v>
      </c>
      <c r="K2661" t="s">
        <v>2821</v>
      </c>
      <c r="L2661" s="3">
        <v>0</v>
      </c>
      <c r="M2661" t="str">
        <f>IF(Table1[[#This Row],[delayed]]=1,"Delayed","On Time")</f>
        <v>On Time</v>
      </c>
      <c r="N2661" t="str">
        <f>IF(AND(Table1[[#This Row],[delayed]]=1,Table1[[#This Row],[weather_condition]]="Storm"),"High Risk", IF(Table1[[#This Row],[delayed]]=1,"Medium Risk","Low Risk"))</f>
        <v>Low Risk</v>
      </c>
    </row>
    <row r="2662" spans="1:14" x14ac:dyDescent="0.35">
      <c r="A2662">
        <v>2661</v>
      </c>
      <c r="B2662" s="1">
        <v>45037.833333333336</v>
      </c>
      <c r="C2662" s="2">
        <v>5.486111111111111E-2</v>
      </c>
      <c r="D2662" s="3">
        <v>4381</v>
      </c>
      <c r="E2662" s="3">
        <v>100</v>
      </c>
      <c r="F2662" s="2">
        <v>54.750694444444441</v>
      </c>
      <c r="G2662" t="s">
        <v>2816</v>
      </c>
      <c r="H2662" t="s">
        <v>2820</v>
      </c>
      <c r="I2662" s="2">
        <v>2.1312500000000001</v>
      </c>
      <c r="J2662" s="4" t="str">
        <f>IF(Table1[[#This Row],[processing_time_hours]]&gt;1.5,"Slow", "Fast")</f>
        <v>Slow</v>
      </c>
      <c r="K2662" t="s">
        <v>2821</v>
      </c>
      <c r="L2662" s="3">
        <v>1</v>
      </c>
      <c r="M2662" t="str">
        <f>IF(Table1[[#This Row],[delayed]]=1,"Delayed","On Time")</f>
        <v>Delayed</v>
      </c>
      <c r="N2662" t="str">
        <f>IF(AND(Table1[[#This Row],[delayed]]=1,Table1[[#This Row],[weather_condition]]="Storm"),"High Risk", IF(Table1[[#This Row],[delayed]]=1,"Medium Risk","Low Risk"))</f>
        <v>Medium Risk</v>
      </c>
    </row>
    <row r="2663" spans="1:14" x14ac:dyDescent="0.35">
      <c r="A2663">
        <v>2662</v>
      </c>
      <c r="B2663" s="1">
        <v>45037.875</v>
      </c>
      <c r="C2663" s="2">
        <v>5.1388888888888894E-2</v>
      </c>
      <c r="D2663" s="3">
        <v>1309</v>
      </c>
      <c r="E2663" s="3">
        <v>427</v>
      </c>
      <c r="F2663" s="2">
        <v>82.208333333333329</v>
      </c>
      <c r="G2663" t="s">
        <v>2812</v>
      </c>
      <c r="H2663" t="s">
        <v>2820</v>
      </c>
      <c r="I2663" s="2">
        <v>1.1666666666666667</v>
      </c>
      <c r="J2663" s="4" t="str">
        <f>IF(Table1[[#This Row],[processing_time_hours]]&gt;1.5,"Slow", "Fast")</f>
        <v>Fast</v>
      </c>
      <c r="K2663" t="s">
        <v>2818</v>
      </c>
      <c r="L2663" s="3">
        <v>0</v>
      </c>
      <c r="M2663" t="str">
        <f>IF(Table1[[#This Row],[delayed]]=1,"Delayed","On Time")</f>
        <v>On Time</v>
      </c>
      <c r="N2663" t="str">
        <f>IF(AND(Table1[[#This Row],[delayed]]=1,Table1[[#This Row],[weather_condition]]="Storm"),"High Risk", IF(Table1[[#This Row],[delayed]]=1,"Medium Risk","Low Risk"))</f>
        <v>Low Risk</v>
      </c>
    </row>
    <row r="2664" spans="1:14" x14ac:dyDescent="0.35">
      <c r="A2664">
        <v>2663</v>
      </c>
      <c r="B2664" s="1">
        <v>45037.916666666664</v>
      </c>
      <c r="C2664" s="2">
        <v>5.5555555555555558E-3</v>
      </c>
      <c r="D2664" s="3">
        <v>1255</v>
      </c>
      <c r="E2664" s="3">
        <v>437</v>
      </c>
      <c r="F2664" s="2">
        <v>35.088194444444447</v>
      </c>
      <c r="G2664" t="s">
        <v>2816</v>
      </c>
      <c r="H2664" t="s">
        <v>2822</v>
      </c>
      <c r="I2664" s="2">
        <v>0.29375000000000001</v>
      </c>
      <c r="J2664" s="4" t="str">
        <f>IF(Table1[[#This Row],[processing_time_hours]]&gt;1.5,"Slow", "Fast")</f>
        <v>Fast</v>
      </c>
      <c r="K2664" t="s">
        <v>2818</v>
      </c>
      <c r="L2664" s="3">
        <v>0</v>
      </c>
      <c r="M2664" t="str">
        <f>IF(Table1[[#This Row],[delayed]]=1,"Delayed","On Time")</f>
        <v>On Time</v>
      </c>
      <c r="N2664" t="str">
        <f>IF(AND(Table1[[#This Row],[delayed]]=1,Table1[[#This Row],[weather_condition]]="Storm"),"High Risk", IF(Table1[[#This Row],[delayed]]=1,"Medium Risk","Low Risk"))</f>
        <v>Low Risk</v>
      </c>
    </row>
    <row r="2665" spans="1:14" x14ac:dyDescent="0.35">
      <c r="A2665">
        <v>2664</v>
      </c>
      <c r="B2665" s="1">
        <v>45037.958333333336</v>
      </c>
      <c r="C2665" s="2">
        <v>5.9027777777777783E-2</v>
      </c>
      <c r="D2665" s="3">
        <v>2125</v>
      </c>
      <c r="E2665" s="3">
        <v>64</v>
      </c>
      <c r="F2665" s="2">
        <v>27.544444444444448</v>
      </c>
      <c r="G2665" t="s">
        <v>2816</v>
      </c>
      <c r="H2665" t="s">
        <v>2813</v>
      </c>
      <c r="I2665" s="2">
        <v>2.8777777777777778</v>
      </c>
      <c r="J2665" s="4" t="str">
        <f>IF(Table1[[#This Row],[processing_time_hours]]&gt;1.5,"Slow", "Fast")</f>
        <v>Slow</v>
      </c>
      <c r="K2665" t="s">
        <v>2818</v>
      </c>
      <c r="L2665" s="3">
        <v>1</v>
      </c>
      <c r="M2665" t="str">
        <f>IF(Table1[[#This Row],[delayed]]=1,"Delayed","On Time")</f>
        <v>Delayed</v>
      </c>
      <c r="N2665" t="str">
        <f>IF(AND(Table1[[#This Row],[delayed]]=1,Table1[[#This Row],[weather_condition]]="Storm"),"High Risk", IF(Table1[[#This Row],[delayed]]=1,"Medium Risk","Low Risk"))</f>
        <v>Medium Risk</v>
      </c>
    </row>
    <row r="2666" spans="1:14" x14ac:dyDescent="0.35">
      <c r="A2666">
        <v>2665</v>
      </c>
      <c r="B2666" s="1">
        <v>45038</v>
      </c>
      <c r="C2666" s="2">
        <v>5.7638888888888885E-2</v>
      </c>
      <c r="D2666" s="3">
        <v>4261</v>
      </c>
      <c r="E2666" s="3">
        <v>283</v>
      </c>
      <c r="F2666" s="2">
        <v>43.464583333333337</v>
      </c>
      <c r="G2666" t="s">
        <v>2819</v>
      </c>
      <c r="H2666" t="s">
        <v>2817</v>
      </c>
      <c r="I2666" s="2">
        <v>2.2951388888888888</v>
      </c>
      <c r="J2666" s="4" t="str">
        <f>IF(Table1[[#This Row],[processing_time_hours]]&gt;1.5,"Slow", "Fast")</f>
        <v>Slow</v>
      </c>
      <c r="K2666" t="s">
        <v>2818</v>
      </c>
      <c r="L2666" s="3">
        <v>0</v>
      </c>
      <c r="M2666" t="str">
        <f>IF(Table1[[#This Row],[delayed]]=1,"Delayed","On Time")</f>
        <v>On Time</v>
      </c>
      <c r="N2666" t="str">
        <f>IF(AND(Table1[[#This Row],[delayed]]=1,Table1[[#This Row],[weather_condition]]="Storm"),"High Risk", IF(Table1[[#This Row],[delayed]]=1,"Medium Risk","Low Risk"))</f>
        <v>Low Risk</v>
      </c>
    </row>
    <row r="2667" spans="1:14" x14ac:dyDescent="0.35">
      <c r="A2667">
        <v>2666</v>
      </c>
      <c r="B2667" s="1">
        <v>45038.041666666664</v>
      </c>
      <c r="C2667" s="2">
        <v>4.6527777777777779E-2</v>
      </c>
      <c r="D2667" s="3">
        <v>1396</v>
      </c>
      <c r="E2667" s="3">
        <v>201</v>
      </c>
      <c r="F2667" s="2">
        <v>14.878472222222221</v>
      </c>
      <c r="G2667" t="s">
        <v>2819</v>
      </c>
      <c r="H2667" t="s">
        <v>2813</v>
      </c>
      <c r="I2667" s="2">
        <v>2.3812500000000001</v>
      </c>
      <c r="J2667" s="4" t="str">
        <f>IF(Table1[[#This Row],[processing_time_hours]]&gt;1.5,"Slow", "Fast")</f>
        <v>Slow</v>
      </c>
      <c r="K2667" t="s">
        <v>2814</v>
      </c>
      <c r="L2667" s="3">
        <v>0</v>
      </c>
      <c r="M2667" t="str">
        <f>IF(Table1[[#This Row],[delayed]]=1,"Delayed","On Time")</f>
        <v>On Time</v>
      </c>
      <c r="N2667" t="str">
        <f>IF(AND(Table1[[#This Row],[delayed]]=1,Table1[[#This Row],[weather_condition]]="Storm"),"High Risk", IF(Table1[[#This Row],[delayed]]=1,"Medium Risk","Low Risk"))</f>
        <v>Low Risk</v>
      </c>
    </row>
    <row r="2668" spans="1:14" x14ac:dyDescent="0.35">
      <c r="A2668">
        <v>2667</v>
      </c>
      <c r="B2668" s="1">
        <v>45038.083333333336</v>
      </c>
      <c r="C2668" s="2">
        <v>6.1805555555555558E-2</v>
      </c>
      <c r="D2668" s="3">
        <v>4971</v>
      </c>
      <c r="E2668" s="3">
        <v>297</v>
      </c>
      <c r="F2668" s="2">
        <v>43.333333333333336</v>
      </c>
      <c r="G2668" t="s">
        <v>2812</v>
      </c>
      <c r="H2668" t="s">
        <v>2822</v>
      </c>
      <c r="I2668" s="2">
        <v>2.6722222222222225</v>
      </c>
      <c r="J2668" s="4" t="str">
        <f>IF(Table1[[#This Row],[processing_time_hours]]&gt;1.5,"Slow", "Fast")</f>
        <v>Slow</v>
      </c>
      <c r="K2668" t="s">
        <v>2814</v>
      </c>
      <c r="L2668" s="3">
        <v>0</v>
      </c>
      <c r="M2668" t="str">
        <f>IF(Table1[[#This Row],[delayed]]=1,"Delayed","On Time")</f>
        <v>On Time</v>
      </c>
      <c r="N2668" t="str">
        <f>IF(AND(Table1[[#This Row],[delayed]]=1,Table1[[#This Row],[weather_condition]]="Storm"),"High Risk", IF(Table1[[#This Row],[delayed]]=1,"Medium Risk","Low Risk"))</f>
        <v>Low Risk</v>
      </c>
    </row>
    <row r="2669" spans="1:14" x14ac:dyDescent="0.35">
      <c r="A2669">
        <v>2668</v>
      </c>
      <c r="B2669" s="1">
        <v>45038.125</v>
      </c>
      <c r="C2669" s="2">
        <v>4.3750000000000004E-2</v>
      </c>
      <c r="D2669" s="3">
        <v>1605</v>
      </c>
      <c r="E2669" s="3">
        <v>9</v>
      </c>
      <c r="F2669" s="2">
        <v>71.212499999999991</v>
      </c>
      <c r="G2669" t="s">
        <v>2815</v>
      </c>
      <c r="H2669" t="s">
        <v>2813</v>
      </c>
      <c r="I2669" s="2">
        <v>1.1729166666666666</v>
      </c>
      <c r="J2669" s="4" t="str">
        <f>IF(Table1[[#This Row],[processing_time_hours]]&gt;1.5,"Slow", "Fast")</f>
        <v>Fast</v>
      </c>
      <c r="K2669" t="s">
        <v>2818</v>
      </c>
      <c r="L2669" s="3">
        <v>1</v>
      </c>
      <c r="M2669" t="str">
        <f>IF(Table1[[#This Row],[delayed]]=1,"Delayed","On Time")</f>
        <v>Delayed</v>
      </c>
      <c r="N2669" t="str">
        <f>IF(AND(Table1[[#This Row],[delayed]]=1,Table1[[#This Row],[weather_condition]]="Storm"),"High Risk", IF(Table1[[#This Row],[delayed]]=1,"Medium Risk","Low Risk"))</f>
        <v>Medium Risk</v>
      </c>
    </row>
    <row r="2670" spans="1:14" x14ac:dyDescent="0.35">
      <c r="A2670">
        <v>2669</v>
      </c>
      <c r="B2670" s="1">
        <v>45038.166666666664</v>
      </c>
      <c r="C2670" s="2">
        <v>4.7222222222222221E-2</v>
      </c>
      <c r="D2670" s="3">
        <v>2768</v>
      </c>
      <c r="E2670" s="3">
        <v>499</v>
      </c>
      <c r="F2670" s="2">
        <v>9.1298611111111114</v>
      </c>
      <c r="G2670" t="s">
        <v>2815</v>
      </c>
      <c r="H2670" t="s">
        <v>2822</v>
      </c>
      <c r="I2670" s="2">
        <v>1.2145833333333333</v>
      </c>
      <c r="J2670" s="4" t="str">
        <f>IF(Table1[[#This Row],[processing_time_hours]]&gt;1.5,"Slow", "Fast")</f>
        <v>Fast</v>
      </c>
      <c r="K2670" t="s">
        <v>2818</v>
      </c>
      <c r="L2670" s="3">
        <v>0</v>
      </c>
      <c r="M2670" t="str">
        <f>IF(Table1[[#This Row],[delayed]]=1,"Delayed","On Time")</f>
        <v>On Time</v>
      </c>
      <c r="N2670" t="str">
        <f>IF(AND(Table1[[#This Row],[delayed]]=1,Table1[[#This Row],[weather_condition]]="Storm"),"High Risk", IF(Table1[[#This Row],[delayed]]=1,"Medium Risk","Low Risk"))</f>
        <v>Low Risk</v>
      </c>
    </row>
    <row r="2671" spans="1:14" x14ac:dyDescent="0.35">
      <c r="A2671">
        <v>2670</v>
      </c>
      <c r="B2671" s="1">
        <v>45038.208333333336</v>
      </c>
      <c r="C2671" s="2">
        <v>5.2777777777777778E-2</v>
      </c>
      <c r="D2671" s="3">
        <v>256</v>
      </c>
      <c r="E2671" s="3">
        <v>426</v>
      </c>
      <c r="F2671" s="2">
        <v>17.711111111111112</v>
      </c>
      <c r="G2671" t="s">
        <v>2812</v>
      </c>
      <c r="H2671" t="s">
        <v>2817</v>
      </c>
      <c r="I2671" s="2">
        <v>1.0881944444444445</v>
      </c>
      <c r="J2671" s="4" t="str">
        <f>IF(Table1[[#This Row],[processing_time_hours]]&gt;1.5,"Slow", "Fast")</f>
        <v>Fast</v>
      </c>
      <c r="K2671" t="s">
        <v>2818</v>
      </c>
      <c r="L2671" s="3">
        <v>0</v>
      </c>
      <c r="M2671" t="str">
        <f>IF(Table1[[#This Row],[delayed]]=1,"Delayed","On Time")</f>
        <v>On Time</v>
      </c>
      <c r="N2671" t="str">
        <f>IF(AND(Table1[[#This Row],[delayed]]=1,Table1[[#This Row],[weather_condition]]="Storm"),"High Risk", IF(Table1[[#This Row],[delayed]]=1,"Medium Risk","Low Risk"))</f>
        <v>Low Risk</v>
      </c>
    </row>
    <row r="2672" spans="1:14" x14ac:dyDescent="0.35">
      <c r="A2672">
        <v>2671</v>
      </c>
      <c r="B2672" s="1">
        <v>45038.25</v>
      </c>
      <c r="C2672" s="2">
        <v>6.458333333333334E-2</v>
      </c>
      <c r="D2672" s="3">
        <v>2299</v>
      </c>
      <c r="E2672" s="3">
        <v>167</v>
      </c>
      <c r="F2672" s="2">
        <v>29.918749999999999</v>
      </c>
      <c r="G2672" t="s">
        <v>2816</v>
      </c>
      <c r="H2672" t="s">
        <v>2820</v>
      </c>
      <c r="I2672" s="2">
        <v>2.5840277777777776</v>
      </c>
      <c r="J2672" s="4" t="str">
        <f>IF(Table1[[#This Row],[processing_time_hours]]&gt;1.5,"Slow", "Fast")</f>
        <v>Slow</v>
      </c>
      <c r="K2672" t="s">
        <v>2821</v>
      </c>
      <c r="L2672" s="3">
        <v>1</v>
      </c>
      <c r="M2672" t="str">
        <f>IF(Table1[[#This Row],[delayed]]=1,"Delayed","On Time")</f>
        <v>Delayed</v>
      </c>
      <c r="N2672" t="str">
        <f>IF(AND(Table1[[#This Row],[delayed]]=1,Table1[[#This Row],[weather_condition]]="Storm"),"High Risk", IF(Table1[[#This Row],[delayed]]=1,"Medium Risk","Low Risk"))</f>
        <v>Medium Risk</v>
      </c>
    </row>
    <row r="2673" spans="1:14" x14ac:dyDescent="0.35">
      <c r="A2673">
        <v>2672</v>
      </c>
      <c r="B2673" s="1">
        <v>45038.291666666664</v>
      </c>
      <c r="C2673" s="2">
        <v>4.8611111111111112E-3</v>
      </c>
      <c r="D2673" s="3">
        <v>1487</v>
      </c>
      <c r="E2673" s="3">
        <v>267</v>
      </c>
      <c r="F2673" s="2">
        <v>28.670138888888889</v>
      </c>
      <c r="G2673" t="s">
        <v>2819</v>
      </c>
      <c r="H2673" t="s">
        <v>2820</v>
      </c>
      <c r="I2673" s="2">
        <v>1.3805555555555555</v>
      </c>
      <c r="J2673" s="4" t="str">
        <f>IF(Table1[[#This Row],[processing_time_hours]]&gt;1.5,"Slow", "Fast")</f>
        <v>Fast</v>
      </c>
      <c r="K2673" t="s">
        <v>2818</v>
      </c>
      <c r="L2673" s="3">
        <v>1</v>
      </c>
      <c r="M2673" t="str">
        <f>IF(Table1[[#This Row],[delayed]]=1,"Delayed","On Time")</f>
        <v>Delayed</v>
      </c>
      <c r="N2673" t="str">
        <f>IF(AND(Table1[[#This Row],[delayed]]=1,Table1[[#This Row],[weather_condition]]="Storm"),"High Risk", IF(Table1[[#This Row],[delayed]]=1,"Medium Risk","Low Risk"))</f>
        <v>Medium Risk</v>
      </c>
    </row>
    <row r="2674" spans="1:14" x14ac:dyDescent="0.35">
      <c r="A2674">
        <v>2673</v>
      </c>
      <c r="B2674" s="1">
        <v>45038.333333333336</v>
      </c>
      <c r="C2674" s="2">
        <v>6.458333333333334E-2</v>
      </c>
      <c r="D2674" s="3">
        <v>4753</v>
      </c>
      <c r="E2674" s="3">
        <v>73</v>
      </c>
      <c r="F2674" s="2">
        <v>28.876388888888886</v>
      </c>
      <c r="G2674" t="s">
        <v>2812</v>
      </c>
      <c r="H2674" t="s">
        <v>2820</v>
      </c>
      <c r="I2674" s="2">
        <v>2.2111111111111112</v>
      </c>
      <c r="J2674" s="4" t="str">
        <f>IF(Table1[[#This Row],[processing_time_hours]]&gt;1.5,"Slow", "Fast")</f>
        <v>Slow</v>
      </c>
      <c r="K2674" t="s">
        <v>2821</v>
      </c>
      <c r="L2674" s="3">
        <v>0</v>
      </c>
      <c r="M2674" t="str">
        <f>IF(Table1[[#This Row],[delayed]]=1,"Delayed","On Time")</f>
        <v>On Time</v>
      </c>
      <c r="N2674" t="str">
        <f>IF(AND(Table1[[#This Row],[delayed]]=1,Table1[[#This Row],[weather_condition]]="Storm"),"High Risk", IF(Table1[[#This Row],[delayed]]=1,"Medium Risk","Low Risk"))</f>
        <v>Low Risk</v>
      </c>
    </row>
    <row r="2675" spans="1:14" x14ac:dyDescent="0.35">
      <c r="A2675">
        <v>2674</v>
      </c>
      <c r="B2675" s="1">
        <v>45038.375</v>
      </c>
      <c r="C2675" s="2">
        <v>5.7638888888888885E-2</v>
      </c>
      <c r="D2675" s="3">
        <v>367</v>
      </c>
      <c r="E2675" s="3">
        <v>410</v>
      </c>
      <c r="F2675" s="2">
        <v>21.708333333333332</v>
      </c>
      <c r="G2675" t="s">
        <v>2816</v>
      </c>
      <c r="H2675" t="s">
        <v>2813</v>
      </c>
      <c r="I2675" s="2">
        <v>2.875</v>
      </c>
      <c r="J2675" s="4" t="str">
        <f>IF(Table1[[#This Row],[processing_time_hours]]&gt;1.5,"Slow", "Fast")</f>
        <v>Slow</v>
      </c>
      <c r="K2675" t="s">
        <v>2814</v>
      </c>
      <c r="L2675" s="3">
        <v>1</v>
      </c>
      <c r="M2675" t="str">
        <f>IF(Table1[[#This Row],[delayed]]=1,"Delayed","On Time")</f>
        <v>Delayed</v>
      </c>
      <c r="N2675" t="str">
        <f>IF(AND(Table1[[#This Row],[delayed]]=1,Table1[[#This Row],[weather_condition]]="Storm"),"High Risk", IF(Table1[[#This Row],[delayed]]=1,"Medium Risk","Low Risk"))</f>
        <v>Medium Risk</v>
      </c>
    </row>
    <row r="2676" spans="1:14" x14ac:dyDescent="0.35">
      <c r="A2676">
        <v>2675</v>
      </c>
      <c r="B2676" s="1">
        <v>45038.416666666664</v>
      </c>
      <c r="C2676" s="2">
        <v>6.1111111111111109E-2</v>
      </c>
      <c r="D2676" s="3">
        <v>2451</v>
      </c>
      <c r="E2676" s="3">
        <v>52</v>
      </c>
      <c r="F2676" s="2">
        <v>78.334722222222226</v>
      </c>
      <c r="G2676" t="s">
        <v>2819</v>
      </c>
      <c r="H2676" t="s">
        <v>2813</v>
      </c>
      <c r="I2676" s="2">
        <v>2.6277777777777778</v>
      </c>
      <c r="J2676" s="4" t="str">
        <f>IF(Table1[[#This Row],[processing_time_hours]]&gt;1.5,"Slow", "Fast")</f>
        <v>Slow</v>
      </c>
      <c r="K2676" t="s">
        <v>2821</v>
      </c>
      <c r="L2676" s="3">
        <v>0</v>
      </c>
      <c r="M2676" t="str">
        <f>IF(Table1[[#This Row],[delayed]]=1,"Delayed","On Time")</f>
        <v>On Time</v>
      </c>
      <c r="N2676" t="str">
        <f>IF(AND(Table1[[#This Row],[delayed]]=1,Table1[[#This Row],[weather_condition]]="Storm"),"High Risk", IF(Table1[[#This Row],[delayed]]=1,"Medium Risk","Low Risk"))</f>
        <v>Low Risk</v>
      </c>
    </row>
    <row r="2677" spans="1:14" x14ac:dyDescent="0.35">
      <c r="A2677">
        <v>2676</v>
      </c>
      <c r="B2677" s="1">
        <v>45038.458333333336</v>
      </c>
      <c r="C2677" s="2">
        <v>4.9999999999999996E-2</v>
      </c>
      <c r="D2677" s="3">
        <v>236</v>
      </c>
      <c r="E2677" s="3">
        <v>468</v>
      </c>
      <c r="F2677" s="2">
        <v>6.0472222222222216</v>
      </c>
      <c r="G2677" t="s">
        <v>2812</v>
      </c>
      <c r="H2677" t="s">
        <v>2813</v>
      </c>
      <c r="I2677" s="2">
        <v>1.3388888888888888</v>
      </c>
      <c r="J2677" s="4" t="str">
        <f>IF(Table1[[#This Row],[processing_time_hours]]&gt;1.5,"Slow", "Fast")</f>
        <v>Fast</v>
      </c>
      <c r="K2677" t="s">
        <v>2814</v>
      </c>
      <c r="L2677" s="3">
        <v>0</v>
      </c>
      <c r="M2677" t="str">
        <f>IF(Table1[[#This Row],[delayed]]=1,"Delayed","On Time")</f>
        <v>On Time</v>
      </c>
      <c r="N2677" t="str">
        <f>IF(AND(Table1[[#This Row],[delayed]]=1,Table1[[#This Row],[weather_condition]]="Storm"),"High Risk", IF(Table1[[#This Row],[delayed]]=1,"Medium Risk","Low Risk"))</f>
        <v>Low Risk</v>
      </c>
    </row>
    <row r="2678" spans="1:14" x14ac:dyDescent="0.35">
      <c r="A2678">
        <v>2677</v>
      </c>
      <c r="B2678" s="1">
        <v>45038.5</v>
      </c>
      <c r="C2678" s="2">
        <v>6.8749999999999992E-2</v>
      </c>
      <c r="D2678" s="3">
        <v>2642</v>
      </c>
      <c r="E2678" s="3">
        <v>279</v>
      </c>
      <c r="F2678" s="2">
        <v>44.959722222222219</v>
      </c>
      <c r="G2678" t="s">
        <v>2816</v>
      </c>
      <c r="H2678" t="s">
        <v>2822</v>
      </c>
      <c r="I2678" s="2">
        <v>2.6312500000000001</v>
      </c>
      <c r="J2678" s="4" t="str">
        <f>IF(Table1[[#This Row],[processing_time_hours]]&gt;1.5,"Slow", "Fast")</f>
        <v>Slow</v>
      </c>
      <c r="K2678" t="s">
        <v>2814</v>
      </c>
      <c r="L2678" s="3">
        <v>0</v>
      </c>
      <c r="M2678" t="str">
        <f>IF(Table1[[#This Row],[delayed]]=1,"Delayed","On Time")</f>
        <v>On Time</v>
      </c>
      <c r="N2678" t="str">
        <f>IF(AND(Table1[[#This Row],[delayed]]=1,Table1[[#This Row],[weather_condition]]="Storm"),"High Risk", IF(Table1[[#This Row],[delayed]]=1,"Medium Risk","Low Risk"))</f>
        <v>Low Risk</v>
      </c>
    </row>
    <row r="2679" spans="1:14" x14ac:dyDescent="0.35">
      <c r="A2679">
        <v>2678</v>
      </c>
      <c r="B2679" s="1">
        <v>45038.541666666664</v>
      </c>
      <c r="C2679" s="2">
        <v>5.9722222222222225E-2</v>
      </c>
      <c r="D2679" s="3">
        <v>2406</v>
      </c>
      <c r="E2679" s="3">
        <v>75</v>
      </c>
      <c r="F2679" s="2">
        <v>32.293749999999996</v>
      </c>
      <c r="G2679" t="s">
        <v>2812</v>
      </c>
      <c r="H2679" t="s">
        <v>2822</v>
      </c>
      <c r="I2679" s="2">
        <v>1.0444444444444445</v>
      </c>
      <c r="J2679" s="4" t="str">
        <f>IF(Table1[[#This Row],[processing_time_hours]]&gt;1.5,"Slow", "Fast")</f>
        <v>Fast</v>
      </c>
      <c r="K2679" t="s">
        <v>2821</v>
      </c>
      <c r="L2679" s="3">
        <v>0</v>
      </c>
      <c r="M2679" t="str">
        <f>IF(Table1[[#This Row],[delayed]]=1,"Delayed","On Time")</f>
        <v>On Time</v>
      </c>
      <c r="N2679" t="str">
        <f>IF(AND(Table1[[#This Row],[delayed]]=1,Table1[[#This Row],[weather_condition]]="Storm"),"High Risk", IF(Table1[[#This Row],[delayed]]=1,"Medium Risk","Low Risk"))</f>
        <v>Low Risk</v>
      </c>
    </row>
    <row r="2680" spans="1:14" x14ac:dyDescent="0.35">
      <c r="A2680">
        <v>2679</v>
      </c>
      <c r="B2680" s="1">
        <v>45038.583333333336</v>
      </c>
      <c r="C2680" s="2">
        <v>4.3750000000000004E-2</v>
      </c>
      <c r="D2680" s="3">
        <v>1540</v>
      </c>
      <c r="E2680" s="3">
        <v>373</v>
      </c>
      <c r="F2680" s="2">
        <v>65.006250000000009</v>
      </c>
      <c r="G2680" t="s">
        <v>2815</v>
      </c>
      <c r="H2680" t="s">
        <v>2817</v>
      </c>
      <c r="I2680" s="2">
        <v>1.3333333333333333</v>
      </c>
      <c r="J2680" s="4" t="str">
        <f>IF(Table1[[#This Row],[processing_time_hours]]&gt;1.5,"Slow", "Fast")</f>
        <v>Fast</v>
      </c>
      <c r="K2680" t="s">
        <v>2814</v>
      </c>
      <c r="L2680" s="3">
        <v>0</v>
      </c>
      <c r="M2680" t="str">
        <f>IF(Table1[[#This Row],[delayed]]=1,"Delayed","On Time")</f>
        <v>On Time</v>
      </c>
      <c r="N2680" t="str">
        <f>IF(AND(Table1[[#This Row],[delayed]]=1,Table1[[#This Row],[weather_condition]]="Storm"),"High Risk", IF(Table1[[#This Row],[delayed]]=1,"Medium Risk","Low Risk"))</f>
        <v>Low Risk</v>
      </c>
    </row>
    <row r="2681" spans="1:14" x14ac:dyDescent="0.35">
      <c r="A2681">
        <v>2680</v>
      </c>
      <c r="B2681" s="1">
        <v>45038.625</v>
      </c>
      <c r="C2681" s="2">
        <v>6.3888888888888898E-2</v>
      </c>
      <c r="D2681" s="3">
        <v>964</v>
      </c>
      <c r="E2681" s="3">
        <v>156</v>
      </c>
      <c r="F2681" s="2">
        <v>40.293749999999996</v>
      </c>
      <c r="G2681" t="s">
        <v>2816</v>
      </c>
      <c r="H2681" t="s">
        <v>2822</v>
      </c>
      <c r="I2681" s="2">
        <v>2.7951388888888888</v>
      </c>
      <c r="J2681" s="4" t="str">
        <f>IF(Table1[[#This Row],[processing_time_hours]]&gt;1.5,"Slow", "Fast")</f>
        <v>Slow</v>
      </c>
      <c r="K2681" t="s">
        <v>2814</v>
      </c>
      <c r="L2681" s="3">
        <v>0</v>
      </c>
      <c r="M2681" t="str">
        <f>IF(Table1[[#This Row],[delayed]]=1,"Delayed","On Time")</f>
        <v>On Time</v>
      </c>
      <c r="N2681" t="str">
        <f>IF(AND(Table1[[#This Row],[delayed]]=1,Table1[[#This Row],[weather_condition]]="Storm"),"High Risk", IF(Table1[[#This Row],[delayed]]=1,"Medium Risk","Low Risk"))</f>
        <v>Low Risk</v>
      </c>
    </row>
    <row r="2682" spans="1:14" x14ac:dyDescent="0.35">
      <c r="A2682">
        <v>2681</v>
      </c>
      <c r="B2682" s="1">
        <v>45038.666666666664</v>
      </c>
      <c r="C2682" s="2">
        <v>5.486111111111111E-2</v>
      </c>
      <c r="D2682" s="3">
        <v>308</v>
      </c>
      <c r="E2682" s="3">
        <v>63</v>
      </c>
      <c r="F2682" s="2">
        <v>55.919444444444444</v>
      </c>
      <c r="G2682" t="s">
        <v>2815</v>
      </c>
      <c r="H2682" t="s">
        <v>2820</v>
      </c>
      <c r="I2682" s="2">
        <v>2.6701388888888888</v>
      </c>
      <c r="J2682" s="4" t="str">
        <f>IF(Table1[[#This Row],[processing_time_hours]]&gt;1.5,"Slow", "Fast")</f>
        <v>Slow</v>
      </c>
      <c r="K2682" t="s">
        <v>2814</v>
      </c>
      <c r="L2682" s="3">
        <v>1</v>
      </c>
      <c r="M2682" t="str">
        <f>IF(Table1[[#This Row],[delayed]]=1,"Delayed","On Time")</f>
        <v>Delayed</v>
      </c>
      <c r="N2682" t="str">
        <f>IF(AND(Table1[[#This Row],[delayed]]=1,Table1[[#This Row],[weather_condition]]="Storm"),"High Risk", IF(Table1[[#This Row],[delayed]]=1,"Medium Risk","Low Risk"))</f>
        <v>Medium Risk</v>
      </c>
    </row>
    <row r="2683" spans="1:14" x14ac:dyDescent="0.35">
      <c r="A2683">
        <v>2682</v>
      </c>
      <c r="B2683" s="1">
        <v>45038.708333333336</v>
      </c>
      <c r="C2683" s="2">
        <v>6.458333333333334E-2</v>
      </c>
      <c r="D2683" s="3">
        <v>2960</v>
      </c>
      <c r="E2683" s="3">
        <v>153</v>
      </c>
      <c r="F2683" s="2">
        <v>59.796527777777776</v>
      </c>
      <c r="G2683" t="s">
        <v>2816</v>
      </c>
      <c r="H2683" t="s">
        <v>2813</v>
      </c>
      <c r="I2683" s="2">
        <v>2.3368055555555558</v>
      </c>
      <c r="J2683" s="4" t="str">
        <f>IF(Table1[[#This Row],[processing_time_hours]]&gt;1.5,"Slow", "Fast")</f>
        <v>Slow</v>
      </c>
      <c r="K2683" t="s">
        <v>2818</v>
      </c>
      <c r="L2683" s="3">
        <v>1</v>
      </c>
      <c r="M2683" t="str">
        <f>IF(Table1[[#This Row],[delayed]]=1,"Delayed","On Time")</f>
        <v>Delayed</v>
      </c>
      <c r="N2683" t="str">
        <f>IF(AND(Table1[[#This Row],[delayed]]=1,Table1[[#This Row],[weather_condition]]="Storm"),"High Risk", IF(Table1[[#This Row],[delayed]]=1,"Medium Risk","Low Risk"))</f>
        <v>Medium Risk</v>
      </c>
    </row>
    <row r="2684" spans="1:14" x14ac:dyDescent="0.35">
      <c r="A2684">
        <v>2683</v>
      </c>
      <c r="B2684" s="1">
        <v>45038.75</v>
      </c>
      <c r="C2684" s="2">
        <v>6.1111111111111109E-2</v>
      </c>
      <c r="D2684" s="3">
        <v>891</v>
      </c>
      <c r="E2684" s="3">
        <v>119</v>
      </c>
      <c r="F2684" s="2">
        <v>12.420833333333334</v>
      </c>
      <c r="G2684" t="s">
        <v>2816</v>
      </c>
      <c r="H2684" t="s">
        <v>2820</v>
      </c>
      <c r="I2684" s="2">
        <v>1.9229166666666666</v>
      </c>
      <c r="J2684" s="4" t="str">
        <f>IF(Table1[[#This Row],[processing_time_hours]]&gt;1.5,"Slow", "Fast")</f>
        <v>Slow</v>
      </c>
      <c r="K2684" t="s">
        <v>2814</v>
      </c>
      <c r="L2684" s="3">
        <v>1</v>
      </c>
      <c r="M2684" t="str">
        <f>IF(Table1[[#This Row],[delayed]]=1,"Delayed","On Time")</f>
        <v>Delayed</v>
      </c>
      <c r="N2684" t="str">
        <f>IF(AND(Table1[[#This Row],[delayed]]=1,Table1[[#This Row],[weather_condition]]="Storm"),"High Risk", IF(Table1[[#This Row],[delayed]]=1,"Medium Risk","Low Risk"))</f>
        <v>Medium Risk</v>
      </c>
    </row>
    <row r="2685" spans="1:14" x14ac:dyDescent="0.35">
      <c r="A2685">
        <v>2684</v>
      </c>
      <c r="B2685" s="1">
        <v>45038.791666666664</v>
      </c>
      <c r="C2685" s="2">
        <v>6.8749999999999992E-2</v>
      </c>
      <c r="D2685" s="3">
        <v>539</v>
      </c>
      <c r="E2685" s="3">
        <v>295</v>
      </c>
      <c r="F2685" s="2">
        <v>77.422222222222231</v>
      </c>
      <c r="G2685" t="s">
        <v>2816</v>
      </c>
      <c r="H2685" t="s">
        <v>2820</v>
      </c>
      <c r="I2685" s="2">
        <v>1.7138888888888888</v>
      </c>
      <c r="J2685" s="4" t="str">
        <f>IF(Table1[[#This Row],[processing_time_hours]]&gt;1.5,"Slow", "Fast")</f>
        <v>Slow</v>
      </c>
      <c r="K2685" t="s">
        <v>2818</v>
      </c>
      <c r="L2685" s="3">
        <v>0</v>
      </c>
      <c r="M2685" t="str">
        <f>IF(Table1[[#This Row],[delayed]]=1,"Delayed","On Time")</f>
        <v>On Time</v>
      </c>
      <c r="N2685" t="str">
        <f>IF(AND(Table1[[#This Row],[delayed]]=1,Table1[[#This Row],[weather_condition]]="Storm"),"High Risk", IF(Table1[[#This Row],[delayed]]=1,"Medium Risk","Low Risk"))</f>
        <v>Low Risk</v>
      </c>
    </row>
    <row r="2686" spans="1:14" x14ac:dyDescent="0.35">
      <c r="A2686">
        <v>2685</v>
      </c>
      <c r="B2686" s="1">
        <v>45038.833333333336</v>
      </c>
      <c r="C2686" s="2">
        <v>6.6666666666666666E-2</v>
      </c>
      <c r="D2686" s="3">
        <v>3946</v>
      </c>
      <c r="E2686" s="3">
        <v>492</v>
      </c>
      <c r="F2686" s="2">
        <v>56.083333333333336</v>
      </c>
      <c r="G2686" t="s">
        <v>2819</v>
      </c>
      <c r="H2686" t="s">
        <v>2820</v>
      </c>
      <c r="I2686" s="2">
        <v>0.33749999999999997</v>
      </c>
      <c r="J2686" s="4" t="str">
        <f>IF(Table1[[#This Row],[processing_time_hours]]&gt;1.5,"Slow", "Fast")</f>
        <v>Fast</v>
      </c>
      <c r="K2686" t="s">
        <v>2814</v>
      </c>
      <c r="L2686" s="3">
        <v>0</v>
      </c>
      <c r="M2686" t="str">
        <f>IF(Table1[[#This Row],[delayed]]=1,"Delayed","On Time")</f>
        <v>On Time</v>
      </c>
      <c r="N2686" t="str">
        <f>IF(AND(Table1[[#This Row],[delayed]]=1,Table1[[#This Row],[weather_condition]]="Storm"),"High Risk", IF(Table1[[#This Row],[delayed]]=1,"Medium Risk","Low Risk"))</f>
        <v>Low Risk</v>
      </c>
    </row>
    <row r="2687" spans="1:14" x14ac:dyDescent="0.35">
      <c r="A2687">
        <v>2686</v>
      </c>
      <c r="B2687" s="1">
        <v>45038.875</v>
      </c>
      <c r="C2687" s="2">
        <v>6.0416666666666667E-2</v>
      </c>
      <c r="D2687" s="3">
        <v>4137</v>
      </c>
      <c r="E2687" s="3">
        <v>2</v>
      </c>
      <c r="F2687" s="2">
        <v>24.416666666666668</v>
      </c>
      <c r="G2687" t="s">
        <v>2819</v>
      </c>
      <c r="H2687" t="s">
        <v>2817</v>
      </c>
      <c r="I2687" s="2">
        <v>1.875</v>
      </c>
      <c r="J2687" s="4" t="str">
        <f>IF(Table1[[#This Row],[processing_time_hours]]&gt;1.5,"Slow", "Fast")</f>
        <v>Slow</v>
      </c>
      <c r="K2687" t="s">
        <v>2814</v>
      </c>
      <c r="L2687" s="3">
        <v>0</v>
      </c>
      <c r="M2687" t="str">
        <f>IF(Table1[[#This Row],[delayed]]=1,"Delayed","On Time")</f>
        <v>On Time</v>
      </c>
      <c r="N2687" t="str">
        <f>IF(AND(Table1[[#This Row],[delayed]]=1,Table1[[#This Row],[weather_condition]]="Storm"),"High Risk", IF(Table1[[#This Row],[delayed]]=1,"Medium Risk","Low Risk"))</f>
        <v>Low Risk</v>
      </c>
    </row>
    <row r="2688" spans="1:14" x14ac:dyDescent="0.35">
      <c r="A2688">
        <v>2687</v>
      </c>
      <c r="B2688" s="1">
        <v>45038.916666666664</v>
      </c>
      <c r="C2688" s="2">
        <v>6.3194444444444442E-2</v>
      </c>
      <c r="D2688" s="3">
        <v>1901</v>
      </c>
      <c r="E2688" s="3">
        <v>363</v>
      </c>
      <c r="F2688" s="2">
        <v>16.629861111111111</v>
      </c>
      <c r="G2688" t="s">
        <v>2819</v>
      </c>
      <c r="H2688" t="s">
        <v>2817</v>
      </c>
      <c r="I2688" s="2">
        <v>1.9194444444444445</v>
      </c>
      <c r="J2688" s="4" t="str">
        <f>IF(Table1[[#This Row],[processing_time_hours]]&gt;1.5,"Slow", "Fast")</f>
        <v>Slow</v>
      </c>
      <c r="K2688" t="s">
        <v>2821</v>
      </c>
      <c r="L2688" s="3">
        <v>1</v>
      </c>
      <c r="M2688" t="str">
        <f>IF(Table1[[#This Row],[delayed]]=1,"Delayed","On Time")</f>
        <v>Delayed</v>
      </c>
      <c r="N2688" t="str">
        <f>IF(AND(Table1[[#This Row],[delayed]]=1,Table1[[#This Row],[weather_condition]]="Storm"),"High Risk", IF(Table1[[#This Row],[delayed]]=1,"Medium Risk","Low Risk"))</f>
        <v>High Risk</v>
      </c>
    </row>
    <row r="2689" spans="1:14" x14ac:dyDescent="0.35">
      <c r="A2689">
        <v>2688</v>
      </c>
      <c r="B2689" s="1">
        <v>45038.958333333336</v>
      </c>
      <c r="C2689" s="2">
        <v>4.3055555555555562E-2</v>
      </c>
      <c r="D2689" s="3">
        <v>1299</v>
      </c>
      <c r="E2689" s="3">
        <v>139</v>
      </c>
      <c r="F2689" s="2">
        <v>22.213194444444444</v>
      </c>
      <c r="G2689" t="s">
        <v>2819</v>
      </c>
      <c r="H2689" t="s">
        <v>2817</v>
      </c>
      <c r="I2689" s="2">
        <v>1.2513888888888889</v>
      </c>
      <c r="J2689" s="4" t="str">
        <f>IF(Table1[[#This Row],[processing_time_hours]]&gt;1.5,"Slow", "Fast")</f>
        <v>Fast</v>
      </c>
      <c r="K2689" t="s">
        <v>2821</v>
      </c>
      <c r="L2689" s="3">
        <v>0</v>
      </c>
      <c r="M2689" t="str">
        <f>IF(Table1[[#This Row],[delayed]]=1,"Delayed","On Time")</f>
        <v>On Time</v>
      </c>
      <c r="N2689" t="str">
        <f>IF(AND(Table1[[#This Row],[delayed]]=1,Table1[[#This Row],[weather_condition]]="Storm"),"High Risk", IF(Table1[[#This Row],[delayed]]=1,"Medium Risk","Low Risk"))</f>
        <v>Low Risk</v>
      </c>
    </row>
    <row r="2690" spans="1:14" x14ac:dyDescent="0.35">
      <c r="A2690">
        <v>2689</v>
      </c>
      <c r="B2690" s="1">
        <v>45039</v>
      </c>
      <c r="C2690" s="2">
        <v>6.3888888888888898E-2</v>
      </c>
      <c r="D2690" s="3">
        <v>4069</v>
      </c>
      <c r="E2690" s="3">
        <v>355</v>
      </c>
      <c r="F2690" s="2">
        <v>31.50277777777778</v>
      </c>
      <c r="G2690" t="s">
        <v>2819</v>
      </c>
      <c r="H2690" t="s">
        <v>2822</v>
      </c>
      <c r="I2690" s="2">
        <v>0.50624999999999998</v>
      </c>
      <c r="J2690" s="4" t="str">
        <f>IF(Table1[[#This Row],[processing_time_hours]]&gt;1.5,"Slow", "Fast")</f>
        <v>Fast</v>
      </c>
      <c r="K2690" t="s">
        <v>2814</v>
      </c>
      <c r="L2690" s="3">
        <v>0</v>
      </c>
      <c r="M2690" t="str">
        <f>IF(Table1[[#This Row],[delayed]]=1,"Delayed","On Time")</f>
        <v>On Time</v>
      </c>
      <c r="N2690" t="str">
        <f>IF(AND(Table1[[#This Row],[delayed]]=1,Table1[[#This Row],[weather_condition]]="Storm"),"High Risk", IF(Table1[[#This Row],[delayed]]=1,"Medium Risk","Low Risk"))</f>
        <v>Low Risk</v>
      </c>
    </row>
    <row r="2691" spans="1:14" x14ac:dyDescent="0.35">
      <c r="A2691">
        <v>2690</v>
      </c>
      <c r="B2691" s="1">
        <v>45039.041666666664</v>
      </c>
      <c r="C2691" s="2">
        <v>6.1805555555555558E-2</v>
      </c>
      <c r="D2691" s="3">
        <v>4939</v>
      </c>
      <c r="E2691" s="3">
        <v>277</v>
      </c>
      <c r="F2691" s="2">
        <v>77.422222222222231</v>
      </c>
      <c r="G2691" t="s">
        <v>2812</v>
      </c>
      <c r="H2691" t="s">
        <v>2820</v>
      </c>
      <c r="I2691" s="2">
        <v>2.9590277777777776</v>
      </c>
      <c r="J2691" s="4" t="str">
        <f>IF(Table1[[#This Row],[processing_time_hours]]&gt;1.5,"Slow", "Fast")</f>
        <v>Slow</v>
      </c>
      <c r="K2691" t="s">
        <v>2821</v>
      </c>
      <c r="L2691" s="3">
        <v>0</v>
      </c>
      <c r="M2691" t="str">
        <f>IF(Table1[[#This Row],[delayed]]=1,"Delayed","On Time")</f>
        <v>On Time</v>
      </c>
      <c r="N2691" t="str">
        <f>IF(AND(Table1[[#This Row],[delayed]]=1,Table1[[#This Row],[weather_condition]]="Storm"),"High Risk", IF(Table1[[#This Row],[delayed]]=1,"Medium Risk","Low Risk"))</f>
        <v>Low Risk</v>
      </c>
    </row>
    <row r="2692" spans="1:14" x14ac:dyDescent="0.35">
      <c r="A2692">
        <v>2691</v>
      </c>
      <c r="B2692" s="1">
        <v>45039.083333333336</v>
      </c>
      <c r="C2692" s="2">
        <v>6.805555555555555E-2</v>
      </c>
      <c r="D2692" s="3">
        <v>3691</v>
      </c>
      <c r="E2692" s="3">
        <v>450</v>
      </c>
      <c r="F2692" s="2">
        <v>25.086111111111112</v>
      </c>
      <c r="G2692" t="s">
        <v>2819</v>
      </c>
      <c r="H2692" t="s">
        <v>2813</v>
      </c>
      <c r="I2692" s="2">
        <v>2.6312500000000001</v>
      </c>
      <c r="J2692" s="4" t="str">
        <f>IF(Table1[[#This Row],[processing_time_hours]]&gt;1.5,"Slow", "Fast")</f>
        <v>Slow</v>
      </c>
      <c r="K2692" t="s">
        <v>2818</v>
      </c>
      <c r="L2692" s="3">
        <v>0</v>
      </c>
      <c r="M2692" t="str">
        <f>IF(Table1[[#This Row],[delayed]]=1,"Delayed","On Time")</f>
        <v>On Time</v>
      </c>
      <c r="N2692" t="str">
        <f>IF(AND(Table1[[#This Row],[delayed]]=1,Table1[[#This Row],[weather_condition]]="Storm"),"High Risk", IF(Table1[[#This Row],[delayed]]=1,"Medium Risk","Low Risk"))</f>
        <v>Low Risk</v>
      </c>
    </row>
    <row r="2693" spans="1:14" x14ac:dyDescent="0.35">
      <c r="A2693">
        <v>2692</v>
      </c>
      <c r="B2693" s="1">
        <v>45039.125</v>
      </c>
      <c r="C2693" s="2">
        <v>6.2499999999999995E-3</v>
      </c>
      <c r="D2693" s="3">
        <v>1151</v>
      </c>
      <c r="E2693" s="3">
        <v>335</v>
      </c>
      <c r="F2693" s="2">
        <v>77.541666666666671</v>
      </c>
      <c r="G2693" t="s">
        <v>2812</v>
      </c>
      <c r="H2693" t="s">
        <v>2820</v>
      </c>
      <c r="I2693" s="2">
        <v>1.3340277777777778</v>
      </c>
      <c r="J2693" s="4" t="str">
        <f>IF(Table1[[#This Row],[processing_time_hours]]&gt;1.5,"Slow", "Fast")</f>
        <v>Fast</v>
      </c>
      <c r="K2693" t="s">
        <v>2818</v>
      </c>
      <c r="L2693" s="3">
        <v>1</v>
      </c>
      <c r="M2693" t="str">
        <f>IF(Table1[[#This Row],[delayed]]=1,"Delayed","On Time")</f>
        <v>Delayed</v>
      </c>
      <c r="N2693" t="str">
        <f>IF(AND(Table1[[#This Row],[delayed]]=1,Table1[[#This Row],[weather_condition]]="Storm"),"High Risk", IF(Table1[[#This Row],[delayed]]=1,"Medium Risk","Low Risk"))</f>
        <v>Medium Risk</v>
      </c>
    </row>
    <row r="2694" spans="1:14" x14ac:dyDescent="0.35">
      <c r="A2694">
        <v>2693</v>
      </c>
      <c r="B2694" s="1">
        <v>45039.166666666664</v>
      </c>
      <c r="C2694" s="2">
        <v>5.9027777777777783E-2</v>
      </c>
      <c r="D2694" s="3">
        <v>2669</v>
      </c>
      <c r="E2694" s="3">
        <v>40</v>
      </c>
      <c r="F2694" s="2">
        <v>38.209722222222219</v>
      </c>
      <c r="G2694" t="s">
        <v>2815</v>
      </c>
      <c r="H2694" t="s">
        <v>2820</v>
      </c>
      <c r="I2694" s="2">
        <v>2.0840277777777776</v>
      </c>
      <c r="J2694" s="4" t="str">
        <f>IF(Table1[[#This Row],[processing_time_hours]]&gt;1.5,"Slow", "Fast")</f>
        <v>Slow</v>
      </c>
      <c r="K2694" t="s">
        <v>2818</v>
      </c>
      <c r="L2694" s="3">
        <v>0</v>
      </c>
      <c r="M2694" t="str">
        <f>IF(Table1[[#This Row],[delayed]]=1,"Delayed","On Time")</f>
        <v>On Time</v>
      </c>
      <c r="N2694" t="str">
        <f>IF(AND(Table1[[#This Row],[delayed]]=1,Table1[[#This Row],[weather_condition]]="Storm"),"High Risk", IF(Table1[[#This Row],[delayed]]=1,"Medium Risk","Low Risk"))</f>
        <v>Low Risk</v>
      </c>
    </row>
    <row r="2695" spans="1:14" x14ac:dyDescent="0.35">
      <c r="A2695">
        <v>2694</v>
      </c>
      <c r="B2695" s="1">
        <v>45039.208333333336</v>
      </c>
      <c r="C2695" s="2">
        <v>6.3194444444444442E-2</v>
      </c>
      <c r="D2695" s="3">
        <v>2241</v>
      </c>
      <c r="E2695" s="3">
        <v>477</v>
      </c>
      <c r="F2695" s="2">
        <v>46.500694444444441</v>
      </c>
      <c r="G2695" t="s">
        <v>2815</v>
      </c>
      <c r="H2695" t="s">
        <v>2813</v>
      </c>
      <c r="I2695" s="2">
        <v>1.8784722222222223</v>
      </c>
      <c r="J2695" s="4" t="str">
        <f>IF(Table1[[#This Row],[processing_time_hours]]&gt;1.5,"Slow", "Fast")</f>
        <v>Slow</v>
      </c>
      <c r="K2695" t="s">
        <v>2818</v>
      </c>
      <c r="L2695" s="3">
        <v>0</v>
      </c>
      <c r="M2695" t="str">
        <f>IF(Table1[[#This Row],[delayed]]=1,"Delayed","On Time")</f>
        <v>On Time</v>
      </c>
      <c r="N2695" t="str">
        <f>IF(AND(Table1[[#This Row],[delayed]]=1,Table1[[#This Row],[weather_condition]]="Storm"),"High Risk", IF(Table1[[#This Row],[delayed]]=1,"Medium Risk","Low Risk"))</f>
        <v>Low Risk</v>
      </c>
    </row>
    <row r="2696" spans="1:14" x14ac:dyDescent="0.35">
      <c r="A2696">
        <v>2695</v>
      </c>
      <c r="B2696" s="1">
        <v>45039.25</v>
      </c>
      <c r="C2696" s="2">
        <v>5.8333333333333327E-2</v>
      </c>
      <c r="D2696" s="3">
        <v>834</v>
      </c>
      <c r="E2696" s="3">
        <v>341</v>
      </c>
      <c r="F2696" s="2">
        <v>12.96111111111111</v>
      </c>
      <c r="G2696" t="s">
        <v>2816</v>
      </c>
      <c r="H2696" t="s">
        <v>2820</v>
      </c>
      <c r="I2696" s="2">
        <v>0.54166666666666663</v>
      </c>
      <c r="J2696" s="4" t="str">
        <f>IF(Table1[[#This Row],[processing_time_hours]]&gt;1.5,"Slow", "Fast")</f>
        <v>Fast</v>
      </c>
      <c r="K2696" t="s">
        <v>2814</v>
      </c>
      <c r="L2696" s="3">
        <v>0</v>
      </c>
      <c r="M2696" t="str">
        <f>IF(Table1[[#This Row],[delayed]]=1,"Delayed","On Time")</f>
        <v>On Time</v>
      </c>
      <c r="N2696" t="str">
        <f>IF(AND(Table1[[#This Row],[delayed]]=1,Table1[[#This Row],[weather_condition]]="Storm"),"High Risk", IF(Table1[[#This Row],[delayed]]=1,"Medium Risk","Low Risk"))</f>
        <v>Low Risk</v>
      </c>
    </row>
    <row r="2697" spans="1:14" x14ac:dyDescent="0.35">
      <c r="A2697">
        <v>2696</v>
      </c>
      <c r="B2697" s="1">
        <v>45039.291666666664</v>
      </c>
      <c r="C2697" s="2">
        <v>5.486111111111111E-2</v>
      </c>
      <c r="D2697" s="3">
        <v>344</v>
      </c>
      <c r="E2697" s="3">
        <v>470</v>
      </c>
      <c r="F2697" s="2">
        <v>80.000694444444449</v>
      </c>
      <c r="G2697" t="s">
        <v>2816</v>
      </c>
      <c r="H2697" t="s">
        <v>2813</v>
      </c>
      <c r="I2697" s="2">
        <v>1.1277777777777778</v>
      </c>
      <c r="J2697" s="4" t="str">
        <f>IF(Table1[[#This Row],[processing_time_hours]]&gt;1.5,"Slow", "Fast")</f>
        <v>Fast</v>
      </c>
      <c r="K2697" t="s">
        <v>2814</v>
      </c>
      <c r="L2697" s="3">
        <v>0</v>
      </c>
      <c r="M2697" t="str">
        <f>IF(Table1[[#This Row],[delayed]]=1,"Delayed","On Time")</f>
        <v>On Time</v>
      </c>
      <c r="N2697" t="str">
        <f>IF(AND(Table1[[#This Row],[delayed]]=1,Table1[[#This Row],[weather_condition]]="Storm"),"High Risk", IF(Table1[[#This Row],[delayed]]=1,"Medium Risk","Low Risk"))</f>
        <v>Low Risk</v>
      </c>
    </row>
    <row r="2698" spans="1:14" x14ac:dyDescent="0.35">
      <c r="A2698">
        <v>2697</v>
      </c>
      <c r="B2698" s="1">
        <v>45039.333333333336</v>
      </c>
      <c r="C2698" s="2">
        <v>6.8749999999999992E-2</v>
      </c>
      <c r="D2698" s="3">
        <v>941</v>
      </c>
      <c r="E2698" s="3">
        <v>330</v>
      </c>
      <c r="F2698" s="2">
        <v>3.6666666666666665</v>
      </c>
      <c r="G2698" t="s">
        <v>2812</v>
      </c>
      <c r="H2698" t="s">
        <v>2813</v>
      </c>
      <c r="I2698" s="2">
        <v>2.75</v>
      </c>
      <c r="J2698" s="4" t="str">
        <f>IF(Table1[[#This Row],[processing_time_hours]]&gt;1.5,"Slow", "Fast")</f>
        <v>Slow</v>
      </c>
      <c r="K2698" t="s">
        <v>2818</v>
      </c>
      <c r="L2698" s="3">
        <v>0</v>
      </c>
      <c r="M2698" t="str">
        <f>IF(Table1[[#This Row],[delayed]]=1,"Delayed","On Time")</f>
        <v>On Time</v>
      </c>
      <c r="N2698" t="str">
        <f>IF(AND(Table1[[#This Row],[delayed]]=1,Table1[[#This Row],[weather_condition]]="Storm"),"High Risk", IF(Table1[[#This Row],[delayed]]=1,"Medium Risk","Low Risk"))</f>
        <v>Low Risk</v>
      </c>
    </row>
    <row r="2699" spans="1:14" x14ac:dyDescent="0.35">
      <c r="A2699">
        <v>2698</v>
      </c>
      <c r="B2699" s="1">
        <v>45039.375</v>
      </c>
      <c r="C2699" s="2">
        <v>5.5555555555555558E-3</v>
      </c>
      <c r="D2699" s="3">
        <v>739</v>
      </c>
      <c r="E2699" s="3">
        <v>80</v>
      </c>
      <c r="F2699" s="2">
        <v>59.547222222222224</v>
      </c>
      <c r="G2699" t="s">
        <v>2819</v>
      </c>
      <c r="H2699" t="s">
        <v>2822</v>
      </c>
      <c r="I2699" s="2">
        <v>2.1680555555555556</v>
      </c>
      <c r="J2699" s="4" t="str">
        <f>IF(Table1[[#This Row],[processing_time_hours]]&gt;1.5,"Slow", "Fast")</f>
        <v>Slow</v>
      </c>
      <c r="K2699" t="s">
        <v>2818</v>
      </c>
      <c r="L2699" s="3">
        <v>0</v>
      </c>
      <c r="M2699" t="str">
        <f>IF(Table1[[#This Row],[delayed]]=1,"Delayed","On Time")</f>
        <v>On Time</v>
      </c>
      <c r="N2699" t="str">
        <f>IF(AND(Table1[[#This Row],[delayed]]=1,Table1[[#This Row],[weather_condition]]="Storm"),"High Risk", IF(Table1[[#This Row],[delayed]]=1,"Medium Risk","Low Risk"))</f>
        <v>Low Risk</v>
      </c>
    </row>
    <row r="2700" spans="1:14" x14ac:dyDescent="0.35">
      <c r="A2700">
        <v>2699</v>
      </c>
      <c r="B2700" s="1">
        <v>45039.416666666664</v>
      </c>
      <c r="C2700" s="2">
        <v>4.4444444444444446E-2</v>
      </c>
      <c r="D2700" s="3">
        <v>2921</v>
      </c>
      <c r="E2700" s="3">
        <v>378</v>
      </c>
      <c r="F2700" s="2">
        <v>61.547916666666673</v>
      </c>
      <c r="G2700" t="s">
        <v>2816</v>
      </c>
      <c r="H2700" t="s">
        <v>2813</v>
      </c>
      <c r="I2700" s="2">
        <v>2.2145833333333331</v>
      </c>
      <c r="J2700" s="4" t="str">
        <f>IF(Table1[[#This Row],[processing_time_hours]]&gt;1.5,"Slow", "Fast")</f>
        <v>Slow</v>
      </c>
      <c r="K2700" t="s">
        <v>2821</v>
      </c>
      <c r="L2700" s="3">
        <v>1</v>
      </c>
      <c r="M2700" t="str">
        <f>IF(Table1[[#This Row],[delayed]]=1,"Delayed","On Time")</f>
        <v>Delayed</v>
      </c>
      <c r="N2700" t="str">
        <f>IF(AND(Table1[[#This Row],[delayed]]=1,Table1[[#This Row],[weather_condition]]="Storm"),"High Risk", IF(Table1[[#This Row],[delayed]]=1,"Medium Risk","Low Risk"))</f>
        <v>Medium Risk</v>
      </c>
    </row>
    <row r="2701" spans="1:14" x14ac:dyDescent="0.35">
      <c r="A2701">
        <v>2700</v>
      </c>
      <c r="B2701" s="1">
        <v>45039.458333333336</v>
      </c>
      <c r="C2701" s="2">
        <v>4.3055555555555562E-2</v>
      </c>
      <c r="D2701" s="3">
        <v>3845</v>
      </c>
      <c r="E2701" s="3">
        <v>369</v>
      </c>
      <c r="F2701" s="2">
        <v>14.172916666666666</v>
      </c>
      <c r="G2701" t="s">
        <v>2815</v>
      </c>
      <c r="H2701" t="s">
        <v>2820</v>
      </c>
      <c r="I2701" s="2">
        <v>8.6111111111111124E-2</v>
      </c>
      <c r="J2701" s="4" t="str">
        <f>IF(Table1[[#This Row],[processing_time_hours]]&gt;1.5,"Slow", "Fast")</f>
        <v>Fast</v>
      </c>
      <c r="K2701" t="s">
        <v>2814</v>
      </c>
      <c r="L2701" s="3">
        <v>1</v>
      </c>
      <c r="M2701" t="str">
        <f>IF(Table1[[#This Row],[delayed]]=1,"Delayed","On Time")</f>
        <v>Delayed</v>
      </c>
      <c r="N2701" t="str">
        <f>IF(AND(Table1[[#This Row],[delayed]]=1,Table1[[#This Row],[weather_condition]]="Storm"),"High Risk", IF(Table1[[#This Row],[delayed]]=1,"Medium Risk","Low Risk"))</f>
        <v>Medium Risk</v>
      </c>
    </row>
    <row r="2702" spans="1:14" x14ac:dyDescent="0.35">
      <c r="A2702">
        <v>2701</v>
      </c>
      <c r="B2702" s="1">
        <v>45039.5</v>
      </c>
      <c r="C2702" s="2">
        <v>5.2083333333333336E-2</v>
      </c>
      <c r="D2702" s="3">
        <v>3279</v>
      </c>
      <c r="E2702" s="3">
        <v>402</v>
      </c>
      <c r="F2702" s="2">
        <v>77.583333333333329</v>
      </c>
      <c r="G2702" t="s">
        <v>2815</v>
      </c>
      <c r="H2702" t="s">
        <v>2820</v>
      </c>
      <c r="I2702" s="2">
        <v>0.375</v>
      </c>
      <c r="J2702" s="4" t="str">
        <f>IF(Table1[[#This Row],[processing_time_hours]]&gt;1.5,"Slow", "Fast")</f>
        <v>Fast</v>
      </c>
      <c r="K2702" t="s">
        <v>2818</v>
      </c>
      <c r="L2702" s="3">
        <v>1</v>
      </c>
      <c r="M2702" t="str">
        <f>IF(Table1[[#This Row],[delayed]]=1,"Delayed","On Time")</f>
        <v>Delayed</v>
      </c>
      <c r="N2702" t="str">
        <f>IF(AND(Table1[[#This Row],[delayed]]=1,Table1[[#This Row],[weather_condition]]="Storm"),"High Risk", IF(Table1[[#This Row],[delayed]]=1,"Medium Risk","Low Risk"))</f>
        <v>Medium Risk</v>
      </c>
    </row>
    <row r="2703" spans="1:14" x14ac:dyDescent="0.35">
      <c r="A2703">
        <v>2702</v>
      </c>
      <c r="B2703" s="1">
        <v>45039.541666666664</v>
      </c>
      <c r="C2703" s="2">
        <v>5.4166666666666669E-2</v>
      </c>
      <c r="D2703" s="3">
        <v>2337</v>
      </c>
      <c r="E2703" s="3">
        <v>138</v>
      </c>
      <c r="F2703" s="2">
        <v>40.128472222222221</v>
      </c>
      <c r="G2703" t="s">
        <v>2815</v>
      </c>
      <c r="H2703" t="s">
        <v>2817</v>
      </c>
      <c r="I2703" s="2">
        <v>0.29166666666666669</v>
      </c>
      <c r="J2703" s="4" t="str">
        <f>IF(Table1[[#This Row],[processing_time_hours]]&gt;1.5,"Slow", "Fast")</f>
        <v>Fast</v>
      </c>
      <c r="K2703" t="s">
        <v>2821</v>
      </c>
      <c r="L2703" s="3">
        <v>1</v>
      </c>
      <c r="M2703" t="str">
        <f>IF(Table1[[#This Row],[delayed]]=1,"Delayed","On Time")</f>
        <v>Delayed</v>
      </c>
      <c r="N2703" t="str">
        <f>IF(AND(Table1[[#This Row],[delayed]]=1,Table1[[#This Row],[weather_condition]]="Storm"),"High Risk", IF(Table1[[#This Row],[delayed]]=1,"Medium Risk","Low Risk"))</f>
        <v>High Risk</v>
      </c>
    </row>
    <row r="2704" spans="1:14" x14ac:dyDescent="0.35">
      <c r="A2704">
        <v>2703</v>
      </c>
      <c r="B2704" s="1">
        <v>45039.583333333336</v>
      </c>
      <c r="C2704" s="2">
        <v>5.6944444444444443E-2</v>
      </c>
      <c r="D2704" s="3">
        <v>1846</v>
      </c>
      <c r="E2704" s="3">
        <v>127</v>
      </c>
      <c r="F2704" s="2">
        <v>4.2513888888888891</v>
      </c>
      <c r="G2704" t="s">
        <v>2819</v>
      </c>
      <c r="H2704" t="s">
        <v>2813</v>
      </c>
      <c r="I2704" s="2">
        <v>1.0062499999999999</v>
      </c>
      <c r="J2704" s="4" t="str">
        <f>IF(Table1[[#This Row],[processing_time_hours]]&gt;1.5,"Slow", "Fast")</f>
        <v>Fast</v>
      </c>
      <c r="K2704" t="s">
        <v>2814</v>
      </c>
      <c r="L2704" s="3">
        <v>0</v>
      </c>
      <c r="M2704" t="str">
        <f>IF(Table1[[#This Row],[delayed]]=1,"Delayed","On Time")</f>
        <v>On Time</v>
      </c>
      <c r="N2704" t="str">
        <f>IF(AND(Table1[[#This Row],[delayed]]=1,Table1[[#This Row],[weather_condition]]="Storm"),"High Risk", IF(Table1[[#This Row],[delayed]]=1,"Medium Risk","Low Risk"))</f>
        <v>Low Risk</v>
      </c>
    </row>
    <row r="2705" spans="1:14" x14ac:dyDescent="0.35">
      <c r="A2705">
        <v>2704</v>
      </c>
      <c r="B2705" s="1">
        <v>45039.625</v>
      </c>
      <c r="C2705" s="2">
        <v>4.3750000000000004E-2</v>
      </c>
      <c r="D2705" s="3">
        <v>3084</v>
      </c>
      <c r="E2705" s="3">
        <v>284</v>
      </c>
      <c r="F2705" s="2">
        <v>21.333333333333332</v>
      </c>
      <c r="G2705" t="s">
        <v>2819</v>
      </c>
      <c r="H2705" t="s">
        <v>2813</v>
      </c>
      <c r="I2705" s="2">
        <v>2.9624999999999999</v>
      </c>
      <c r="J2705" s="4" t="str">
        <f>IF(Table1[[#This Row],[processing_time_hours]]&gt;1.5,"Slow", "Fast")</f>
        <v>Slow</v>
      </c>
      <c r="K2705" t="s">
        <v>2814</v>
      </c>
      <c r="L2705" s="3">
        <v>1</v>
      </c>
      <c r="M2705" t="str">
        <f>IF(Table1[[#This Row],[delayed]]=1,"Delayed","On Time")</f>
        <v>Delayed</v>
      </c>
      <c r="N2705" t="str">
        <f>IF(AND(Table1[[#This Row],[delayed]]=1,Table1[[#This Row],[weather_condition]]="Storm"),"High Risk", IF(Table1[[#This Row],[delayed]]=1,"Medium Risk","Low Risk"))</f>
        <v>Medium Risk</v>
      </c>
    </row>
    <row r="2706" spans="1:14" x14ac:dyDescent="0.35">
      <c r="A2706">
        <v>2705</v>
      </c>
      <c r="B2706" s="1">
        <v>45039.666666666664</v>
      </c>
      <c r="C2706" s="2">
        <v>5.6944444444444443E-2</v>
      </c>
      <c r="D2706" s="3">
        <v>2701</v>
      </c>
      <c r="E2706" s="3">
        <v>87</v>
      </c>
      <c r="F2706" s="2">
        <v>82.044444444444437</v>
      </c>
      <c r="G2706" t="s">
        <v>2819</v>
      </c>
      <c r="H2706" t="s">
        <v>2817</v>
      </c>
      <c r="I2706" s="2">
        <v>2.8756944444444446</v>
      </c>
      <c r="J2706" s="4" t="str">
        <f>IF(Table1[[#This Row],[processing_time_hours]]&gt;1.5,"Slow", "Fast")</f>
        <v>Slow</v>
      </c>
      <c r="K2706" t="s">
        <v>2818</v>
      </c>
      <c r="L2706" s="3">
        <v>0</v>
      </c>
      <c r="M2706" t="str">
        <f>IF(Table1[[#This Row],[delayed]]=1,"Delayed","On Time")</f>
        <v>On Time</v>
      </c>
      <c r="N2706" t="str">
        <f>IF(AND(Table1[[#This Row],[delayed]]=1,Table1[[#This Row],[weather_condition]]="Storm"),"High Risk", IF(Table1[[#This Row],[delayed]]=1,"Medium Risk","Low Risk"))</f>
        <v>Low Risk</v>
      </c>
    </row>
    <row r="2707" spans="1:14" x14ac:dyDescent="0.35">
      <c r="A2707">
        <v>2706</v>
      </c>
      <c r="B2707" s="1">
        <v>45039.708333333336</v>
      </c>
      <c r="C2707" s="2">
        <v>6.805555555555555E-2</v>
      </c>
      <c r="D2707" s="3">
        <v>4834</v>
      </c>
      <c r="E2707" s="3">
        <v>353</v>
      </c>
      <c r="F2707" s="2">
        <v>15.459722222222224</v>
      </c>
      <c r="G2707" t="s">
        <v>2819</v>
      </c>
      <c r="H2707" t="s">
        <v>2820</v>
      </c>
      <c r="I2707" s="2">
        <v>2.0430555555555556</v>
      </c>
      <c r="J2707" s="4" t="str">
        <f>IF(Table1[[#This Row],[processing_time_hours]]&gt;1.5,"Slow", "Fast")</f>
        <v>Slow</v>
      </c>
      <c r="K2707" t="s">
        <v>2814</v>
      </c>
      <c r="L2707" s="3">
        <v>0</v>
      </c>
      <c r="M2707" t="str">
        <f>IF(Table1[[#This Row],[delayed]]=1,"Delayed","On Time")</f>
        <v>On Time</v>
      </c>
      <c r="N2707" t="str">
        <f>IF(AND(Table1[[#This Row],[delayed]]=1,Table1[[#This Row],[weather_condition]]="Storm"),"High Risk", IF(Table1[[#This Row],[delayed]]=1,"Medium Risk","Low Risk"))</f>
        <v>Low Risk</v>
      </c>
    </row>
    <row r="2708" spans="1:14" x14ac:dyDescent="0.35">
      <c r="A2708">
        <v>2707</v>
      </c>
      <c r="B2708" s="1">
        <v>45039.75</v>
      </c>
      <c r="C2708" s="2">
        <v>6.2499999999999995E-3</v>
      </c>
      <c r="D2708" s="3">
        <v>1196</v>
      </c>
      <c r="E2708" s="3">
        <v>382</v>
      </c>
      <c r="F2708" s="2">
        <v>2.0444444444444447</v>
      </c>
      <c r="G2708" t="s">
        <v>2816</v>
      </c>
      <c r="H2708" t="s">
        <v>2813</v>
      </c>
      <c r="I2708" s="2">
        <v>1.2138888888888888</v>
      </c>
      <c r="J2708" s="4" t="str">
        <f>IF(Table1[[#This Row],[processing_time_hours]]&gt;1.5,"Slow", "Fast")</f>
        <v>Fast</v>
      </c>
      <c r="K2708" t="s">
        <v>2821</v>
      </c>
      <c r="L2708" s="3">
        <v>1</v>
      </c>
      <c r="M2708" t="str">
        <f>IF(Table1[[#This Row],[delayed]]=1,"Delayed","On Time")</f>
        <v>Delayed</v>
      </c>
      <c r="N2708" t="str">
        <f>IF(AND(Table1[[#This Row],[delayed]]=1,Table1[[#This Row],[weather_condition]]="Storm"),"High Risk", IF(Table1[[#This Row],[delayed]]=1,"Medium Risk","Low Risk"))</f>
        <v>Medium Risk</v>
      </c>
    </row>
    <row r="2709" spans="1:14" x14ac:dyDescent="0.35">
      <c r="A2709">
        <v>2708</v>
      </c>
      <c r="B2709" s="1">
        <v>45039.791666666664</v>
      </c>
      <c r="C2709" s="2">
        <v>6.1111111111111109E-2</v>
      </c>
      <c r="D2709" s="3">
        <v>2401</v>
      </c>
      <c r="E2709" s="3">
        <v>226</v>
      </c>
      <c r="F2709" s="2">
        <v>35.37777777777778</v>
      </c>
      <c r="G2709" t="s">
        <v>2815</v>
      </c>
      <c r="H2709" t="s">
        <v>2820</v>
      </c>
      <c r="I2709" s="2">
        <v>1.2541666666666667</v>
      </c>
      <c r="J2709" s="4" t="str">
        <f>IF(Table1[[#This Row],[processing_time_hours]]&gt;1.5,"Slow", "Fast")</f>
        <v>Fast</v>
      </c>
      <c r="K2709" t="s">
        <v>2814</v>
      </c>
      <c r="L2709" s="3">
        <v>0</v>
      </c>
      <c r="M2709" t="str">
        <f>IF(Table1[[#This Row],[delayed]]=1,"Delayed","On Time")</f>
        <v>On Time</v>
      </c>
      <c r="N2709" t="str">
        <f>IF(AND(Table1[[#This Row],[delayed]]=1,Table1[[#This Row],[weather_condition]]="Storm"),"High Risk", IF(Table1[[#This Row],[delayed]]=1,"Medium Risk","Low Risk"))</f>
        <v>Low Risk</v>
      </c>
    </row>
    <row r="2710" spans="1:14" x14ac:dyDescent="0.35">
      <c r="A2710">
        <v>2709</v>
      </c>
      <c r="B2710" s="1">
        <v>45039.833333333336</v>
      </c>
      <c r="C2710" s="2">
        <v>5.6250000000000001E-2</v>
      </c>
      <c r="D2710" s="3">
        <v>2092</v>
      </c>
      <c r="E2710" s="3">
        <v>475</v>
      </c>
      <c r="F2710" s="2">
        <v>79.33819444444444</v>
      </c>
      <c r="G2710" t="s">
        <v>2816</v>
      </c>
      <c r="H2710" t="s">
        <v>2822</v>
      </c>
      <c r="I2710" s="2">
        <v>2.7979166666666671</v>
      </c>
      <c r="J2710" s="4" t="str">
        <f>IF(Table1[[#This Row],[processing_time_hours]]&gt;1.5,"Slow", "Fast")</f>
        <v>Slow</v>
      </c>
      <c r="K2710" t="s">
        <v>2818</v>
      </c>
      <c r="L2710" s="3">
        <v>0</v>
      </c>
      <c r="M2710" t="str">
        <f>IF(Table1[[#This Row],[delayed]]=1,"Delayed","On Time")</f>
        <v>On Time</v>
      </c>
      <c r="N2710" t="str">
        <f>IF(AND(Table1[[#This Row],[delayed]]=1,Table1[[#This Row],[weather_condition]]="Storm"),"High Risk", IF(Table1[[#This Row],[delayed]]=1,"Medium Risk","Low Risk"))</f>
        <v>Low Risk</v>
      </c>
    </row>
    <row r="2711" spans="1:14" x14ac:dyDescent="0.35">
      <c r="A2711">
        <v>2710</v>
      </c>
      <c r="B2711" s="1">
        <v>45039.875</v>
      </c>
      <c r="C2711" s="2">
        <v>6.5972222222222224E-2</v>
      </c>
      <c r="D2711" s="3">
        <v>1126</v>
      </c>
      <c r="E2711" s="3">
        <v>34</v>
      </c>
      <c r="F2711" s="2">
        <v>19.379166666666666</v>
      </c>
      <c r="G2711" t="s">
        <v>2812</v>
      </c>
      <c r="H2711" t="s">
        <v>2817</v>
      </c>
      <c r="I2711" s="2">
        <v>0.5</v>
      </c>
      <c r="J2711" s="4" t="str">
        <f>IF(Table1[[#This Row],[processing_time_hours]]&gt;1.5,"Slow", "Fast")</f>
        <v>Fast</v>
      </c>
      <c r="K2711" t="s">
        <v>2821</v>
      </c>
      <c r="L2711" s="3">
        <v>0</v>
      </c>
      <c r="M2711" t="str">
        <f>IF(Table1[[#This Row],[delayed]]=1,"Delayed","On Time")</f>
        <v>On Time</v>
      </c>
      <c r="N2711" t="str">
        <f>IF(AND(Table1[[#This Row],[delayed]]=1,Table1[[#This Row],[weather_condition]]="Storm"),"High Risk", IF(Table1[[#This Row],[delayed]]=1,"Medium Risk","Low Risk"))</f>
        <v>Low Risk</v>
      </c>
    </row>
    <row r="2712" spans="1:14" x14ac:dyDescent="0.35">
      <c r="A2712">
        <v>2711</v>
      </c>
      <c r="B2712" s="1">
        <v>45039.916666666664</v>
      </c>
      <c r="C2712" s="2">
        <v>4.4444444444444446E-2</v>
      </c>
      <c r="D2712" s="3">
        <v>2381</v>
      </c>
      <c r="E2712" s="3">
        <v>125</v>
      </c>
      <c r="F2712" s="2">
        <v>81.547222222222231</v>
      </c>
      <c r="G2712" t="s">
        <v>2819</v>
      </c>
      <c r="H2712" t="s">
        <v>2822</v>
      </c>
      <c r="I2712" s="2">
        <v>2.5895833333333331</v>
      </c>
      <c r="J2712" s="4" t="str">
        <f>IF(Table1[[#This Row],[processing_time_hours]]&gt;1.5,"Slow", "Fast")</f>
        <v>Slow</v>
      </c>
      <c r="K2712" t="s">
        <v>2818</v>
      </c>
      <c r="L2712" s="3">
        <v>0</v>
      </c>
      <c r="M2712" t="str">
        <f>IF(Table1[[#This Row],[delayed]]=1,"Delayed","On Time")</f>
        <v>On Time</v>
      </c>
      <c r="N2712" t="str">
        <f>IF(AND(Table1[[#This Row],[delayed]]=1,Table1[[#This Row],[weather_condition]]="Storm"),"High Risk", IF(Table1[[#This Row],[delayed]]=1,"Medium Risk","Low Risk"))</f>
        <v>Low Risk</v>
      </c>
    </row>
    <row r="2713" spans="1:14" x14ac:dyDescent="0.35">
      <c r="A2713">
        <v>2712</v>
      </c>
      <c r="B2713" s="1">
        <v>45039.958333333336</v>
      </c>
      <c r="C2713" s="2">
        <v>6.3194444444444442E-2</v>
      </c>
      <c r="D2713" s="3">
        <v>3869</v>
      </c>
      <c r="E2713" s="3">
        <v>440</v>
      </c>
      <c r="F2713" s="2">
        <v>72.876388888888883</v>
      </c>
      <c r="G2713" t="s">
        <v>2812</v>
      </c>
      <c r="H2713" t="s">
        <v>2817</v>
      </c>
      <c r="I2713" s="2">
        <v>0.46319444444444446</v>
      </c>
      <c r="J2713" s="4" t="str">
        <f>IF(Table1[[#This Row],[processing_time_hours]]&gt;1.5,"Slow", "Fast")</f>
        <v>Fast</v>
      </c>
      <c r="K2713" t="s">
        <v>2814</v>
      </c>
      <c r="L2713" s="3">
        <v>0</v>
      </c>
      <c r="M2713" t="str">
        <f>IF(Table1[[#This Row],[delayed]]=1,"Delayed","On Time")</f>
        <v>On Time</v>
      </c>
      <c r="N2713" t="str">
        <f>IF(AND(Table1[[#This Row],[delayed]]=1,Table1[[#This Row],[weather_condition]]="Storm"),"High Risk", IF(Table1[[#This Row],[delayed]]=1,"Medium Risk","Low Risk"))</f>
        <v>Low Risk</v>
      </c>
    </row>
    <row r="2714" spans="1:14" x14ac:dyDescent="0.35">
      <c r="A2714">
        <v>2713</v>
      </c>
      <c r="B2714" s="1">
        <v>45040</v>
      </c>
      <c r="C2714" s="2">
        <v>6.1805555555555558E-2</v>
      </c>
      <c r="D2714" s="3">
        <v>2326</v>
      </c>
      <c r="E2714" s="3">
        <v>440</v>
      </c>
      <c r="F2714" s="2">
        <v>71.75</v>
      </c>
      <c r="G2714" t="s">
        <v>2816</v>
      </c>
      <c r="H2714" t="s">
        <v>2822</v>
      </c>
      <c r="I2714" s="2">
        <v>0.46111111111111108</v>
      </c>
      <c r="J2714" s="4" t="str">
        <f>IF(Table1[[#This Row],[processing_time_hours]]&gt;1.5,"Slow", "Fast")</f>
        <v>Fast</v>
      </c>
      <c r="K2714" t="s">
        <v>2821</v>
      </c>
      <c r="L2714" s="3">
        <v>0</v>
      </c>
      <c r="M2714" t="str">
        <f>IF(Table1[[#This Row],[delayed]]=1,"Delayed","On Time")</f>
        <v>On Time</v>
      </c>
      <c r="N2714" t="str">
        <f>IF(AND(Table1[[#This Row],[delayed]]=1,Table1[[#This Row],[weather_condition]]="Storm"),"High Risk", IF(Table1[[#This Row],[delayed]]=1,"Medium Risk","Low Risk"))</f>
        <v>Low Risk</v>
      </c>
    </row>
    <row r="2715" spans="1:14" x14ac:dyDescent="0.35">
      <c r="A2715">
        <v>2714</v>
      </c>
      <c r="B2715" s="1">
        <v>45040.041666666664</v>
      </c>
      <c r="C2715" s="2">
        <v>5.2083333333333336E-2</v>
      </c>
      <c r="D2715" s="3">
        <v>674</v>
      </c>
      <c r="E2715" s="3">
        <v>30</v>
      </c>
      <c r="F2715" s="2">
        <v>48.83680555555555</v>
      </c>
      <c r="G2715" t="s">
        <v>2816</v>
      </c>
      <c r="H2715" t="s">
        <v>2813</v>
      </c>
      <c r="I2715" s="2">
        <v>0.12916666666666668</v>
      </c>
      <c r="J2715" s="4" t="str">
        <f>IF(Table1[[#This Row],[processing_time_hours]]&gt;1.5,"Slow", "Fast")</f>
        <v>Fast</v>
      </c>
      <c r="K2715" t="s">
        <v>2821</v>
      </c>
      <c r="L2715" s="3">
        <v>1</v>
      </c>
      <c r="M2715" t="str">
        <f>IF(Table1[[#This Row],[delayed]]=1,"Delayed","On Time")</f>
        <v>Delayed</v>
      </c>
      <c r="N2715" t="str">
        <f>IF(AND(Table1[[#This Row],[delayed]]=1,Table1[[#This Row],[weather_condition]]="Storm"),"High Risk", IF(Table1[[#This Row],[delayed]]=1,"Medium Risk","Low Risk"))</f>
        <v>Medium Risk</v>
      </c>
    </row>
    <row r="2716" spans="1:14" x14ac:dyDescent="0.35">
      <c r="A2716">
        <v>2715</v>
      </c>
      <c r="B2716" s="1">
        <v>45040.083333333336</v>
      </c>
      <c r="C2716" s="2">
        <v>5.5555555555555558E-3</v>
      </c>
      <c r="D2716" s="3">
        <v>649</v>
      </c>
      <c r="E2716" s="3">
        <v>399</v>
      </c>
      <c r="F2716" s="2">
        <v>23.500694444444445</v>
      </c>
      <c r="G2716" t="s">
        <v>2819</v>
      </c>
      <c r="H2716" t="s">
        <v>2813</v>
      </c>
      <c r="I2716" s="2">
        <v>0.12569444444444444</v>
      </c>
      <c r="J2716" s="4" t="str">
        <f>IF(Table1[[#This Row],[processing_time_hours]]&gt;1.5,"Slow", "Fast")</f>
        <v>Fast</v>
      </c>
      <c r="K2716" t="s">
        <v>2821</v>
      </c>
      <c r="L2716" s="3">
        <v>0</v>
      </c>
      <c r="M2716" t="str">
        <f>IF(Table1[[#This Row],[delayed]]=1,"Delayed","On Time")</f>
        <v>On Time</v>
      </c>
      <c r="N2716" t="str">
        <f>IF(AND(Table1[[#This Row],[delayed]]=1,Table1[[#This Row],[weather_condition]]="Storm"),"High Risk", IF(Table1[[#This Row],[delayed]]=1,"Medium Risk","Low Risk"))</f>
        <v>Low Risk</v>
      </c>
    </row>
    <row r="2717" spans="1:14" x14ac:dyDescent="0.35">
      <c r="A2717">
        <v>2716</v>
      </c>
      <c r="B2717" s="1">
        <v>45040.125</v>
      </c>
      <c r="C2717" s="2">
        <v>4.5833333333333337E-2</v>
      </c>
      <c r="D2717" s="3">
        <v>4277</v>
      </c>
      <c r="E2717" s="3">
        <v>84</v>
      </c>
      <c r="F2717" s="2">
        <v>49.834722222222219</v>
      </c>
      <c r="G2717" t="s">
        <v>2812</v>
      </c>
      <c r="H2717" t="s">
        <v>2817</v>
      </c>
      <c r="I2717" s="2">
        <v>2</v>
      </c>
      <c r="J2717" s="4" t="str">
        <f>IF(Table1[[#This Row],[processing_time_hours]]&gt;1.5,"Slow", "Fast")</f>
        <v>Slow</v>
      </c>
      <c r="K2717" t="s">
        <v>2814</v>
      </c>
      <c r="L2717" s="3">
        <v>0</v>
      </c>
      <c r="M2717" t="str">
        <f>IF(Table1[[#This Row],[delayed]]=1,"Delayed","On Time")</f>
        <v>On Time</v>
      </c>
      <c r="N2717" t="str">
        <f>IF(AND(Table1[[#This Row],[delayed]]=1,Table1[[#This Row],[weather_condition]]="Storm"),"High Risk", IF(Table1[[#This Row],[delayed]]=1,"Medium Risk","Low Risk"))</f>
        <v>Low Risk</v>
      </c>
    </row>
    <row r="2718" spans="1:14" x14ac:dyDescent="0.35">
      <c r="A2718">
        <v>2717</v>
      </c>
      <c r="B2718" s="1">
        <v>45040.166666666664</v>
      </c>
      <c r="C2718" s="2">
        <v>4.1666666666666666E-3</v>
      </c>
      <c r="D2718" s="3">
        <v>1450</v>
      </c>
      <c r="E2718" s="3">
        <v>85</v>
      </c>
      <c r="F2718" s="2">
        <v>73.795833333333334</v>
      </c>
      <c r="G2718" t="s">
        <v>2816</v>
      </c>
      <c r="H2718" t="s">
        <v>2817</v>
      </c>
      <c r="I2718" s="2">
        <v>2.2527777777777778</v>
      </c>
      <c r="J2718" s="4" t="str">
        <f>IF(Table1[[#This Row],[processing_time_hours]]&gt;1.5,"Slow", "Fast")</f>
        <v>Slow</v>
      </c>
      <c r="K2718" t="s">
        <v>2814</v>
      </c>
      <c r="L2718" s="3">
        <v>1</v>
      </c>
      <c r="M2718" t="str">
        <f>IF(Table1[[#This Row],[delayed]]=1,"Delayed","On Time")</f>
        <v>Delayed</v>
      </c>
      <c r="N2718" t="str">
        <f>IF(AND(Table1[[#This Row],[delayed]]=1,Table1[[#This Row],[weather_condition]]="Storm"),"High Risk", IF(Table1[[#This Row],[delayed]]=1,"Medium Risk","Low Risk"))</f>
        <v>High Risk</v>
      </c>
    </row>
    <row r="2719" spans="1:14" x14ac:dyDescent="0.35">
      <c r="A2719">
        <v>2718</v>
      </c>
      <c r="B2719" s="1">
        <v>45040.208333333336</v>
      </c>
      <c r="C2719" s="2">
        <v>5.0694444444444438E-2</v>
      </c>
      <c r="D2719" s="3">
        <v>4971</v>
      </c>
      <c r="E2719" s="3">
        <v>466</v>
      </c>
      <c r="F2719" s="2">
        <v>29.836805555555557</v>
      </c>
      <c r="G2719" t="s">
        <v>2816</v>
      </c>
      <c r="H2719" t="s">
        <v>2813</v>
      </c>
      <c r="I2719" s="2">
        <v>2.2090277777777776</v>
      </c>
      <c r="J2719" s="4" t="str">
        <f>IF(Table1[[#This Row],[processing_time_hours]]&gt;1.5,"Slow", "Fast")</f>
        <v>Slow</v>
      </c>
      <c r="K2719" t="s">
        <v>2814</v>
      </c>
      <c r="L2719" s="3">
        <v>0</v>
      </c>
      <c r="M2719" t="str">
        <f>IF(Table1[[#This Row],[delayed]]=1,"Delayed","On Time")</f>
        <v>On Time</v>
      </c>
      <c r="N2719" t="str">
        <f>IF(AND(Table1[[#This Row],[delayed]]=1,Table1[[#This Row],[weather_condition]]="Storm"),"High Risk", IF(Table1[[#This Row],[delayed]]=1,"Medium Risk","Low Risk"))</f>
        <v>Low Risk</v>
      </c>
    </row>
    <row r="2720" spans="1:14" x14ac:dyDescent="0.35">
      <c r="A2720">
        <v>2719</v>
      </c>
      <c r="B2720" s="1">
        <v>45040.25</v>
      </c>
      <c r="C2720" s="2">
        <v>5.1388888888888894E-2</v>
      </c>
      <c r="D2720" s="3">
        <v>644</v>
      </c>
      <c r="E2720" s="3">
        <v>471</v>
      </c>
      <c r="F2720" s="2">
        <v>33.75</v>
      </c>
      <c r="G2720" t="s">
        <v>2812</v>
      </c>
      <c r="H2720" t="s">
        <v>2822</v>
      </c>
      <c r="I2720" s="2">
        <v>1.2562499999999999</v>
      </c>
      <c r="J2720" s="4" t="str">
        <f>IF(Table1[[#This Row],[processing_time_hours]]&gt;1.5,"Slow", "Fast")</f>
        <v>Fast</v>
      </c>
      <c r="K2720" t="s">
        <v>2818</v>
      </c>
      <c r="L2720" s="3">
        <v>1</v>
      </c>
      <c r="M2720" t="str">
        <f>IF(Table1[[#This Row],[delayed]]=1,"Delayed","On Time")</f>
        <v>Delayed</v>
      </c>
      <c r="N2720" t="str">
        <f>IF(AND(Table1[[#This Row],[delayed]]=1,Table1[[#This Row],[weather_condition]]="Storm"),"High Risk", IF(Table1[[#This Row],[delayed]]=1,"Medium Risk","Low Risk"))</f>
        <v>Medium Risk</v>
      </c>
    </row>
    <row r="2721" spans="1:14" x14ac:dyDescent="0.35">
      <c r="A2721">
        <v>2720</v>
      </c>
      <c r="B2721" s="1">
        <v>45040.291666666664</v>
      </c>
      <c r="C2721" s="2">
        <v>5.6250000000000001E-2</v>
      </c>
      <c r="D2721" s="3">
        <v>1156</v>
      </c>
      <c r="E2721" s="3">
        <v>450</v>
      </c>
      <c r="F2721" s="2">
        <v>30.709722222222222</v>
      </c>
      <c r="G2721" t="s">
        <v>2815</v>
      </c>
      <c r="H2721" t="s">
        <v>2822</v>
      </c>
      <c r="I2721" s="2">
        <v>1.91875</v>
      </c>
      <c r="J2721" s="4" t="str">
        <f>IF(Table1[[#This Row],[processing_time_hours]]&gt;1.5,"Slow", "Fast")</f>
        <v>Slow</v>
      </c>
      <c r="K2721" t="s">
        <v>2821</v>
      </c>
      <c r="L2721" s="3">
        <v>0</v>
      </c>
      <c r="M2721" t="str">
        <f>IF(Table1[[#This Row],[delayed]]=1,"Delayed","On Time")</f>
        <v>On Time</v>
      </c>
      <c r="N2721" t="str">
        <f>IF(AND(Table1[[#This Row],[delayed]]=1,Table1[[#This Row],[weather_condition]]="Storm"),"High Risk", IF(Table1[[#This Row],[delayed]]=1,"Medium Risk","Low Risk"))</f>
        <v>Low Risk</v>
      </c>
    </row>
    <row r="2722" spans="1:14" x14ac:dyDescent="0.35">
      <c r="A2722">
        <v>2721</v>
      </c>
      <c r="B2722" s="1">
        <v>45040.333333333336</v>
      </c>
      <c r="C2722" s="2">
        <v>5.1388888888888894E-2</v>
      </c>
      <c r="D2722" s="3">
        <v>842</v>
      </c>
      <c r="E2722" s="3">
        <v>473</v>
      </c>
      <c r="F2722" s="2">
        <v>5.6270833333333341</v>
      </c>
      <c r="G2722" t="s">
        <v>2819</v>
      </c>
      <c r="H2722" t="s">
        <v>2822</v>
      </c>
      <c r="I2722" s="2">
        <v>0.12916666666666668</v>
      </c>
      <c r="J2722" s="4" t="str">
        <f>IF(Table1[[#This Row],[processing_time_hours]]&gt;1.5,"Slow", "Fast")</f>
        <v>Fast</v>
      </c>
      <c r="K2722" t="s">
        <v>2818</v>
      </c>
      <c r="L2722" s="3">
        <v>1</v>
      </c>
      <c r="M2722" t="str">
        <f>IF(Table1[[#This Row],[delayed]]=1,"Delayed","On Time")</f>
        <v>Delayed</v>
      </c>
      <c r="N2722" t="str">
        <f>IF(AND(Table1[[#This Row],[delayed]]=1,Table1[[#This Row],[weather_condition]]="Storm"),"High Risk", IF(Table1[[#This Row],[delayed]]=1,"Medium Risk","Low Risk"))</f>
        <v>Medium Risk</v>
      </c>
    </row>
    <row r="2723" spans="1:14" x14ac:dyDescent="0.35">
      <c r="A2723">
        <v>2722</v>
      </c>
      <c r="B2723" s="1">
        <v>45040.375</v>
      </c>
      <c r="C2723" s="2">
        <v>6.6666666666666666E-2</v>
      </c>
      <c r="D2723" s="3">
        <v>4095</v>
      </c>
      <c r="E2723" s="3">
        <v>93</v>
      </c>
      <c r="F2723" s="2">
        <v>64.837499999999991</v>
      </c>
      <c r="G2723" t="s">
        <v>2812</v>
      </c>
      <c r="H2723" t="s">
        <v>2817</v>
      </c>
      <c r="I2723" s="2">
        <v>1.8388888888888888</v>
      </c>
      <c r="J2723" s="4" t="str">
        <f>IF(Table1[[#This Row],[processing_time_hours]]&gt;1.5,"Slow", "Fast")</f>
        <v>Slow</v>
      </c>
      <c r="K2723" t="s">
        <v>2821</v>
      </c>
      <c r="L2723" s="3">
        <v>0</v>
      </c>
      <c r="M2723" t="str">
        <f>IF(Table1[[#This Row],[delayed]]=1,"Delayed","On Time")</f>
        <v>On Time</v>
      </c>
      <c r="N2723" t="str">
        <f>IF(AND(Table1[[#This Row],[delayed]]=1,Table1[[#This Row],[weather_condition]]="Storm"),"High Risk", IF(Table1[[#This Row],[delayed]]=1,"Medium Risk","Low Risk"))</f>
        <v>Low Risk</v>
      </c>
    </row>
    <row r="2724" spans="1:14" x14ac:dyDescent="0.35">
      <c r="A2724">
        <v>2723</v>
      </c>
      <c r="B2724" s="1">
        <v>45040.416666666664</v>
      </c>
      <c r="C2724" s="2">
        <v>4.5833333333333337E-2</v>
      </c>
      <c r="D2724" s="3">
        <v>915</v>
      </c>
      <c r="E2724" s="3">
        <v>172</v>
      </c>
      <c r="F2724" s="2">
        <v>13.129861111111111</v>
      </c>
      <c r="G2724" t="s">
        <v>2812</v>
      </c>
      <c r="H2724" t="s">
        <v>2820</v>
      </c>
      <c r="I2724" s="2">
        <v>1.1708333333333334</v>
      </c>
      <c r="J2724" s="4" t="str">
        <f>IF(Table1[[#This Row],[processing_time_hours]]&gt;1.5,"Slow", "Fast")</f>
        <v>Fast</v>
      </c>
      <c r="K2724" t="s">
        <v>2818</v>
      </c>
      <c r="L2724" s="3">
        <v>0</v>
      </c>
      <c r="M2724" t="str">
        <f>IF(Table1[[#This Row],[delayed]]=1,"Delayed","On Time")</f>
        <v>On Time</v>
      </c>
      <c r="N2724" t="str">
        <f>IF(AND(Table1[[#This Row],[delayed]]=1,Table1[[#This Row],[weather_condition]]="Storm"),"High Risk", IF(Table1[[#This Row],[delayed]]=1,"Medium Risk","Low Risk"))</f>
        <v>Low Risk</v>
      </c>
    </row>
    <row r="2725" spans="1:14" x14ac:dyDescent="0.35">
      <c r="A2725">
        <v>2724</v>
      </c>
      <c r="B2725" s="1">
        <v>45040.458333333336</v>
      </c>
      <c r="C2725" s="2">
        <v>6.458333333333334E-2</v>
      </c>
      <c r="D2725" s="3">
        <v>2463</v>
      </c>
      <c r="E2725" s="3">
        <v>173</v>
      </c>
      <c r="F2725" s="2">
        <v>39.922916666666666</v>
      </c>
      <c r="G2725" t="s">
        <v>2819</v>
      </c>
      <c r="H2725" t="s">
        <v>2822</v>
      </c>
      <c r="I2725" s="2">
        <v>1.3381944444444445</v>
      </c>
      <c r="J2725" s="4" t="str">
        <f>IF(Table1[[#This Row],[processing_time_hours]]&gt;1.5,"Slow", "Fast")</f>
        <v>Fast</v>
      </c>
      <c r="K2725" t="s">
        <v>2821</v>
      </c>
      <c r="L2725" s="3">
        <v>1</v>
      </c>
      <c r="M2725" t="str">
        <f>IF(Table1[[#This Row],[delayed]]=1,"Delayed","On Time")</f>
        <v>Delayed</v>
      </c>
      <c r="N2725" t="str">
        <f>IF(AND(Table1[[#This Row],[delayed]]=1,Table1[[#This Row],[weather_condition]]="Storm"),"High Risk", IF(Table1[[#This Row],[delayed]]=1,"Medium Risk","Low Risk"))</f>
        <v>Medium Risk</v>
      </c>
    </row>
    <row r="2726" spans="1:14" x14ac:dyDescent="0.35">
      <c r="A2726">
        <v>2725</v>
      </c>
      <c r="B2726" s="1">
        <v>45040.5</v>
      </c>
      <c r="C2726" s="2">
        <v>5.6944444444444443E-2</v>
      </c>
      <c r="D2726" s="3">
        <v>4695</v>
      </c>
      <c r="E2726" s="3">
        <v>436</v>
      </c>
      <c r="F2726" s="2">
        <v>61.500694444444441</v>
      </c>
      <c r="G2726" t="s">
        <v>2812</v>
      </c>
      <c r="H2726" t="s">
        <v>2813</v>
      </c>
      <c r="I2726" s="2">
        <v>1.9597222222222221</v>
      </c>
      <c r="J2726" s="4" t="str">
        <f>IF(Table1[[#This Row],[processing_time_hours]]&gt;1.5,"Slow", "Fast")</f>
        <v>Slow</v>
      </c>
      <c r="K2726" t="s">
        <v>2821</v>
      </c>
      <c r="L2726" s="3">
        <v>1</v>
      </c>
      <c r="M2726" t="str">
        <f>IF(Table1[[#This Row],[delayed]]=1,"Delayed","On Time")</f>
        <v>Delayed</v>
      </c>
      <c r="N2726" t="str">
        <f>IF(AND(Table1[[#This Row],[delayed]]=1,Table1[[#This Row],[weather_condition]]="Storm"),"High Risk", IF(Table1[[#This Row],[delayed]]=1,"Medium Risk","Low Risk"))</f>
        <v>Medium Risk</v>
      </c>
    </row>
    <row r="2727" spans="1:14" x14ac:dyDescent="0.35">
      <c r="A2727">
        <v>2726</v>
      </c>
      <c r="B2727" s="1">
        <v>45040.541666666664</v>
      </c>
      <c r="C2727" s="2">
        <v>4.7916666666666663E-2</v>
      </c>
      <c r="D2727" s="3">
        <v>4669</v>
      </c>
      <c r="E2727" s="3">
        <v>100</v>
      </c>
      <c r="F2727" s="2">
        <v>62.127777777777773</v>
      </c>
      <c r="G2727" t="s">
        <v>2816</v>
      </c>
      <c r="H2727" t="s">
        <v>2822</v>
      </c>
      <c r="I2727" s="2">
        <v>2.5</v>
      </c>
      <c r="J2727" s="4" t="str">
        <f>IF(Table1[[#This Row],[processing_time_hours]]&gt;1.5,"Slow", "Fast")</f>
        <v>Slow</v>
      </c>
      <c r="K2727" t="s">
        <v>2818</v>
      </c>
      <c r="L2727" s="3">
        <v>1</v>
      </c>
      <c r="M2727" t="str">
        <f>IF(Table1[[#This Row],[delayed]]=1,"Delayed","On Time")</f>
        <v>Delayed</v>
      </c>
      <c r="N2727" t="str">
        <f>IF(AND(Table1[[#This Row],[delayed]]=1,Table1[[#This Row],[weather_condition]]="Storm"),"High Risk", IF(Table1[[#This Row],[delayed]]=1,"Medium Risk","Low Risk"))</f>
        <v>Medium Risk</v>
      </c>
    </row>
    <row r="2728" spans="1:14" x14ac:dyDescent="0.35">
      <c r="A2728">
        <v>2727</v>
      </c>
      <c r="B2728" s="1">
        <v>45040.583333333336</v>
      </c>
      <c r="C2728" s="2">
        <v>6.5972222222222224E-2</v>
      </c>
      <c r="D2728" s="3">
        <v>343</v>
      </c>
      <c r="E2728" s="3">
        <v>251</v>
      </c>
      <c r="F2728" s="2">
        <v>72.71319444444444</v>
      </c>
      <c r="G2728" t="s">
        <v>2812</v>
      </c>
      <c r="H2728" t="s">
        <v>2817</v>
      </c>
      <c r="I2728" s="2">
        <v>2.5034722222222223</v>
      </c>
      <c r="J2728" s="4" t="str">
        <f>IF(Table1[[#This Row],[processing_time_hours]]&gt;1.5,"Slow", "Fast")</f>
        <v>Slow</v>
      </c>
      <c r="K2728" t="s">
        <v>2821</v>
      </c>
      <c r="L2728" s="3">
        <v>0</v>
      </c>
      <c r="M2728" t="str">
        <f>IF(Table1[[#This Row],[delayed]]=1,"Delayed","On Time")</f>
        <v>On Time</v>
      </c>
      <c r="N2728" t="str">
        <f>IF(AND(Table1[[#This Row],[delayed]]=1,Table1[[#This Row],[weather_condition]]="Storm"),"High Risk", IF(Table1[[#This Row],[delayed]]=1,"Medium Risk","Low Risk"))</f>
        <v>Low Risk</v>
      </c>
    </row>
    <row r="2729" spans="1:14" x14ac:dyDescent="0.35">
      <c r="A2729">
        <v>2728</v>
      </c>
      <c r="B2729" s="1">
        <v>45040.625</v>
      </c>
      <c r="C2729" s="2">
        <v>5.6944444444444443E-2</v>
      </c>
      <c r="D2729" s="3">
        <v>1453</v>
      </c>
      <c r="E2729" s="3">
        <v>17</v>
      </c>
      <c r="F2729" s="2">
        <v>57.254861111111104</v>
      </c>
      <c r="G2729" t="s">
        <v>2819</v>
      </c>
      <c r="H2729" t="s">
        <v>2822</v>
      </c>
      <c r="I2729" s="2">
        <v>1.4625000000000001</v>
      </c>
      <c r="J2729" s="4" t="str">
        <f>IF(Table1[[#This Row],[processing_time_hours]]&gt;1.5,"Slow", "Fast")</f>
        <v>Fast</v>
      </c>
      <c r="K2729" t="s">
        <v>2818</v>
      </c>
      <c r="L2729" s="3">
        <v>0</v>
      </c>
      <c r="M2729" t="str">
        <f>IF(Table1[[#This Row],[delayed]]=1,"Delayed","On Time")</f>
        <v>On Time</v>
      </c>
      <c r="N2729" t="str">
        <f>IF(AND(Table1[[#This Row],[delayed]]=1,Table1[[#This Row],[weather_condition]]="Storm"),"High Risk", IF(Table1[[#This Row],[delayed]]=1,"Medium Risk","Low Risk"))</f>
        <v>Low Risk</v>
      </c>
    </row>
    <row r="2730" spans="1:14" x14ac:dyDescent="0.35">
      <c r="A2730">
        <v>2729</v>
      </c>
      <c r="B2730" s="1">
        <v>45040.666666666664</v>
      </c>
      <c r="C2730" s="2">
        <v>4.4444444444444446E-2</v>
      </c>
      <c r="D2730" s="3">
        <v>3904</v>
      </c>
      <c r="E2730" s="3">
        <v>261</v>
      </c>
      <c r="F2730" s="2">
        <v>70.042361111111106</v>
      </c>
      <c r="G2730" t="s">
        <v>2819</v>
      </c>
      <c r="H2730" t="s">
        <v>2813</v>
      </c>
      <c r="I2730" s="2">
        <v>0.12986111111111112</v>
      </c>
      <c r="J2730" s="4" t="str">
        <f>IF(Table1[[#This Row],[processing_time_hours]]&gt;1.5,"Slow", "Fast")</f>
        <v>Fast</v>
      </c>
      <c r="K2730" t="s">
        <v>2814</v>
      </c>
      <c r="L2730" s="3">
        <v>0</v>
      </c>
      <c r="M2730" t="str">
        <f>IF(Table1[[#This Row],[delayed]]=1,"Delayed","On Time")</f>
        <v>On Time</v>
      </c>
      <c r="N2730" t="str">
        <f>IF(AND(Table1[[#This Row],[delayed]]=1,Table1[[#This Row],[weather_condition]]="Storm"),"High Risk", IF(Table1[[#This Row],[delayed]]=1,"Medium Risk","Low Risk"))</f>
        <v>Low Risk</v>
      </c>
    </row>
    <row r="2731" spans="1:14" x14ac:dyDescent="0.35">
      <c r="A2731">
        <v>2730</v>
      </c>
      <c r="B2731" s="1">
        <v>45040.708333333336</v>
      </c>
      <c r="C2731" s="2">
        <v>6.5972222222222224E-2</v>
      </c>
      <c r="D2731" s="3">
        <v>4114</v>
      </c>
      <c r="E2731" s="3">
        <v>152</v>
      </c>
      <c r="F2731" s="2">
        <v>10.208333333333334</v>
      </c>
      <c r="G2731" t="s">
        <v>2815</v>
      </c>
      <c r="H2731" t="s">
        <v>2817</v>
      </c>
      <c r="I2731" s="2">
        <v>2.5444444444444447</v>
      </c>
      <c r="J2731" s="4" t="str">
        <f>IF(Table1[[#This Row],[processing_time_hours]]&gt;1.5,"Slow", "Fast")</f>
        <v>Slow</v>
      </c>
      <c r="K2731" t="s">
        <v>2814</v>
      </c>
      <c r="L2731" s="3">
        <v>1</v>
      </c>
      <c r="M2731" t="str">
        <f>IF(Table1[[#This Row],[delayed]]=1,"Delayed","On Time")</f>
        <v>Delayed</v>
      </c>
      <c r="N2731" t="str">
        <f>IF(AND(Table1[[#This Row],[delayed]]=1,Table1[[#This Row],[weather_condition]]="Storm"),"High Risk", IF(Table1[[#This Row],[delayed]]=1,"Medium Risk","Low Risk"))</f>
        <v>High Risk</v>
      </c>
    </row>
    <row r="2732" spans="1:14" x14ac:dyDescent="0.35">
      <c r="A2732">
        <v>2731</v>
      </c>
      <c r="B2732" s="1">
        <v>45040.75</v>
      </c>
      <c r="C2732" s="2">
        <v>4.9305555555555554E-2</v>
      </c>
      <c r="D2732" s="3">
        <v>1110</v>
      </c>
      <c r="E2732" s="3">
        <v>201</v>
      </c>
      <c r="F2732" s="2">
        <v>27.755555555555556</v>
      </c>
      <c r="G2732" t="s">
        <v>2816</v>
      </c>
      <c r="H2732" t="s">
        <v>2813</v>
      </c>
      <c r="I2732" s="2">
        <v>0.20972222222222223</v>
      </c>
      <c r="J2732" s="4" t="str">
        <f>IF(Table1[[#This Row],[processing_time_hours]]&gt;1.5,"Slow", "Fast")</f>
        <v>Fast</v>
      </c>
      <c r="K2732" t="s">
        <v>2818</v>
      </c>
      <c r="L2732" s="3">
        <v>0</v>
      </c>
      <c r="M2732" t="str">
        <f>IF(Table1[[#This Row],[delayed]]=1,"Delayed","On Time")</f>
        <v>On Time</v>
      </c>
      <c r="N2732" t="str">
        <f>IF(AND(Table1[[#This Row],[delayed]]=1,Table1[[#This Row],[weather_condition]]="Storm"),"High Risk", IF(Table1[[#This Row],[delayed]]=1,"Medium Risk","Low Risk"))</f>
        <v>Low Risk</v>
      </c>
    </row>
    <row r="2733" spans="1:14" x14ac:dyDescent="0.35">
      <c r="A2733">
        <v>2732</v>
      </c>
      <c r="B2733" s="1">
        <v>45040.791666666664</v>
      </c>
      <c r="C2733" s="2">
        <v>5.7638888888888885E-2</v>
      </c>
      <c r="D2733" s="3">
        <v>676</v>
      </c>
      <c r="E2733" s="3">
        <v>391</v>
      </c>
      <c r="F2733" s="2">
        <v>11.879166666666668</v>
      </c>
      <c r="G2733" t="s">
        <v>2816</v>
      </c>
      <c r="H2733" t="s">
        <v>2813</v>
      </c>
      <c r="I2733" s="2">
        <v>1.7145833333333333</v>
      </c>
      <c r="J2733" s="4" t="str">
        <f>IF(Table1[[#This Row],[processing_time_hours]]&gt;1.5,"Slow", "Fast")</f>
        <v>Slow</v>
      </c>
      <c r="K2733" t="s">
        <v>2818</v>
      </c>
      <c r="L2733" s="3">
        <v>0</v>
      </c>
      <c r="M2733" t="str">
        <f>IF(Table1[[#This Row],[delayed]]=1,"Delayed","On Time")</f>
        <v>On Time</v>
      </c>
      <c r="N2733" t="str">
        <f>IF(AND(Table1[[#This Row],[delayed]]=1,Table1[[#This Row],[weather_condition]]="Storm"),"High Risk", IF(Table1[[#This Row],[delayed]]=1,"Medium Risk","Low Risk"))</f>
        <v>Low Risk</v>
      </c>
    </row>
    <row r="2734" spans="1:14" x14ac:dyDescent="0.35">
      <c r="A2734">
        <v>2733</v>
      </c>
      <c r="B2734" s="1">
        <v>45040.833333333336</v>
      </c>
      <c r="C2734" s="2">
        <v>6.0416666666666667E-2</v>
      </c>
      <c r="D2734" s="3">
        <v>1564</v>
      </c>
      <c r="E2734" s="3">
        <v>466</v>
      </c>
      <c r="F2734" s="2">
        <v>26.045833333333334</v>
      </c>
      <c r="G2734" t="s">
        <v>2815</v>
      </c>
      <c r="H2734" t="s">
        <v>2822</v>
      </c>
      <c r="I2734" s="2">
        <v>0.25416666666666665</v>
      </c>
      <c r="J2734" s="4" t="str">
        <f>IF(Table1[[#This Row],[processing_time_hours]]&gt;1.5,"Slow", "Fast")</f>
        <v>Fast</v>
      </c>
      <c r="K2734" t="s">
        <v>2818</v>
      </c>
      <c r="L2734" s="3">
        <v>0</v>
      </c>
      <c r="M2734" t="str">
        <f>IF(Table1[[#This Row],[delayed]]=1,"Delayed","On Time")</f>
        <v>On Time</v>
      </c>
      <c r="N2734" t="str">
        <f>IF(AND(Table1[[#This Row],[delayed]]=1,Table1[[#This Row],[weather_condition]]="Storm"),"High Risk", IF(Table1[[#This Row],[delayed]]=1,"Medium Risk","Low Risk"))</f>
        <v>Low Risk</v>
      </c>
    </row>
    <row r="2735" spans="1:14" x14ac:dyDescent="0.35">
      <c r="A2735">
        <v>2734</v>
      </c>
      <c r="B2735" s="1">
        <v>45040.875</v>
      </c>
      <c r="C2735" s="2">
        <v>6.2499999999999995E-3</v>
      </c>
      <c r="D2735" s="3">
        <v>302</v>
      </c>
      <c r="E2735" s="3">
        <v>140</v>
      </c>
      <c r="F2735" s="2">
        <v>2.088888888888889</v>
      </c>
      <c r="G2735" t="s">
        <v>2815</v>
      </c>
      <c r="H2735" t="s">
        <v>2813</v>
      </c>
      <c r="I2735" s="2">
        <v>1.5034722222222223</v>
      </c>
      <c r="J2735" s="4" t="str">
        <f>IF(Table1[[#This Row],[processing_time_hours]]&gt;1.5,"Slow", "Fast")</f>
        <v>Slow</v>
      </c>
      <c r="K2735" t="s">
        <v>2814</v>
      </c>
      <c r="L2735" s="3">
        <v>0</v>
      </c>
      <c r="M2735" t="str">
        <f>IF(Table1[[#This Row],[delayed]]=1,"Delayed","On Time")</f>
        <v>On Time</v>
      </c>
      <c r="N2735" t="str">
        <f>IF(AND(Table1[[#This Row],[delayed]]=1,Table1[[#This Row],[weather_condition]]="Storm"),"High Risk", IF(Table1[[#This Row],[delayed]]=1,"Medium Risk","Low Risk"))</f>
        <v>Low Risk</v>
      </c>
    </row>
    <row r="2736" spans="1:14" x14ac:dyDescent="0.35">
      <c r="A2736">
        <v>2735</v>
      </c>
      <c r="B2736" s="1">
        <v>45040.916666666664</v>
      </c>
      <c r="C2736" s="2">
        <v>6.1805555555555558E-2</v>
      </c>
      <c r="D2736" s="3">
        <v>2720</v>
      </c>
      <c r="E2736" s="3">
        <v>97</v>
      </c>
      <c r="F2736" s="2">
        <v>27.709027777777777</v>
      </c>
      <c r="G2736" t="s">
        <v>2816</v>
      </c>
      <c r="H2736" t="s">
        <v>2820</v>
      </c>
      <c r="I2736" s="2">
        <v>2.5020833333333332</v>
      </c>
      <c r="J2736" s="4" t="str">
        <f>IF(Table1[[#This Row],[processing_time_hours]]&gt;1.5,"Slow", "Fast")</f>
        <v>Slow</v>
      </c>
      <c r="K2736" t="s">
        <v>2821</v>
      </c>
      <c r="L2736" s="3">
        <v>1</v>
      </c>
      <c r="M2736" t="str">
        <f>IF(Table1[[#This Row],[delayed]]=1,"Delayed","On Time")</f>
        <v>Delayed</v>
      </c>
      <c r="N2736" t="str">
        <f>IF(AND(Table1[[#This Row],[delayed]]=1,Table1[[#This Row],[weather_condition]]="Storm"),"High Risk", IF(Table1[[#This Row],[delayed]]=1,"Medium Risk","Low Risk"))</f>
        <v>Medium Risk</v>
      </c>
    </row>
    <row r="2737" spans="1:14" x14ac:dyDescent="0.35">
      <c r="A2737">
        <v>2736</v>
      </c>
      <c r="B2737" s="1">
        <v>45040.958333333336</v>
      </c>
      <c r="C2737" s="2">
        <v>6.458333333333334E-2</v>
      </c>
      <c r="D2737" s="3">
        <v>3113</v>
      </c>
      <c r="E2737" s="3">
        <v>156</v>
      </c>
      <c r="F2737" s="2">
        <v>66.756250000000009</v>
      </c>
      <c r="G2737" t="s">
        <v>2815</v>
      </c>
      <c r="H2737" t="s">
        <v>2817</v>
      </c>
      <c r="I2737" s="2">
        <v>1.8333333333333333</v>
      </c>
      <c r="J2737" s="4" t="str">
        <f>IF(Table1[[#This Row],[processing_time_hours]]&gt;1.5,"Slow", "Fast")</f>
        <v>Slow</v>
      </c>
      <c r="K2737" t="s">
        <v>2814</v>
      </c>
      <c r="L2737" s="3">
        <v>0</v>
      </c>
      <c r="M2737" t="str">
        <f>IF(Table1[[#This Row],[delayed]]=1,"Delayed","On Time")</f>
        <v>On Time</v>
      </c>
      <c r="N2737" t="str">
        <f>IF(AND(Table1[[#This Row],[delayed]]=1,Table1[[#This Row],[weather_condition]]="Storm"),"High Risk", IF(Table1[[#This Row],[delayed]]=1,"Medium Risk","Low Risk"))</f>
        <v>Low Risk</v>
      </c>
    </row>
    <row r="2738" spans="1:14" x14ac:dyDescent="0.35">
      <c r="A2738">
        <v>2737</v>
      </c>
      <c r="B2738" s="1">
        <v>45041</v>
      </c>
      <c r="C2738" s="2">
        <v>6.3194444444444442E-2</v>
      </c>
      <c r="D2738" s="3">
        <v>2731</v>
      </c>
      <c r="E2738" s="3">
        <v>73</v>
      </c>
      <c r="F2738" s="2">
        <v>49.418749999999996</v>
      </c>
      <c r="G2738" t="s">
        <v>2819</v>
      </c>
      <c r="H2738" t="s">
        <v>2813</v>
      </c>
      <c r="I2738" s="2">
        <v>0.58333333333333337</v>
      </c>
      <c r="J2738" s="4" t="str">
        <f>IF(Table1[[#This Row],[processing_time_hours]]&gt;1.5,"Slow", "Fast")</f>
        <v>Fast</v>
      </c>
      <c r="K2738" t="s">
        <v>2818</v>
      </c>
      <c r="L2738" s="3">
        <v>0</v>
      </c>
      <c r="M2738" t="str">
        <f>IF(Table1[[#This Row],[delayed]]=1,"Delayed","On Time")</f>
        <v>On Time</v>
      </c>
      <c r="N2738" t="str">
        <f>IF(AND(Table1[[#This Row],[delayed]]=1,Table1[[#This Row],[weather_condition]]="Storm"),"High Risk", IF(Table1[[#This Row],[delayed]]=1,"Medium Risk","Low Risk"))</f>
        <v>Low Risk</v>
      </c>
    </row>
    <row r="2739" spans="1:14" x14ac:dyDescent="0.35">
      <c r="A2739">
        <v>2738</v>
      </c>
      <c r="B2739" s="1">
        <v>45041.041666666664</v>
      </c>
      <c r="C2739" s="2">
        <v>4.7222222222222221E-2</v>
      </c>
      <c r="D2739" s="3">
        <v>1323</v>
      </c>
      <c r="E2739" s="3">
        <v>493</v>
      </c>
      <c r="F2739" s="2">
        <v>17.291666666666668</v>
      </c>
      <c r="G2739" t="s">
        <v>2815</v>
      </c>
      <c r="H2739" t="s">
        <v>2820</v>
      </c>
      <c r="I2739" s="2">
        <v>2.125</v>
      </c>
      <c r="J2739" s="4" t="str">
        <f>IF(Table1[[#This Row],[processing_time_hours]]&gt;1.5,"Slow", "Fast")</f>
        <v>Slow</v>
      </c>
      <c r="K2739" t="s">
        <v>2821</v>
      </c>
      <c r="L2739" s="3">
        <v>0</v>
      </c>
      <c r="M2739" t="str">
        <f>IF(Table1[[#This Row],[delayed]]=1,"Delayed","On Time")</f>
        <v>On Time</v>
      </c>
      <c r="N2739" t="str">
        <f>IF(AND(Table1[[#This Row],[delayed]]=1,Table1[[#This Row],[weather_condition]]="Storm"),"High Risk", IF(Table1[[#This Row],[delayed]]=1,"Medium Risk","Low Risk"))</f>
        <v>Low Risk</v>
      </c>
    </row>
    <row r="2740" spans="1:14" x14ac:dyDescent="0.35">
      <c r="A2740">
        <v>2739</v>
      </c>
      <c r="B2740" s="1">
        <v>45041.083333333336</v>
      </c>
      <c r="C2740" s="2">
        <v>5.6944444444444443E-2</v>
      </c>
      <c r="D2740" s="3">
        <v>397</v>
      </c>
      <c r="E2740" s="3">
        <v>285</v>
      </c>
      <c r="F2740" s="2">
        <v>53.629861111111104</v>
      </c>
      <c r="G2740" t="s">
        <v>2816</v>
      </c>
      <c r="H2740" t="s">
        <v>2822</v>
      </c>
      <c r="I2740" s="2">
        <v>2.625</v>
      </c>
      <c r="J2740" s="4" t="str">
        <f>IF(Table1[[#This Row],[processing_time_hours]]&gt;1.5,"Slow", "Fast")</f>
        <v>Slow</v>
      </c>
      <c r="K2740" t="s">
        <v>2818</v>
      </c>
      <c r="L2740" s="3">
        <v>1</v>
      </c>
      <c r="M2740" t="str">
        <f>IF(Table1[[#This Row],[delayed]]=1,"Delayed","On Time")</f>
        <v>Delayed</v>
      </c>
      <c r="N2740" t="str">
        <f>IF(AND(Table1[[#This Row],[delayed]]=1,Table1[[#This Row],[weather_condition]]="Storm"),"High Risk", IF(Table1[[#This Row],[delayed]]=1,"Medium Risk","Low Risk"))</f>
        <v>Medium Risk</v>
      </c>
    </row>
    <row r="2741" spans="1:14" x14ac:dyDescent="0.35">
      <c r="A2741">
        <v>2740</v>
      </c>
      <c r="B2741" s="1">
        <v>45041.125</v>
      </c>
      <c r="C2741" s="2">
        <v>5.5555555555555558E-3</v>
      </c>
      <c r="D2741" s="3">
        <v>4118</v>
      </c>
      <c r="E2741" s="3">
        <v>31</v>
      </c>
      <c r="F2741" s="2">
        <v>53.918055555555554</v>
      </c>
      <c r="G2741" t="s">
        <v>2815</v>
      </c>
      <c r="H2741" t="s">
        <v>2822</v>
      </c>
      <c r="I2741" s="2">
        <v>2.2520833333333332</v>
      </c>
      <c r="J2741" s="4" t="str">
        <f>IF(Table1[[#This Row],[processing_time_hours]]&gt;1.5,"Slow", "Fast")</f>
        <v>Slow</v>
      </c>
      <c r="K2741" t="s">
        <v>2821</v>
      </c>
      <c r="L2741" s="3">
        <v>0</v>
      </c>
      <c r="M2741" t="str">
        <f>IF(Table1[[#This Row],[delayed]]=1,"Delayed","On Time")</f>
        <v>On Time</v>
      </c>
      <c r="N2741" t="str">
        <f>IF(AND(Table1[[#This Row],[delayed]]=1,Table1[[#This Row],[weather_condition]]="Storm"),"High Risk", IF(Table1[[#This Row],[delayed]]=1,"Medium Risk","Low Risk"))</f>
        <v>Low Risk</v>
      </c>
    </row>
    <row r="2742" spans="1:14" x14ac:dyDescent="0.35">
      <c r="A2742">
        <v>2741</v>
      </c>
      <c r="B2742" s="1">
        <v>45041.166666666664</v>
      </c>
      <c r="C2742" s="2">
        <v>4.5138888888888888E-2</v>
      </c>
      <c r="D2742" s="3">
        <v>4923</v>
      </c>
      <c r="E2742" s="3">
        <v>495</v>
      </c>
      <c r="F2742" s="2">
        <v>42.211805555555557</v>
      </c>
      <c r="G2742" t="s">
        <v>2816</v>
      </c>
      <c r="H2742" t="s">
        <v>2822</v>
      </c>
      <c r="I2742" s="2">
        <v>1.2090277777777778</v>
      </c>
      <c r="J2742" s="4" t="str">
        <f>IF(Table1[[#This Row],[processing_time_hours]]&gt;1.5,"Slow", "Fast")</f>
        <v>Fast</v>
      </c>
      <c r="K2742" t="s">
        <v>2818</v>
      </c>
      <c r="L2742" s="3">
        <v>1</v>
      </c>
      <c r="M2742" t="str">
        <f>IF(Table1[[#This Row],[delayed]]=1,"Delayed","On Time")</f>
        <v>Delayed</v>
      </c>
      <c r="N2742" t="str">
        <f>IF(AND(Table1[[#This Row],[delayed]]=1,Table1[[#This Row],[weather_condition]]="Storm"),"High Risk", IF(Table1[[#This Row],[delayed]]=1,"Medium Risk","Low Risk"))</f>
        <v>Medium Risk</v>
      </c>
    </row>
    <row r="2743" spans="1:14" x14ac:dyDescent="0.35">
      <c r="A2743">
        <v>2742</v>
      </c>
      <c r="B2743" s="1">
        <v>45041.208333333336</v>
      </c>
      <c r="C2743" s="2">
        <v>5.3472222222222227E-2</v>
      </c>
      <c r="D2743" s="3">
        <v>2971</v>
      </c>
      <c r="E2743" s="3">
        <v>210</v>
      </c>
      <c r="F2743" s="2">
        <v>46.045138888888886</v>
      </c>
      <c r="G2743" t="s">
        <v>2816</v>
      </c>
      <c r="H2743" t="s">
        <v>2820</v>
      </c>
      <c r="I2743" s="2">
        <v>2.75</v>
      </c>
      <c r="J2743" s="4" t="str">
        <f>IF(Table1[[#This Row],[processing_time_hours]]&gt;1.5,"Slow", "Fast")</f>
        <v>Slow</v>
      </c>
      <c r="K2743" t="s">
        <v>2818</v>
      </c>
      <c r="L2743" s="3">
        <v>0</v>
      </c>
      <c r="M2743" t="str">
        <f>IF(Table1[[#This Row],[delayed]]=1,"Delayed","On Time")</f>
        <v>On Time</v>
      </c>
      <c r="N2743" t="str">
        <f>IF(AND(Table1[[#This Row],[delayed]]=1,Table1[[#This Row],[weather_condition]]="Storm"),"High Risk", IF(Table1[[#This Row],[delayed]]=1,"Medium Risk","Low Risk"))</f>
        <v>Low Risk</v>
      </c>
    </row>
    <row r="2744" spans="1:14" x14ac:dyDescent="0.35">
      <c r="A2744">
        <v>2743</v>
      </c>
      <c r="B2744" s="1">
        <v>45041.25</v>
      </c>
      <c r="C2744" s="2">
        <v>6.3194444444444442E-2</v>
      </c>
      <c r="D2744" s="3">
        <v>4960</v>
      </c>
      <c r="E2744" s="3">
        <v>154</v>
      </c>
      <c r="F2744" s="2">
        <v>1.2555555555555555</v>
      </c>
      <c r="G2744" t="s">
        <v>2812</v>
      </c>
      <c r="H2744" t="s">
        <v>2820</v>
      </c>
      <c r="I2744" s="2">
        <v>2.2111111111111112</v>
      </c>
      <c r="J2744" s="4" t="str">
        <f>IF(Table1[[#This Row],[processing_time_hours]]&gt;1.5,"Slow", "Fast")</f>
        <v>Slow</v>
      </c>
      <c r="K2744" t="s">
        <v>2814</v>
      </c>
      <c r="L2744" s="3">
        <v>1</v>
      </c>
      <c r="M2744" t="str">
        <f>IF(Table1[[#This Row],[delayed]]=1,"Delayed","On Time")</f>
        <v>Delayed</v>
      </c>
      <c r="N2744" t="str">
        <f>IF(AND(Table1[[#This Row],[delayed]]=1,Table1[[#This Row],[weather_condition]]="Storm"),"High Risk", IF(Table1[[#This Row],[delayed]]=1,"Medium Risk","Low Risk"))</f>
        <v>Medium Risk</v>
      </c>
    </row>
    <row r="2745" spans="1:14" x14ac:dyDescent="0.35">
      <c r="A2745">
        <v>2744</v>
      </c>
      <c r="B2745" s="1">
        <v>45041.291666666664</v>
      </c>
      <c r="C2745" s="2">
        <v>5.4166666666666669E-2</v>
      </c>
      <c r="D2745" s="3">
        <v>813</v>
      </c>
      <c r="E2745" s="3">
        <v>148</v>
      </c>
      <c r="F2745" s="2">
        <v>57.584722222222219</v>
      </c>
      <c r="G2745" t="s">
        <v>2819</v>
      </c>
      <c r="H2745" t="s">
        <v>2822</v>
      </c>
      <c r="I2745" s="2">
        <v>1.5013888888888889</v>
      </c>
      <c r="J2745" s="4" t="str">
        <f>IF(Table1[[#This Row],[processing_time_hours]]&gt;1.5,"Slow", "Fast")</f>
        <v>Slow</v>
      </c>
      <c r="K2745" t="s">
        <v>2821</v>
      </c>
      <c r="L2745" s="3">
        <v>0</v>
      </c>
      <c r="M2745" t="str">
        <f>IF(Table1[[#This Row],[delayed]]=1,"Delayed","On Time")</f>
        <v>On Time</v>
      </c>
      <c r="N2745" t="str">
        <f>IF(AND(Table1[[#This Row],[delayed]]=1,Table1[[#This Row],[weather_condition]]="Storm"),"High Risk", IF(Table1[[#This Row],[delayed]]=1,"Medium Risk","Low Risk"))</f>
        <v>Low Risk</v>
      </c>
    </row>
    <row r="2746" spans="1:14" x14ac:dyDescent="0.35">
      <c r="A2746">
        <v>2745</v>
      </c>
      <c r="B2746" s="1">
        <v>45041.333333333336</v>
      </c>
      <c r="C2746" s="2">
        <v>5.2777777777777778E-2</v>
      </c>
      <c r="D2746" s="3">
        <v>1988</v>
      </c>
      <c r="E2746" s="3">
        <v>261</v>
      </c>
      <c r="F2746" s="2">
        <v>76.00555555555556</v>
      </c>
      <c r="G2746" t="s">
        <v>2819</v>
      </c>
      <c r="H2746" t="s">
        <v>2822</v>
      </c>
      <c r="I2746" s="2">
        <v>0.50555555555555554</v>
      </c>
      <c r="J2746" s="4" t="str">
        <f>IF(Table1[[#This Row],[processing_time_hours]]&gt;1.5,"Slow", "Fast")</f>
        <v>Fast</v>
      </c>
      <c r="K2746" t="s">
        <v>2818</v>
      </c>
      <c r="L2746" s="3">
        <v>1</v>
      </c>
      <c r="M2746" t="str">
        <f>IF(Table1[[#This Row],[delayed]]=1,"Delayed","On Time")</f>
        <v>Delayed</v>
      </c>
      <c r="N2746" t="str">
        <f>IF(AND(Table1[[#This Row],[delayed]]=1,Table1[[#This Row],[weather_condition]]="Storm"),"High Risk", IF(Table1[[#This Row],[delayed]]=1,"Medium Risk","Low Risk"))</f>
        <v>Medium Risk</v>
      </c>
    </row>
    <row r="2747" spans="1:14" x14ac:dyDescent="0.35">
      <c r="A2747">
        <v>2746</v>
      </c>
      <c r="B2747" s="1">
        <v>45041.375</v>
      </c>
      <c r="C2747" s="2">
        <v>5.486111111111111E-2</v>
      </c>
      <c r="D2747" s="3">
        <v>1038</v>
      </c>
      <c r="E2747" s="3">
        <v>344</v>
      </c>
      <c r="F2747" s="2">
        <v>33.333333333333336</v>
      </c>
      <c r="G2747" t="s">
        <v>2816</v>
      </c>
      <c r="H2747" t="s">
        <v>2813</v>
      </c>
      <c r="I2747" s="2">
        <v>2.5854166666666667</v>
      </c>
      <c r="J2747" s="4" t="str">
        <f>IF(Table1[[#This Row],[processing_time_hours]]&gt;1.5,"Slow", "Fast")</f>
        <v>Slow</v>
      </c>
      <c r="K2747" t="s">
        <v>2821</v>
      </c>
      <c r="L2747" s="3">
        <v>1</v>
      </c>
      <c r="M2747" t="str">
        <f>IF(Table1[[#This Row],[delayed]]=1,"Delayed","On Time")</f>
        <v>Delayed</v>
      </c>
      <c r="N2747" t="str">
        <f>IF(AND(Table1[[#This Row],[delayed]]=1,Table1[[#This Row],[weather_condition]]="Storm"),"High Risk", IF(Table1[[#This Row],[delayed]]=1,"Medium Risk","Low Risk"))</f>
        <v>Medium Risk</v>
      </c>
    </row>
    <row r="2748" spans="1:14" x14ac:dyDescent="0.35">
      <c r="A2748">
        <v>2747</v>
      </c>
      <c r="B2748" s="1">
        <v>45041.416666666664</v>
      </c>
      <c r="C2748" s="2">
        <v>5.7638888888888885E-2</v>
      </c>
      <c r="D2748" s="3">
        <v>2077</v>
      </c>
      <c r="E2748" s="3">
        <v>461</v>
      </c>
      <c r="F2748" s="2">
        <v>52.920138888888886</v>
      </c>
      <c r="G2748" t="s">
        <v>2812</v>
      </c>
      <c r="H2748" t="s">
        <v>2817</v>
      </c>
      <c r="I2748" s="2">
        <v>2.963888888888889</v>
      </c>
      <c r="J2748" s="4" t="str">
        <f>IF(Table1[[#This Row],[processing_time_hours]]&gt;1.5,"Slow", "Fast")</f>
        <v>Slow</v>
      </c>
      <c r="K2748" t="s">
        <v>2818</v>
      </c>
      <c r="L2748" s="3">
        <v>0</v>
      </c>
      <c r="M2748" t="str">
        <f>IF(Table1[[#This Row],[delayed]]=1,"Delayed","On Time")</f>
        <v>On Time</v>
      </c>
      <c r="N2748" t="str">
        <f>IF(AND(Table1[[#This Row],[delayed]]=1,Table1[[#This Row],[weather_condition]]="Storm"),"High Risk", IF(Table1[[#This Row],[delayed]]=1,"Medium Risk","Low Risk"))</f>
        <v>Low Risk</v>
      </c>
    </row>
    <row r="2749" spans="1:14" x14ac:dyDescent="0.35">
      <c r="A2749">
        <v>2748</v>
      </c>
      <c r="B2749" s="1">
        <v>45041.458333333336</v>
      </c>
      <c r="C2749" s="2">
        <v>6.3194444444444442E-2</v>
      </c>
      <c r="D2749" s="3">
        <v>2769</v>
      </c>
      <c r="E2749" s="3">
        <v>339</v>
      </c>
      <c r="F2749" s="2">
        <v>80.922222222222231</v>
      </c>
      <c r="G2749" t="s">
        <v>2812</v>
      </c>
      <c r="H2749" t="s">
        <v>2813</v>
      </c>
      <c r="I2749" s="2">
        <v>4.3055555555555562E-2</v>
      </c>
      <c r="J2749" s="4" t="str">
        <f>IF(Table1[[#This Row],[processing_time_hours]]&gt;1.5,"Slow", "Fast")</f>
        <v>Fast</v>
      </c>
      <c r="K2749" t="s">
        <v>2821</v>
      </c>
      <c r="L2749" s="3">
        <v>0</v>
      </c>
      <c r="M2749" t="str">
        <f>IF(Table1[[#This Row],[delayed]]=1,"Delayed","On Time")</f>
        <v>On Time</v>
      </c>
      <c r="N2749" t="str">
        <f>IF(AND(Table1[[#This Row],[delayed]]=1,Table1[[#This Row],[weather_condition]]="Storm"),"High Risk", IF(Table1[[#This Row],[delayed]]=1,"Medium Risk","Low Risk"))</f>
        <v>Low Risk</v>
      </c>
    </row>
    <row r="2750" spans="1:14" x14ac:dyDescent="0.35">
      <c r="A2750">
        <v>2749</v>
      </c>
      <c r="B2750" s="1">
        <v>45041.5</v>
      </c>
      <c r="C2750" s="2">
        <v>6.5277777777777782E-2</v>
      </c>
      <c r="D2750" s="3">
        <v>2850</v>
      </c>
      <c r="E2750" s="3">
        <v>377</v>
      </c>
      <c r="F2750" s="2">
        <v>70.463888888888889</v>
      </c>
      <c r="G2750" t="s">
        <v>2812</v>
      </c>
      <c r="H2750" t="s">
        <v>2820</v>
      </c>
      <c r="I2750" s="2">
        <v>2.0055555555555555</v>
      </c>
      <c r="J2750" s="4" t="str">
        <f>IF(Table1[[#This Row],[processing_time_hours]]&gt;1.5,"Slow", "Fast")</f>
        <v>Slow</v>
      </c>
      <c r="K2750" t="s">
        <v>2814</v>
      </c>
      <c r="L2750" s="3">
        <v>1</v>
      </c>
      <c r="M2750" t="str">
        <f>IF(Table1[[#This Row],[delayed]]=1,"Delayed","On Time")</f>
        <v>Delayed</v>
      </c>
      <c r="N2750" t="str">
        <f>IF(AND(Table1[[#This Row],[delayed]]=1,Table1[[#This Row],[weather_condition]]="Storm"),"High Risk", IF(Table1[[#This Row],[delayed]]=1,"Medium Risk","Low Risk"))</f>
        <v>Medium Risk</v>
      </c>
    </row>
    <row r="2751" spans="1:14" x14ac:dyDescent="0.35">
      <c r="A2751">
        <v>2750</v>
      </c>
      <c r="B2751" s="1">
        <v>45041.541666666664</v>
      </c>
      <c r="C2751" s="2">
        <v>4.9999999999999996E-2</v>
      </c>
      <c r="D2751" s="3">
        <v>3674</v>
      </c>
      <c r="E2751" s="3">
        <v>78</v>
      </c>
      <c r="F2751" s="2">
        <v>12.544444444444444</v>
      </c>
      <c r="G2751" t="s">
        <v>2812</v>
      </c>
      <c r="H2751" t="s">
        <v>2813</v>
      </c>
      <c r="I2751" s="2">
        <v>1.3388888888888888</v>
      </c>
      <c r="J2751" s="4" t="str">
        <f>IF(Table1[[#This Row],[processing_time_hours]]&gt;1.5,"Slow", "Fast")</f>
        <v>Fast</v>
      </c>
      <c r="K2751" t="s">
        <v>2814</v>
      </c>
      <c r="L2751" s="3">
        <v>1</v>
      </c>
      <c r="M2751" t="str">
        <f>IF(Table1[[#This Row],[delayed]]=1,"Delayed","On Time")</f>
        <v>Delayed</v>
      </c>
      <c r="N2751" t="str">
        <f>IF(AND(Table1[[#This Row],[delayed]]=1,Table1[[#This Row],[weather_condition]]="Storm"),"High Risk", IF(Table1[[#This Row],[delayed]]=1,"Medium Risk","Low Risk"))</f>
        <v>Medium Risk</v>
      </c>
    </row>
    <row r="2752" spans="1:14" x14ac:dyDescent="0.35">
      <c r="A2752">
        <v>2751</v>
      </c>
      <c r="B2752" s="1">
        <v>45041.583333333336</v>
      </c>
      <c r="C2752" s="2">
        <v>4.9305555555555554E-2</v>
      </c>
      <c r="D2752" s="3">
        <v>3823</v>
      </c>
      <c r="E2752" s="3">
        <v>444</v>
      </c>
      <c r="F2752" s="2">
        <v>8.9180555555555561</v>
      </c>
      <c r="G2752" t="s">
        <v>2815</v>
      </c>
      <c r="H2752" t="s">
        <v>2822</v>
      </c>
      <c r="I2752" s="2">
        <v>1.2527777777777778</v>
      </c>
      <c r="J2752" s="4" t="str">
        <f>IF(Table1[[#This Row],[processing_time_hours]]&gt;1.5,"Slow", "Fast")</f>
        <v>Fast</v>
      </c>
      <c r="K2752" t="s">
        <v>2814</v>
      </c>
      <c r="L2752" s="3">
        <v>0</v>
      </c>
      <c r="M2752" t="str">
        <f>IF(Table1[[#This Row],[delayed]]=1,"Delayed","On Time")</f>
        <v>On Time</v>
      </c>
      <c r="N2752" t="str">
        <f>IF(AND(Table1[[#This Row],[delayed]]=1,Table1[[#This Row],[weather_condition]]="Storm"),"High Risk", IF(Table1[[#This Row],[delayed]]=1,"Medium Risk","Low Risk"))</f>
        <v>Low Risk</v>
      </c>
    </row>
    <row r="2753" spans="1:14" x14ac:dyDescent="0.35">
      <c r="A2753">
        <v>2752</v>
      </c>
      <c r="B2753" s="1">
        <v>45041.625</v>
      </c>
      <c r="C2753" s="2">
        <v>5.0694444444444438E-2</v>
      </c>
      <c r="D2753" s="3">
        <v>3331</v>
      </c>
      <c r="E2753" s="3">
        <v>182</v>
      </c>
      <c r="F2753" s="2">
        <v>16.209027777777777</v>
      </c>
      <c r="G2753" t="s">
        <v>2815</v>
      </c>
      <c r="H2753" t="s">
        <v>2822</v>
      </c>
      <c r="I2753" s="2">
        <v>2.7541666666666664</v>
      </c>
      <c r="J2753" s="4" t="str">
        <f>IF(Table1[[#This Row],[processing_time_hours]]&gt;1.5,"Slow", "Fast")</f>
        <v>Slow</v>
      </c>
      <c r="K2753" t="s">
        <v>2821</v>
      </c>
      <c r="L2753" s="3">
        <v>0</v>
      </c>
      <c r="M2753" t="str">
        <f>IF(Table1[[#This Row],[delayed]]=1,"Delayed","On Time")</f>
        <v>On Time</v>
      </c>
      <c r="N2753" t="str">
        <f>IF(AND(Table1[[#This Row],[delayed]]=1,Table1[[#This Row],[weather_condition]]="Storm"),"High Risk", IF(Table1[[#This Row],[delayed]]=1,"Medium Risk","Low Risk"))</f>
        <v>Low Risk</v>
      </c>
    </row>
    <row r="2754" spans="1:14" x14ac:dyDescent="0.35">
      <c r="A2754">
        <v>2753</v>
      </c>
      <c r="B2754" s="1">
        <v>45041.666666666664</v>
      </c>
      <c r="C2754" s="2">
        <v>6.5972222222222224E-2</v>
      </c>
      <c r="D2754" s="3">
        <v>4374</v>
      </c>
      <c r="E2754" s="3">
        <v>490</v>
      </c>
      <c r="F2754" s="2">
        <v>62.089583333333337</v>
      </c>
      <c r="G2754" t="s">
        <v>2816</v>
      </c>
      <c r="H2754" t="s">
        <v>2820</v>
      </c>
      <c r="I2754" s="2">
        <v>2.7527777777777778</v>
      </c>
      <c r="J2754" s="4" t="str">
        <f>IF(Table1[[#This Row],[processing_time_hours]]&gt;1.5,"Slow", "Fast")</f>
        <v>Slow</v>
      </c>
      <c r="K2754" t="s">
        <v>2818</v>
      </c>
      <c r="L2754" s="3">
        <v>1</v>
      </c>
      <c r="M2754" t="str">
        <f>IF(Table1[[#This Row],[delayed]]=1,"Delayed","On Time")</f>
        <v>Delayed</v>
      </c>
      <c r="N2754" t="str">
        <f>IF(AND(Table1[[#This Row],[delayed]]=1,Table1[[#This Row],[weather_condition]]="Storm"),"High Risk", IF(Table1[[#This Row],[delayed]]=1,"Medium Risk","Low Risk"))</f>
        <v>Medium Risk</v>
      </c>
    </row>
    <row r="2755" spans="1:14" x14ac:dyDescent="0.35">
      <c r="A2755">
        <v>2754</v>
      </c>
      <c r="B2755" s="1">
        <v>45041.708333333336</v>
      </c>
      <c r="C2755" s="2">
        <v>6.6666666666666666E-2</v>
      </c>
      <c r="D2755" s="3">
        <v>746</v>
      </c>
      <c r="E2755" s="3">
        <v>124</v>
      </c>
      <c r="F2755" s="2">
        <v>77.172916666666666</v>
      </c>
      <c r="G2755" t="s">
        <v>2816</v>
      </c>
      <c r="H2755" t="s">
        <v>2817</v>
      </c>
      <c r="I2755" s="2">
        <v>0.25</v>
      </c>
      <c r="J2755" s="4" t="str">
        <f>IF(Table1[[#This Row],[processing_time_hours]]&gt;1.5,"Slow", "Fast")</f>
        <v>Fast</v>
      </c>
      <c r="K2755" t="s">
        <v>2821</v>
      </c>
      <c r="L2755" s="3">
        <v>1</v>
      </c>
      <c r="M2755" t="str">
        <f>IF(Table1[[#This Row],[delayed]]=1,"Delayed","On Time")</f>
        <v>Delayed</v>
      </c>
      <c r="N2755" t="str">
        <f>IF(AND(Table1[[#This Row],[delayed]]=1,Table1[[#This Row],[weather_condition]]="Storm"),"High Risk", IF(Table1[[#This Row],[delayed]]=1,"Medium Risk","Low Risk"))</f>
        <v>High Risk</v>
      </c>
    </row>
    <row r="2756" spans="1:14" x14ac:dyDescent="0.35">
      <c r="A2756">
        <v>2755</v>
      </c>
      <c r="B2756" s="1">
        <v>45041.75</v>
      </c>
      <c r="C2756" s="2">
        <v>5.1388888888888894E-2</v>
      </c>
      <c r="D2756" s="3">
        <v>1391</v>
      </c>
      <c r="E2756" s="3">
        <v>26</v>
      </c>
      <c r="F2756" s="2">
        <v>29.084027777777777</v>
      </c>
      <c r="G2756" t="s">
        <v>2816</v>
      </c>
      <c r="H2756" t="s">
        <v>2820</v>
      </c>
      <c r="I2756" s="2">
        <v>1</v>
      </c>
      <c r="J2756" s="4" t="str">
        <f>IF(Table1[[#This Row],[processing_time_hours]]&gt;1.5,"Slow", "Fast")</f>
        <v>Fast</v>
      </c>
      <c r="K2756" t="s">
        <v>2818</v>
      </c>
      <c r="L2756" s="3">
        <v>0</v>
      </c>
      <c r="M2756" t="str">
        <f>IF(Table1[[#This Row],[delayed]]=1,"Delayed","On Time")</f>
        <v>On Time</v>
      </c>
      <c r="N2756" t="str">
        <f>IF(AND(Table1[[#This Row],[delayed]]=1,Table1[[#This Row],[weather_condition]]="Storm"),"High Risk", IF(Table1[[#This Row],[delayed]]=1,"Medium Risk","Low Risk"))</f>
        <v>Low Risk</v>
      </c>
    </row>
    <row r="2757" spans="1:14" x14ac:dyDescent="0.35">
      <c r="A2757">
        <v>2756</v>
      </c>
      <c r="B2757" s="1">
        <v>45041.791666666664</v>
      </c>
      <c r="C2757" s="2">
        <v>6.458333333333334E-2</v>
      </c>
      <c r="D2757" s="3">
        <v>4217</v>
      </c>
      <c r="E2757" s="3">
        <v>42</v>
      </c>
      <c r="F2757" s="2">
        <v>48.254166666666663</v>
      </c>
      <c r="G2757" t="s">
        <v>2819</v>
      </c>
      <c r="H2757" t="s">
        <v>2822</v>
      </c>
      <c r="I2757" s="2">
        <v>1.9645833333333333</v>
      </c>
      <c r="J2757" s="4" t="str">
        <f>IF(Table1[[#This Row],[processing_time_hours]]&gt;1.5,"Slow", "Fast")</f>
        <v>Slow</v>
      </c>
      <c r="K2757" t="s">
        <v>2814</v>
      </c>
      <c r="L2757" s="3">
        <v>0</v>
      </c>
      <c r="M2757" t="str">
        <f>IF(Table1[[#This Row],[delayed]]=1,"Delayed","On Time")</f>
        <v>On Time</v>
      </c>
      <c r="N2757" t="str">
        <f>IF(AND(Table1[[#This Row],[delayed]]=1,Table1[[#This Row],[weather_condition]]="Storm"),"High Risk", IF(Table1[[#This Row],[delayed]]=1,"Medium Risk","Low Risk"))</f>
        <v>Low Risk</v>
      </c>
    </row>
    <row r="2758" spans="1:14" x14ac:dyDescent="0.35">
      <c r="A2758">
        <v>2757</v>
      </c>
      <c r="B2758" s="1">
        <v>45041.833333333336</v>
      </c>
      <c r="C2758" s="2">
        <v>5.6944444444444443E-2</v>
      </c>
      <c r="D2758" s="3">
        <v>2628</v>
      </c>
      <c r="E2758" s="3">
        <v>350</v>
      </c>
      <c r="F2758" s="2">
        <v>35.625</v>
      </c>
      <c r="G2758" t="s">
        <v>2819</v>
      </c>
      <c r="H2758" t="s">
        <v>2813</v>
      </c>
      <c r="I2758" s="2">
        <v>1.5840277777777778</v>
      </c>
      <c r="J2758" s="4" t="str">
        <f>IF(Table1[[#This Row],[processing_time_hours]]&gt;1.5,"Slow", "Fast")</f>
        <v>Slow</v>
      </c>
      <c r="K2758" t="s">
        <v>2821</v>
      </c>
      <c r="L2758" s="3">
        <v>0</v>
      </c>
      <c r="M2758" t="str">
        <f>IF(Table1[[#This Row],[delayed]]=1,"Delayed","On Time")</f>
        <v>On Time</v>
      </c>
      <c r="N2758" t="str">
        <f>IF(AND(Table1[[#This Row],[delayed]]=1,Table1[[#This Row],[weather_condition]]="Storm"),"High Risk", IF(Table1[[#This Row],[delayed]]=1,"Medium Risk","Low Risk"))</f>
        <v>Low Risk</v>
      </c>
    </row>
    <row r="2759" spans="1:14" x14ac:dyDescent="0.35">
      <c r="A2759">
        <v>2758</v>
      </c>
      <c r="B2759" s="1">
        <v>45041.875</v>
      </c>
      <c r="C2759" s="2">
        <v>6.805555555555555E-2</v>
      </c>
      <c r="D2759" s="3">
        <v>361</v>
      </c>
      <c r="E2759" s="3">
        <v>364</v>
      </c>
      <c r="F2759" s="2">
        <v>79.209027777777777</v>
      </c>
      <c r="G2759" t="s">
        <v>2816</v>
      </c>
      <c r="H2759" t="s">
        <v>2817</v>
      </c>
      <c r="I2759" s="2">
        <v>0.79583333333333339</v>
      </c>
      <c r="J2759" s="4" t="str">
        <f>IF(Table1[[#This Row],[processing_time_hours]]&gt;1.5,"Slow", "Fast")</f>
        <v>Fast</v>
      </c>
      <c r="K2759" t="s">
        <v>2821</v>
      </c>
      <c r="L2759" s="3">
        <v>1</v>
      </c>
      <c r="M2759" t="str">
        <f>IF(Table1[[#This Row],[delayed]]=1,"Delayed","On Time")</f>
        <v>Delayed</v>
      </c>
      <c r="N2759" t="str">
        <f>IF(AND(Table1[[#This Row],[delayed]]=1,Table1[[#This Row],[weather_condition]]="Storm"),"High Risk", IF(Table1[[#This Row],[delayed]]=1,"Medium Risk","Low Risk"))</f>
        <v>High Risk</v>
      </c>
    </row>
    <row r="2760" spans="1:14" x14ac:dyDescent="0.35">
      <c r="A2760">
        <v>2759</v>
      </c>
      <c r="B2760" s="1">
        <v>45041.916666666664</v>
      </c>
      <c r="C2760" s="2">
        <v>5.7638888888888885E-2</v>
      </c>
      <c r="D2760" s="3">
        <v>3092</v>
      </c>
      <c r="E2760" s="3">
        <v>18</v>
      </c>
      <c r="F2760" s="2">
        <v>50.709722222222219</v>
      </c>
      <c r="G2760" t="s">
        <v>2812</v>
      </c>
      <c r="H2760" t="s">
        <v>2820</v>
      </c>
      <c r="I2760" s="2">
        <v>1.2972222222222223</v>
      </c>
      <c r="J2760" s="4" t="str">
        <f>IF(Table1[[#This Row],[processing_time_hours]]&gt;1.5,"Slow", "Fast")</f>
        <v>Fast</v>
      </c>
      <c r="K2760" t="s">
        <v>2821</v>
      </c>
      <c r="L2760" s="3">
        <v>0</v>
      </c>
      <c r="M2760" t="str">
        <f>IF(Table1[[#This Row],[delayed]]=1,"Delayed","On Time")</f>
        <v>On Time</v>
      </c>
      <c r="N2760" t="str">
        <f>IF(AND(Table1[[#This Row],[delayed]]=1,Table1[[#This Row],[weather_condition]]="Storm"),"High Risk", IF(Table1[[#This Row],[delayed]]=1,"Medium Risk","Low Risk"))</f>
        <v>Low Risk</v>
      </c>
    </row>
    <row r="2761" spans="1:14" x14ac:dyDescent="0.35">
      <c r="A2761">
        <v>2760</v>
      </c>
      <c r="B2761" s="1">
        <v>45041.958333333336</v>
      </c>
      <c r="C2761" s="2">
        <v>6.6666666666666666E-2</v>
      </c>
      <c r="D2761" s="3">
        <v>1082</v>
      </c>
      <c r="E2761" s="3">
        <v>264</v>
      </c>
      <c r="F2761" s="2">
        <v>42.337499999999999</v>
      </c>
      <c r="G2761" t="s">
        <v>2816</v>
      </c>
      <c r="H2761" t="s">
        <v>2813</v>
      </c>
      <c r="I2761" s="2">
        <v>2.1701388888888888</v>
      </c>
      <c r="J2761" s="4" t="str">
        <f>IF(Table1[[#This Row],[processing_time_hours]]&gt;1.5,"Slow", "Fast")</f>
        <v>Slow</v>
      </c>
      <c r="K2761" t="s">
        <v>2818</v>
      </c>
      <c r="L2761" s="3">
        <v>0</v>
      </c>
      <c r="M2761" t="str">
        <f>IF(Table1[[#This Row],[delayed]]=1,"Delayed","On Time")</f>
        <v>On Time</v>
      </c>
      <c r="N2761" t="str">
        <f>IF(AND(Table1[[#This Row],[delayed]]=1,Table1[[#This Row],[weather_condition]]="Storm"),"High Risk", IF(Table1[[#This Row],[delayed]]=1,"Medium Risk","Low Risk"))</f>
        <v>Low Risk</v>
      </c>
    </row>
    <row r="2762" spans="1:14" x14ac:dyDescent="0.35">
      <c r="A2762">
        <v>2761</v>
      </c>
      <c r="B2762" s="1">
        <v>45042</v>
      </c>
      <c r="C2762" s="2">
        <v>5.6944444444444443E-2</v>
      </c>
      <c r="D2762" s="3">
        <v>2031</v>
      </c>
      <c r="E2762" s="3">
        <v>204</v>
      </c>
      <c r="F2762" s="2">
        <v>21.922916666666666</v>
      </c>
      <c r="G2762" t="s">
        <v>2812</v>
      </c>
      <c r="H2762" t="s">
        <v>2822</v>
      </c>
      <c r="I2762" s="2">
        <v>2.880555555555556</v>
      </c>
      <c r="J2762" s="4" t="str">
        <f>IF(Table1[[#This Row],[processing_time_hours]]&gt;1.5,"Slow", "Fast")</f>
        <v>Slow</v>
      </c>
      <c r="K2762" t="s">
        <v>2821</v>
      </c>
      <c r="L2762" s="3">
        <v>0</v>
      </c>
      <c r="M2762" t="str">
        <f>IF(Table1[[#This Row],[delayed]]=1,"Delayed","On Time")</f>
        <v>On Time</v>
      </c>
      <c r="N2762" t="str">
        <f>IF(AND(Table1[[#This Row],[delayed]]=1,Table1[[#This Row],[weather_condition]]="Storm"),"High Risk", IF(Table1[[#This Row],[delayed]]=1,"Medium Risk","Low Risk"))</f>
        <v>Low Risk</v>
      </c>
    </row>
    <row r="2763" spans="1:14" x14ac:dyDescent="0.35">
      <c r="A2763">
        <v>2762</v>
      </c>
      <c r="B2763" s="1">
        <v>45042.041666666664</v>
      </c>
      <c r="C2763" s="2">
        <v>5.1388888888888894E-2</v>
      </c>
      <c r="D2763" s="3">
        <v>1035</v>
      </c>
      <c r="E2763" s="3">
        <v>118</v>
      </c>
      <c r="F2763" s="2">
        <v>59.420833333333327</v>
      </c>
      <c r="G2763" t="s">
        <v>2815</v>
      </c>
      <c r="H2763" t="s">
        <v>2817</v>
      </c>
      <c r="I2763" s="2">
        <v>0.21041666666666667</v>
      </c>
      <c r="J2763" s="4" t="str">
        <f>IF(Table1[[#This Row],[processing_time_hours]]&gt;1.5,"Slow", "Fast")</f>
        <v>Fast</v>
      </c>
      <c r="K2763" t="s">
        <v>2821</v>
      </c>
      <c r="L2763" s="3">
        <v>0</v>
      </c>
      <c r="M2763" t="str">
        <f>IF(Table1[[#This Row],[delayed]]=1,"Delayed","On Time")</f>
        <v>On Time</v>
      </c>
      <c r="N2763" t="str">
        <f>IF(AND(Table1[[#This Row],[delayed]]=1,Table1[[#This Row],[weather_condition]]="Storm"),"High Risk", IF(Table1[[#This Row],[delayed]]=1,"Medium Risk","Low Risk"))</f>
        <v>Low Risk</v>
      </c>
    </row>
    <row r="2764" spans="1:14" x14ac:dyDescent="0.35">
      <c r="A2764">
        <v>2763</v>
      </c>
      <c r="B2764" s="1">
        <v>45042.083333333336</v>
      </c>
      <c r="C2764" s="2">
        <v>6.5277777777777782E-2</v>
      </c>
      <c r="D2764" s="3">
        <v>1076</v>
      </c>
      <c r="E2764" s="3">
        <v>216</v>
      </c>
      <c r="F2764" s="2">
        <v>57.63055555555556</v>
      </c>
      <c r="G2764" t="s">
        <v>2819</v>
      </c>
      <c r="H2764" t="s">
        <v>2820</v>
      </c>
      <c r="I2764" s="2">
        <v>1.79375</v>
      </c>
      <c r="J2764" s="4" t="str">
        <f>IF(Table1[[#This Row],[processing_time_hours]]&gt;1.5,"Slow", "Fast")</f>
        <v>Slow</v>
      </c>
      <c r="K2764" t="s">
        <v>2814</v>
      </c>
      <c r="L2764" s="3">
        <v>0</v>
      </c>
      <c r="M2764" t="str">
        <f>IF(Table1[[#This Row],[delayed]]=1,"Delayed","On Time")</f>
        <v>On Time</v>
      </c>
      <c r="N2764" t="str">
        <f>IF(AND(Table1[[#This Row],[delayed]]=1,Table1[[#This Row],[weather_condition]]="Storm"),"High Risk", IF(Table1[[#This Row],[delayed]]=1,"Medium Risk","Low Risk"))</f>
        <v>Low Risk</v>
      </c>
    </row>
    <row r="2765" spans="1:14" x14ac:dyDescent="0.35">
      <c r="A2765">
        <v>2764</v>
      </c>
      <c r="B2765" s="1">
        <v>45042.125</v>
      </c>
      <c r="C2765" s="2">
        <v>5.0694444444444438E-2</v>
      </c>
      <c r="D2765" s="3">
        <v>4972</v>
      </c>
      <c r="E2765" s="3">
        <v>95</v>
      </c>
      <c r="F2765" s="2">
        <v>0.8354166666666667</v>
      </c>
      <c r="G2765" t="s">
        <v>2815</v>
      </c>
      <c r="H2765" t="s">
        <v>2813</v>
      </c>
      <c r="I2765" s="2">
        <v>0.20833333333333334</v>
      </c>
      <c r="J2765" s="4" t="str">
        <f>IF(Table1[[#This Row],[processing_time_hours]]&gt;1.5,"Slow", "Fast")</f>
        <v>Fast</v>
      </c>
      <c r="K2765" t="s">
        <v>2821</v>
      </c>
      <c r="L2765" s="3">
        <v>1</v>
      </c>
      <c r="M2765" t="str">
        <f>IF(Table1[[#This Row],[delayed]]=1,"Delayed","On Time")</f>
        <v>Delayed</v>
      </c>
      <c r="N2765" t="str">
        <f>IF(AND(Table1[[#This Row],[delayed]]=1,Table1[[#This Row],[weather_condition]]="Storm"),"High Risk", IF(Table1[[#This Row],[delayed]]=1,"Medium Risk","Low Risk"))</f>
        <v>Medium Risk</v>
      </c>
    </row>
    <row r="2766" spans="1:14" x14ac:dyDescent="0.35">
      <c r="A2766">
        <v>2765</v>
      </c>
      <c r="B2766" s="1">
        <v>45042.166666666664</v>
      </c>
      <c r="C2766" s="2">
        <v>6.3888888888888898E-2</v>
      </c>
      <c r="D2766" s="3">
        <v>1094</v>
      </c>
      <c r="E2766" s="3">
        <v>481</v>
      </c>
      <c r="F2766" s="2">
        <v>48.962499999999999</v>
      </c>
      <c r="G2766" t="s">
        <v>2816</v>
      </c>
      <c r="H2766" t="s">
        <v>2817</v>
      </c>
      <c r="I2766" s="2">
        <v>1.4631944444444445</v>
      </c>
      <c r="J2766" s="4" t="str">
        <f>IF(Table1[[#This Row],[processing_time_hours]]&gt;1.5,"Slow", "Fast")</f>
        <v>Fast</v>
      </c>
      <c r="K2766" t="s">
        <v>2818</v>
      </c>
      <c r="L2766" s="3">
        <v>1</v>
      </c>
      <c r="M2766" t="str">
        <f>IF(Table1[[#This Row],[delayed]]=1,"Delayed","On Time")</f>
        <v>Delayed</v>
      </c>
      <c r="N2766" t="str">
        <f>IF(AND(Table1[[#This Row],[delayed]]=1,Table1[[#This Row],[weather_condition]]="Storm"),"High Risk", IF(Table1[[#This Row],[delayed]]=1,"Medium Risk","Low Risk"))</f>
        <v>High Risk</v>
      </c>
    </row>
    <row r="2767" spans="1:14" x14ac:dyDescent="0.35">
      <c r="A2767">
        <v>2766</v>
      </c>
      <c r="B2767" s="1">
        <v>45042.208333333336</v>
      </c>
      <c r="C2767" s="2">
        <v>5.6250000000000001E-2</v>
      </c>
      <c r="D2767" s="3">
        <v>4476</v>
      </c>
      <c r="E2767" s="3">
        <v>416</v>
      </c>
      <c r="F2767" s="2">
        <v>69.212499999999991</v>
      </c>
      <c r="G2767" t="s">
        <v>2812</v>
      </c>
      <c r="H2767" t="s">
        <v>2813</v>
      </c>
      <c r="I2767" s="2">
        <v>1.5416666666666667</v>
      </c>
      <c r="J2767" s="4" t="str">
        <f>IF(Table1[[#This Row],[processing_time_hours]]&gt;1.5,"Slow", "Fast")</f>
        <v>Slow</v>
      </c>
      <c r="K2767" t="s">
        <v>2814</v>
      </c>
      <c r="L2767" s="3">
        <v>1</v>
      </c>
      <c r="M2767" t="str">
        <f>IF(Table1[[#This Row],[delayed]]=1,"Delayed","On Time")</f>
        <v>Delayed</v>
      </c>
      <c r="N2767" t="str">
        <f>IF(AND(Table1[[#This Row],[delayed]]=1,Table1[[#This Row],[weather_condition]]="Storm"),"High Risk", IF(Table1[[#This Row],[delayed]]=1,"Medium Risk","Low Risk"))</f>
        <v>Medium Risk</v>
      </c>
    </row>
    <row r="2768" spans="1:14" x14ac:dyDescent="0.35">
      <c r="A2768">
        <v>2767</v>
      </c>
      <c r="B2768" s="1">
        <v>45042.25</v>
      </c>
      <c r="C2768" s="2">
        <v>5.0694444444444438E-2</v>
      </c>
      <c r="D2768" s="3">
        <v>1530</v>
      </c>
      <c r="E2768" s="3">
        <v>363</v>
      </c>
      <c r="F2768" s="2">
        <v>66.253472222222214</v>
      </c>
      <c r="G2768" t="s">
        <v>2816</v>
      </c>
      <c r="H2768" t="s">
        <v>2820</v>
      </c>
      <c r="I2768" s="2">
        <v>0.3756944444444445</v>
      </c>
      <c r="J2768" s="4" t="str">
        <f>IF(Table1[[#This Row],[processing_time_hours]]&gt;1.5,"Slow", "Fast")</f>
        <v>Fast</v>
      </c>
      <c r="K2768" t="s">
        <v>2821</v>
      </c>
      <c r="L2768" s="3">
        <v>0</v>
      </c>
      <c r="M2768" t="str">
        <f>IF(Table1[[#This Row],[delayed]]=1,"Delayed","On Time")</f>
        <v>On Time</v>
      </c>
      <c r="N2768" t="str">
        <f>IF(AND(Table1[[#This Row],[delayed]]=1,Table1[[#This Row],[weather_condition]]="Storm"),"High Risk", IF(Table1[[#This Row],[delayed]]=1,"Medium Risk","Low Risk"))</f>
        <v>Low Risk</v>
      </c>
    </row>
    <row r="2769" spans="1:14" x14ac:dyDescent="0.35">
      <c r="A2769">
        <v>2768</v>
      </c>
      <c r="B2769" s="1">
        <v>45042.291666666664</v>
      </c>
      <c r="C2769" s="2">
        <v>5.486111111111111E-2</v>
      </c>
      <c r="D2769" s="3">
        <v>1660</v>
      </c>
      <c r="E2769" s="3">
        <v>376</v>
      </c>
      <c r="F2769" s="2">
        <v>22.546527777777779</v>
      </c>
      <c r="G2769" t="s">
        <v>2819</v>
      </c>
      <c r="H2769" t="s">
        <v>2813</v>
      </c>
      <c r="I2769" s="2">
        <v>2.588888888888889</v>
      </c>
      <c r="J2769" s="4" t="str">
        <f>IF(Table1[[#This Row],[processing_time_hours]]&gt;1.5,"Slow", "Fast")</f>
        <v>Slow</v>
      </c>
      <c r="K2769" t="s">
        <v>2814</v>
      </c>
      <c r="L2769" s="3">
        <v>0</v>
      </c>
      <c r="M2769" t="str">
        <f>IF(Table1[[#This Row],[delayed]]=1,"Delayed","On Time")</f>
        <v>On Time</v>
      </c>
      <c r="N2769" t="str">
        <f>IF(AND(Table1[[#This Row],[delayed]]=1,Table1[[#This Row],[weather_condition]]="Storm"),"High Risk", IF(Table1[[#This Row],[delayed]]=1,"Medium Risk","Low Risk"))</f>
        <v>Low Risk</v>
      </c>
    </row>
    <row r="2770" spans="1:14" x14ac:dyDescent="0.35">
      <c r="A2770">
        <v>2769</v>
      </c>
      <c r="B2770" s="1">
        <v>45042.333333333336</v>
      </c>
      <c r="C2770" s="2">
        <v>6.6666666666666666E-2</v>
      </c>
      <c r="D2770" s="3">
        <v>2937</v>
      </c>
      <c r="E2770" s="3">
        <v>135</v>
      </c>
      <c r="F2770" s="2">
        <v>81.001388888888883</v>
      </c>
      <c r="G2770" t="s">
        <v>2812</v>
      </c>
      <c r="H2770" t="s">
        <v>2822</v>
      </c>
      <c r="I2770" s="2">
        <v>2.0451388888888888</v>
      </c>
      <c r="J2770" s="4" t="str">
        <f>IF(Table1[[#This Row],[processing_time_hours]]&gt;1.5,"Slow", "Fast")</f>
        <v>Slow</v>
      </c>
      <c r="K2770" t="s">
        <v>2814</v>
      </c>
      <c r="L2770" s="3">
        <v>0</v>
      </c>
      <c r="M2770" t="str">
        <f>IF(Table1[[#This Row],[delayed]]=1,"Delayed","On Time")</f>
        <v>On Time</v>
      </c>
      <c r="N2770" t="str">
        <f>IF(AND(Table1[[#This Row],[delayed]]=1,Table1[[#This Row],[weather_condition]]="Storm"),"High Risk", IF(Table1[[#This Row],[delayed]]=1,"Medium Risk","Low Risk"))</f>
        <v>Low Risk</v>
      </c>
    </row>
    <row r="2771" spans="1:14" x14ac:dyDescent="0.35">
      <c r="A2771">
        <v>2770</v>
      </c>
      <c r="B2771" s="1">
        <v>45042.375</v>
      </c>
      <c r="C2771" s="2">
        <v>4.9999999999999996E-2</v>
      </c>
      <c r="D2771" s="3">
        <v>1451</v>
      </c>
      <c r="E2771" s="3">
        <v>37</v>
      </c>
      <c r="F2771" s="2">
        <v>40.045138888888893</v>
      </c>
      <c r="G2771" t="s">
        <v>2816</v>
      </c>
      <c r="H2771" t="s">
        <v>2813</v>
      </c>
      <c r="I2771" s="2">
        <v>0.20833333333333334</v>
      </c>
      <c r="J2771" s="4" t="str">
        <f>IF(Table1[[#This Row],[processing_time_hours]]&gt;1.5,"Slow", "Fast")</f>
        <v>Fast</v>
      </c>
      <c r="K2771" t="s">
        <v>2814</v>
      </c>
      <c r="L2771" s="3">
        <v>0</v>
      </c>
      <c r="M2771" t="str">
        <f>IF(Table1[[#This Row],[delayed]]=1,"Delayed","On Time")</f>
        <v>On Time</v>
      </c>
      <c r="N2771" t="str">
        <f>IF(AND(Table1[[#This Row],[delayed]]=1,Table1[[#This Row],[weather_condition]]="Storm"),"High Risk", IF(Table1[[#This Row],[delayed]]=1,"Medium Risk","Low Risk"))</f>
        <v>Low Risk</v>
      </c>
    </row>
    <row r="2772" spans="1:14" x14ac:dyDescent="0.35">
      <c r="A2772">
        <v>2771</v>
      </c>
      <c r="B2772" s="1">
        <v>45042.416666666664</v>
      </c>
      <c r="C2772" s="2">
        <v>4.3750000000000004E-2</v>
      </c>
      <c r="D2772" s="3">
        <v>3185</v>
      </c>
      <c r="E2772" s="3">
        <v>105</v>
      </c>
      <c r="F2772" s="2">
        <v>58.584027777777777</v>
      </c>
      <c r="G2772" t="s">
        <v>2819</v>
      </c>
      <c r="H2772" t="s">
        <v>2820</v>
      </c>
      <c r="I2772" s="2">
        <v>0.25208333333333333</v>
      </c>
      <c r="J2772" s="4" t="str">
        <f>IF(Table1[[#This Row],[processing_time_hours]]&gt;1.5,"Slow", "Fast")</f>
        <v>Fast</v>
      </c>
      <c r="K2772" t="s">
        <v>2821</v>
      </c>
      <c r="L2772" s="3">
        <v>1</v>
      </c>
      <c r="M2772" t="str">
        <f>IF(Table1[[#This Row],[delayed]]=1,"Delayed","On Time")</f>
        <v>Delayed</v>
      </c>
      <c r="N2772" t="str">
        <f>IF(AND(Table1[[#This Row],[delayed]]=1,Table1[[#This Row],[weather_condition]]="Storm"),"High Risk", IF(Table1[[#This Row],[delayed]]=1,"Medium Risk","Low Risk"))</f>
        <v>Medium Risk</v>
      </c>
    </row>
    <row r="2773" spans="1:14" x14ac:dyDescent="0.35">
      <c r="A2773">
        <v>2772</v>
      </c>
      <c r="B2773" s="1">
        <v>45042.458333333336</v>
      </c>
      <c r="C2773" s="2">
        <v>6.6666666666666666E-2</v>
      </c>
      <c r="D2773" s="3">
        <v>481</v>
      </c>
      <c r="E2773" s="3">
        <v>117</v>
      </c>
      <c r="F2773" s="2">
        <v>56.797916666666673</v>
      </c>
      <c r="G2773" t="s">
        <v>2819</v>
      </c>
      <c r="H2773" t="s">
        <v>2820</v>
      </c>
      <c r="I2773" s="2">
        <v>1.4222222222222223</v>
      </c>
      <c r="J2773" s="4" t="str">
        <f>IF(Table1[[#This Row],[processing_time_hours]]&gt;1.5,"Slow", "Fast")</f>
        <v>Fast</v>
      </c>
      <c r="K2773" t="s">
        <v>2814</v>
      </c>
      <c r="L2773" s="3">
        <v>0</v>
      </c>
      <c r="M2773" t="str">
        <f>IF(Table1[[#This Row],[delayed]]=1,"Delayed","On Time")</f>
        <v>On Time</v>
      </c>
      <c r="N2773" t="str">
        <f>IF(AND(Table1[[#This Row],[delayed]]=1,Table1[[#This Row],[weather_condition]]="Storm"),"High Risk", IF(Table1[[#This Row],[delayed]]=1,"Medium Risk","Low Risk"))</f>
        <v>Low Risk</v>
      </c>
    </row>
    <row r="2774" spans="1:14" x14ac:dyDescent="0.35">
      <c r="A2774">
        <v>2773</v>
      </c>
      <c r="B2774" s="1">
        <v>45042.5</v>
      </c>
      <c r="C2774" s="2">
        <v>4.5138888888888888E-2</v>
      </c>
      <c r="D2774" s="3">
        <v>4996</v>
      </c>
      <c r="E2774" s="3">
        <v>492</v>
      </c>
      <c r="F2774" s="2">
        <v>29.256249999999998</v>
      </c>
      <c r="G2774" t="s">
        <v>2812</v>
      </c>
      <c r="H2774" t="s">
        <v>2813</v>
      </c>
      <c r="I2774" s="2">
        <v>2.5055555555555555</v>
      </c>
      <c r="J2774" s="4" t="str">
        <f>IF(Table1[[#This Row],[processing_time_hours]]&gt;1.5,"Slow", "Fast")</f>
        <v>Slow</v>
      </c>
      <c r="K2774" t="s">
        <v>2818</v>
      </c>
      <c r="L2774" s="3">
        <v>1</v>
      </c>
      <c r="M2774" t="str">
        <f>IF(Table1[[#This Row],[delayed]]=1,"Delayed","On Time")</f>
        <v>Delayed</v>
      </c>
      <c r="N2774" t="str">
        <f>IF(AND(Table1[[#This Row],[delayed]]=1,Table1[[#This Row],[weather_condition]]="Storm"),"High Risk", IF(Table1[[#This Row],[delayed]]=1,"Medium Risk","Low Risk"))</f>
        <v>Medium Risk</v>
      </c>
    </row>
    <row r="2775" spans="1:14" x14ac:dyDescent="0.35">
      <c r="A2775">
        <v>2774</v>
      </c>
      <c r="B2775" s="1">
        <v>45042.541666666664</v>
      </c>
      <c r="C2775" s="2">
        <v>4.7916666666666663E-2</v>
      </c>
      <c r="D2775" s="3">
        <v>2364</v>
      </c>
      <c r="E2775" s="3">
        <v>169</v>
      </c>
      <c r="F2775" s="2">
        <v>25.211111111111112</v>
      </c>
      <c r="G2775" t="s">
        <v>2819</v>
      </c>
      <c r="H2775" t="s">
        <v>2817</v>
      </c>
      <c r="I2775" s="2">
        <v>2.004861111111111</v>
      </c>
      <c r="J2775" s="4" t="str">
        <f>IF(Table1[[#This Row],[processing_time_hours]]&gt;1.5,"Slow", "Fast")</f>
        <v>Slow</v>
      </c>
      <c r="K2775" t="s">
        <v>2814</v>
      </c>
      <c r="L2775" s="3">
        <v>1</v>
      </c>
      <c r="M2775" t="str">
        <f>IF(Table1[[#This Row],[delayed]]=1,"Delayed","On Time")</f>
        <v>Delayed</v>
      </c>
      <c r="N2775" t="str">
        <f>IF(AND(Table1[[#This Row],[delayed]]=1,Table1[[#This Row],[weather_condition]]="Storm"),"High Risk", IF(Table1[[#This Row],[delayed]]=1,"Medium Risk","Low Risk"))</f>
        <v>High Risk</v>
      </c>
    </row>
    <row r="2776" spans="1:14" x14ac:dyDescent="0.35">
      <c r="A2776">
        <v>2775</v>
      </c>
      <c r="B2776" s="1">
        <v>45042.583333333336</v>
      </c>
      <c r="C2776" s="2">
        <v>5.486111111111111E-2</v>
      </c>
      <c r="D2776" s="3">
        <v>3150</v>
      </c>
      <c r="E2776" s="3">
        <v>276</v>
      </c>
      <c r="F2776" s="2">
        <v>80.959722222222226</v>
      </c>
      <c r="G2776" t="s">
        <v>2812</v>
      </c>
      <c r="H2776" t="s">
        <v>2813</v>
      </c>
      <c r="I2776" s="2">
        <v>2.2951388888888888</v>
      </c>
      <c r="J2776" s="4" t="str">
        <f>IF(Table1[[#This Row],[processing_time_hours]]&gt;1.5,"Slow", "Fast")</f>
        <v>Slow</v>
      </c>
      <c r="K2776" t="s">
        <v>2814</v>
      </c>
      <c r="L2776" s="3">
        <v>1</v>
      </c>
      <c r="M2776" t="str">
        <f>IF(Table1[[#This Row],[delayed]]=1,"Delayed","On Time")</f>
        <v>Delayed</v>
      </c>
      <c r="N2776" t="str">
        <f>IF(AND(Table1[[#This Row],[delayed]]=1,Table1[[#This Row],[weather_condition]]="Storm"),"High Risk", IF(Table1[[#This Row],[delayed]]=1,"Medium Risk","Low Risk"))</f>
        <v>Medium Risk</v>
      </c>
    </row>
    <row r="2777" spans="1:14" x14ac:dyDescent="0.35">
      <c r="A2777">
        <v>2776</v>
      </c>
      <c r="B2777" s="1">
        <v>45042.625</v>
      </c>
      <c r="C2777" s="2">
        <v>6.3194444444444442E-2</v>
      </c>
      <c r="D2777" s="3">
        <v>2908</v>
      </c>
      <c r="E2777" s="3">
        <v>96</v>
      </c>
      <c r="F2777" s="2">
        <v>64.797222222222231</v>
      </c>
      <c r="G2777" t="s">
        <v>2812</v>
      </c>
      <c r="H2777" t="s">
        <v>2813</v>
      </c>
      <c r="I2777" s="2">
        <v>1.7930555555555554</v>
      </c>
      <c r="J2777" s="4" t="str">
        <f>IF(Table1[[#This Row],[processing_time_hours]]&gt;1.5,"Slow", "Fast")</f>
        <v>Slow</v>
      </c>
      <c r="K2777" t="s">
        <v>2821</v>
      </c>
      <c r="L2777" s="3">
        <v>0</v>
      </c>
      <c r="M2777" t="str">
        <f>IF(Table1[[#This Row],[delayed]]=1,"Delayed","On Time")</f>
        <v>On Time</v>
      </c>
      <c r="N2777" t="str">
        <f>IF(AND(Table1[[#This Row],[delayed]]=1,Table1[[#This Row],[weather_condition]]="Storm"),"High Risk", IF(Table1[[#This Row],[delayed]]=1,"Medium Risk","Low Risk"))</f>
        <v>Low Risk</v>
      </c>
    </row>
    <row r="2778" spans="1:14" x14ac:dyDescent="0.35">
      <c r="A2778">
        <v>2777</v>
      </c>
      <c r="B2778" s="1">
        <v>45042.666666666664</v>
      </c>
      <c r="C2778" s="2">
        <v>6.8749999999999992E-2</v>
      </c>
      <c r="D2778" s="3">
        <v>2262</v>
      </c>
      <c r="E2778" s="3">
        <v>168</v>
      </c>
      <c r="F2778" s="2">
        <v>35.58958333333333</v>
      </c>
      <c r="G2778" t="s">
        <v>2815</v>
      </c>
      <c r="H2778" t="s">
        <v>2813</v>
      </c>
      <c r="I2778" s="2">
        <v>2.7124999999999999</v>
      </c>
      <c r="J2778" s="4" t="str">
        <f>IF(Table1[[#This Row],[processing_time_hours]]&gt;1.5,"Slow", "Fast")</f>
        <v>Slow</v>
      </c>
      <c r="K2778" t="s">
        <v>2814</v>
      </c>
      <c r="L2778" s="3">
        <v>0</v>
      </c>
      <c r="M2778" t="str">
        <f>IF(Table1[[#This Row],[delayed]]=1,"Delayed","On Time")</f>
        <v>On Time</v>
      </c>
      <c r="N2778" t="str">
        <f>IF(AND(Table1[[#This Row],[delayed]]=1,Table1[[#This Row],[weather_condition]]="Storm"),"High Risk", IF(Table1[[#This Row],[delayed]]=1,"Medium Risk","Low Risk"))</f>
        <v>Low Risk</v>
      </c>
    </row>
    <row r="2779" spans="1:14" x14ac:dyDescent="0.35">
      <c r="A2779">
        <v>2778</v>
      </c>
      <c r="B2779" s="1">
        <v>45042.708333333336</v>
      </c>
      <c r="C2779" s="2">
        <v>4.6527777777777779E-2</v>
      </c>
      <c r="D2779" s="3">
        <v>2037</v>
      </c>
      <c r="E2779" s="3">
        <v>147</v>
      </c>
      <c r="F2779" s="2">
        <v>23.922916666666666</v>
      </c>
      <c r="G2779" t="s">
        <v>2815</v>
      </c>
      <c r="H2779" t="s">
        <v>2813</v>
      </c>
      <c r="I2779" s="2">
        <v>0.29791666666666666</v>
      </c>
      <c r="J2779" s="4" t="str">
        <f>IF(Table1[[#This Row],[processing_time_hours]]&gt;1.5,"Slow", "Fast")</f>
        <v>Fast</v>
      </c>
      <c r="K2779" t="s">
        <v>2814</v>
      </c>
      <c r="L2779" s="3">
        <v>0</v>
      </c>
      <c r="M2779" t="str">
        <f>IF(Table1[[#This Row],[delayed]]=1,"Delayed","On Time")</f>
        <v>On Time</v>
      </c>
      <c r="N2779" t="str">
        <f>IF(AND(Table1[[#This Row],[delayed]]=1,Table1[[#This Row],[weather_condition]]="Storm"),"High Risk", IF(Table1[[#This Row],[delayed]]=1,"Medium Risk","Low Risk"))</f>
        <v>Low Risk</v>
      </c>
    </row>
    <row r="2780" spans="1:14" x14ac:dyDescent="0.35">
      <c r="A2780">
        <v>2779</v>
      </c>
      <c r="B2780" s="1">
        <v>45042.75</v>
      </c>
      <c r="C2780" s="2">
        <v>4.7916666666666663E-2</v>
      </c>
      <c r="D2780" s="3">
        <v>3162</v>
      </c>
      <c r="E2780" s="3">
        <v>342</v>
      </c>
      <c r="F2780" s="2">
        <v>76.918055555555554</v>
      </c>
      <c r="G2780" t="s">
        <v>2812</v>
      </c>
      <c r="H2780" t="s">
        <v>2817</v>
      </c>
      <c r="I2780" s="2">
        <v>0.58402777777777781</v>
      </c>
      <c r="J2780" s="4" t="str">
        <f>IF(Table1[[#This Row],[processing_time_hours]]&gt;1.5,"Slow", "Fast")</f>
        <v>Fast</v>
      </c>
      <c r="K2780" t="s">
        <v>2818</v>
      </c>
      <c r="L2780" s="3">
        <v>1</v>
      </c>
      <c r="M2780" t="str">
        <f>IF(Table1[[#This Row],[delayed]]=1,"Delayed","On Time")</f>
        <v>Delayed</v>
      </c>
      <c r="N2780" t="str">
        <f>IF(AND(Table1[[#This Row],[delayed]]=1,Table1[[#This Row],[weather_condition]]="Storm"),"High Risk", IF(Table1[[#This Row],[delayed]]=1,"Medium Risk","Low Risk"))</f>
        <v>High Risk</v>
      </c>
    </row>
    <row r="2781" spans="1:14" x14ac:dyDescent="0.35">
      <c r="A2781">
        <v>2780</v>
      </c>
      <c r="B2781" s="1">
        <v>45042.791666666664</v>
      </c>
      <c r="C2781" s="2">
        <v>4.1666666666666664E-2</v>
      </c>
      <c r="D2781" s="3">
        <v>66</v>
      </c>
      <c r="E2781" s="3">
        <v>339</v>
      </c>
      <c r="F2781" s="2">
        <v>34.75416666666667</v>
      </c>
      <c r="G2781" t="s">
        <v>2815</v>
      </c>
      <c r="H2781" t="s">
        <v>2813</v>
      </c>
      <c r="I2781" s="2">
        <v>2.5062500000000001</v>
      </c>
      <c r="J2781" s="4" t="str">
        <f>IF(Table1[[#This Row],[processing_time_hours]]&gt;1.5,"Slow", "Fast")</f>
        <v>Slow</v>
      </c>
      <c r="K2781" t="s">
        <v>2814</v>
      </c>
      <c r="L2781" s="3">
        <v>1</v>
      </c>
      <c r="M2781" t="str">
        <f>IF(Table1[[#This Row],[delayed]]=1,"Delayed","On Time")</f>
        <v>Delayed</v>
      </c>
      <c r="N2781" t="str">
        <f>IF(AND(Table1[[#This Row],[delayed]]=1,Table1[[#This Row],[weather_condition]]="Storm"),"High Risk", IF(Table1[[#This Row],[delayed]]=1,"Medium Risk","Low Risk"))</f>
        <v>Medium Risk</v>
      </c>
    </row>
    <row r="2782" spans="1:14" x14ac:dyDescent="0.35">
      <c r="A2782">
        <v>2781</v>
      </c>
      <c r="B2782" s="1">
        <v>45042.833333333336</v>
      </c>
      <c r="C2782" s="2">
        <v>5.7638888888888885E-2</v>
      </c>
      <c r="D2782" s="3">
        <v>2492</v>
      </c>
      <c r="E2782" s="3">
        <v>22</v>
      </c>
      <c r="F2782" s="2">
        <v>6.125694444444445</v>
      </c>
      <c r="G2782" t="s">
        <v>2819</v>
      </c>
      <c r="H2782" t="s">
        <v>2822</v>
      </c>
      <c r="I2782" s="2">
        <v>0.96388888888888891</v>
      </c>
      <c r="J2782" s="4" t="str">
        <f>IF(Table1[[#This Row],[processing_time_hours]]&gt;1.5,"Slow", "Fast")</f>
        <v>Fast</v>
      </c>
      <c r="K2782" t="s">
        <v>2821</v>
      </c>
      <c r="L2782" s="3">
        <v>1</v>
      </c>
      <c r="M2782" t="str">
        <f>IF(Table1[[#This Row],[delayed]]=1,"Delayed","On Time")</f>
        <v>Delayed</v>
      </c>
      <c r="N2782" t="str">
        <f>IF(AND(Table1[[#This Row],[delayed]]=1,Table1[[#This Row],[weather_condition]]="Storm"),"High Risk", IF(Table1[[#This Row],[delayed]]=1,"Medium Risk","Low Risk"))</f>
        <v>Medium Risk</v>
      </c>
    </row>
    <row r="2783" spans="1:14" x14ac:dyDescent="0.35">
      <c r="A2783">
        <v>2782</v>
      </c>
      <c r="B2783" s="1">
        <v>45042.875</v>
      </c>
      <c r="C2783" s="2">
        <v>6.5277777777777782E-2</v>
      </c>
      <c r="D2783" s="3">
        <v>1506</v>
      </c>
      <c r="E2783" s="3">
        <v>334</v>
      </c>
      <c r="F2783" s="2">
        <v>47.920138888888886</v>
      </c>
      <c r="G2783" t="s">
        <v>2815</v>
      </c>
      <c r="H2783" t="s">
        <v>2820</v>
      </c>
      <c r="I2783" s="2">
        <v>2.2090277777777776</v>
      </c>
      <c r="J2783" s="4" t="str">
        <f>IF(Table1[[#This Row],[processing_time_hours]]&gt;1.5,"Slow", "Fast")</f>
        <v>Slow</v>
      </c>
      <c r="K2783" t="s">
        <v>2814</v>
      </c>
      <c r="L2783" s="3">
        <v>0</v>
      </c>
      <c r="M2783" t="str">
        <f>IF(Table1[[#This Row],[delayed]]=1,"Delayed","On Time")</f>
        <v>On Time</v>
      </c>
      <c r="N2783" t="str">
        <f>IF(AND(Table1[[#This Row],[delayed]]=1,Table1[[#This Row],[weather_condition]]="Storm"),"High Risk", IF(Table1[[#This Row],[delayed]]=1,"Medium Risk","Low Risk"))</f>
        <v>Low Risk</v>
      </c>
    </row>
    <row r="2784" spans="1:14" x14ac:dyDescent="0.35">
      <c r="A2784">
        <v>2783</v>
      </c>
      <c r="B2784" s="1">
        <v>45042.916666666664</v>
      </c>
      <c r="C2784" s="2">
        <v>5.2083333333333336E-2</v>
      </c>
      <c r="D2784" s="3">
        <v>1476</v>
      </c>
      <c r="E2784" s="3">
        <v>367</v>
      </c>
      <c r="F2784" s="2">
        <v>57.296527777777776</v>
      </c>
      <c r="G2784" t="s">
        <v>2819</v>
      </c>
      <c r="H2784" t="s">
        <v>2822</v>
      </c>
      <c r="I2784" s="2">
        <v>1.7930555555555554</v>
      </c>
      <c r="J2784" s="4" t="str">
        <f>IF(Table1[[#This Row],[processing_time_hours]]&gt;1.5,"Slow", "Fast")</f>
        <v>Slow</v>
      </c>
      <c r="K2784" t="s">
        <v>2821</v>
      </c>
      <c r="L2784" s="3">
        <v>0</v>
      </c>
      <c r="M2784" t="str">
        <f>IF(Table1[[#This Row],[delayed]]=1,"Delayed","On Time")</f>
        <v>On Time</v>
      </c>
      <c r="N2784" t="str">
        <f>IF(AND(Table1[[#This Row],[delayed]]=1,Table1[[#This Row],[weather_condition]]="Storm"),"High Risk", IF(Table1[[#This Row],[delayed]]=1,"Medium Risk","Low Risk"))</f>
        <v>Low Risk</v>
      </c>
    </row>
    <row r="2785" spans="1:14" x14ac:dyDescent="0.35">
      <c r="A2785">
        <v>2784</v>
      </c>
      <c r="B2785" s="1">
        <v>45042.958333333336</v>
      </c>
      <c r="C2785" s="2">
        <v>4.9999999999999996E-2</v>
      </c>
      <c r="D2785" s="3">
        <v>4941</v>
      </c>
      <c r="E2785" s="3">
        <v>416</v>
      </c>
      <c r="F2785" s="2">
        <v>18.500694444444445</v>
      </c>
      <c r="G2785" t="s">
        <v>2819</v>
      </c>
      <c r="H2785" t="s">
        <v>2817</v>
      </c>
      <c r="I2785" s="2">
        <v>2.963888888888889</v>
      </c>
      <c r="J2785" s="4" t="str">
        <f>IF(Table1[[#This Row],[processing_time_hours]]&gt;1.5,"Slow", "Fast")</f>
        <v>Slow</v>
      </c>
      <c r="K2785" t="s">
        <v>2814</v>
      </c>
      <c r="L2785" s="3">
        <v>0</v>
      </c>
      <c r="M2785" t="str">
        <f>IF(Table1[[#This Row],[delayed]]=1,"Delayed","On Time")</f>
        <v>On Time</v>
      </c>
      <c r="N2785" t="str">
        <f>IF(AND(Table1[[#This Row],[delayed]]=1,Table1[[#This Row],[weather_condition]]="Storm"),"High Risk", IF(Table1[[#This Row],[delayed]]=1,"Medium Risk","Low Risk"))</f>
        <v>Low Risk</v>
      </c>
    </row>
    <row r="2786" spans="1:14" x14ac:dyDescent="0.35">
      <c r="A2786">
        <v>2785</v>
      </c>
      <c r="B2786" s="1">
        <v>45043</v>
      </c>
      <c r="C2786" s="2">
        <v>6.5972222222222224E-2</v>
      </c>
      <c r="D2786" s="3">
        <v>3120</v>
      </c>
      <c r="E2786" s="3">
        <v>281</v>
      </c>
      <c r="F2786" s="2">
        <v>5.5444444444444443</v>
      </c>
      <c r="G2786" t="s">
        <v>2812</v>
      </c>
      <c r="H2786" t="s">
        <v>2817</v>
      </c>
      <c r="I2786" s="2">
        <v>2.2527777777777778</v>
      </c>
      <c r="J2786" s="4" t="str">
        <f>IF(Table1[[#This Row],[processing_time_hours]]&gt;1.5,"Slow", "Fast")</f>
        <v>Slow</v>
      </c>
      <c r="K2786" t="s">
        <v>2821</v>
      </c>
      <c r="L2786" s="3">
        <v>0</v>
      </c>
      <c r="M2786" t="str">
        <f>IF(Table1[[#This Row],[delayed]]=1,"Delayed","On Time")</f>
        <v>On Time</v>
      </c>
      <c r="N2786" t="str">
        <f>IF(AND(Table1[[#This Row],[delayed]]=1,Table1[[#This Row],[weather_condition]]="Storm"),"High Risk", IF(Table1[[#This Row],[delayed]]=1,"Medium Risk","Low Risk"))</f>
        <v>Low Risk</v>
      </c>
    </row>
    <row r="2787" spans="1:14" x14ac:dyDescent="0.35">
      <c r="A2787">
        <v>2786</v>
      </c>
      <c r="B2787" s="1">
        <v>45043.041666666664</v>
      </c>
      <c r="C2787" s="2">
        <v>4.7222222222222221E-2</v>
      </c>
      <c r="D2787" s="3">
        <v>2075</v>
      </c>
      <c r="E2787" s="3">
        <v>474</v>
      </c>
      <c r="F2787" s="2">
        <v>4.7923611111111111</v>
      </c>
      <c r="G2787" t="s">
        <v>2815</v>
      </c>
      <c r="H2787" t="s">
        <v>2813</v>
      </c>
      <c r="I2787" s="2">
        <v>2.8347222222222221</v>
      </c>
      <c r="J2787" s="4" t="str">
        <f>IF(Table1[[#This Row],[processing_time_hours]]&gt;1.5,"Slow", "Fast")</f>
        <v>Slow</v>
      </c>
      <c r="K2787" t="s">
        <v>2821</v>
      </c>
      <c r="L2787" s="3">
        <v>0</v>
      </c>
      <c r="M2787" t="str">
        <f>IF(Table1[[#This Row],[delayed]]=1,"Delayed","On Time")</f>
        <v>On Time</v>
      </c>
      <c r="N2787" t="str">
        <f>IF(AND(Table1[[#This Row],[delayed]]=1,Table1[[#This Row],[weather_condition]]="Storm"),"High Risk", IF(Table1[[#This Row],[delayed]]=1,"Medium Risk","Low Risk"))</f>
        <v>Low Risk</v>
      </c>
    </row>
    <row r="2788" spans="1:14" x14ac:dyDescent="0.35">
      <c r="A2788">
        <v>2787</v>
      </c>
      <c r="B2788" s="1">
        <v>45043.083333333336</v>
      </c>
      <c r="C2788" s="2">
        <v>4.9305555555555554E-2</v>
      </c>
      <c r="D2788" s="3">
        <v>3992</v>
      </c>
      <c r="E2788" s="3">
        <v>226</v>
      </c>
      <c r="F2788" s="2">
        <v>72.668055555555554</v>
      </c>
      <c r="G2788" t="s">
        <v>2812</v>
      </c>
      <c r="H2788" t="s">
        <v>2813</v>
      </c>
      <c r="I2788" s="2">
        <v>1.2555555555555555</v>
      </c>
      <c r="J2788" s="4" t="str">
        <f>IF(Table1[[#This Row],[processing_time_hours]]&gt;1.5,"Slow", "Fast")</f>
        <v>Fast</v>
      </c>
      <c r="K2788" t="s">
        <v>2818</v>
      </c>
      <c r="L2788" s="3">
        <v>1</v>
      </c>
      <c r="M2788" t="str">
        <f>IF(Table1[[#This Row],[delayed]]=1,"Delayed","On Time")</f>
        <v>Delayed</v>
      </c>
      <c r="N2788" t="str">
        <f>IF(AND(Table1[[#This Row],[delayed]]=1,Table1[[#This Row],[weather_condition]]="Storm"),"High Risk", IF(Table1[[#This Row],[delayed]]=1,"Medium Risk","Low Risk"))</f>
        <v>Medium Risk</v>
      </c>
    </row>
    <row r="2789" spans="1:14" x14ac:dyDescent="0.35">
      <c r="A2789">
        <v>2788</v>
      </c>
      <c r="B2789" s="1">
        <v>45043.125</v>
      </c>
      <c r="C2789" s="2">
        <v>5.2083333333333336E-2</v>
      </c>
      <c r="D2789" s="3">
        <v>3613</v>
      </c>
      <c r="E2789" s="3">
        <v>19</v>
      </c>
      <c r="F2789" s="2">
        <v>47.211111111111109</v>
      </c>
      <c r="G2789" t="s">
        <v>2812</v>
      </c>
      <c r="H2789" t="s">
        <v>2822</v>
      </c>
      <c r="I2789" s="2">
        <v>1.2118055555555556</v>
      </c>
      <c r="J2789" s="4" t="str">
        <f>IF(Table1[[#This Row],[processing_time_hours]]&gt;1.5,"Slow", "Fast")</f>
        <v>Fast</v>
      </c>
      <c r="K2789" t="s">
        <v>2814</v>
      </c>
      <c r="L2789" s="3">
        <v>0</v>
      </c>
      <c r="M2789" t="str">
        <f>IF(Table1[[#This Row],[delayed]]=1,"Delayed","On Time")</f>
        <v>On Time</v>
      </c>
      <c r="N2789" t="str">
        <f>IF(AND(Table1[[#This Row],[delayed]]=1,Table1[[#This Row],[weather_condition]]="Storm"),"High Risk", IF(Table1[[#This Row],[delayed]]=1,"Medium Risk","Low Risk"))</f>
        <v>Low Risk</v>
      </c>
    </row>
    <row r="2790" spans="1:14" x14ac:dyDescent="0.35">
      <c r="A2790">
        <v>2789</v>
      </c>
      <c r="B2790" s="1">
        <v>45043.166666666664</v>
      </c>
      <c r="C2790" s="2">
        <v>5.0694444444444438E-2</v>
      </c>
      <c r="D2790" s="3">
        <v>2355</v>
      </c>
      <c r="E2790" s="3">
        <v>481</v>
      </c>
      <c r="F2790" s="2">
        <v>11.210416666666667</v>
      </c>
      <c r="G2790" t="s">
        <v>2815</v>
      </c>
      <c r="H2790" t="s">
        <v>2817</v>
      </c>
      <c r="I2790" s="2">
        <v>1.5006944444444443</v>
      </c>
      <c r="J2790" s="4" t="str">
        <f>IF(Table1[[#This Row],[processing_time_hours]]&gt;1.5,"Slow", "Fast")</f>
        <v>Slow</v>
      </c>
      <c r="K2790" t="s">
        <v>2818</v>
      </c>
      <c r="L2790" s="3">
        <v>0</v>
      </c>
      <c r="M2790" t="str">
        <f>IF(Table1[[#This Row],[delayed]]=1,"Delayed","On Time")</f>
        <v>On Time</v>
      </c>
      <c r="N2790" t="str">
        <f>IF(AND(Table1[[#This Row],[delayed]]=1,Table1[[#This Row],[weather_condition]]="Storm"),"High Risk", IF(Table1[[#This Row],[delayed]]=1,"Medium Risk","Low Risk"))</f>
        <v>Low Risk</v>
      </c>
    </row>
    <row r="2791" spans="1:14" x14ac:dyDescent="0.35">
      <c r="A2791">
        <v>2790</v>
      </c>
      <c r="B2791" s="1">
        <v>45043.208333333336</v>
      </c>
      <c r="C2791" s="2">
        <v>4.6527777777777779E-2</v>
      </c>
      <c r="D2791" s="3">
        <v>1235</v>
      </c>
      <c r="E2791" s="3">
        <v>207</v>
      </c>
      <c r="F2791" s="2">
        <v>47.834722222222219</v>
      </c>
      <c r="G2791" t="s">
        <v>2819</v>
      </c>
      <c r="H2791" t="s">
        <v>2813</v>
      </c>
      <c r="I2791" s="2">
        <v>1.9583333333333333</v>
      </c>
      <c r="J2791" s="4" t="str">
        <f>IF(Table1[[#This Row],[processing_time_hours]]&gt;1.5,"Slow", "Fast")</f>
        <v>Slow</v>
      </c>
      <c r="K2791" t="s">
        <v>2814</v>
      </c>
      <c r="L2791" s="3">
        <v>1</v>
      </c>
      <c r="M2791" t="str">
        <f>IF(Table1[[#This Row],[delayed]]=1,"Delayed","On Time")</f>
        <v>Delayed</v>
      </c>
      <c r="N2791" t="str">
        <f>IF(AND(Table1[[#This Row],[delayed]]=1,Table1[[#This Row],[weather_condition]]="Storm"),"High Risk", IF(Table1[[#This Row],[delayed]]=1,"Medium Risk","Low Risk"))</f>
        <v>Medium Risk</v>
      </c>
    </row>
    <row r="2792" spans="1:14" x14ac:dyDescent="0.35">
      <c r="A2792">
        <v>2791</v>
      </c>
      <c r="B2792" s="1">
        <v>45043.25</v>
      </c>
      <c r="C2792" s="2">
        <v>4.9999999999999996E-2</v>
      </c>
      <c r="D2792" s="3">
        <v>1574</v>
      </c>
      <c r="E2792" s="3">
        <v>331</v>
      </c>
      <c r="F2792" s="2">
        <v>53.87638888888889</v>
      </c>
      <c r="G2792" t="s">
        <v>2819</v>
      </c>
      <c r="H2792" t="s">
        <v>2822</v>
      </c>
      <c r="I2792" s="2">
        <v>1.0833333333333333</v>
      </c>
      <c r="J2792" s="4" t="str">
        <f>IF(Table1[[#This Row],[processing_time_hours]]&gt;1.5,"Slow", "Fast")</f>
        <v>Fast</v>
      </c>
      <c r="K2792" t="s">
        <v>2821</v>
      </c>
      <c r="L2792" s="3">
        <v>0</v>
      </c>
      <c r="M2792" t="str">
        <f>IF(Table1[[#This Row],[delayed]]=1,"Delayed","On Time")</f>
        <v>On Time</v>
      </c>
      <c r="N2792" t="str">
        <f>IF(AND(Table1[[#This Row],[delayed]]=1,Table1[[#This Row],[weather_condition]]="Storm"),"High Risk", IF(Table1[[#This Row],[delayed]]=1,"Medium Risk","Low Risk"))</f>
        <v>Low Risk</v>
      </c>
    </row>
    <row r="2793" spans="1:14" x14ac:dyDescent="0.35">
      <c r="A2793">
        <v>2792</v>
      </c>
      <c r="B2793" s="1">
        <v>45043.291666666664</v>
      </c>
      <c r="C2793" s="2">
        <v>4.6527777777777779E-2</v>
      </c>
      <c r="D2793" s="3">
        <v>4401</v>
      </c>
      <c r="E2793" s="3">
        <v>378</v>
      </c>
      <c r="F2793" s="2">
        <v>77.167361111111106</v>
      </c>
      <c r="G2793" t="s">
        <v>2815</v>
      </c>
      <c r="H2793" t="s">
        <v>2813</v>
      </c>
      <c r="I2793" s="2">
        <v>0.12847222222222224</v>
      </c>
      <c r="J2793" s="4" t="str">
        <f>IF(Table1[[#This Row],[processing_time_hours]]&gt;1.5,"Slow", "Fast")</f>
        <v>Fast</v>
      </c>
      <c r="K2793" t="s">
        <v>2821</v>
      </c>
      <c r="L2793" s="3">
        <v>1</v>
      </c>
      <c r="M2793" t="str">
        <f>IF(Table1[[#This Row],[delayed]]=1,"Delayed","On Time")</f>
        <v>Delayed</v>
      </c>
      <c r="N2793" t="str">
        <f>IF(AND(Table1[[#This Row],[delayed]]=1,Table1[[#This Row],[weather_condition]]="Storm"),"High Risk", IF(Table1[[#This Row],[delayed]]=1,"Medium Risk","Low Risk"))</f>
        <v>Medium Risk</v>
      </c>
    </row>
    <row r="2794" spans="1:14" x14ac:dyDescent="0.35">
      <c r="A2794">
        <v>2793</v>
      </c>
      <c r="B2794" s="1">
        <v>45043.333333333336</v>
      </c>
      <c r="C2794" s="2">
        <v>5.6250000000000001E-2</v>
      </c>
      <c r="D2794" s="3">
        <v>2274</v>
      </c>
      <c r="E2794" s="3">
        <v>346</v>
      </c>
      <c r="F2794" s="2">
        <v>23.168749999999999</v>
      </c>
      <c r="G2794" t="s">
        <v>2815</v>
      </c>
      <c r="H2794" t="s">
        <v>2817</v>
      </c>
      <c r="I2794" s="2">
        <v>1.1263888888888889</v>
      </c>
      <c r="J2794" s="4" t="str">
        <f>IF(Table1[[#This Row],[processing_time_hours]]&gt;1.5,"Slow", "Fast")</f>
        <v>Fast</v>
      </c>
      <c r="K2794" t="s">
        <v>2818</v>
      </c>
      <c r="L2794" s="3">
        <v>0</v>
      </c>
      <c r="M2794" t="str">
        <f>IF(Table1[[#This Row],[delayed]]=1,"Delayed","On Time")</f>
        <v>On Time</v>
      </c>
      <c r="N2794" t="str">
        <f>IF(AND(Table1[[#This Row],[delayed]]=1,Table1[[#This Row],[weather_condition]]="Storm"),"High Risk", IF(Table1[[#This Row],[delayed]]=1,"Medium Risk","Low Risk"))</f>
        <v>Low Risk</v>
      </c>
    </row>
    <row r="2795" spans="1:14" x14ac:dyDescent="0.35">
      <c r="A2795">
        <v>2794</v>
      </c>
      <c r="B2795" s="1">
        <v>45043.375</v>
      </c>
      <c r="C2795" s="2">
        <v>6.1111111111111109E-2</v>
      </c>
      <c r="D2795" s="3">
        <v>1583</v>
      </c>
      <c r="E2795" s="3">
        <v>232</v>
      </c>
      <c r="F2795" s="2">
        <v>77.547222222222231</v>
      </c>
      <c r="G2795" t="s">
        <v>2812</v>
      </c>
      <c r="H2795" t="s">
        <v>2813</v>
      </c>
      <c r="I2795" s="2">
        <v>1.5055555555555555</v>
      </c>
      <c r="J2795" s="4" t="str">
        <f>IF(Table1[[#This Row],[processing_time_hours]]&gt;1.5,"Slow", "Fast")</f>
        <v>Slow</v>
      </c>
      <c r="K2795" t="s">
        <v>2821</v>
      </c>
      <c r="L2795" s="3">
        <v>0</v>
      </c>
      <c r="M2795" t="str">
        <f>IF(Table1[[#This Row],[delayed]]=1,"Delayed","On Time")</f>
        <v>On Time</v>
      </c>
      <c r="N2795" t="str">
        <f>IF(AND(Table1[[#This Row],[delayed]]=1,Table1[[#This Row],[weather_condition]]="Storm"),"High Risk", IF(Table1[[#This Row],[delayed]]=1,"Medium Risk","Low Risk"))</f>
        <v>Low Risk</v>
      </c>
    </row>
    <row r="2796" spans="1:14" x14ac:dyDescent="0.35">
      <c r="A2796">
        <v>2795</v>
      </c>
      <c r="B2796" s="1">
        <v>45043.416666666664</v>
      </c>
      <c r="C2796" s="2">
        <v>5.6250000000000001E-2</v>
      </c>
      <c r="D2796" s="3">
        <v>2532</v>
      </c>
      <c r="E2796" s="3">
        <v>216</v>
      </c>
      <c r="F2796" s="2">
        <v>75.000694444444449</v>
      </c>
      <c r="G2796" t="s">
        <v>2816</v>
      </c>
      <c r="H2796" t="s">
        <v>2822</v>
      </c>
      <c r="I2796" s="2">
        <v>1.1277777777777778</v>
      </c>
      <c r="J2796" s="4" t="str">
        <f>IF(Table1[[#This Row],[processing_time_hours]]&gt;1.5,"Slow", "Fast")</f>
        <v>Fast</v>
      </c>
      <c r="K2796" t="s">
        <v>2818</v>
      </c>
      <c r="L2796" s="3">
        <v>0</v>
      </c>
      <c r="M2796" t="str">
        <f>IF(Table1[[#This Row],[delayed]]=1,"Delayed","On Time")</f>
        <v>On Time</v>
      </c>
      <c r="N2796" t="str">
        <f>IF(AND(Table1[[#This Row],[delayed]]=1,Table1[[#This Row],[weather_condition]]="Storm"),"High Risk", IF(Table1[[#This Row],[delayed]]=1,"Medium Risk","Low Risk"))</f>
        <v>Low Risk</v>
      </c>
    </row>
    <row r="2797" spans="1:14" x14ac:dyDescent="0.35">
      <c r="A2797">
        <v>2796</v>
      </c>
      <c r="B2797" s="1">
        <v>45043.458333333336</v>
      </c>
      <c r="C2797" s="2">
        <v>4.3750000000000004E-2</v>
      </c>
      <c r="D2797" s="3">
        <v>2772</v>
      </c>
      <c r="E2797" s="3">
        <v>326</v>
      </c>
      <c r="F2797" s="2">
        <v>43.420833333333327</v>
      </c>
      <c r="G2797" t="s">
        <v>2816</v>
      </c>
      <c r="H2797" t="s">
        <v>2817</v>
      </c>
      <c r="I2797" s="2">
        <v>1.2145833333333333</v>
      </c>
      <c r="J2797" s="4" t="str">
        <f>IF(Table1[[#This Row],[processing_time_hours]]&gt;1.5,"Slow", "Fast")</f>
        <v>Fast</v>
      </c>
      <c r="K2797" t="s">
        <v>2818</v>
      </c>
      <c r="L2797" s="3">
        <v>1</v>
      </c>
      <c r="M2797" t="str">
        <f>IF(Table1[[#This Row],[delayed]]=1,"Delayed","On Time")</f>
        <v>Delayed</v>
      </c>
      <c r="N2797" t="str">
        <f>IF(AND(Table1[[#This Row],[delayed]]=1,Table1[[#This Row],[weather_condition]]="Storm"),"High Risk", IF(Table1[[#This Row],[delayed]]=1,"Medium Risk","Low Risk"))</f>
        <v>High Risk</v>
      </c>
    </row>
    <row r="2798" spans="1:14" x14ac:dyDescent="0.35">
      <c r="A2798">
        <v>2797</v>
      </c>
      <c r="B2798" s="1">
        <v>45043.5</v>
      </c>
      <c r="C2798" s="2">
        <v>5.8333333333333327E-2</v>
      </c>
      <c r="D2798" s="3">
        <v>1221</v>
      </c>
      <c r="E2798" s="3">
        <v>224</v>
      </c>
      <c r="F2798" s="2">
        <v>81.542361111111106</v>
      </c>
      <c r="G2798" t="s">
        <v>2816</v>
      </c>
      <c r="H2798" t="s">
        <v>2820</v>
      </c>
      <c r="I2798" s="2">
        <v>1.8375000000000001</v>
      </c>
      <c r="J2798" s="4" t="str">
        <f>IF(Table1[[#This Row],[processing_time_hours]]&gt;1.5,"Slow", "Fast")</f>
        <v>Slow</v>
      </c>
      <c r="K2798" t="s">
        <v>2814</v>
      </c>
      <c r="L2798" s="3">
        <v>0</v>
      </c>
      <c r="M2798" t="str">
        <f>IF(Table1[[#This Row],[delayed]]=1,"Delayed","On Time")</f>
        <v>On Time</v>
      </c>
      <c r="N2798" t="str">
        <f>IF(AND(Table1[[#This Row],[delayed]]=1,Table1[[#This Row],[weather_condition]]="Storm"),"High Risk", IF(Table1[[#This Row],[delayed]]=1,"Medium Risk","Low Risk"))</f>
        <v>Low Risk</v>
      </c>
    </row>
    <row r="2799" spans="1:14" x14ac:dyDescent="0.35">
      <c r="A2799">
        <v>2798</v>
      </c>
      <c r="B2799" s="1">
        <v>45043.541666666664</v>
      </c>
      <c r="C2799" s="2">
        <v>6.1805555555555558E-2</v>
      </c>
      <c r="D2799" s="3">
        <v>2561</v>
      </c>
      <c r="E2799" s="3">
        <v>2</v>
      </c>
      <c r="F2799" s="2">
        <v>31.960416666666664</v>
      </c>
      <c r="G2799" t="s">
        <v>2815</v>
      </c>
      <c r="H2799" t="s">
        <v>2820</v>
      </c>
      <c r="I2799" s="2">
        <v>2.7090277777777776</v>
      </c>
      <c r="J2799" s="4" t="str">
        <f>IF(Table1[[#This Row],[processing_time_hours]]&gt;1.5,"Slow", "Fast")</f>
        <v>Slow</v>
      </c>
      <c r="K2799" t="s">
        <v>2814</v>
      </c>
      <c r="L2799" s="3">
        <v>0</v>
      </c>
      <c r="M2799" t="str">
        <f>IF(Table1[[#This Row],[delayed]]=1,"Delayed","On Time")</f>
        <v>On Time</v>
      </c>
      <c r="N2799" t="str">
        <f>IF(AND(Table1[[#This Row],[delayed]]=1,Table1[[#This Row],[weather_condition]]="Storm"),"High Risk", IF(Table1[[#This Row],[delayed]]=1,"Medium Risk","Low Risk"))</f>
        <v>Low Risk</v>
      </c>
    </row>
    <row r="2800" spans="1:14" x14ac:dyDescent="0.35">
      <c r="A2800">
        <v>2799</v>
      </c>
      <c r="B2800" s="1">
        <v>45043.583333333336</v>
      </c>
      <c r="C2800" s="2">
        <v>4.6527777777777779E-2</v>
      </c>
      <c r="D2800" s="3">
        <v>3526</v>
      </c>
      <c r="E2800" s="3">
        <v>469</v>
      </c>
      <c r="F2800" s="2">
        <v>30.834722222222222</v>
      </c>
      <c r="G2800" t="s">
        <v>2815</v>
      </c>
      <c r="H2800" t="s">
        <v>2820</v>
      </c>
      <c r="I2800" s="2">
        <v>0.83611111111111114</v>
      </c>
      <c r="J2800" s="4" t="str">
        <f>IF(Table1[[#This Row],[processing_time_hours]]&gt;1.5,"Slow", "Fast")</f>
        <v>Fast</v>
      </c>
      <c r="K2800" t="s">
        <v>2818</v>
      </c>
      <c r="L2800" s="3">
        <v>1</v>
      </c>
      <c r="M2800" t="str">
        <f>IF(Table1[[#This Row],[delayed]]=1,"Delayed","On Time")</f>
        <v>Delayed</v>
      </c>
      <c r="N2800" t="str">
        <f>IF(AND(Table1[[#This Row],[delayed]]=1,Table1[[#This Row],[weather_condition]]="Storm"),"High Risk", IF(Table1[[#This Row],[delayed]]=1,"Medium Risk","Low Risk"))</f>
        <v>Medium Risk</v>
      </c>
    </row>
    <row r="2801" spans="1:14" x14ac:dyDescent="0.35">
      <c r="A2801">
        <v>2800</v>
      </c>
      <c r="B2801" s="1">
        <v>45043.625</v>
      </c>
      <c r="C2801" s="2">
        <v>5.486111111111111E-2</v>
      </c>
      <c r="D2801" s="3">
        <v>274</v>
      </c>
      <c r="E2801" s="3">
        <v>408</v>
      </c>
      <c r="F2801" s="2">
        <v>37.795833333333334</v>
      </c>
      <c r="G2801" t="s">
        <v>2816</v>
      </c>
      <c r="H2801" t="s">
        <v>2817</v>
      </c>
      <c r="I2801" s="2">
        <v>1.54375</v>
      </c>
      <c r="J2801" s="4" t="str">
        <f>IF(Table1[[#This Row],[processing_time_hours]]&gt;1.5,"Slow", "Fast")</f>
        <v>Slow</v>
      </c>
      <c r="K2801" t="s">
        <v>2821</v>
      </c>
      <c r="L2801" s="3">
        <v>0</v>
      </c>
      <c r="M2801" t="str">
        <f>IF(Table1[[#This Row],[delayed]]=1,"Delayed","On Time")</f>
        <v>On Time</v>
      </c>
      <c r="N2801" t="str">
        <f>IF(AND(Table1[[#This Row],[delayed]]=1,Table1[[#This Row],[weather_condition]]="Storm"),"High Risk", IF(Table1[[#This Row],[delayed]]=1,"Medium Risk","Low Risk"))</f>
        <v>Low Risk</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Views>
    <sheetView zoomScale="55" zoomScaleNormal="55" workbookViewId="0">
      <selection activeCell="Q25" sqref="Q25"/>
    </sheetView>
  </sheetViews>
  <sheetFormatPr defaultRowHeight="14.5" x14ac:dyDescent="0.35"/>
  <cols>
    <col min="1" max="1" width="17.81640625" customWidth="1"/>
    <col min="2" max="2" width="31.81640625" customWidth="1"/>
    <col min="3" max="3" width="29.36328125" customWidth="1"/>
    <col min="4" max="4" width="16.453125" customWidth="1"/>
    <col min="5" max="5" width="10.7265625" bestFit="1" customWidth="1"/>
  </cols>
  <sheetData>
    <row r="1" spans="1:6" x14ac:dyDescent="0.35">
      <c r="A1" s="12" t="s">
        <v>2843</v>
      </c>
      <c r="B1" s="9"/>
      <c r="C1" s="9"/>
      <c r="D1" s="9"/>
      <c r="E1" s="9"/>
      <c r="F1" s="9"/>
    </row>
    <row r="3" spans="1:6" x14ac:dyDescent="0.35">
      <c r="A3" s="13" t="s">
        <v>2847</v>
      </c>
      <c r="B3" s="13" t="s">
        <v>2810</v>
      </c>
    </row>
    <row r="4" spans="1:6" x14ac:dyDescent="0.35">
      <c r="A4" s="13" t="s">
        <v>2807</v>
      </c>
      <c r="B4" t="s">
        <v>2818</v>
      </c>
      <c r="C4" t="s">
        <v>2814</v>
      </c>
      <c r="D4" t="s">
        <v>2821</v>
      </c>
      <c r="E4" t="s">
        <v>2845</v>
      </c>
    </row>
    <row r="5" spans="1:6" x14ac:dyDescent="0.35">
      <c r="A5" t="s">
        <v>2812</v>
      </c>
      <c r="B5" s="15">
        <v>265</v>
      </c>
      <c r="C5" s="15">
        <v>217</v>
      </c>
      <c r="D5" s="15">
        <v>205</v>
      </c>
      <c r="E5" s="15">
        <v>687</v>
      </c>
    </row>
    <row r="6" spans="1:6" x14ac:dyDescent="0.35">
      <c r="A6" t="s">
        <v>2845</v>
      </c>
      <c r="B6" s="15">
        <v>265</v>
      </c>
      <c r="C6" s="15">
        <v>217</v>
      </c>
      <c r="D6" s="15">
        <v>205</v>
      </c>
      <c r="E6" s="15">
        <v>687</v>
      </c>
    </row>
    <row r="11" spans="1:6" x14ac:dyDescent="0.35">
      <c r="B11" s="16"/>
      <c r="C11" s="16"/>
      <c r="D11" s="16"/>
      <c r="E11" s="16"/>
      <c r="F11" s="17"/>
    </row>
    <row r="12" spans="1:6" x14ac:dyDescent="0.35">
      <c r="B12" s="17"/>
      <c r="C12" s="17"/>
      <c r="D12" s="17"/>
      <c r="E12" s="17"/>
      <c r="F12" s="17"/>
    </row>
    <row r="13" spans="1:6" x14ac:dyDescent="0.35">
      <c r="A13" s="12" t="s">
        <v>2848</v>
      </c>
      <c r="B13" s="9"/>
      <c r="C13" s="9"/>
      <c r="D13" s="9"/>
      <c r="E13" s="9"/>
      <c r="F13" s="9"/>
    </row>
    <row r="17" spans="1:5" x14ac:dyDescent="0.35">
      <c r="A17" s="13" t="s">
        <v>2857</v>
      </c>
      <c r="B17" s="13" t="s">
        <v>2846</v>
      </c>
    </row>
    <row r="18" spans="1:5" x14ac:dyDescent="0.35">
      <c r="A18" s="13" t="s">
        <v>2844</v>
      </c>
      <c r="B18" t="s">
        <v>2849</v>
      </c>
      <c r="C18" t="s">
        <v>2850</v>
      </c>
      <c r="D18" t="s">
        <v>2851</v>
      </c>
      <c r="E18" t="s">
        <v>2845</v>
      </c>
    </row>
    <row r="19" spans="1:5" x14ac:dyDescent="0.35">
      <c r="A19" s="14" t="s">
        <v>2822</v>
      </c>
      <c r="B19" s="15">
        <v>0</v>
      </c>
      <c r="C19" s="15">
        <v>126</v>
      </c>
      <c r="D19" s="15">
        <v>45</v>
      </c>
      <c r="E19" s="15">
        <v>171</v>
      </c>
    </row>
    <row r="20" spans="1:5" x14ac:dyDescent="0.35">
      <c r="A20" s="14" t="s">
        <v>2813</v>
      </c>
      <c r="B20" s="15">
        <v>0</v>
      </c>
      <c r="C20" s="15">
        <v>134</v>
      </c>
      <c r="D20" s="15">
        <v>59</v>
      </c>
      <c r="E20" s="15">
        <v>193</v>
      </c>
    </row>
    <row r="21" spans="1:5" x14ac:dyDescent="0.35">
      <c r="A21" s="14" t="s">
        <v>2820</v>
      </c>
      <c r="B21" s="15">
        <v>0</v>
      </c>
      <c r="C21" s="15">
        <v>112</v>
      </c>
      <c r="D21" s="15">
        <v>54</v>
      </c>
      <c r="E21" s="15">
        <v>166</v>
      </c>
    </row>
    <row r="22" spans="1:5" x14ac:dyDescent="0.35">
      <c r="A22" s="14" t="s">
        <v>2817</v>
      </c>
      <c r="B22" s="15">
        <v>44</v>
      </c>
      <c r="C22" s="15">
        <v>113</v>
      </c>
      <c r="D22" s="15">
        <v>0</v>
      </c>
      <c r="E22" s="15">
        <v>157</v>
      </c>
    </row>
    <row r="23" spans="1:5" x14ac:dyDescent="0.35">
      <c r="A23" s="14" t="s">
        <v>2845</v>
      </c>
      <c r="B23" s="15">
        <v>44</v>
      </c>
      <c r="C23" s="15">
        <v>485</v>
      </c>
      <c r="D23" s="15">
        <v>158</v>
      </c>
      <c r="E23" s="15">
        <v>687</v>
      </c>
    </row>
    <row r="27" spans="1:5" x14ac:dyDescent="0.35">
      <c r="A27" s="12" t="s">
        <v>2852</v>
      </c>
      <c r="B27" s="12"/>
      <c r="C27" s="12"/>
      <c r="D27" s="12"/>
    </row>
    <row r="31" spans="1:5" x14ac:dyDescent="0.35">
      <c r="A31" s="13" t="s">
        <v>2840</v>
      </c>
      <c r="B31" t="s">
        <v>2855</v>
      </c>
      <c r="C31" t="s">
        <v>2856</v>
      </c>
    </row>
    <row r="32" spans="1:5" x14ac:dyDescent="0.35">
      <c r="A32" t="s">
        <v>2853</v>
      </c>
      <c r="B32" s="2">
        <v>5.0749449944994487E-2</v>
      </c>
      <c r="C32" s="2">
        <v>38.971321507150698</v>
      </c>
    </row>
    <row r="33" spans="1:3" x14ac:dyDescent="0.35">
      <c r="A33" t="s">
        <v>2854</v>
      </c>
      <c r="B33" s="2">
        <v>5.0526918671248644E-2</v>
      </c>
      <c r="C33" s="2">
        <v>43.716668098510901</v>
      </c>
    </row>
    <row r="34" spans="1:3" x14ac:dyDescent="0.35">
      <c r="A34" t="s">
        <v>2845</v>
      </c>
      <c r="B34" s="2">
        <v>5.0592349991913331E-2</v>
      </c>
      <c r="C34" s="2">
        <v>42.321384239042509</v>
      </c>
    </row>
    <row r="35" spans="1:3" x14ac:dyDescent="0.35">
      <c r="B35" s="2"/>
      <c r="C35" s="2"/>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8:X9"/>
  <sheetViews>
    <sheetView showGridLines="0" showRowColHeaders="0" tabSelected="1" zoomScale="40" zoomScaleNormal="40" workbookViewId="0">
      <selection activeCell="AC42" sqref="AC42"/>
    </sheetView>
  </sheetViews>
  <sheetFormatPr defaultRowHeight="14.5" x14ac:dyDescent="0.35"/>
  <sheetData>
    <row r="8" spans="2:24" x14ac:dyDescent="0.35">
      <c r="S8" s="20"/>
      <c r="T8" s="20"/>
      <c r="U8" s="20"/>
      <c r="V8" s="20"/>
      <c r="W8" s="20"/>
      <c r="X8" s="20"/>
    </row>
    <row r="9" spans="2:24" x14ac:dyDescent="0.35">
      <c r="B9" s="18" t="s">
        <v>2858</v>
      </c>
      <c r="C9" s="18"/>
      <c r="D9" s="18"/>
      <c r="E9" s="18">
        <f>GETPIVOTDATA("delayed",Pivot!$A$3)</f>
        <v>687</v>
      </c>
      <c r="F9" s="18"/>
      <c r="G9" s="18"/>
      <c r="J9" s="18" t="s">
        <v>2859</v>
      </c>
      <c r="K9" s="18"/>
      <c r="L9" s="18"/>
      <c r="M9" s="18">
        <f>GETPIVOTDATA("order_id",Pivot!$A$17,"risk_category","High Risk")</f>
        <v>44</v>
      </c>
      <c r="N9" s="18"/>
      <c r="O9" s="18"/>
      <c r="S9" s="18" t="s">
        <v>2860</v>
      </c>
      <c r="T9" s="18"/>
      <c r="U9" s="18"/>
      <c r="V9" s="18"/>
      <c r="W9" s="19">
        <f>GETPIVOTDATA("Average of supplier_reliability_score",Pivot!$A$31)</f>
        <v>5.0592349991913331E-2</v>
      </c>
      <c r="X9" s="19"/>
    </row>
  </sheetData>
  <mergeCells count="6">
    <mergeCell ref="B9:D9"/>
    <mergeCell ref="J9:L9"/>
    <mergeCell ref="S9:V9"/>
    <mergeCell ref="M9:O9"/>
    <mergeCell ref="W9:X9"/>
    <mergeCell ref="E9:G9"/>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Mentah</vt:lpstr>
      <vt:lpstr>Task</vt:lpstr>
      <vt:lpstr>Data Preparation</vt:lpstr>
      <vt:lpstr>Pivot</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asus</cp:lastModifiedBy>
  <dcterms:created xsi:type="dcterms:W3CDTF">2026-08-11T01:05:34Z</dcterms:created>
  <dcterms:modified xsi:type="dcterms:W3CDTF">2026-08-11T02:32:59Z</dcterms:modified>
</cp:coreProperties>
</file>