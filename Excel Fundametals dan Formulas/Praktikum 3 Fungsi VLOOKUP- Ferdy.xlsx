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7480" windowHeight="3220" firstSheet="2" activeTab="2"/>
  </bookViews>
  <sheets>
    <sheet name="Mencari Data" sheetId="3" r:id="rId1"/>
    <sheet name="Menggabungkan 2 Tabel" sheetId="1" r:id="rId2"/>
    <sheet name="Mencari Kelompok" sheetId="4" r:id="rId3"/>
  </sheets>
  <definedNames>
    <definedName name="_xlnm._FilterDatabase" localSheetId="1" hidden="1">'Menggabungkan 2 Tabel'!$A$1:$B$11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3" i="1"/>
  <c r="D4" i="1"/>
  <c r="D5" i="1"/>
  <c r="D6" i="1"/>
  <c r="D7" i="1"/>
  <c r="D8" i="1"/>
  <c r="D9" i="1"/>
  <c r="D10" i="1"/>
  <c r="D11" i="1"/>
  <c r="D2" i="1"/>
  <c r="C2" i="1"/>
  <c r="C3" i="1"/>
  <c r="C4" i="1"/>
  <c r="C5" i="1"/>
  <c r="C6" i="1"/>
  <c r="C7" i="1"/>
  <c r="C8" i="1"/>
  <c r="C9" i="1"/>
  <c r="C10" i="1"/>
  <c r="C11" i="1"/>
  <c r="G4" i="3"/>
  <c r="G3" i="3"/>
</calcChain>
</file>

<file path=xl/sharedStrings.xml><?xml version="1.0" encoding="utf-8"?>
<sst xmlns="http://schemas.openxmlformats.org/spreadsheetml/2006/main" count="87" uniqueCount="43">
  <si>
    <t>Tanggal Pemesanan</t>
  </si>
  <si>
    <t>No. Pemesanan</t>
  </si>
  <si>
    <t>Nama Customer</t>
  </si>
  <si>
    <t>Domisili</t>
  </si>
  <si>
    <t>Jenis Kelamin</t>
  </si>
  <si>
    <t>Andi</t>
  </si>
  <si>
    <t>Laki-laki</t>
  </si>
  <si>
    <t>Bandung</t>
  </si>
  <si>
    <t>Budi</t>
  </si>
  <si>
    <t>Jakarta</t>
  </si>
  <si>
    <t>Clara</t>
  </si>
  <si>
    <t>Perempuan</t>
  </si>
  <si>
    <t>Palembang</t>
  </si>
  <si>
    <t>Dewi</t>
  </si>
  <si>
    <t>Surabaya</t>
  </si>
  <si>
    <t>Eko</t>
  </si>
  <si>
    <t>Fiona</t>
  </si>
  <si>
    <t>Gina</t>
  </si>
  <si>
    <t>Hesti</t>
  </si>
  <si>
    <t>Igna</t>
  </si>
  <si>
    <t>Juned</t>
  </si>
  <si>
    <t>Kode Order</t>
  </si>
  <si>
    <t>Menu</t>
  </si>
  <si>
    <t>Ukuran</t>
  </si>
  <si>
    <t>Harga</t>
  </si>
  <si>
    <t>Latte</t>
  </si>
  <si>
    <t>Regular</t>
  </si>
  <si>
    <t>Cappucino</t>
  </si>
  <si>
    <t>Large</t>
  </si>
  <si>
    <t>Pemesanan</t>
  </si>
  <si>
    <t>Americano</t>
  </si>
  <si>
    <t>Grean Tea Latte</t>
  </si>
  <si>
    <t>Lemon Tea</t>
  </si>
  <si>
    <t>Raspberry Latte</t>
  </si>
  <si>
    <t>Nama Murid</t>
  </si>
  <si>
    <t>Skor</t>
  </si>
  <si>
    <t>Nilai</t>
  </si>
  <si>
    <t>Nilai Akhir</t>
  </si>
  <si>
    <t>A</t>
  </si>
  <si>
    <t>B</t>
  </si>
  <si>
    <t>C</t>
  </si>
  <si>
    <t>D</t>
  </si>
  <si>
    <t>Iqbal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</si>
</sst>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[$-409]d\-mmm\-yyyy;@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66" fontId="2" fillId="0" borderId="1" xfId="1" applyNumberFormat="1" applyFont="1" applyFill="1" applyBorder="1"/>
    <xf numFmtId="0" fontId="0" fillId="3" borderId="1" xfId="0" applyFill="1" applyBorder="1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zoomScaleNormal="100" workbookViewId="0">
      <selection activeCell="G11" sqref="G11"/>
    </sheetView>
  </sheetViews>
  <sheetFormatPr defaultRowHeight="14.5" x14ac:dyDescent="0.35"/>
  <cols>
    <col min="1" max="1" width="11.453125" customWidth="1"/>
    <col min="2" max="2" width="14.81640625" bestFit="1" customWidth="1"/>
    <col min="6" max="6" width="11.26953125" bestFit="1" customWidth="1"/>
    <col min="7" max="7" width="15.453125" customWidth="1"/>
  </cols>
  <sheetData>
    <row r="1" spans="1:7" x14ac:dyDescent="0.35">
      <c r="A1" s="6" t="s">
        <v>21</v>
      </c>
      <c r="B1" s="6" t="s">
        <v>22</v>
      </c>
      <c r="C1" s="6" t="s">
        <v>23</v>
      </c>
      <c r="D1" s="6" t="s">
        <v>24</v>
      </c>
      <c r="G1" s="7"/>
    </row>
    <row r="2" spans="1:7" x14ac:dyDescent="0.35">
      <c r="A2" s="8">
        <v>101</v>
      </c>
      <c r="B2" s="4" t="s">
        <v>25</v>
      </c>
      <c r="C2" s="4" t="s">
        <v>26</v>
      </c>
      <c r="D2" s="9">
        <v>15000</v>
      </c>
      <c r="F2" s="10" t="s">
        <v>21</v>
      </c>
      <c r="G2" s="11">
        <v>113</v>
      </c>
    </row>
    <row r="3" spans="1:7" x14ac:dyDescent="0.35">
      <c r="A3" s="8">
        <v>112</v>
      </c>
      <c r="B3" s="4" t="s">
        <v>27</v>
      </c>
      <c r="C3" s="4" t="s">
        <v>28</v>
      </c>
      <c r="D3" s="9">
        <v>20000</v>
      </c>
      <c r="F3" s="10" t="s">
        <v>29</v>
      </c>
      <c r="G3" s="11" t="str">
        <f>VLOOKUP($G$2,$A$1:$D$7,2,0)</f>
        <v>Americano</v>
      </c>
    </row>
    <row r="4" spans="1:7" x14ac:dyDescent="0.35">
      <c r="A4" s="8">
        <v>113</v>
      </c>
      <c r="B4" s="4" t="s">
        <v>30</v>
      </c>
      <c r="C4" s="4" t="s">
        <v>26</v>
      </c>
      <c r="D4" s="9">
        <v>12000</v>
      </c>
      <c r="F4" s="10" t="s">
        <v>24</v>
      </c>
      <c r="G4" s="11">
        <f>VLOOKUP($G$2,$A$1:$D$7,4,0)</f>
        <v>12000</v>
      </c>
    </row>
    <row r="5" spans="1:7" x14ac:dyDescent="0.35">
      <c r="A5" s="8">
        <v>115</v>
      </c>
      <c r="B5" s="4" t="s">
        <v>31</v>
      </c>
      <c r="C5" s="4" t="s">
        <v>28</v>
      </c>
      <c r="D5" s="9">
        <v>33000</v>
      </c>
      <c r="G5" s="7"/>
    </row>
    <row r="6" spans="1:7" x14ac:dyDescent="0.35">
      <c r="A6" s="8">
        <v>108</v>
      </c>
      <c r="B6" s="4" t="s">
        <v>32</v>
      </c>
      <c r="C6" s="4" t="s">
        <v>26</v>
      </c>
      <c r="D6" s="9">
        <v>22000</v>
      </c>
      <c r="G6" s="7"/>
    </row>
    <row r="7" spans="1:7" x14ac:dyDescent="0.35">
      <c r="A7" s="8">
        <v>109</v>
      </c>
      <c r="B7" s="4" t="s">
        <v>33</v>
      </c>
      <c r="C7" s="4" t="s">
        <v>28</v>
      </c>
      <c r="D7" s="9">
        <v>27000</v>
      </c>
      <c r="G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opLeftCell="A10" zoomScaleNormal="100" workbookViewId="0">
      <selection activeCell="E4" sqref="E4"/>
    </sheetView>
  </sheetViews>
  <sheetFormatPr defaultRowHeight="14.5" x14ac:dyDescent="0.35"/>
  <cols>
    <col min="1" max="1" width="18.7265625" bestFit="1" customWidth="1"/>
    <col min="2" max="2" width="15.26953125" bestFit="1" customWidth="1"/>
    <col min="3" max="4" width="16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44261</v>
      </c>
      <c r="B2" s="3">
        <v>106</v>
      </c>
      <c r="C2" s="4" t="str">
        <f>VLOOKUP(B2,$A$13:$D$23,2,0)</f>
        <v>Fiona</v>
      </c>
      <c r="D2" s="4" t="str">
        <f>VLOOKUP(B2,$A$13:$D$23,4,0)</f>
        <v>Palembang</v>
      </c>
    </row>
    <row r="3" spans="1:4" x14ac:dyDescent="0.35">
      <c r="A3" s="2">
        <v>44257</v>
      </c>
      <c r="B3" s="3">
        <v>102</v>
      </c>
      <c r="C3" s="4" t="str">
        <f t="shared" ref="C3:C11" si="0">VLOOKUP(B3,$A$13:$D$23,2,0)</f>
        <v>Budi</v>
      </c>
      <c r="D3" s="4" t="str">
        <f t="shared" ref="D3:D11" si="1">VLOOKUP(B3,$A$13:$D$23,4,0)</f>
        <v>Jakarta</v>
      </c>
    </row>
    <row r="4" spans="1:4" x14ac:dyDescent="0.35">
      <c r="A4" s="2">
        <v>44259</v>
      </c>
      <c r="B4" s="3">
        <v>104</v>
      </c>
      <c r="C4" s="4" t="str">
        <f t="shared" si="0"/>
        <v>Dewi</v>
      </c>
      <c r="D4" s="4" t="str">
        <f t="shared" si="1"/>
        <v>Surabaya</v>
      </c>
    </row>
    <row r="5" spans="1:4" x14ac:dyDescent="0.35">
      <c r="A5" s="2">
        <v>44260</v>
      </c>
      <c r="B5" s="3">
        <v>105</v>
      </c>
      <c r="C5" s="4" t="str">
        <f t="shared" si="0"/>
        <v>Eko</v>
      </c>
      <c r="D5" s="4" t="str">
        <f t="shared" si="1"/>
        <v>Jakarta</v>
      </c>
    </row>
    <row r="6" spans="1:4" x14ac:dyDescent="0.35">
      <c r="A6" s="2">
        <v>44265</v>
      </c>
      <c r="B6" s="3">
        <v>110</v>
      </c>
      <c r="C6" s="4" t="str">
        <f t="shared" si="0"/>
        <v>Juned</v>
      </c>
      <c r="D6" s="4" t="str">
        <f t="shared" si="1"/>
        <v>Bandung</v>
      </c>
    </row>
    <row r="7" spans="1:4" x14ac:dyDescent="0.35">
      <c r="A7" s="2">
        <v>44258</v>
      </c>
      <c r="B7" s="3">
        <v>103</v>
      </c>
      <c r="C7" s="4" t="str">
        <f t="shared" si="0"/>
        <v>Clara</v>
      </c>
      <c r="D7" s="4" t="str">
        <f t="shared" si="1"/>
        <v>Palembang</v>
      </c>
    </row>
    <row r="8" spans="1:4" x14ac:dyDescent="0.35">
      <c r="A8" s="2">
        <v>44263</v>
      </c>
      <c r="B8" s="3">
        <v>108</v>
      </c>
      <c r="C8" s="4" t="str">
        <f t="shared" si="0"/>
        <v>Hesti</v>
      </c>
      <c r="D8" s="4" t="str">
        <f t="shared" si="1"/>
        <v>Bandung</v>
      </c>
    </row>
    <row r="9" spans="1:4" x14ac:dyDescent="0.35">
      <c r="A9" s="2">
        <v>44264</v>
      </c>
      <c r="B9" s="3">
        <v>109</v>
      </c>
      <c r="C9" s="4" t="str">
        <f t="shared" si="0"/>
        <v>Igna</v>
      </c>
      <c r="D9" s="4" t="str">
        <f t="shared" si="1"/>
        <v>Jakarta</v>
      </c>
    </row>
    <row r="10" spans="1:4" x14ac:dyDescent="0.35">
      <c r="A10" s="2">
        <v>44256</v>
      </c>
      <c r="B10" s="3">
        <v>101</v>
      </c>
      <c r="C10" s="4" t="str">
        <f t="shared" si="0"/>
        <v>Andi</v>
      </c>
      <c r="D10" s="4" t="str">
        <f t="shared" si="1"/>
        <v>Bandung</v>
      </c>
    </row>
    <row r="11" spans="1:4" x14ac:dyDescent="0.35">
      <c r="A11" s="2">
        <v>44262</v>
      </c>
      <c r="B11" s="3">
        <v>107</v>
      </c>
      <c r="C11" s="4" t="str">
        <f t="shared" si="0"/>
        <v>Gina</v>
      </c>
      <c r="D11" s="4" t="str">
        <f t="shared" si="1"/>
        <v>Surabaya</v>
      </c>
    </row>
    <row r="13" spans="1:4" ht="14.25" customHeight="1" x14ac:dyDescent="0.35">
      <c r="A13" s="1" t="s">
        <v>1</v>
      </c>
      <c r="B13" s="1" t="s">
        <v>2</v>
      </c>
      <c r="C13" s="1" t="s">
        <v>4</v>
      </c>
      <c r="D13" s="1" t="s">
        <v>3</v>
      </c>
    </row>
    <row r="14" spans="1:4" ht="14.25" customHeight="1" x14ac:dyDescent="0.35">
      <c r="A14" s="3">
        <v>101</v>
      </c>
      <c r="B14" s="5" t="s">
        <v>5</v>
      </c>
      <c r="C14" s="5" t="s">
        <v>6</v>
      </c>
      <c r="D14" s="5" t="s">
        <v>7</v>
      </c>
    </row>
    <row r="15" spans="1:4" ht="14.25" customHeight="1" x14ac:dyDescent="0.35">
      <c r="A15" s="3">
        <v>102</v>
      </c>
      <c r="B15" s="5" t="s">
        <v>8</v>
      </c>
      <c r="C15" s="5" t="s">
        <v>6</v>
      </c>
      <c r="D15" s="5" t="s">
        <v>9</v>
      </c>
    </row>
    <row r="16" spans="1:4" x14ac:dyDescent="0.35">
      <c r="A16" s="3">
        <v>103</v>
      </c>
      <c r="B16" s="5" t="s">
        <v>10</v>
      </c>
      <c r="C16" s="5" t="s">
        <v>11</v>
      </c>
      <c r="D16" s="5" t="s">
        <v>12</v>
      </c>
    </row>
    <row r="17" spans="1:4" x14ac:dyDescent="0.35">
      <c r="A17" s="3">
        <v>104</v>
      </c>
      <c r="B17" s="5" t="s">
        <v>13</v>
      </c>
      <c r="C17" s="5" t="s">
        <v>11</v>
      </c>
      <c r="D17" s="5" t="s">
        <v>14</v>
      </c>
    </row>
    <row r="18" spans="1:4" x14ac:dyDescent="0.35">
      <c r="A18" s="3">
        <v>105</v>
      </c>
      <c r="B18" s="5" t="s">
        <v>15</v>
      </c>
      <c r="C18" s="5" t="s">
        <v>6</v>
      </c>
      <c r="D18" s="5" t="s">
        <v>9</v>
      </c>
    </row>
    <row r="19" spans="1:4" x14ac:dyDescent="0.35">
      <c r="A19" s="3">
        <v>106</v>
      </c>
      <c r="B19" s="5" t="s">
        <v>16</v>
      </c>
      <c r="C19" s="5" t="s">
        <v>11</v>
      </c>
      <c r="D19" s="5" t="s">
        <v>12</v>
      </c>
    </row>
    <row r="20" spans="1:4" x14ac:dyDescent="0.35">
      <c r="A20" s="3">
        <v>107</v>
      </c>
      <c r="B20" s="5" t="s">
        <v>17</v>
      </c>
      <c r="C20" s="5" t="s">
        <v>11</v>
      </c>
      <c r="D20" s="5" t="s">
        <v>14</v>
      </c>
    </row>
    <row r="21" spans="1:4" x14ac:dyDescent="0.35">
      <c r="A21" s="3">
        <v>108</v>
      </c>
      <c r="B21" s="5" t="s">
        <v>18</v>
      </c>
      <c r="C21" s="5" t="s">
        <v>11</v>
      </c>
      <c r="D21" s="5" t="s">
        <v>7</v>
      </c>
    </row>
    <row r="22" spans="1:4" x14ac:dyDescent="0.35">
      <c r="A22" s="3">
        <v>109</v>
      </c>
      <c r="B22" s="5" t="s">
        <v>19</v>
      </c>
      <c r="C22" s="5" t="s">
        <v>6</v>
      </c>
      <c r="D22" s="5" t="s">
        <v>9</v>
      </c>
    </row>
    <row r="23" spans="1:4" x14ac:dyDescent="0.35">
      <c r="A23" s="3">
        <v>110</v>
      </c>
      <c r="B23" s="5" t="s">
        <v>20</v>
      </c>
      <c r="C23" s="5" t="s">
        <v>6</v>
      </c>
      <c r="D23" s="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85" zoomScaleNormal="85" workbookViewId="0">
      <selection activeCell="G14" sqref="G14"/>
    </sheetView>
  </sheetViews>
  <sheetFormatPr defaultRowHeight="14.5" x14ac:dyDescent="0.35"/>
  <cols>
    <col min="1" max="1" width="12" bestFit="1" customWidth="1"/>
    <col min="2" max="2" width="13.26953125" bestFit="1" customWidth="1"/>
    <col min="7" max="7" width="12.81640625" customWidth="1"/>
  </cols>
  <sheetData>
    <row r="1" spans="1:7" x14ac:dyDescent="0.35">
      <c r="A1" s="12" t="s">
        <v>34</v>
      </c>
      <c r="B1" s="12" t="s">
        <v>4</v>
      </c>
      <c r="C1" s="12" t="s">
        <v>35</v>
      </c>
      <c r="D1" s="12" t="s">
        <v>36</v>
      </c>
      <c r="F1" s="12" t="s">
        <v>35</v>
      </c>
      <c r="G1" s="12" t="s">
        <v>37</v>
      </c>
    </row>
    <row r="2" spans="1:7" x14ac:dyDescent="0.35">
      <c r="A2" s="4" t="s">
        <v>5</v>
      </c>
      <c r="B2" s="4" t="s">
        <v>6</v>
      </c>
      <c r="C2" s="8">
        <v>80</v>
      </c>
      <c r="D2" s="8" t="str">
        <f>VLOOKUP(C2,$F$1:$G$5,2,1)</f>
        <v>B</v>
      </c>
      <c r="F2" s="8">
        <v>0</v>
      </c>
      <c r="G2" s="8" t="s">
        <v>41</v>
      </c>
    </row>
    <row r="3" spans="1:7" x14ac:dyDescent="0.35">
      <c r="A3" s="4" t="s">
        <v>8</v>
      </c>
      <c r="B3" s="4" t="s">
        <v>6</v>
      </c>
      <c r="C3" s="8">
        <v>45</v>
      </c>
      <c r="D3" s="8" t="str">
        <f t="shared" ref="D3:D11" si="0">VLOOKUP(C3,$F$1:$G$5,2,1)</f>
        <v>D</v>
      </c>
      <c r="F3" s="8">
        <v>50</v>
      </c>
      <c r="G3" s="8" t="s">
        <v>40</v>
      </c>
    </row>
    <row r="4" spans="1:7" x14ac:dyDescent="0.35">
      <c r="A4" s="4" t="s">
        <v>10</v>
      </c>
      <c r="B4" s="4" t="s">
        <v>11</v>
      </c>
      <c r="C4" s="8">
        <v>67</v>
      </c>
      <c r="D4" s="8" t="str">
        <f t="shared" si="0"/>
        <v>C</v>
      </c>
      <c r="F4" s="8">
        <v>70</v>
      </c>
      <c r="G4" s="8" t="s">
        <v>39</v>
      </c>
    </row>
    <row r="5" spans="1:7" x14ac:dyDescent="0.35">
      <c r="A5" s="4" t="s">
        <v>13</v>
      </c>
      <c r="B5" s="4" t="s">
        <v>11</v>
      </c>
      <c r="C5" s="8">
        <v>92</v>
      </c>
      <c r="D5" s="8" t="str">
        <f t="shared" si="0"/>
        <v>A</v>
      </c>
      <c r="F5" s="8">
        <v>90</v>
      </c>
      <c r="G5" s="8" t="s">
        <v>38</v>
      </c>
    </row>
    <row r="6" spans="1:7" x14ac:dyDescent="0.35">
      <c r="A6" s="4" t="s">
        <v>15</v>
      </c>
      <c r="B6" s="4" t="s">
        <v>6</v>
      </c>
      <c r="C6" s="8">
        <v>23</v>
      </c>
      <c r="D6" s="8" t="str">
        <f t="shared" si="0"/>
        <v>D</v>
      </c>
    </row>
    <row r="7" spans="1:7" x14ac:dyDescent="0.35">
      <c r="A7" s="4" t="s">
        <v>16</v>
      </c>
      <c r="B7" s="4" t="s">
        <v>11</v>
      </c>
      <c r="C7" s="8">
        <v>95</v>
      </c>
      <c r="D7" s="8" t="str">
        <f t="shared" si="0"/>
        <v>A</v>
      </c>
    </row>
    <row r="8" spans="1:7" x14ac:dyDescent="0.35">
      <c r="A8" s="4" t="s">
        <v>17</v>
      </c>
      <c r="B8" s="4" t="s">
        <v>11</v>
      </c>
      <c r="C8" s="8">
        <v>80</v>
      </c>
      <c r="D8" s="8" t="str">
        <f t="shared" si="0"/>
        <v>B</v>
      </c>
    </row>
    <row r="9" spans="1:7" x14ac:dyDescent="0.35">
      <c r="A9" s="4" t="s">
        <v>18</v>
      </c>
      <c r="B9" s="4" t="s">
        <v>11</v>
      </c>
      <c r="C9" s="8">
        <v>90</v>
      </c>
      <c r="D9" s="8" t="str">
        <f t="shared" si="0"/>
        <v>A</v>
      </c>
    </row>
    <row r="10" spans="1:7" x14ac:dyDescent="0.35">
      <c r="A10" s="4" t="s">
        <v>42</v>
      </c>
      <c r="B10" s="4" t="s">
        <v>6</v>
      </c>
      <c r="C10" s="8">
        <v>75</v>
      </c>
      <c r="D10" s="8" t="str">
        <f t="shared" si="0"/>
        <v>B</v>
      </c>
    </row>
    <row r="11" spans="1:7" x14ac:dyDescent="0.35">
      <c r="A11" s="4" t="s">
        <v>20</v>
      </c>
      <c r="B11" s="4" t="s">
        <v>6</v>
      </c>
      <c r="C11" s="8">
        <v>65</v>
      </c>
      <c r="D11" s="8" t="str">
        <f t="shared" si="0"/>
        <v>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Mencari Data</vt:lpstr>
      <vt:lpstr>Menggabungkan 2 Tabel</vt:lpstr>
      <vt:lpstr>Mencari Kelompok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2021-03-09T11:53:55Z</dcterms:created>
  <dcterms:modified xsi:type="dcterms:W3CDTF">2026-07-24T00:55:40Z</dcterms:modified>
</cp:coreProperties>
</file>