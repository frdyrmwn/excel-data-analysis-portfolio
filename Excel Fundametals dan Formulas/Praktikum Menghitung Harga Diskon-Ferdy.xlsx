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7480" windowHeight="3230" firstSheet="2" activeTab="2"/>
  </bookViews>
  <sheets>
    <sheet name="Menghitung Harga Promo" sheetId="1" r:id="rId1"/>
    <sheet name="Harga Promo dengan Kriteria" sheetId="4" r:id="rId2"/>
    <sheet name="Mencari Diskon di Tabel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2" i="3"/>
  <c r="E3" i="3"/>
  <c r="E4" i="3"/>
  <c r="E5" i="3"/>
  <c r="E6" i="3"/>
  <c r="E2" i="3"/>
  <c r="D3" i="3"/>
  <c r="D4" i="3"/>
  <c r="D5" i="3"/>
  <c r="D6" i="3"/>
  <c r="D2" i="3"/>
  <c r="C3" i="3"/>
  <c r="C4" i="3"/>
  <c r="C5" i="3"/>
  <c r="C6" i="3"/>
  <c r="C2" i="3"/>
  <c r="F4" i="4"/>
  <c r="F5" i="4"/>
  <c r="F6" i="4"/>
  <c r="F7" i="4"/>
  <c r="F3" i="4"/>
  <c r="E4" i="4"/>
  <c r="E5" i="4"/>
  <c r="E6" i="4"/>
  <c r="E7" i="4"/>
  <c r="E3" i="4"/>
  <c r="D4" i="4"/>
  <c r="D5" i="4"/>
  <c r="D6" i="4"/>
  <c r="D7" i="4"/>
  <c r="D3" i="4"/>
  <c r="C4" i="4"/>
  <c r="C5" i="4"/>
  <c r="C6" i="4"/>
  <c r="C7" i="4"/>
  <c r="C3" i="4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<sst xmlns="http://schemas.openxmlformats.org/spreadsheetml/2006/main" count="54" uniqueCount="25">
  <si>
    <t>Nama Barang</t>
  </si>
  <si>
    <t>Harga Normal</t>
  </si>
  <si>
    <t>Diskon</t>
  </si>
  <si>
    <t>Besar Diskon</t>
  </si>
  <si>
    <t>Harga Promo</t>
  </si>
  <si>
    <t>Harga Promo - Langsung</t>
  </si>
  <si>
    <t>Baju</t>
  </si>
  <si>
    <t>Celana</t>
  </si>
  <si>
    <t>Sepatu</t>
  </si>
  <si>
    <t>Kaos Kaki</t>
  </si>
  <si>
    <t>Handuk</t>
  </si>
  <si>
    <t>Di atas 100,000, diskon 20%, selain itu, diskon 10%.</t>
  </si>
  <si>
    <t>Tas Pinggang</t>
  </si>
  <si>
    <t>Jaket</t>
  </si>
  <si>
    <t>Sandal</t>
  </si>
  <si>
    <t>Piyama</t>
  </si>
  <si>
    <t>Harga normal * Diskon</t>
  </si>
  <si>
    <t>Harga Normal - Besar Diskon</t>
  </si>
  <si>
    <t>Rumusnya =cell harga (1-diskonya)</t>
  </si>
  <si>
    <t>Menggunakan IF</t>
  </si>
  <si>
    <t>Dikalikan harga dan diskon</t>
  </si>
  <si>
    <t>Harga Normal - Harga diskon</t>
  </si>
  <si>
    <t xml:space="preserve">Rumus IF dimasukkan </t>
  </si>
  <si>
    <t>vlookup</t>
  </si>
  <si>
    <t>Vlokup dimasukan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</si>
</sst>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0" fillId="0" borderId="1" xfId="1" applyNumberFormat="1" applyFont="1" applyBorder="1"/>
    <xf numFmtId="9" fontId="0" fillId="0" borderId="1" xfId="0" applyNumberFormat="1" applyBorder="1"/>
    <xf numFmtId="165" fontId="0" fillId="0" borderId="1" xfId="0" applyNumberFormat="1" applyBorder="1"/>
    <xf numFmtId="0" fontId="0" fillId="0" borderId="0" xfId="0" applyAlignment="1">
      <alignment wrapText="1"/>
    </xf>
    <xf numFmtId="165" fontId="0" fillId="0" borderId="1" xfId="0" applyNumberFormat="1" applyBorder="1" applyAlignment="1">
      <alignment wrapText="1"/>
    </xf>
    <xf numFmtId="0" fontId="0" fillId="0" borderId="0" xfId="0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Border="1"/>
    <xf numFmtId="0" fontId="0" fillId="0" borderId="0" xfId="0" applyBorder="1"/>
    <xf numFmtId="165" fontId="0" fillId="0" borderId="0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topLeftCell="B1" zoomScale="85" zoomScaleNormal="85" workbookViewId="0">
      <selection activeCell="F9" sqref="F9"/>
    </sheetView>
  </sheetViews>
  <sheetFormatPr defaultRowHeight="14.5" x14ac:dyDescent="0.35"/>
  <cols>
    <col min="1" max="1" width="17.81640625" customWidth="1"/>
    <col min="2" max="5" width="14.54296875" customWidth="1"/>
    <col min="6" max="6" width="23.542968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35">
      <c r="A2" s="1" t="s">
        <v>6</v>
      </c>
      <c r="B2" s="4">
        <v>140000</v>
      </c>
      <c r="C2" s="5">
        <v>0.2</v>
      </c>
      <c r="D2" s="6">
        <f>B2*C2</f>
        <v>28000</v>
      </c>
      <c r="E2" s="6">
        <f>B2-D2</f>
        <v>112000</v>
      </c>
      <c r="F2" s="6">
        <f>B2*(1-C2)</f>
        <v>112000</v>
      </c>
    </row>
    <row r="3" spans="1:6" x14ac:dyDescent="0.35">
      <c r="A3" s="1" t="s">
        <v>7</v>
      </c>
      <c r="B3" s="4">
        <v>85000</v>
      </c>
      <c r="C3" s="5">
        <v>0.2</v>
      </c>
      <c r="D3" s="6">
        <f t="shared" ref="D3:D6" si="0">B3*C3</f>
        <v>17000</v>
      </c>
      <c r="E3" s="6">
        <f t="shared" ref="E3:E6" si="1">B3-D3</f>
        <v>68000</v>
      </c>
      <c r="F3" s="6">
        <f t="shared" ref="F3:F7" si="2">B3*(1-C3)</f>
        <v>68000</v>
      </c>
    </row>
    <row r="4" spans="1:6" x14ac:dyDescent="0.35">
      <c r="A4" s="1" t="s">
        <v>8</v>
      </c>
      <c r="B4" s="4">
        <v>238000</v>
      </c>
      <c r="C4" s="5">
        <v>0.2</v>
      </c>
      <c r="D4" s="6">
        <f t="shared" si="0"/>
        <v>47600</v>
      </c>
      <c r="E4" s="6">
        <f t="shared" si="1"/>
        <v>190400</v>
      </c>
      <c r="F4" s="6">
        <f t="shared" si="2"/>
        <v>190400</v>
      </c>
    </row>
    <row r="5" spans="1:6" x14ac:dyDescent="0.35">
      <c r="A5" s="1" t="s">
        <v>9</v>
      </c>
      <c r="B5" s="4">
        <v>15000</v>
      </c>
      <c r="C5" s="5">
        <v>0.2</v>
      </c>
      <c r="D5" s="6">
        <f t="shared" si="0"/>
        <v>3000</v>
      </c>
      <c r="E5" s="6">
        <f t="shared" si="1"/>
        <v>12000</v>
      </c>
      <c r="F5" s="6">
        <f t="shared" si="2"/>
        <v>12000</v>
      </c>
    </row>
    <row r="6" spans="1:6" x14ac:dyDescent="0.35">
      <c r="A6" s="1" t="s">
        <v>10</v>
      </c>
      <c r="B6" s="4">
        <v>67000</v>
      </c>
      <c r="C6" s="5">
        <v>0.2</v>
      </c>
      <c r="D6" s="6">
        <f t="shared" si="0"/>
        <v>13400</v>
      </c>
      <c r="E6" s="6">
        <f t="shared" si="1"/>
        <v>53600</v>
      </c>
      <c r="F6" s="6">
        <f t="shared" si="2"/>
        <v>53600</v>
      </c>
    </row>
    <row r="7" spans="1:6" ht="29" x14ac:dyDescent="0.35">
      <c r="D7" s="7" t="s">
        <v>16</v>
      </c>
      <c r="E7" s="7" t="s">
        <v>17</v>
      </c>
      <c r="F7" s="8" t="s">
        <v>18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showGridLines="0" zoomScale="70" zoomScaleNormal="70" workbookViewId="0">
      <selection activeCell="F13" sqref="F13"/>
    </sheetView>
  </sheetViews>
  <sheetFormatPr defaultRowHeight="14.5" x14ac:dyDescent="0.35"/>
  <cols>
    <col min="1" max="1" width="17.81640625" customWidth="1"/>
    <col min="2" max="5" width="14.54296875" customWidth="1"/>
    <col min="6" max="6" width="23.54296875" customWidth="1"/>
  </cols>
  <sheetData>
    <row r="1" spans="1:6" x14ac:dyDescent="0.35">
      <c r="A1" t="s">
        <v>11</v>
      </c>
    </row>
    <row r="2" spans="1:6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</row>
    <row r="3" spans="1:6" x14ac:dyDescent="0.35">
      <c r="A3" s="1" t="s">
        <v>6</v>
      </c>
      <c r="B3" s="4">
        <v>140000</v>
      </c>
      <c r="C3" s="5">
        <f>IF(B3&gt;100000,20%,10%)</f>
        <v>0.2</v>
      </c>
      <c r="D3" s="6">
        <f>B3*C3</f>
        <v>28000</v>
      </c>
      <c r="E3" s="6">
        <f>B3-D3</f>
        <v>112000</v>
      </c>
      <c r="F3" s="6">
        <f>B3*(1-IF(B3&gt;100000,20%,10%))</f>
        <v>112000</v>
      </c>
    </row>
    <row r="4" spans="1:6" x14ac:dyDescent="0.35">
      <c r="A4" s="1" t="s">
        <v>7</v>
      </c>
      <c r="B4" s="4">
        <v>85000</v>
      </c>
      <c r="C4" s="5">
        <f t="shared" ref="C4:C7" si="0">IF(B4&gt;100000,20%,10%)</f>
        <v>0.1</v>
      </c>
      <c r="D4" s="6">
        <f t="shared" ref="D4:D8" si="1">B4*C4</f>
        <v>8500</v>
      </c>
      <c r="E4" s="6">
        <f t="shared" ref="E4:E8" si="2">B4-D4</f>
        <v>76500</v>
      </c>
      <c r="F4" s="6">
        <f t="shared" ref="F4:F8" si="3">B4*(1-IF(B4&gt;100000,20%,10%))</f>
        <v>76500</v>
      </c>
    </row>
    <row r="5" spans="1:6" x14ac:dyDescent="0.35">
      <c r="A5" s="1" t="s">
        <v>8</v>
      </c>
      <c r="B5" s="4">
        <v>238000</v>
      </c>
      <c r="C5" s="5">
        <f t="shared" si="0"/>
        <v>0.2</v>
      </c>
      <c r="D5" s="6">
        <f t="shared" si="1"/>
        <v>47600</v>
      </c>
      <c r="E5" s="6">
        <f t="shared" si="2"/>
        <v>190400</v>
      </c>
      <c r="F5" s="6">
        <f t="shared" si="3"/>
        <v>190400</v>
      </c>
    </row>
    <row r="6" spans="1:6" x14ac:dyDescent="0.35">
      <c r="A6" s="1" t="s">
        <v>9</v>
      </c>
      <c r="B6" s="4">
        <v>15000</v>
      </c>
      <c r="C6" s="5">
        <f t="shared" si="0"/>
        <v>0.1</v>
      </c>
      <c r="D6" s="6">
        <f t="shared" si="1"/>
        <v>1500</v>
      </c>
      <c r="E6" s="6">
        <f t="shared" si="2"/>
        <v>13500</v>
      </c>
      <c r="F6" s="6">
        <f t="shared" si="3"/>
        <v>13500</v>
      </c>
    </row>
    <row r="7" spans="1:6" x14ac:dyDescent="0.35">
      <c r="A7" s="1" t="s">
        <v>10</v>
      </c>
      <c r="B7" s="4">
        <v>67000</v>
      </c>
      <c r="C7" s="5">
        <f t="shared" si="0"/>
        <v>0.1</v>
      </c>
      <c r="D7" s="6">
        <f t="shared" si="1"/>
        <v>6700</v>
      </c>
      <c r="E7" s="6">
        <f t="shared" si="2"/>
        <v>60300</v>
      </c>
      <c r="F7" s="6">
        <f t="shared" si="3"/>
        <v>60300</v>
      </c>
    </row>
    <row r="8" spans="1:6" ht="29" x14ac:dyDescent="0.35">
      <c r="C8" s="9" t="s">
        <v>19</v>
      </c>
      <c r="D8" s="10" t="s">
        <v>20</v>
      </c>
      <c r="E8" s="8" t="s">
        <v>21</v>
      </c>
      <c r="F8" s="10" t="s">
        <v>22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abSelected="1" zoomScale="70" zoomScaleNormal="70" workbookViewId="0">
      <selection activeCell="E18" sqref="E18"/>
    </sheetView>
  </sheetViews>
  <sheetFormatPr defaultRowHeight="14.5" x14ac:dyDescent="0.35"/>
  <cols>
    <col min="1" max="1" width="17.81640625" customWidth="1"/>
    <col min="2" max="5" width="14.54296875" customWidth="1"/>
    <col min="6" max="6" width="23.542968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35">
      <c r="A2" s="1" t="s">
        <v>6</v>
      </c>
      <c r="B2" s="4">
        <v>140000</v>
      </c>
      <c r="C2" s="5">
        <f>VLOOKUP(A2,$A$8:$B$17,2,0)</f>
        <v>0.14000000000000001</v>
      </c>
      <c r="D2" s="6">
        <f>B2*C2</f>
        <v>19600.000000000004</v>
      </c>
      <c r="E2" s="6">
        <f>B2-D2</f>
        <v>120400</v>
      </c>
      <c r="F2" s="6">
        <f>B2*(1-VLOOKUP(A2,$A$8:$B$17,2,0))</f>
        <v>120400</v>
      </c>
    </row>
    <row r="3" spans="1:6" x14ac:dyDescent="0.35">
      <c r="A3" s="1" t="s">
        <v>7</v>
      </c>
      <c r="B3" s="4">
        <v>85000</v>
      </c>
      <c r="C3" s="5">
        <f t="shared" ref="C3:C6" si="0">VLOOKUP(A3,$A$8:$B$17,2,0)</f>
        <v>0.12</v>
      </c>
      <c r="D3" s="6">
        <f t="shared" ref="D3:D17" si="1">B3*C3</f>
        <v>10200</v>
      </c>
      <c r="E3" s="6">
        <f t="shared" ref="E3:E17" si="2">B3-D3</f>
        <v>74800</v>
      </c>
      <c r="F3" s="6">
        <f t="shared" ref="F3:F17" si="3">B3*(1-VLOOKUP(A3,$A$8:$B$17,2,0))</f>
        <v>74800</v>
      </c>
    </row>
    <row r="4" spans="1:6" x14ac:dyDescent="0.35">
      <c r="A4" s="1" t="s">
        <v>8</v>
      </c>
      <c r="B4" s="4">
        <v>238000</v>
      </c>
      <c r="C4" s="5">
        <f t="shared" si="0"/>
        <v>0</v>
      </c>
      <c r="D4" s="6">
        <f t="shared" si="1"/>
        <v>0</v>
      </c>
      <c r="E4" s="6">
        <f t="shared" si="2"/>
        <v>238000</v>
      </c>
      <c r="F4" s="6">
        <f t="shared" si="3"/>
        <v>238000</v>
      </c>
    </row>
    <row r="5" spans="1:6" x14ac:dyDescent="0.35">
      <c r="A5" s="1" t="s">
        <v>9</v>
      </c>
      <c r="B5" s="4">
        <v>15000</v>
      </c>
      <c r="C5" s="5">
        <f t="shared" si="0"/>
        <v>0.05</v>
      </c>
      <c r="D5" s="6">
        <f t="shared" si="1"/>
        <v>750</v>
      </c>
      <c r="E5" s="6">
        <f t="shared" si="2"/>
        <v>14250</v>
      </c>
      <c r="F5" s="6">
        <f t="shared" si="3"/>
        <v>14250</v>
      </c>
    </row>
    <row r="6" spans="1:6" x14ac:dyDescent="0.35">
      <c r="A6" s="1" t="s">
        <v>10</v>
      </c>
      <c r="B6" s="4">
        <v>67000</v>
      </c>
      <c r="C6" s="5">
        <f t="shared" si="0"/>
        <v>0.05</v>
      </c>
      <c r="D6" s="6">
        <f t="shared" si="1"/>
        <v>3350</v>
      </c>
      <c r="E6" s="6">
        <f t="shared" si="2"/>
        <v>63650</v>
      </c>
      <c r="F6" s="6">
        <f t="shared" si="3"/>
        <v>63650</v>
      </c>
    </row>
    <row r="7" spans="1:6" x14ac:dyDescent="0.35">
      <c r="C7" s="11" t="s">
        <v>23</v>
      </c>
      <c r="D7" s="12"/>
      <c r="E7" s="12"/>
      <c r="F7" s="14" t="s">
        <v>24</v>
      </c>
    </row>
    <row r="8" spans="1:6" x14ac:dyDescent="0.35">
      <c r="A8" s="3" t="s">
        <v>0</v>
      </c>
      <c r="B8" s="3" t="s">
        <v>2</v>
      </c>
      <c r="D8" s="12"/>
      <c r="E8" s="12"/>
      <c r="F8" s="12"/>
    </row>
    <row r="9" spans="1:6" x14ac:dyDescent="0.35">
      <c r="A9" s="1" t="s">
        <v>6</v>
      </c>
      <c r="B9" s="5">
        <v>0.14000000000000001</v>
      </c>
      <c r="D9" s="12"/>
      <c r="E9" s="12"/>
      <c r="F9" s="12"/>
    </row>
    <row r="10" spans="1:6" x14ac:dyDescent="0.35">
      <c r="A10" s="1" t="s">
        <v>7</v>
      </c>
      <c r="B10" s="5">
        <v>0.12</v>
      </c>
      <c r="D10" s="12"/>
      <c r="E10" s="12"/>
      <c r="F10" s="12"/>
    </row>
    <row r="11" spans="1:6" x14ac:dyDescent="0.35">
      <c r="A11" s="1" t="s">
        <v>15</v>
      </c>
      <c r="B11" s="5">
        <v>0</v>
      </c>
      <c r="D11" s="12"/>
      <c r="E11" s="12"/>
      <c r="F11" s="12"/>
    </row>
    <row r="12" spans="1:6" x14ac:dyDescent="0.35">
      <c r="A12" s="1" t="s">
        <v>12</v>
      </c>
      <c r="B12" s="5">
        <v>0.05</v>
      </c>
      <c r="D12" s="12"/>
      <c r="E12" s="12"/>
      <c r="F12" s="12"/>
    </row>
    <row r="13" spans="1:6" x14ac:dyDescent="0.35">
      <c r="A13" s="1" t="s">
        <v>8</v>
      </c>
      <c r="B13" s="5">
        <v>0</v>
      </c>
      <c r="D13" s="12"/>
      <c r="E13" s="12"/>
      <c r="F13" s="12"/>
    </row>
    <row r="14" spans="1:6" x14ac:dyDescent="0.35">
      <c r="A14" s="1" t="s">
        <v>14</v>
      </c>
      <c r="B14" s="5">
        <v>0.03</v>
      </c>
      <c r="D14" s="12"/>
      <c r="E14" s="12"/>
      <c r="F14" s="12"/>
    </row>
    <row r="15" spans="1:6" x14ac:dyDescent="0.35">
      <c r="A15" s="1" t="s">
        <v>9</v>
      </c>
      <c r="B15" s="5">
        <v>0.05</v>
      </c>
      <c r="D15" s="12"/>
      <c r="E15" s="12"/>
      <c r="F15" s="12"/>
    </row>
    <row r="16" spans="1:6" x14ac:dyDescent="0.35">
      <c r="A16" s="1" t="s">
        <v>13</v>
      </c>
      <c r="B16" s="5">
        <v>0.12</v>
      </c>
      <c r="D16" s="12"/>
      <c r="E16" s="12"/>
      <c r="F16" s="12"/>
    </row>
    <row r="17" spans="1:6" x14ac:dyDescent="0.35">
      <c r="A17" s="1" t="s">
        <v>10</v>
      </c>
      <c r="B17" s="5">
        <v>0.05</v>
      </c>
      <c r="D17" s="12"/>
      <c r="E17" s="12"/>
      <c r="F17" s="12"/>
    </row>
    <row r="18" spans="1:6" x14ac:dyDescent="0.35">
      <c r="D18" s="13"/>
      <c r="E18" s="13"/>
      <c r="F18" s="13"/>
    </row>
    <row r="19" spans="1:6" x14ac:dyDescent="0.35">
      <c r="D19" s="13"/>
      <c r="E19" s="13"/>
      <c r="F19" s="13"/>
    </row>
    <row r="20" spans="1:6" x14ac:dyDescent="0.35">
      <c r="D20" s="13"/>
      <c r="E20" s="13"/>
      <c r="F20" s="13"/>
    </row>
    <row r="21" spans="1:6" x14ac:dyDescent="0.35">
      <c r="F21" s="13"/>
    </row>
    <row r="22" spans="1:6" x14ac:dyDescent="0.35">
      <c r="F22" s="1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Menghitung Harga Promo</vt:lpstr>
      <vt:lpstr>Harga Promo dengan Kriteria</vt:lpstr>
      <vt:lpstr>Mencari Diskon di Tabel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2022-03-21T07:36:48Z</dcterms:created>
  <dcterms:modified xsi:type="dcterms:W3CDTF">2026-07-27T03:46:25Z</dcterms:modified>
</cp:coreProperties>
</file>