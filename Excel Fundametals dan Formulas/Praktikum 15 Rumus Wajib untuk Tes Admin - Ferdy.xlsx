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 activeTab="3"/>
  </bookViews>
  <sheets>
    <sheet name="Part 1" sheetId="1" r:id="rId1"/>
    <sheet name="Part 2" sheetId="2" r:id="rId2"/>
    <sheet name="Part 3" sheetId="4" r:id="rId3"/>
    <sheet name="Data Referensi" sheetId="3" r:id="rId4"/>
  </sheets>
  <definedNames>
    <definedName name="_xlnm._FilterDatabase" localSheetId="2" hidden="1">'Part 3'!$A$1:$B$11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C13" i="2"/>
  <c r="C12" i="2"/>
  <c r="C11" i="2"/>
  <c r="D4" i="2"/>
  <c r="D5" i="2"/>
  <c r="D6" i="2"/>
  <c r="D7" i="2"/>
  <c r="D3" i="2"/>
  <c r="E19" i="1"/>
  <c r="E18" i="1"/>
  <c r="E17" i="1"/>
  <c r="H3" i="1"/>
  <c r="H4" i="1"/>
  <c r="H5" i="1"/>
  <c r="H6" i="1"/>
  <c r="H7" i="1"/>
  <c r="H8" i="1"/>
  <c r="H9" i="1"/>
  <c r="H10" i="1"/>
  <c r="H11" i="1"/>
  <c r="H2" i="1"/>
  <c r="E15" i="1"/>
  <c r="E14" i="1"/>
  <c r="E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<sst xmlns="http://schemas.openxmlformats.org/spreadsheetml/2006/main" count="107" uniqueCount="64">
  <si>
    <t>Nama Murid</t>
  </si>
  <si>
    <t>Jenis Kelamin</t>
  </si>
  <si>
    <t>Andi</t>
  </si>
  <si>
    <t>Laki-laki</t>
  </si>
  <si>
    <t>Budi</t>
  </si>
  <si>
    <t>Clara</t>
  </si>
  <si>
    <t>Perempuan</t>
  </si>
  <si>
    <t>Dewi</t>
  </si>
  <si>
    <t>Eko</t>
  </si>
  <si>
    <t>Fiona</t>
  </si>
  <si>
    <t>Gina</t>
  </si>
  <si>
    <t>Hesti</t>
  </si>
  <si>
    <t>Iqbal</t>
  </si>
  <si>
    <t>Juned</t>
  </si>
  <si>
    <t>L/P</t>
  </si>
  <si>
    <t>L</t>
  </si>
  <si>
    <t>P</t>
  </si>
  <si>
    <t>MTK</t>
  </si>
  <si>
    <t>IPA</t>
  </si>
  <si>
    <t>IPS</t>
  </si>
  <si>
    <t>Total Nilai</t>
  </si>
  <si>
    <t>Rata-Rata Nilai</t>
  </si>
  <si>
    <t>Status</t>
  </si>
  <si>
    <t>Nilai rata-rata tertinggi</t>
  </si>
  <si>
    <t>Nilai rata-rata terendah</t>
  </si>
  <si>
    <t>Kriteria kelulusan berdasarkan nilai rata-rata</t>
  </si>
  <si>
    <t>65-100</t>
  </si>
  <si>
    <t>Di bawah 65</t>
  </si>
  <si>
    <t>Lulus</t>
  </si>
  <si>
    <t>Tidak Lulus</t>
  </si>
  <si>
    <t>Jumlah total nilai murid yang lulus</t>
  </si>
  <si>
    <t>Rata-rata nilai murid yang lulus</t>
  </si>
  <si>
    <t>Banyaknya murid yang lulus</t>
  </si>
  <si>
    <t>Banyaknya murid di kelas</t>
  </si>
  <si>
    <t>SDN</t>
  </si>
  <si>
    <t>SD</t>
  </si>
  <si>
    <t>Pagi</t>
  </si>
  <si>
    <t>Sore</t>
  </si>
  <si>
    <t>Unggulan</t>
  </si>
  <si>
    <t>Hikmah Jaya</t>
  </si>
  <si>
    <t>Unggul Persada</t>
  </si>
  <si>
    <t>Jenis Sekolah</t>
  </si>
  <si>
    <t>Nama Sekolah</t>
  </si>
  <si>
    <t>Keterangan</t>
  </si>
  <si>
    <t>Nama Lengkap Sekolah</t>
  </si>
  <si>
    <t>NaMa KEPala SekOLAH</t>
  </si>
  <si>
    <t>Huruf kecil semua</t>
  </si>
  <si>
    <t>Huruf besar semua</t>
  </si>
  <si>
    <t>Huruf besar di awal kata</t>
  </si>
  <si>
    <t>Berantakan</t>
  </si>
  <si>
    <t>No. Pemesanan</t>
  </si>
  <si>
    <t>Nama Customer</t>
  </si>
  <si>
    <t>Domisili</t>
  </si>
  <si>
    <t>Bandung</t>
  </si>
  <si>
    <t>Jakarta</t>
  </si>
  <si>
    <t>Palembang</t>
  </si>
  <si>
    <t>Igna</t>
  </si>
  <si>
    <t>Kota</t>
  </si>
  <si>
    <t>Lama Pengiriman</t>
  </si>
  <si>
    <t>Surabaya</t>
  </si>
  <si>
    <t>1 Hari</t>
  </si>
  <si>
    <t>2 Hari</t>
  </si>
  <si>
    <t>3 Hari</t>
  </si>
  <si>
    <t>Tanggal Pemesanan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</si>
</sst>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d\-mmm\-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166" fontId="0" fillId="0" borderId="1" xfId="1" applyNumberFormat="1" applyFont="1" applyBorder="1"/>
    <xf numFmtId="166" fontId="0" fillId="0" borderId="0" xfId="1" applyNumberFormat="1" applyFont="1"/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/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/>
    <xf numFmtId="0" fontId="4" fillId="0" borderId="0" xfId="0" applyFont="1"/>
    <xf numFmtId="0" fontId="0" fillId="0" borderId="1" xfId="0" applyBorder="1"/>
    <xf numFmtId="0" fontId="0" fillId="0" borderId="0" xfId="0"/>
    <xf numFmtId="0" fontId="0" fillId="2" borderId="1" xfId="0" applyFill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="130" zoomScaleNormal="130" workbookViewId="0">
      <selection activeCell="E17" sqref="E17"/>
    </sheetView>
  </sheetViews>
  <sheetFormatPr defaultRowHeight="14.5" x14ac:dyDescent="0.35"/>
  <cols>
    <col min="1" max="1" width="13.26953125" customWidth="1"/>
    <col min="2" max="2" width="4.54296875" customWidth="1"/>
    <col min="3" max="4" width="6" customWidth="1"/>
    <col min="5" max="5" width="7.7265625" customWidth="1"/>
    <col min="6" max="6" width="9.81640625" customWidth="1"/>
    <col min="7" max="7" width="13.7265625" customWidth="1"/>
    <col min="8" max="8" width="13.453125" customWidth="1"/>
    <col min="10" max="10" width="15.7265625" customWidth="1"/>
    <col min="11" max="11" width="12.1796875" customWidth="1"/>
    <col min="13" max="13" width="14.1796875" customWidth="1"/>
  </cols>
  <sheetData>
    <row r="1" spans="1:11" x14ac:dyDescent="0.35">
      <c r="A1" s="1" t="s">
        <v>0</v>
      </c>
      <c r="B1" s="1" t="s">
        <v>14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J1" s="4" t="s">
        <v>25</v>
      </c>
    </row>
    <row r="2" spans="1:11" x14ac:dyDescent="0.35">
      <c r="A2" s="2" t="s">
        <v>2</v>
      </c>
      <c r="B2" s="2" t="s">
        <v>15</v>
      </c>
      <c r="C2" s="2">
        <v>80</v>
      </c>
      <c r="D2" s="2">
        <v>90</v>
      </c>
      <c r="E2" s="2">
        <v>95</v>
      </c>
      <c r="F2" s="7">
        <f>SUM(C2:E2)</f>
        <v>265</v>
      </c>
      <c r="G2" s="3">
        <f>AVERAGE(C2:E2)</f>
        <v>88.333333333333329</v>
      </c>
      <c r="H2" s="2" t="str">
        <f>IF(G2&gt;=65,"Lulus","Tidak Lulus")</f>
        <v>Lulus</v>
      </c>
      <c r="J2" s="5" t="s">
        <v>26</v>
      </c>
      <c r="K2" s="2" t="s">
        <v>28</v>
      </c>
    </row>
    <row r="3" spans="1:11" x14ac:dyDescent="0.35">
      <c r="A3" s="2" t="s">
        <v>4</v>
      </c>
      <c r="B3" s="2" t="s">
        <v>15</v>
      </c>
      <c r="C3" s="2">
        <v>40</v>
      </c>
      <c r="D3" s="2">
        <v>56</v>
      </c>
      <c r="E3" s="2">
        <v>45</v>
      </c>
      <c r="F3" s="7">
        <f t="shared" ref="F3:F11" si="0">SUM(C3:E3)</f>
        <v>141</v>
      </c>
      <c r="G3" s="3">
        <f t="shared" ref="G3:G11" si="1">AVERAGE(C3:E3)</f>
        <v>47</v>
      </c>
      <c r="H3" s="6" t="str">
        <f t="shared" ref="H3:H11" si="2">IF(G3&gt;=65,"Lulus","Tidak Lulus")</f>
        <v>Tidak Lulus</v>
      </c>
      <c r="J3" s="5" t="s">
        <v>27</v>
      </c>
      <c r="K3" s="2" t="s">
        <v>29</v>
      </c>
    </row>
    <row r="4" spans="1:11" x14ac:dyDescent="0.35">
      <c r="A4" s="2" t="s">
        <v>5</v>
      </c>
      <c r="B4" s="2" t="s">
        <v>16</v>
      </c>
      <c r="C4" s="2">
        <v>26</v>
      </c>
      <c r="D4" s="2">
        <v>85</v>
      </c>
      <c r="E4" s="2">
        <v>74</v>
      </c>
      <c r="F4" s="7">
        <f t="shared" si="0"/>
        <v>185</v>
      </c>
      <c r="G4" s="3">
        <f t="shared" si="1"/>
        <v>61.666666666666664</v>
      </c>
      <c r="H4" s="6" t="str">
        <f t="shared" si="2"/>
        <v>Tidak Lulus</v>
      </c>
    </row>
    <row r="5" spans="1:11" x14ac:dyDescent="0.35">
      <c r="A5" s="2" t="s">
        <v>7</v>
      </c>
      <c r="B5" s="2" t="s">
        <v>16</v>
      </c>
      <c r="C5" s="2">
        <v>89</v>
      </c>
      <c r="D5" s="2">
        <v>86</v>
      </c>
      <c r="E5" s="2">
        <v>91</v>
      </c>
      <c r="F5" s="7">
        <f t="shared" si="0"/>
        <v>266</v>
      </c>
      <c r="G5" s="3">
        <f t="shared" si="1"/>
        <v>88.666666666666671</v>
      </c>
      <c r="H5" s="6" t="str">
        <f t="shared" si="2"/>
        <v>Lulus</v>
      </c>
    </row>
    <row r="6" spans="1:11" x14ac:dyDescent="0.35">
      <c r="A6" s="2" t="s">
        <v>8</v>
      </c>
      <c r="B6" s="2" t="s">
        <v>15</v>
      </c>
      <c r="C6" s="2">
        <v>56</v>
      </c>
      <c r="D6" s="2">
        <v>82</v>
      </c>
      <c r="E6" s="2">
        <v>66</v>
      </c>
      <c r="F6" s="7">
        <f t="shared" si="0"/>
        <v>204</v>
      </c>
      <c r="G6" s="3">
        <f t="shared" si="1"/>
        <v>68</v>
      </c>
      <c r="H6" s="6" t="str">
        <f t="shared" si="2"/>
        <v>Lulus</v>
      </c>
    </row>
    <row r="7" spans="1:11" x14ac:dyDescent="0.35">
      <c r="A7" s="2" t="s">
        <v>9</v>
      </c>
      <c r="B7" s="2" t="s">
        <v>16</v>
      </c>
      <c r="C7" s="2">
        <v>48</v>
      </c>
      <c r="D7" s="2">
        <v>56</v>
      </c>
      <c r="E7" s="2">
        <v>75</v>
      </c>
      <c r="F7" s="7">
        <f t="shared" si="0"/>
        <v>179</v>
      </c>
      <c r="G7" s="3">
        <f t="shared" si="1"/>
        <v>59.666666666666664</v>
      </c>
      <c r="H7" s="6" t="str">
        <f t="shared" si="2"/>
        <v>Tidak Lulus</v>
      </c>
    </row>
    <row r="8" spans="1:11" x14ac:dyDescent="0.35">
      <c r="A8" s="2" t="s">
        <v>10</v>
      </c>
      <c r="B8" s="2" t="s">
        <v>16</v>
      </c>
      <c r="C8" s="2">
        <v>29</v>
      </c>
      <c r="D8" s="2">
        <v>95</v>
      </c>
      <c r="E8" s="2">
        <v>77</v>
      </c>
      <c r="F8" s="7">
        <f t="shared" si="0"/>
        <v>201</v>
      </c>
      <c r="G8" s="3">
        <f t="shared" si="1"/>
        <v>67</v>
      </c>
      <c r="H8" s="6" t="str">
        <f t="shared" si="2"/>
        <v>Lulus</v>
      </c>
    </row>
    <row r="9" spans="1:11" x14ac:dyDescent="0.35">
      <c r="A9" s="2" t="s">
        <v>11</v>
      </c>
      <c r="B9" s="2" t="s">
        <v>16</v>
      </c>
      <c r="C9" s="2">
        <v>89</v>
      </c>
      <c r="D9" s="2">
        <v>85</v>
      </c>
      <c r="E9" s="2">
        <v>84</v>
      </c>
      <c r="F9" s="7">
        <f t="shared" si="0"/>
        <v>258</v>
      </c>
      <c r="G9" s="3">
        <f t="shared" si="1"/>
        <v>86</v>
      </c>
      <c r="H9" s="6" t="str">
        <f t="shared" si="2"/>
        <v>Lulus</v>
      </c>
    </row>
    <row r="10" spans="1:11" x14ac:dyDescent="0.35">
      <c r="A10" s="2" t="s">
        <v>12</v>
      </c>
      <c r="B10" s="2" t="s">
        <v>15</v>
      </c>
      <c r="C10" s="2">
        <v>78</v>
      </c>
      <c r="D10" s="2">
        <v>74</v>
      </c>
      <c r="E10" s="2">
        <v>81</v>
      </c>
      <c r="F10" s="7">
        <f t="shared" si="0"/>
        <v>233</v>
      </c>
      <c r="G10" s="3">
        <f t="shared" si="1"/>
        <v>77.666666666666671</v>
      </c>
      <c r="H10" s="6" t="str">
        <f t="shared" si="2"/>
        <v>Lulus</v>
      </c>
    </row>
    <row r="11" spans="1:11" x14ac:dyDescent="0.35">
      <c r="A11" s="2" t="s">
        <v>13</v>
      </c>
      <c r="B11" s="2" t="s">
        <v>15</v>
      </c>
      <c r="C11" s="2">
        <v>55</v>
      </c>
      <c r="D11" s="2">
        <v>73</v>
      </c>
      <c r="E11" s="2">
        <v>42</v>
      </c>
      <c r="F11" s="7">
        <f t="shared" si="0"/>
        <v>170</v>
      </c>
      <c r="G11" s="3">
        <f t="shared" si="1"/>
        <v>56.666666666666664</v>
      </c>
      <c r="H11" s="6" t="str">
        <f t="shared" si="2"/>
        <v>Tidak Lulus</v>
      </c>
    </row>
    <row r="13" spans="1:11" x14ac:dyDescent="0.35">
      <c r="A13" s="18" t="s">
        <v>33</v>
      </c>
      <c r="B13" s="18"/>
      <c r="C13" s="18"/>
      <c r="D13" s="18"/>
      <c r="E13" s="7">
        <f>COUNT(F2:F11)</f>
        <v>10</v>
      </c>
    </row>
    <row r="14" spans="1:11" x14ac:dyDescent="0.35">
      <c r="A14" s="18" t="s">
        <v>23</v>
      </c>
      <c r="B14" s="18"/>
      <c r="C14" s="18"/>
      <c r="D14" s="18"/>
      <c r="E14" s="3">
        <f>MAX(G2:G11)</f>
        <v>88.666666666666671</v>
      </c>
    </row>
    <row r="15" spans="1:11" x14ac:dyDescent="0.35">
      <c r="A15" s="18" t="s">
        <v>24</v>
      </c>
      <c r="B15" s="18"/>
      <c r="C15" s="18"/>
      <c r="D15" s="18"/>
      <c r="E15" s="3">
        <f>MIN(G2:G11)</f>
        <v>47</v>
      </c>
    </row>
    <row r="16" spans="1:11" x14ac:dyDescent="0.35">
      <c r="A16" s="19"/>
      <c r="B16" s="19"/>
      <c r="C16" s="19"/>
      <c r="D16" s="19"/>
      <c r="E16" s="8"/>
    </row>
    <row r="17" spans="1:5" x14ac:dyDescent="0.35">
      <c r="A17" s="18" t="s">
        <v>32</v>
      </c>
      <c r="B17" s="18"/>
      <c r="C17" s="18"/>
      <c r="D17" s="18"/>
      <c r="E17" s="7">
        <f>COUNTIF(H2:H11,"Lulus")</f>
        <v>6</v>
      </c>
    </row>
    <row r="18" spans="1:5" x14ac:dyDescent="0.35">
      <c r="A18" s="18" t="s">
        <v>30</v>
      </c>
      <c r="B18" s="18"/>
      <c r="C18" s="18"/>
      <c r="D18" s="18"/>
      <c r="E18" s="7">
        <f>SUMIF(H2:H11,"Lulus",F2:F11)</f>
        <v>1427</v>
      </c>
    </row>
    <row r="19" spans="1:5" x14ac:dyDescent="0.35">
      <c r="A19" s="18" t="s">
        <v>31</v>
      </c>
      <c r="B19" s="18"/>
      <c r="C19" s="18"/>
      <c r="D19" s="18"/>
      <c r="E19" s="3">
        <f>AVERAGEIF(H2:H11,"Lulus",G2:G11)</f>
        <v>79.277777777777786</v>
      </c>
    </row>
  </sheetData>
  <mergeCells count="7">
    <mergeCell ref="A19:D19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zoomScale="145" zoomScaleNormal="145" workbookViewId="0">
      <selection activeCell="F14" sqref="F14"/>
    </sheetView>
  </sheetViews>
  <sheetFormatPr defaultRowHeight="14.5" x14ac:dyDescent="0.35"/>
  <cols>
    <col min="1" max="1" width="14.54296875" customWidth="1"/>
    <col min="2" max="3" width="15.81640625" customWidth="1"/>
    <col min="4" max="4" width="25.81640625" customWidth="1"/>
  </cols>
  <sheetData>
    <row r="2" spans="1:4" x14ac:dyDescent="0.35">
      <c r="A2" s="1" t="s">
        <v>41</v>
      </c>
      <c r="B2" s="1" t="s">
        <v>42</v>
      </c>
      <c r="C2" s="1" t="s">
        <v>43</v>
      </c>
      <c r="D2" s="1" t="s">
        <v>44</v>
      </c>
    </row>
    <row r="3" spans="1:4" x14ac:dyDescent="0.35">
      <c r="A3" s="2" t="s">
        <v>34</v>
      </c>
      <c r="B3" s="9">
        <v>14</v>
      </c>
      <c r="C3" s="9" t="s">
        <v>36</v>
      </c>
      <c r="D3" s="2" t="str">
        <f>CONCATENATE(A3," ",B3," ",C3)</f>
        <v>SDN 14 Pagi</v>
      </c>
    </row>
    <row r="4" spans="1:4" x14ac:dyDescent="0.35">
      <c r="A4" s="2" t="s">
        <v>35</v>
      </c>
      <c r="B4" s="9" t="s">
        <v>39</v>
      </c>
      <c r="C4" s="9">
        <v>1</v>
      </c>
      <c r="D4" s="6" t="str">
        <f t="shared" ref="D4:D7" si="0">CONCATENATE(A4," ",B4," ",C4)</f>
        <v>SD Hikmah Jaya 1</v>
      </c>
    </row>
    <row r="5" spans="1:4" x14ac:dyDescent="0.35">
      <c r="A5" s="2" t="s">
        <v>35</v>
      </c>
      <c r="B5" s="9" t="s">
        <v>40</v>
      </c>
      <c r="C5" s="9">
        <v>13</v>
      </c>
      <c r="D5" s="6" t="str">
        <f t="shared" si="0"/>
        <v>SD Unggul Persada 13</v>
      </c>
    </row>
    <row r="6" spans="1:4" x14ac:dyDescent="0.35">
      <c r="A6" s="2" t="s">
        <v>34</v>
      </c>
      <c r="B6" s="9">
        <v>14</v>
      </c>
      <c r="C6" s="9" t="s">
        <v>37</v>
      </c>
      <c r="D6" s="6" t="str">
        <f t="shared" si="0"/>
        <v>SDN 14 Sore</v>
      </c>
    </row>
    <row r="7" spans="1:4" x14ac:dyDescent="0.35">
      <c r="A7" s="2" t="s">
        <v>34</v>
      </c>
      <c r="B7" s="9">
        <v>9</v>
      </c>
      <c r="C7" s="9" t="s">
        <v>38</v>
      </c>
      <c r="D7" s="6" t="str">
        <f t="shared" si="0"/>
        <v>SDN 9 Unggulan</v>
      </c>
    </row>
    <row r="10" spans="1:4" x14ac:dyDescent="0.35">
      <c r="A10" s="20" t="s">
        <v>49</v>
      </c>
      <c r="B10" s="20"/>
      <c r="C10" s="21" t="s">
        <v>45</v>
      </c>
      <c r="D10" s="21"/>
    </row>
    <row r="11" spans="1:4" x14ac:dyDescent="0.35">
      <c r="A11" s="20" t="s">
        <v>46</v>
      </c>
      <c r="B11" s="20"/>
      <c r="C11" s="18" t="str">
        <f>LOWER(C10)</f>
        <v>nama kepala sekolah</v>
      </c>
      <c r="D11" s="18"/>
    </row>
    <row r="12" spans="1:4" x14ac:dyDescent="0.35">
      <c r="A12" s="20" t="s">
        <v>47</v>
      </c>
      <c r="B12" s="20"/>
      <c r="C12" s="18" t="str">
        <f>UPPER(C10)</f>
        <v>NAMA KEPALA SEKOLAH</v>
      </c>
      <c r="D12" s="18"/>
    </row>
    <row r="13" spans="1:4" x14ac:dyDescent="0.35">
      <c r="A13" s="20" t="s">
        <v>48</v>
      </c>
      <c r="B13" s="20"/>
      <c r="C13" s="18" t="str">
        <f>PROPER(C10)</f>
        <v>Nama Kepala Sekolah</v>
      </c>
      <c r="D13" s="18"/>
    </row>
  </sheetData>
  <mergeCells count="8">
    <mergeCell ref="A11:B11"/>
    <mergeCell ref="A12:B12"/>
    <mergeCell ref="A13:B13"/>
    <mergeCell ref="A10:B10"/>
    <mergeCell ref="C10:D10"/>
    <mergeCell ref="C11:D11"/>
    <mergeCell ref="C12:D12"/>
    <mergeCell ref="C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E15" sqref="E15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5" width="16.81640625" customWidth="1"/>
  </cols>
  <sheetData>
    <row r="1" spans="1:5" x14ac:dyDescent="0.35">
      <c r="A1" s="10" t="s">
        <v>63</v>
      </c>
      <c r="B1" s="10" t="s">
        <v>50</v>
      </c>
      <c r="C1" s="10" t="s">
        <v>51</v>
      </c>
      <c r="D1" s="10" t="s">
        <v>52</v>
      </c>
      <c r="E1" s="10" t="s">
        <v>58</v>
      </c>
    </row>
    <row r="2" spans="1:5" x14ac:dyDescent="0.35">
      <c r="A2" s="15">
        <v>44261</v>
      </c>
      <c r="B2" s="11">
        <v>106</v>
      </c>
      <c r="C2" s="2" t="str">
        <f>VLOOKUP(B2,'Data Referensi'!$A$1:$D$11,2,0)</f>
        <v>Fiona</v>
      </c>
      <c r="D2" s="2" t="str">
        <f>VLOOKUP(B2,'Data Referensi'!$A$1:$D$11,4,0)</f>
        <v>Palembang</v>
      </c>
      <c r="E2" s="2" t="str">
        <f>HLOOKUP('Part 3'!D2,'Data Referensi'!$A$14:$E$15,2,0)</f>
        <v>2 Hari</v>
      </c>
    </row>
    <row r="3" spans="1:5" x14ac:dyDescent="0.35">
      <c r="A3" s="15">
        <v>44257</v>
      </c>
      <c r="B3" s="11">
        <v>102</v>
      </c>
      <c r="C3" s="6" t="str">
        <f>VLOOKUP(B3,'Data Referensi'!$A$1:$D$11,2,0)</f>
        <v>Budi</v>
      </c>
      <c r="D3" s="6" t="str">
        <f>VLOOKUP(B3,'Data Referensi'!$A$1:$D$11,4,0)</f>
        <v>Jakarta</v>
      </c>
      <c r="E3" s="6" t="str">
        <f>HLOOKUP('Part 3'!D3,'Data Referensi'!$A$14:$E$15,2,0)</f>
        <v>1 Hari</v>
      </c>
    </row>
    <row r="4" spans="1:5" x14ac:dyDescent="0.35">
      <c r="A4" s="15">
        <v>44259</v>
      </c>
      <c r="B4" s="11">
        <v>104</v>
      </c>
      <c r="C4" s="6" t="str">
        <f>VLOOKUP(B4,'Data Referensi'!$A$1:$D$11,2,0)</f>
        <v>Dewi</v>
      </c>
      <c r="D4" s="6" t="str">
        <f>VLOOKUP(B4,'Data Referensi'!$A$1:$D$11,4,0)</f>
        <v>Surabaya</v>
      </c>
      <c r="E4" s="6" t="str">
        <f>HLOOKUP('Part 3'!D4,'Data Referensi'!$A$14:$E$15,2,0)</f>
        <v>3 Hari</v>
      </c>
    </row>
    <row r="5" spans="1:5" x14ac:dyDescent="0.35">
      <c r="A5" s="15">
        <v>44260</v>
      </c>
      <c r="B5" s="11">
        <v>105</v>
      </c>
      <c r="C5" s="6" t="str">
        <f>VLOOKUP(B5,'Data Referensi'!$A$1:$D$11,2,0)</f>
        <v>Eko</v>
      </c>
      <c r="D5" s="6" t="str">
        <f>VLOOKUP(B5,'Data Referensi'!$A$1:$D$11,4,0)</f>
        <v>Jakarta</v>
      </c>
      <c r="E5" s="6" t="str">
        <f>HLOOKUP('Part 3'!D5,'Data Referensi'!$A$14:$E$15,2,0)</f>
        <v>1 Hari</v>
      </c>
    </row>
    <row r="6" spans="1:5" x14ac:dyDescent="0.35">
      <c r="A6" s="15">
        <v>44265</v>
      </c>
      <c r="B6" s="11">
        <v>110</v>
      </c>
      <c r="C6" s="6" t="str">
        <f>VLOOKUP(B6,'Data Referensi'!$A$1:$D$11,2,0)</f>
        <v>Juned</v>
      </c>
      <c r="D6" s="6" t="str">
        <f>VLOOKUP(B6,'Data Referensi'!$A$1:$D$11,4,0)</f>
        <v>Bandung</v>
      </c>
      <c r="E6" s="6" t="str">
        <f>HLOOKUP('Part 3'!D6,'Data Referensi'!$A$14:$E$15,2,0)</f>
        <v>2 Hari</v>
      </c>
    </row>
    <row r="7" spans="1:5" x14ac:dyDescent="0.35">
      <c r="A7" s="15">
        <v>44258</v>
      </c>
      <c r="B7" s="11">
        <v>103</v>
      </c>
      <c r="C7" s="6" t="str">
        <f>VLOOKUP(B7,'Data Referensi'!$A$1:$D$11,2,0)</f>
        <v>Clara</v>
      </c>
      <c r="D7" s="6" t="str">
        <f>VLOOKUP(B7,'Data Referensi'!$A$1:$D$11,4,0)</f>
        <v>Palembang</v>
      </c>
      <c r="E7" s="6" t="str">
        <f>HLOOKUP('Part 3'!D7,'Data Referensi'!$A$14:$E$15,2,0)</f>
        <v>2 Hari</v>
      </c>
    </row>
    <row r="8" spans="1:5" x14ac:dyDescent="0.35">
      <c r="A8" s="15">
        <v>44263</v>
      </c>
      <c r="B8" s="11">
        <v>108</v>
      </c>
      <c r="C8" s="6" t="str">
        <f>VLOOKUP(B8,'Data Referensi'!$A$1:$D$11,2,0)</f>
        <v>Hesti</v>
      </c>
      <c r="D8" s="6" t="str">
        <f>VLOOKUP(B8,'Data Referensi'!$A$1:$D$11,4,0)</f>
        <v>Bandung</v>
      </c>
      <c r="E8" s="6" t="str">
        <f>HLOOKUP('Part 3'!D8,'Data Referensi'!$A$14:$E$15,2,0)</f>
        <v>2 Hari</v>
      </c>
    </row>
    <row r="9" spans="1:5" x14ac:dyDescent="0.35">
      <c r="A9" s="15">
        <v>44264</v>
      </c>
      <c r="B9" s="11">
        <v>109</v>
      </c>
      <c r="C9" s="6" t="str">
        <f>VLOOKUP(B9,'Data Referensi'!$A$1:$D$11,2,0)</f>
        <v>Igna</v>
      </c>
      <c r="D9" s="6" t="str">
        <f>VLOOKUP(B9,'Data Referensi'!$A$1:$D$11,4,0)</f>
        <v>Jakarta</v>
      </c>
      <c r="E9" s="6" t="str">
        <f>HLOOKUP('Part 3'!D9,'Data Referensi'!$A$14:$E$15,2,0)</f>
        <v>1 Hari</v>
      </c>
    </row>
    <row r="10" spans="1:5" x14ac:dyDescent="0.35">
      <c r="A10" s="15">
        <v>44256</v>
      </c>
      <c r="B10" s="11">
        <v>101</v>
      </c>
      <c r="C10" s="6" t="str">
        <f>VLOOKUP(B10,'Data Referensi'!$A$1:$D$11,2,0)</f>
        <v>Andi</v>
      </c>
      <c r="D10" s="6" t="str">
        <f>VLOOKUP(B10,'Data Referensi'!$A$1:$D$11,4,0)</f>
        <v>Bandung</v>
      </c>
      <c r="E10" s="6" t="str">
        <f>HLOOKUP('Part 3'!D10,'Data Referensi'!$A$14:$E$15,2,0)</f>
        <v>2 Hari</v>
      </c>
    </row>
    <row r="11" spans="1:5" x14ac:dyDescent="0.35">
      <c r="A11" s="15">
        <v>44262</v>
      </c>
      <c r="B11" s="11">
        <v>107</v>
      </c>
      <c r="C11" s="6" t="str">
        <f>VLOOKUP(B11,'Data Referensi'!$A$1:$D$11,2,0)</f>
        <v>Gina</v>
      </c>
      <c r="D11" s="6" t="str">
        <f>VLOOKUP(B11,'Data Referensi'!$A$1:$D$11,4,0)</f>
        <v>Surabaya</v>
      </c>
      <c r="E11" s="6" t="str">
        <f>HLOOKUP('Part 3'!D11,'Data Referensi'!$A$14:$E$15,2,0)</f>
        <v>3 Hari</v>
      </c>
    </row>
    <row r="14" spans="1:5" ht="14.25" customHeight="1" x14ac:dyDescent="0.7">
      <c r="A14" s="17"/>
    </row>
    <row r="15" spans="1:5" ht="14.25" customHeight="1" x14ac:dyDescent="0.7">
      <c r="A15" s="17"/>
    </row>
    <row r="16" spans="1:5" ht="14.2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7" zoomScale="200" zoomScaleNormal="200" workbookViewId="0">
      <selection activeCell="E12" sqref="E12"/>
    </sheetView>
  </sheetViews>
  <sheetFormatPr defaultRowHeight="14.5" x14ac:dyDescent="0.35"/>
  <cols>
    <col min="1" max="1" width="18" style="13" customWidth="1"/>
    <col min="2" max="4" width="15.453125" style="13" customWidth="1"/>
    <col min="5" max="5" width="15.453125" customWidth="1"/>
  </cols>
  <sheetData>
    <row r="1" spans="1:5" x14ac:dyDescent="0.35">
      <c r="A1" s="10" t="s">
        <v>50</v>
      </c>
      <c r="B1" s="10" t="s">
        <v>51</v>
      </c>
      <c r="C1" s="10" t="s">
        <v>1</v>
      </c>
      <c r="D1" s="10" t="s">
        <v>52</v>
      </c>
    </row>
    <row r="2" spans="1:5" x14ac:dyDescent="0.35">
      <c r="A2" s="11">
        <v>101</v>
      </c>
      <c r="B2" s="12" t="s">
        <v>2</v>
      </c>
      <c r="C2" s="12" t="s">
        <v>3</v>
      </c>
      <c r="D2" s="12" t="s">
        <v>53</v>
      </c>
    </row>
    <row r="3" spans="1:5" x14ac:dyDescent="0.35">
      <c r="A3" s="11">
        <v>102</v>
      </c>
      <c r="B3" s="12" t="s">
        <v>4</v>
      </c>
      <c r="C3" s="12" t="s">
        <v>3</v>
      </c>
      <c r="D3" s="12" t="s">
        <v>54</v>
      </c>
    </row>
    <row r="4" spans="1:5" x14ac:dyDescent="0.35">
      <c r="A4" s="11">
        <v>103</v>
      </c>
      <c r="B4" s="12" t="s">
        <v>5</v>
      </c>
      <c r="C4" s="12" t="s">
        <v>6</v>
      </c>
      <c r="D4" s="12" t="s">
        <v>55</v>
      </c>
    </row>
    <row r="5" spans="1:5" x14ac:dyDescent="0.35">
      <c r="A5" s="11">
        <v>104</v>
      </c>
      <c r="B5" s="12" t="s">
        <v>7</v>
      </c>
      <c r="C5" s="12" t="s">
        <v>6</v>
      </c>
      <c r="D5" s="12" t="s">
        <v>59</v>
      </c>
    </row>
    <row r="6" spans="1:5" x14ac:dyDescent="0.35">
      <c r="A6" s="11">
        <v>105</v>
      </c>
      <c r="B6" s="12" t="s">
        <v>8</v>
      </c>
      <c r="C6" s="12" t="s">
        <v>3</v>
      </c>
      <c r="D6" s="12" t="s">
        <v>54</v>
      </c>
    </row>
    <row r="7" spans="1:5" x14ac:dyDescent="0.35">
      <c r="A7" s="11">
        <v>106</v>
      </c>
      <c r="B7" s="12" t="s">
        <v>9</v>
      </c>
      <c r="C7" s="12" t="s">
        <v>6</v>
      </c>
      <c r="D7" s="12" t="s">
        <v>55</v>
      </c>
    </row>
    <row r="8" spans="1:5" x14ac:dyDescent="0.35">
      <c r="A8" s="11">
        <v>107</v>
      </c>
      <c r="B8" s="12" t="s">
        <v>10</v>
      </c>
      <c r="C8" s="12" t="s">
        <v>6</v>
      </c>
      <c r="D8" s="12" t="s">
        <v>59</v>
      </c>
    </row>
    <row r="9" spans="1:5" x14ac:dyDescent="0.35">
      <c r="A9" s="11">
        <v>108</v>
      </c>
      <c r="B9" s="12" t="s">
        <v>11</v>
      </c>
      <c r="C9" s="12" t="s">
        <v>6</v>
      </c>
      <c r="D9" s="12" t="s">
        <v>53</v>
      </c>
    </row>
    <row r="10" spans="1:5" x14ac:dyDescent="0.35">
      <c r="A10" s="11">
        <v>109</v>
      </c>
      <c r="B10" s="12" t="s">
        <v>56</v>
      </c>
      <c r="C10" s="12" t="s">
        <v>3</v>
      </c>
      <c r="D10" s="12" t="s">
        <v>54</v>
      </c>
    </row>
    <row r="11" spans="1:5" x14ac:dyDescent="0.35">
      <c r="A11" s="11">
        <v>110</v>
      </c>
      <c r="B11" s="12" t="s">
        <v>13</v>
      </c>
      <c r="C11" s="12" t="s">
        <v>3</v>
      </c>
      <c r="D11" s="12" t="s">
        <v>53</v>
      </c>
    </row>
    <row r="14" spans="1:5" x14ac:dyDescent="0.35">
      <c r="A14" s="16" t="s">
        <v>57</v>
      </c>
      <c r="B14" s="14" t="s">
        <v>54</v>
      </c>
      <c r="C14" s="14" t="s">
        <v>53</v>
      </c>
      <c r="D14" s="14" t="s">
        <v>55</v>
      </c>
      <c r="E14" s="14" t="s">
        <v>59</v>
      </c>
    </row>
    <row r="15" spans="1:5" x14ac:dyDescent="0.35">
      <c r="A15" s="16" t="s">
        <v>58</v>
      </c>
      <c r="B15" s="14" t="s">
        <v>60</v>
      </c>
      <c r="C15" s="14" t="s">
        <v>61</v>
      </c>
      <c r="D15" s="14" t="s">
        <v>61</v>
      </c>
      <c r="E15" s="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Data Referensi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2021-03-01T09:47:54Z</dcterms:created>
  <dcterms:modified xsi:type="dcterms:W3CDTF">2026-07-21T03:16:56Z</dcterms:modified>
</cp:coreProperties>
</file>