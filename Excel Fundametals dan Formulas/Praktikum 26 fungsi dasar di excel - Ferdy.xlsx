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Portfolio Excel Ferdy\"/>
    </mc:Choice>
  </mc:AlternateContent>
  <bookViews>
    <workbookView xWindow="0" yWindow="0" windowWidth="7480" windowHeight="3220"/>
  </bookViews>
  <sheets>
    <sheet name="Summary" sheetId="3" r:id="rId1"/>
    <sheet name="1" sheetId="1" r:id="rId2"/>
    <sheet name="2" sheetId="2" r:id="rId3"/>
    <sheet name="3" sheetId="4" r:id="rId4"/>
    <sheet name="4" sheetId="5" r:id="rId5"/>
    <sheet name="5" sheetId="6" r:id="rId6"/>
    <sheet name="Referensi" sheetId="7" r:id="rId7"/>
  </sheets>
  <definedNames>
    <definedName name="_xlnm.Print_Area" localSheetId="0">Summary!$A$2:$D$31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D11" i="6" l="1"/>
  <c r="E11" i="6" s="1"/>
  <c r="C11" i="6"/>
  <c r="D3" i="6"/>
  <c r="E3" i="6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2" i="6"/>
  <c r="E2" i="6" s="1"/>
  <c r="C3" i="6"/>
  <c r="C4" i="6"/>
  <c r="C5" i="6"/>
  <c r="C6" i="6"/>
  <c r="C7" i="6"/>
  <c r="C8" i="6"/>
  <c r="C9" i="6"/>
  <c r="C10" i="6"/>
  <c r="C2" i="6"/>
  <c r="K3" i="5"/>
  <c r="K4" i="5"/>
  <c r="K5" i="5"/>
  <c r="K6" i="5"/>
  <c r="K2" i="5"/>
  <c r="J3" i="5"/>
  <c r="J4" i="5"/>
  <c r="J5" i="5"/>
  <c r="J6" i="5"/>
  <c r="J2" i="5"/>
  <c r="I3" i="5"/>
  <c r="I4" i="5"/>
  <c r="I5" i="5"/>
  <c r="I6" i="5"/>
  <c r="I2" i="5"/>
  <c r="E3" i="5"/>
  <c r="E4" i="5"/>
  <c r="E5" i="5"/>
  <c r="E6" i="5"/>
  <c r="E7" i="5"/>
  <c r="E8" i="5"/>
  <c r="E9" i="5"/>
  <c r="E10" i="5"/>
  <c r="E11" i="5"/>
  <c r="E2" i="5"/>
  <c r="D3" i="5"/>
  <c r="D4" i="5"/>
  <c r="D5" i="5"/>
  <c r="D6" i="5"/>
  <c r="D7" i="5"/>
  <c r="D8" i="5"/>
  <c r="D9" i="5"/>
  <c r="D10" i="5"/>
  <c r="D11" i="5"/>
  <c r="D2" i="5"/>
  <c r="C3" i="5"/>
  <c r="C4" i="5"/>
  <c r="C5" i="5"/>
  <c r="C6" i="5"/>
  <c r="C7" i="5"/>
  <c r="C8" i="5"/>
  <c r="C9" i="5"/>
  <c r="C10" i="5"/>
  <c r="C11" i="5"/>
  <c r="C2" i="5"/>
  <c r="D11" i="4"/>
  <c r="D12" i="4"/>
  <c r="D13" i="4"/>
  <c r="D10" i="4"/>
  <c r="E11" i="4"/>
  <c r="E12" i="4"/>
  <c r="E13" i="4"/>
  <c r="E10" i="4"/>
  <c r="C11" i="4"/>
  <c r="C12" i="4"/>
  <c r="C13" i="4"/>
  <c r="C10" i="4"/>
  <c r="E3" i="4"/>
  <c r="E4" i="4"/>
  <c r="E5" i="4"/>
  <c r="E2" i="4"/>
  <c r="D3" i="4"/>
  <c r="D4" i="4"/>
  <c r="D5" i="4"/>
  <c r="D2" i="4"/>
  <c r="C2" i="2"/>
  <c r="C3" i="2" s="1"/>
  <c r="C4" i="2" s="1"/>
  <c r="C5" i="2" s="1"/>
  <c r="C13" i="1"/>
  <c r="C9" i="1"/>
  <c r="G3" i="1"/>
  <c r="G4" i="1"/>
  <c r="G5" i="1"/>
  <c r="G6" i="1"/>
  <c r="G2" i="1"/>
  <c r="F3" i="1"/>
  <c r="F4" i="1"/>
  <c r="F5" i="1"/>
  <c r="F6" i="1"/>
  <c r="F2" i="1"/>
  <c r="C12" i="1" l="1"/>
  <c r="I3" i="1"/>
  <c r="C10" i="1"/>
  <c r="I6" i="1"/>
  <c r="C11" i="1"/>
  <c r="I5" i="1"/>
  <c r="C14" i="1"/>
  <c r="I4" i="1"/>
  <c r="I2" i="1"/>
</calcChain>
</file>

<file path=xl/sharedStrings.xml><?xml version="1.0" encoding="utf-8"?>
<sst xmlns="http://schemas.openxmlformats.org/spreadsheetml/2006/main" count="217" uniqueCount="147">
  <si>
    <t>Nama Murid</t>
  </si>
  <si>
    <t>L/P</t>
  </si>
  <si>
    <t>Status</t>
  </si>
  <si>
    <t>L</t>
  </si>
  <si>
    <t>P</t>
  </si>
  <si>
    <t>Total Omset</t>
  </si>
  <si>
    <t>Rata-rata Omset</t>
  </si>
  <si>
    <t>Sum</t>
  </si>
  <si>
    <t>Average</t>
  </si>
  <si>
    <t>Nama Karyawan</t>
  </si>
  <si>
    <t>If</t>
  </si>
  <si>
    <t>Peringkat</t>
  </si>
  <si>
    <t>Banyaknya pegawai yang lulus</t>
  </si>
  <si>
    <t>Count</t>
  </si>
  <si>
    <t>Sumif</t>
  </si>
  <si>
    <t>Countif</t>
  </si>
  <si>
    <t>Berantakan</t>
  </si>
  <si>
    <t>Huruf kecil semua</t>
  </si>
  <si>
    <t>Huruf besar semua</t>
  </si>
  <si>
    <t>Huruf besar di awal kata</t>
  </si>
  <si>
    <t>Supaya spasinya rapi</t>
  </si>
  <si>
    <t>Trim</t>
  </si>
  <si>
    <t>Proper</t>
  </si>
  <si>
    <t>Lower</t>
  </si>
  <si>
    <t>Upper</t>
  </si>
  <si>
    <t>Rumus</t>
  </si>
  <si>
    <t>No.</t>
  </si>
  <si>
    <t>NIK</t>
  </si>
  <si>
    <t>Jumlah omset karyawan</t>
  </si>
  <si>
    <t>Jumlah omset karyawati</t>
  </si>
  <si>
    <t>Omset paling tinggi</t>
  </si>
  <si>
    <t>Omset paling rendah</t>
  </si>
  <si>
    <t>Max</t>
  </si>
  <si>
    <t>Min</t>
  </si>
  <si>
    <t>Divisi</t>
  </si>
  <si>
    <t>Tahun Lahir</t>
  </si>
  <si>
    <t>ID Karyawan</t>
  </si>
  <si>
    <t>HR</t>
  </si>
  <si>
    <t>Concatenate</t>
  </si>
  <si>
    <t>Panjang Nama</t>
  </si>
  <si>
    <t>Len</t>
  </si>
  <si>
    <t>Nilai</t>
  </si>
  <si>
    <t>Pembulatan Ke Bawah</t>
  </si>
  <si>
    <t>Pembulatan Ke Atas</t>
  </si>
  <si>
    <t>Pembulatan Terdekat</t>
  </si>
  <si>
    <t>Item</t>
  </si>
  <si>
    <t>Stok yang dibutuhkan (pcs)</t>
  </si>
  <si>
    <t>Shampoo</t>
  </si>
  <si>
    <t>Sabun</t>
  </si>
  <si>
    <t>Mie Instan</t>
  </si>
  <si>
    <t>Beras</t>
  </si>
  <si>
    <t>Minyak Goreng</t>
  </si>
  <si>
    <t>Floor</t>
  </si>
  <si>
    <t>Ceiling</t>
  </si>
  <si>
    <t>Rounddown</t>
  </si>
  <si>
    <t>Roundup</t>
  </si>
  <si>
    <t>Round</t>
  </si>
  <si>
    <t>Mround</t>
  </si>
  <si>
    <t>1234560101810001</t>
  </si>
  <si>
    <t>2885670208980002</t>
  </si>
  <si>
    <t>3 Karakter Pertama</t>
  </si>
  <si>
    <t>Karakter 4-7</t>
  </si>
  <si>
    <t>1398780204560003</t>
  </si>
  <si>
    <t>4561231912900004</t>
  </si>
  <si>
    <t>2 Karakter Terakhir</t>
  </si>
  <si>
    <t>Left</t>
  </si>
  <si>
    <t>Mid</t>
  </si>
  <si>
    <t>Right</t>
  </si>
  <si>
    <t>Vlookup</t>
  </si>
  <si>
    <t>Hlookup</t>
  </si>
  <si>
    <t>Tanggal Pemesanan</t>
  </si>
  <si>
    <t>No. Pemesanan</t>
  </si>
  <si>
    <t>Nama Customer</t>
  </si>
  <si>
    <t>Domisili</t>
  </si>
  <si>
    <t>Lama Pengiriman</t>
  </si>
  <si>
    <t>Jenis Kelamin</t>
  </si>
  <si>
    <t>Laki-laki</t>
  </si>
  <si>
    <t>Perempuan</t>
  </si>
  <si>
    <t>Surabaya</t>
  </si>
  <si>
    <t>Kota</t>
  </si>
  <si>
    <t>2 Hari</t>
  </si>
  <si>
    <t>3 Hari</t>
  </si>
  <si>
    <t>VLOOKUP</t>
  </si>
  <si>
    <t>HLOOKUP</t>
  </si>
  <si>
    <t>Iferror</t>
  </si>
  <si>
    <t>Rank</t>
  </si>
  <si>
    <t>Menambahkan kolom</t>
  </si>
  <si>
    <t>Menghitung rata-rata pada kolom</t>
  </si>
  <si>
    <t>Memberikan fungsi jika</t>
  </si>
  <si>
    <t>Menghitung nilai maksimal pada kolom</t>
  </si>
  <si>
    <t>Menghitung nilai minimal pada kolom</t>
  </si>
  <si>
    <t>Menghitung jumlah dengan catatan fungsi jika</t>
  </si>
  <si>
    <t>Menghitung jumlah isi kolom dengan catatan fungsi jika</t>
  </si>
  <si>
    <t>Memberikan peringkat jumlah</t>
  </si>
  <si>
    <t>Membenarkan spasi yang berantakan</t>
  </si>
  <si>
    <t>Mengubah huruf kecil semua</t>
  </si>
  <si>
    <t>Mengubah huruf depan setiap kata menjadi huruf kapital</t>
  </si>
  <si>
    <t>Mengubah huruf besar/kapital semua</t>
  </si>
  <si>
    <t>Menggabungkan isi beberapa kolom</t>
  </si>
  <si>
    <t>Mengambil isi kolom dari paling kiri</t>
  </si>
  <si>
    <t>Mengambil isi kolom dari tengah</t>
  </si>
  <si>
    <t>Mengambil isi kolom dari paling kanan</t>
  </si>
  <si>
    <t>Count / Counta</t>
  </si>
  <si>
    <t>Menjumlah isi kolom angka / huruf</t>
  </si>
  <si>
    <t>Menghitung jumlah isi huruf pada kolom</t>
  </si>
  <si>
    <t>Membulatkan angka ke bawah</t>
  </si>
  <si>
    <t>Membulatkan angka ke atas</t>
  </si>
  <si>
    <t>Membulatkan angka ke kelipatan ke bawah</t>
  </si>
  <si>
    <t>Membulatkan angka ke kelipatan ke atas</t>
  </si>
  <si>
    <t>Membulatkan angka berdasarkan logika matematika</t>
  </si>
  <si>
    <t>Membulatkan angka ke kelipatan berdasarkan logika matematika</t>
  </si>
  <si>
    <t>Mencari data dari referensi data yang bentuknya vertikal</t>
  </si>
  <si>
    <t>Mencari data dari referensi data yang bentuknya horizontal</t>
  </si>
  <si>
    <t xml:space="preserve">Memberikan keterangan pada data yang error </t>
  </si>
  <si>
    <t>Fungsi</t>
  </si>
  <si>
    <t>Febrian</t>
  </si>
  <si>
    <t>Nama Karyawan Tim IT</t>
  </si>
  <si>
    <t>Banyaknya karyawan tim IT</t>
  </si>
  <si>
    <t>Ferdy</t>
  </si>
  <si>
    <t>Jessica</t>
  </si>
  <si>
    <t>Nahdhudin</t>
  </si>
  <si>
    <t>Elvano</t>
  </si>
  <si>
    <t>Zakiyah</t>
  </si>
  <si>
    <t>Omset - Bulan Mei</t>
  </si>
  <si>
    <t>Omset - Bulan Juni</t>
  </si>
  <si>
    <t>Omset - Bulan Juli</t>
  </si>
  <si>
    <t xml:space="preserve">  Uin        WAliSonGo SeMARaNg     </t>
  </si>
  <si>
    <t>IT</t>
  </si>
  <si>
    <t>QC</t>
  </si>
  <si>
    <t>HC</t>
  </si>
  <si>
    <t>Muhammad Irfan</t>
  </si>
  <si>
    <t>Ferdy Irmawan</t>
  </si>
  <si>
    <t>Melanie Richard</t>
  </si>
  <si>
    <t>John Stephanie</t>
  </si>
  <si>
    <t>Jasmine</t>
  </si>
  <si>
    <t>Renita</t>
  </si>
  <si>
    <t>Isnadia</t>
  </si>
  <si>
    <t>Angga Fahrul</t>
  </si>
  <si>
    <t>Asad</t>
  </si>
  <si>
    <t>Umminah</t>
  </si>
  <si>
    <t>Farhan</t>
  </si>
  <si>
    <t>Tuban</t>
  </si>
  <si>
    <t>Semarang</t>
  </si>
  <si>
    <t>Wonosobo</t>
  </si>
  <si>
    <t>4 Hari</t>
  </si>
  <si>
    <t>PRAKTIKUM FUNGSI DASAR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</si>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</sst>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1" xfId="0" quotePrefix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/>
    <xf numFmtId="165" fontId="0" fillId="0" borderId="1" xfId="1" applyNumberFormat="1" applyFont="1" applyBorder="1" applyAlignment="1">
      <alignment wrapText="1"/>
    </xf>
    <xf numFmtId="0" fontId="0" fillId="0" borderId="1" xfId="0" applyBorder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1" applyNumberFormat="1" applyFont="1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0" borderId="1" xfId="0" applyFont="1" applyBorder="1"/>
    <xf numFmtId="0" fontId="2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0" xfId="0" applyFill="1" applyBorder="1"/>
    <xf numFmtId="0" fontId="6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topLeftCell="A7" zoomScale="85" zoomScaleNormal="85" workbookViewId="0">
      <selection activeCell="C31" sqref="C31"/>
    </sheetView>
  </sheetViews>
  <sheetFormatPr defaultRowHeight="14.5" x14ac:dyDescent="0.35"/>
  <cols>
    <col min="1" max="1" width="4.7265625" style="5" customWidth="1"/>
    <col min="2" max="2" width="20.81640625" customWidth="1"/>
    <col min="3" max="3" width="9.1796875" style="5"/>
    <col min="4" max="4" width="60.1796875" customWidth="1"/>
  </cols>
  <sheetData>
    <row r="1" spans="1:14" ht="28" x14ac:dyDescent="0.35">
      <c r="A1" s="41" t="s">
        <v>145</v>
      </c>
      <c r="B1" s="41"/>
      <c r="C1" s="41"/>
      <c r="D1" s="41"/>
    </row>
    <row r="3" spans="1:14" ht="15.5" x14ac:dyDescent="0.35">
      <c r="A3" s="26" t="s">
        <v>26</v>
      </c>
      <c r="B3" s="26" t="s">
        <v>25</v>
      </c>
      <c r="C3" s="26" t="s">
        <v>146</v>
      </c>
      <c r="D3" s="26" t="s">
        <v>114</v>
      </c>
    </row>
    <row r="4" spans="1:14" ht="15.5" x14ac:dyDescent="0.35">
      <c r="A4" s="27">
        <v>1</v>
      </c>
      <c r="B4" s="28" t="s">
        <v>7</v>
      </c>
      <c r="C4" s="29">
        <v>1</v>
      </c>
      <c r="D4" s="30" t="s">
        <v>86</v>
      </c>
    </row>
    <row r="5" spans="1:14" ht="15.5" x14ac:dyDescent="0.35">
      <c r="A5" s="27">
        <v>2</v>
      </c>
      <c r="B5" s="28" t="s">
        <v>8</v>
      </c>
      <c r="C5" s="29"/>
      <c r="D5" s="30" t="s">
        <v>87</v>
      </c>
    </row>
    <row r="6" spans="1:14" ht="15.5" x14ac:dyDescent="0.35">
      <c r="A6" s="27">
        <v>3</v>
      </c>
      <c r="B6" s="28" t="s">
        <v>10</v>
      </c>
      <c r="C6" s="29"/>
      <c r="D6" s="30" t="s">
        <v>88</v>
      </c>
    </row>
    <row r="7" spans="1:14" ht="15.5" x14ac:dyDescent="0.35">
      <c r="A7" s="27">
        <v>4</v>
      </c>
      <c r="B7" s="28" t="s">
        <v>102</v>
      </c>
      <c r="C7" s="29"/>
      <c r="D7" s="30" t="s">
        <v>103</v>
      </c>
    </row>
    <row r="8" spans="1:14" ht="15.5" x14ac:dyDescent="0.35">
      <c r="A8" s="27">
        <v>5</v>
      </c>
      <c r="B8" s="28" t="s">
        <v>32</v>
      </c>
      <c r="C8" s="29"/>
      <c r="D8" s="30" t="s">
        <v>89</v>
      </c>
    </row>
    <row r="9" spans="1:14" ht="15.5" x14ac:dyDescent="0.35">
      <c r="A9" s="27">
        <v>6</v>
      </c>
      <c r="B9" s="28" t="s">
        <v>33</v>
      </c>
      <c r="C9" s="29"/>
      <c r="D9" s="30" t="s">
        <v>90</v>
      </c>
    </row>
    <row r="10" spans="1:14" ht="15.5" x14ac:dyDescent="0.35">
      <c r="A10" s="27">
        <v>7</v>
      </c>
      <c r="B10" s="28" t="s">
        <v>14</v>
      </c>
      <c r="C10" s="29"/>
      <c r="D10" s="30" t="s">
        <v>91</v>
      </c>
    </row>
    <row r="11" spans="1:14" ht="15.5" x14ac:dyDescent="0.35">
      <c r="A11" s="27">
        <v>8</v>
      </c>
      <c r="B11" s="28" t="s">
        <v>15</v>
      </c>
      <c r="C11" s="29"/>
      <c r="D11" s="30" t="s">
        <v>92</v>
      </c>
    </row>
    <row r="12" spans="1:14" ht="15.5" x14ac:dyDescent="0.35">
      <c r="A12" s="27">
        <v>9</v>
      </c>
      <c r="B12" s="31" t="s">
        <v>85</v>
      </c>
      <c r="C12" s="29"/>
      <c r="D12" s="30" t="s">
        <v>93</v>
      </c>
    </row>
    <row r="13" spans="1:14" ht="15.5" x14ac:dyDescent="0.35">
      <c r="A13" s="38">
        <v>10</v>
      </c>
      <c r="B13" s="32" t="s">
        <v>21</v>
      </c>
      <c r="C13" s="33">
        <v>2</v>
      </c>
      <c r="D13" s="34" t="s">
        <v>94</v>
      </c>
    </row>
    <row r="14" spans="1:14" ht="15.5" x14ac:dyDescent="0.35">
      <c r="A14" s="38">
        <v>11</v>
      </c>
      <c r="B14" s="32" t="s">
        <v>23</v>
      </c>
      <c r="C14" s="35"/>
      <c r="D14" s="34" t="s">
        <v>95</v>
      </c>
    </row>
    <row r="15" spans="1:14" ht="15.5" x14ac:dyDescent="0.35">
      <c r="A15" s="38">
        <v>12</v>
      </c>
      <c r="B15" s="32" t="s">
        <v>24</v>
      </c>
      <c r="C15" s="35"/>
      <c r="D15" s="34" t="s">
        <v>97</v>
      </c>
      <c r="N15" s="7"/>
    </row>
    <row r="16" spans="1:14" ht="15.5" x14ac:dyDescent="0.35">
      <c r="A16" s="38">
        <v>13</v>
      </c>
      <c r="B16" s="32" t="s">
        <v>22</v>
      </c>
      <c r="C16" s="36"/>
      <c r="D16" s="34" t="s">
        <v>96</v>
      </c>
    </row>
    <row r="17" spans="1:4" ht="15.5" x14ac:dyDescent="0.35">
      <c r="A17" s="27">
        <v>14</v>
      </c>
      <c r="B17" s="28" t="s">
        <v>38</v>
      </c>
      <c r="C17" s="29">
        <v>3</v>
      </c>
      <c r="D17" s="30" t="s">
        <v>98</v>
      </c>
    </row>
    <row r="18" spans="1:4" ht="15.5" x14ac:dyDescent="0.35">
      <c r="A18" s="27">
        <v>15</v>
      </c>
      <c r="B18" s="28" t="s">
        <v>40</v>
      </c>
      <c r="C18" s="29"/>
      <c r="D18" s="30" t="s">
        <v>104</v>
      </c>
    </row>
    <row r="19" spans="1:4" ht="15.5" x14ac:dyDescent="0.35">
      <c r="A19" s="27">
        <v>16</v>
      </c>
      <c r="B19" s="28" t="s">
        <v>65</v>
      </c>
      <c r="C19" s="29"/>
      <c r="D19" s="30" t="s">
        <v>99</v>
      </c>
    </row>
    <row r="20" spans="1:4" ht="15.5" x14ac:dyDescent="0.35">
      <c r="A20" s="27">
        <v>17</v>
      </c>
      <c r="B20" s="28" t="s">
        <v>66</v>
      </c>
      <c r="C20" s="29"/>
      <c r="D20" s="30" t="s">
        <v>100</v>
      </c>
    </row>
    <row r="21" spans="1:4" ht="15.5" x14ac:dyDescent="0.35">
      <c r="A21" s="27">
        <v>18</v>
      </c>
      <c r="B21" s="28" t="s">
        <v>67</v>
      </c>
      <c r="C21" s="29"/>
      <c r="D21" s="30" t="s">
        <v>101</v>
      </c>
    </row>
    <row r="22" spans="1:4" ht="15.5" x14ac:dyDescent="0.35">
      <c r="A22" s="38">
        <v>19</v>
      </c>
      <c r="B22" s="32" t="s">
        <v>54</v>
      </c>
      <c r="C22" s="37">
        <v>4</v>
      </c>
      <c r="D22" s="34" t="s">
        <v>105</v>
      </c>
    </row>
    <row r="23" spans="1:4" ht="15.5" x14ac:dyDescent="0.35">
      <c r="A23" s="38">
        <v>20</v>
      </c>
      <c r="B23" s="32" t="s">
        <v>55</v>
      </c>
      <c r="C23" s="37"/>
      <c r="D23" s="34" t="s">
        <v>106</v>
      </c>
    </row>
    <row r="24" spans="1:4" ht="15.5" x14ac:dyDescent="0.35">
      <c r="A24" s="38">
        <v>21</v>
      </c>
      <c r="B24" s="32" t="s">
        <v>56</v>
      </c>
      <c r="C24" s="37"/>
      <c r="D24" s="34" t="s">
        <v>109</v>
      </c>
    </row>
    <row r="25" spans="1:4" ht="15.5" x14ac:dyDescent="0.35">
      <c r="A25" s="38">
        <v>22</v>
      </c>
      <c r="B25" s="32" t="s">
        <v>52</v>
      </c>
      <c r="C25" s="37"/>
      <c r="D25" s="34" t="s">
        <v>107</v>
      </c>
    </row>
    <row r="26" spans="1:4" ht="15.5" x14ac:dyDescent="0.35">
      <c r="A26" s="38">
        <v>23</v>
      </c>
      <c r="B26" s="32" t="s">
        <v>53</v>
      </c>
      <c r="C26" s="37"/>
      <c r="D26" s="34" t="s">
        <v>108</v>
      </c>
    </row>
    <row r="27" spans="1:4" ht="15.5" x14ac:dyDescent="0.35">
      <c r="A27" s="38">
        <v>24</v>
      </c>
      <c r="B27" s="32" t="s">
        <v>57</v>
      </c>
      <c r="C27" s="37"/>
      <c r="D27" s="34" t="s">
        <v>110</v>
      </c>
    </row>
    <row r="28" spans="1:4" ht="15.5" x14ac:dyDescent="0.35">
      <c r="A28" s="27">
        <v>25</v>
      </c>
      <c r="B28" s="28" t="s">
        <v>68</v>
      </c>
      <c r="C28" s="29">
        <v>5</v>
      </c>
      <c r="D28" s="30" t="s">
        <v>111</v>
      </c>
    </row>
    <row r="29" spans="1:4" ht="15.5" x14ac:dyDescent="0.35">
      <c r="A29" s="27">
        <v>26</v>
      </c>
      <c r="B29" s="28" t="s">
        <v>69</v>
      </c>
      <c r="C29" s="29"/>
      <c r="D29" s="30" t="s">
        <v>112</v>
      </c>
    </row>
    <row r="30" spans="1:4" ht="15.5" x14ac:dyDescent="0.35">
      <c r="A30" s="27">
        <v>27</v>
      </c>
      <c r="B30" s="28" t="s">
        <v>84</v>
      </c>
      <c r="C30" s="29"/>
      <c r="D30" s="30" t="s">
        <v>113</v>
      </c>
    </row>
  </sheetData>
  <mergeCells count="6">
    <mergeCell ref="A1:D1"/>
    <mergeCell ref="C17:C21"/>
    <mergeCell ref="C22:C27"/>
    <mergeCell ref="C28:C30"/>
    <mergeCell ref="C4:C12"/>
    <mergeCell ref="C13:C16"/>
  </mergeCells>
  <phoneticPr fontId="3" type="noConversion"/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Normal="100" workbookViewId="0">
      <selection activeCell="A2" sqref="A2:A6"/>
    </sheetView>
  </sheetViews>
  <sheetFormatPr defaultRowHeight="14.5" x14ac:dyDescent="0.35"/>
  <cols>
    <col min="1" max="1" width="26.1796875" customWidth="1"/>
    <col min="2" max="2" width="4.453125" style="5" customWidth="1"/>
    <col min="3" max="5" width="16.453125" customWidth="1"/>
    <col min="6" max="6" width="13.1796875" customWidth="1"/>
    <col min="7" max="7" width="16" customWidth="1"/>
    <col min="8" max="8" width="13.36328125" customWidth="1"/>
    <col min="9" max="9" width="11.26953125" customWidth="1"/>
  </cols>
  <sheetData>
    <row r="1" spans="1:11" x14ac:dyDescent="0.35">
      <c r="A1" s="1" t="s">
        <v>116</v>
      </c>
      <c r="B1" s="1" t="s">
        <v>1</v>
      </c>
      <c r="C1" s="1" t="s">
        <v>123</v>
      </c>
      <c r="D1" s="1" t="s">
        <v>124</v>
      </c>
      <c r="E1" s="1" t="s">
        <v>125</v>
      </c>
      <c r="F1" s="1" t="s">
        <v>5</v>
      </c>
      <c r="G1" s="1" t="s">
        <v>6</v>
      </c>
      <c r="H1" s="1" t="s">
        <v>2</v>
      </c>
      <c r="I1" s="1" t="s">
        <v>11</v>
      </c>
      <c r="K1" s="7" t="s">
        <v>7</v>
      </c>
    </row>
    <row r="2" spans="1:11" x14ac:dyDescent="0.35">
      <c r="A2" s="4" t="s">
        <v>118</v>
      </c>
      <c r="B2" s="4" t="s">
        <v>3</v>
      </c>
      <c r="C2" s="39">
        <v>10000000</v>
      </c>
      <c r="D2" s="39">
        <v>6200000</v>
      </c>
      <c r="E2" s="39">
        <v>11500000</v>
      </c>
      <c r="F2" s="39">
        <f>SUM(C2:E2)</f>
        <v>27700000</v>
      </c>
      <c r="G2" s="39">
        <f>AVERAGE(C2:E2)</f>
        <v>9233333.333333334</v>
      </c>
      <c r="H2" s="4" t="str">
        <f>IF(F2&gt;23000000,"Memenuhi","Gagal")</f>
        <v>Memenuhi</v>
      </c>
      <c r="I2" s="4">
        <f>RANK(F2,$F$2:$F$6)</f>
        <v>2</v>
      </c>
      <c r="K2" s="7" t="s">
        <v>8</v>
      </c>
    </row>
    <row r="3" spans="1:11" x14ac:dyDescent="0.35">
      <c r="A3" s="4" t="s">
        <v>120</v>
      </c>
      <c r="B3" s="4" t="s">
        <v>3</v>
      </c>
      <c r="C3" s="39">
        <v>5000000</v>
      </c>
      <c r="D3" s="39">
        <v>9000000</v>
      </c>
      <c r="E3" s="39">
        <v>12000000</v>
      </c>
      <c r="F3" s="39">
        <f t="shared" ref="F3:F6" si="0">SUM(C3:E3)</f>
        <v>26000000</v>
      </c>
      <c r="G3" s="39">
        <f t="shared" ref="G3:G6" si="1">AVERAGE(C3:E3)</f>
        <v>8666666.666666666</v>
      </c>
      <c r="H3" s="4" t="str">
        <f t="shared" ref="H3:H6" si="2">IF(F3&gt;23000000,"Memenuhi","Gagal")</f>
        <v>Memenuhi</v>
      </c>
      <c r="I3" s="4">
        <f t="shared" ref="I3:I6" si="3">RANK(F3,$F$2:$F$6)</f>
        <v>3</v>
      </c>
      <c r="K3" s="7" t="s">
        <v>10</v>
      </c>
    </row>
    <row r="4" spans="1:11" x14ac:dyDescent="0.35">
      <c r="A4" s="4" t="s">
        <v>119</v>
      </c>
      <c r="B4" s="4" t="s">
        <v>4</v>
      </c>
      <c r="C4" s="39">
        <v>3200000</v>
      </c>
      <c r="D4" s="39">
        <v>10000000</v>
      </c>
      <c r="E4" s="39">
        <v>8000000</v>
      </c>
      <c r="F4" s="39">
        <f t="shared" si="0"/>
        <v>21200000</v>
      </c>
      <c r="G4" s="39">
        <f t="shared" si="1"/>
        <v>7066666.666666667</v>
      </c>
      <c r="H4" s="4" t="str">
        <f t="shared" si="2"/>
        <v>Gagal</v>
      </c>
      <c r="I4" s="4">
        <f t="shared" si="3"/>
        <v>5</v>
      </c>
      <c r="K4" s="7" t="s">
        <v>13</v>
      </c>
    </row>
    <row r="5" spans="1:11" x14ac:dyDescent="0.35">
      <c r="A5" s="4" t="s">
        <v>122</v>
      </c>
      <c r="B5" s="4" t="s">
        <v>4</v>
      </c>
      <c r="C5" s="39">
        <v>7500000</v>
      </c>
      <c r="D5" s="39">
        <v>9000000</v>
      </c>
      <c r="E5" s="39">
        <v>9500000</v>
      </c>
      <c r="F5" s="39">
        <f t="shared" si="0"/>
        <v>26000000</v>
      </c>
      <c r="G5" s="39">
        <f t="shared" si="1"/>
        <v>8666666.666666666</v>
      </c>
      <c r="H5" s="4" t="str">
        <f t="shared" si="2"/>
        <v>Memenuhi</v>
      </c>
      <c r="I5" s="4">
        <f t="shared" si="3"/>
        <v>3</v>
      </c>
      <c r="K5" s="7" t="s">
        <v>32</v>
      </c>
    </row>
    <row r="6" spans="1:11" x14ac:dyDescent="0.35">
      <c r="A6" s="4" t="s">
        <v>121</v>
      </c>
      <c r="B6" s="4" t="s">
        <v>3</v>
      </c>
      <c r="C6" s="39">
        <v>11000000</v>
      </c>
      <c r="D6" s="39">
        <v>13250000</v>
      </c>
      <c r="E6" s="39">
        <v>15000000</v>
      </c>
      <c r="F6" s="39">
        <f t="shared" si="0"/>
        <v>39250000</v>
      </c>
      <c r="G6" s="39">
        <f t="shared" si="1"/>
        <v>13083333.333333334</v>
      </c>
      <c r="H6" s="4" t="str">
        <f t="shared" si="2"/>
        <v>Memenuhi</v>
      </c>
      <c r="I6" s="4">
        <f t="shared" si="3"/>
        <v>1</v>
      </c>
      <c r="K6" s="7" t="s">
        <v>33</v>
      </c>
    </row>
    <row r="7" spans="1:11" x14ac:dyDescent="0.35">
      <c r="K7" s="7" t="s">
        <v>14</v>
      </c>
    </row>
    <row r="8" spans="1:11" x14ac:dyDescent="0.35">
      <c r="K8" s="7" t="s">
        <v>15</v>
      </c>
    </row>
    <row r="9" spans="1:11" x14ac:dyDescent="0.35">
      <c r="A9" t="s">
        <v>117</v>
      </c>
      <c r="C9" s="19">
        <f>COUNTA(A2:A6)</f>
        <v>5</v>
      </c>
      <c r="K9" s="7" t="s">
        <v>85</v>
      </c>
    </row>
    <row r="10" spans="1:11" x14ac:dyDescent="0.35">
      <c r="A10" t="s">
        <v>30</v>
      </c>
      <c r="C10" s="20">
        <f>MAX(F2:F6)</f>
        <v>39250000</v>
      </c>
    </row>
    <row r="11" spans="1:11" x14ac:dyDescent="0.35">
      <c r="A11" t="s">
        <v>31</v>
      </c>
      <c r="C11" s="20">
        <f>MIN(F2:F6)</f>
        <v>21200000</v>
      </c>
    </row>
    <row r="12" spans="1:11" x14ac:dyDescent="0.35">
      <c r="A12" t="s">
        <v>28</v>
      </c>
      <c r="C12" s="21">
        <f>SUMIF(B2:B6,"L",F2:F6)</f>
        <v>92950000</v>
      </c>
    </row>
    <row r="13" spans="1:11" x14ac:dyDescent="0.35">
      <c r="A13" t="s">
        <v>29</v>
      </c>
      <c r="C13" s="21">
        <f>SUMIF(B2:B6,"P",F2:F6)</f>
        <v>47200000</v>
      </c>
    </row>
    <row r="14" spans="1:11" x14ac:dyDescent="0.35">
      <c r="A14" t="s">
        <v>12</v>
      </c>
      <c r="C14" s="19">
        <f>COUNTIF(H2:H6,"Lulus")</f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130" zoomScaleNormal="130" workbookViewId="0">
      <selection activeCell="E11" sqref="E11"/>
    </sheetView>
  </sheetViews>
  <sheetFormatPr defaultRowHeight="14.5" x14ac:dyDescent="0.35"/>
  <cols>
    <col min="2" max="2" width="14.81640625" customWidth="1"/>
    <col min="4" max="4" width="22" customWidth="1"/>
  </cols>
  <sheetData>
    <row r="1" spans="1:6" x14ac:dyDescent="0.35">
      <c r="A1" s="22" t="s">
        <v>16</v>
      </c>
      <c r="B1" s="22"/>
      <c r="C1" s="25" t="s">
        <v>126</v>
      </c>
      <c r="D1" s="25"/>
      <c r="F1" s="7" t="s">
        <v>21</v>
      </c>
    </row>
    <row r="2" spans="1:6" x14ac:dyDescent="0.35">
      <c r="A2" s="22" t="s">
        <v>20</v>
      </c>
      <c r="B2" s="22"/>
      <c r="C2" s="24" t="str">
        <f>TRIM(C1)</f>
        <v>Uin WAliSonGo SeMARaNg</v>
      </c>
      <c r="D2" s="24"/>
      <c r="F2" s="7" t="s">
        <v>23</v>
      </c>
    </row>
    <row r="3" spans="1:6" x14ac:dyDescent="0.35">
      <c r="A3" s="22" t="s">
        <v>17</v>
      </c>
      <c r="B3" s="22"/>
      <c r="C3" s="23" t="str">
        <f>LOWER(C2)</f>
        <v>uin walisongo semarang</v>
      </c>
      <c r="D3" s="23"/>
      <c r="F3" s="7" t="s">
        <v>24</v>
      </c>
    </row>
    <row r="4" spans="1:6" x14ac:dyDescent="0.35">
      <c r="A4" s="22" t="s">
        <v>18</v>
      </c>
      <c r="B4" s="22"/>
      <c r="C4" s="23" t="str">
        <f>UPPER(C3)</f>
        <v>UIN WALISONGO SEMARANG</v>
      </c>
      <c r="D4" s="23"/>
      <c r="F4" s="7" t="s">
        <v>22</v>
      </c>
    </row>
    <row r="5" spans="1:6" x14ac:dyDescent="0.35">
      <c r="A5" s="22" t="s">
        <v>19</v>
      </c>
      <c r="B5" s="22"/>
      <c r="C5" s="23" t="str">
        <f>PROPER(C4)</f>
        <v>Uin Walisongo Semarang</v>
      </c>
      <c r="D5" s="23"/>
    </row>
  </sheetData>
  <mergeCells count="10">
    <mergeCell ref="A5:B5"/>
    <mergeCell ref="C5:D5"/>
    <mergeCell ref="A2:B2"/>
    <mergeCell ref="C2:D2"/>
    <mergeCell ref="A1:B1"/>
    <mergeCell ref="C1:D1"/>
    <mergeCell ref="A3:B3"/>
    <mergeCell ref="C3:D3"/>
    <mergeCell ref="A4:B4"/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115" zoomScaleNormal="115" workbookViewId="0">
      <selection activeCell="D16" sqref="D16"/>
    </sheetView>
  </sheetViews>
  <sheetFormatPr defaultRowHeight="14.5" x14ac:dyDescent="0.35"/>
  <cols>
    <col min="1" max="1" width="16.453125" customWidth="1"/>
    <col min="2" max="2" width="19.54296875" customWidth="1"/>
    <col min="3" max="3" width="18.54296875" customWidth="1"/>
    <col min="4" max="4" width="24.6328125" customWidth="1"/>
    <col min="5" max="5" width="24" customWidth="1"/>
    <col min="7" max="7" width="11.54296875" customWidth="1"/>
  </cols>
  <sheetData>
    <row r="1" spans="1:7" x14ac:dyDescent="0.35">
      <c r="A1" s="1" t="s">
        <v>34</v>
      </c>
      <c r="B1" s="1" t="s">
        <v>9</v>
      </c>
      <c r="C1" s="1" t="s">
        <v>35</v>
      </c>
      <c r="D1" s="1" t="s">
        <v>36</v>
      </c>
      <c r="E1" s="1" t="s">
        <v>39</v>
      </c>
      <c r="G1" s="7" t="s">
        <v>38</v>
      </c>
    </row>
    <row r="2" spans="1:7" x14ac:dyDescent="0.35">
      <c r="A2" s="2" t="s">
        <v>37</v>
      </c>
      <c r="B2" s="2" t="s">
        <v>130</v>
      </c>
      <c r="C2" s="2">
        <v>2000</v>
      </c>
      <c r="D2" s="2" t="str">
        <f>CONCATENATE(A2,"-",B2,"-",C2)</f>
        <v>HR-Muhammad Irfan-2000</v>
      </c>
      <c r="E2" s="2">
        <f>LEN(B2)</f>
        <v>14</v>
      </c>
      <c r="G2" s="7" t="s">
        <v>40</v>
      </c>
    </row>
    <row r="3" spans="1:7" x14ac:dyDescent="0.35">
      <c r="A3" s="2" t="s">
        <v>127</v>
      </c>
      <c r="B3" s="2" t="s">
        <v>131</v>
      </c>
      <c r="C3" s="2">
        <v>2004</v>
      </c>
      <c r="D3" s="6" t="str">
        <f t="shared" ref="D3:D5" si="0">CONCATENATE(A3,"-",B3,"-",C3)</f>
        <v>IT-Ferdy Irmawan-2004</v>
      </c>
      <c r="E3" s="6">
        <f t="shared" ref="E3:E5" si="1">LEN(B3)</f>
        <v>13</v>
      </c>
      <c r="G3" s="7" t="s">
        <v>65</v>
      </c>
    </row>
    <row r="4" spans="1:7" x14ac:dyDescent="0.35">
      <c r="A4" s="2" t="s">
        <v>128</v>
      </c>
      <c r="B4" s="2" t="s">
        <v>132</v>
      </c>
      <c r="C4" s="2">
        <v>1998</v>
      </c>
      <c r="D4" s="6" t="str">
        <f t="shared" si="0"/>
        <v>QC-Melanie Richard-1998</v>
      </c>
      <c r="E4" s="6">
        <f t="shared" si="1"/>
        <v>15</v>
      </c>
      <c r="G4" s="7" t="s">
        <v>66</v>
      </c>
    </row>
    <row r="5" spans="1:7" x14ac:dyDescent="0.35">
      <c r="A5" s="2" t="s">
        <v>129</v>
      </c>
      <c r="B5" s="2" t="s">
        <v>133</v>
      </c>
      <c r="C5" s="2">
        <v>1997</v>
      </c>
      <c r="D5" s="6" t="str">
        <f t="shared" si="0"/>
        <v>HC-John Stephanie-1997</v>
      </c>
      <c r="E5" s="6">
        <f t="shared" si="1"/>
        <v>14</v>
      </c>
      <c r="G5" s="7" t="s">
        <v>67</v>
      </c>
    </row>
    <row r="9" spans="1:7" x14ac:dyDescent="0.35">
      <c r="A9" s="1" t="s">
        <v>9</v>
      </c>
      <c r="B9" s="1" t="s">
        <v>27</v>
      </c>
      <c r="C9" s="1" t="s">
        <v>60</v>
      </c>
      <c r="D9" s="1" t="s">
        <v>61</v>
      </c>
      <c r="E9" s="1" t="s">
        <v>64</v>
      </c>
    </row>
    <row r="10" spans="1:7" x14ac:dyDescent="0.35">
      <c r="A10" s="18" t="s">
        <v>130</v>
      </c>
      <c r="B10" s="8" t="s">
        <v>58</v>
      </c>
      <c r="C10" s="2" t="str">
        <f>LEFT(B10,3)</f>
        <v>123</v>
      </c>
      <c r="D10" s="2" t="str">
        <f>MID(B10,4,4)</f>
        <v>4560</v>
      </c>
      <c r="E10" s="2" t="str">
        <f>RIGHT(B10,2)</f>
        <v>01</v>
      </c>
    </row>
    <row r="11" spans="1:7" x14ac:dyDescent="0.35">
      <c r="A11" s="18" t="s">
        <v>131</v>
      </c>
      <c r="B11" s="8" t="s">
        <v>59</v>
      </c>
      <c r="C11" s="6" t="str">
        <f t="shared" ref="C11:C13" si="2">LEFT(B11,3)</f>
        <v>288</v>
      </c>
      <c r="D11" s="6" t="str">
        <f t="shared" ref="D11:D13" si="3">MID(B11,4,4)</f>
        <v>5670</v>
      </c>
      <c r="E11" s="6" t="str">
        <f t="shared" ref="E11:E13" si="4">RIGHT(B11,2)</f>
        <v>02</v>
      </c>
    </row>
    <row r="12" spans="1:7" x14ac:dyDescent="0.35">
      <c r="A12" s="18" t="s">
        <v>132</v>
      </c>
      <c r="B12" s="8" t="s">
        <v>62</v>
      </c>
      <c r="C12" s="6" t="str">
        <f t="shared" si="2"/>
        <v>139</v>
      </c>
      <c r="D12" s="6" t="str">
        <f t="shared" si="3"/>
        <v>8780</v>
      </c>
      <c r="E12" s="6" t="str">
        <f t="shared" si="4"/>
        <v>03</v>
      </c>
    </row>
    <row r="13" spans="1:7" x14ac:dyDescent="0.35">
      <c r="A13" s="18" t="s">
        <v>133</v>
      </c>
      <c r="B13" s="8" t="s">
        <v>63</v>
      </c>
      <c r="C13" s="6" t="str">
        <f t="shared" si="2"/>
        <v>456</v>
      </c>
      <c r="D13" s="6" t="str">
        <f t="shared" si="3"/>
        <v>1231</v>
      </c>
      <c r="E13" s="6" t="str">
        <f t="shared" si="4"/>
        <v>04</v>
      </c>
    </row>
  </sheetData>
  <pageMargins left="0.7" right="0.7" top="0.75" bottom="0.75" header="0.3" footer="0.3"/>
  <ignoredErrors>
    <ignoredError sqref="B10:B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A11" activeCellId="1" sqref="A2:A11 A11"/>
    </sheetView>
  </sheetViews>
  <sheetFormatPr defaultRowHeight="14.5" x14ac:dyDescent="0.35"/>
  <cols>
    <col min="1" max="1" width="13.81640625" customWidth="1"/>
    <col min="2" max="2" width="9.453125" customWidth="1"/>
    <col min="3" max="5" width="12.26953125" customWidth="1"/>
    <col min="6" max="6" width="6.453125" customWidth="1"/>
    <col min="7" max="7" width="15.453125" customWidth="1"/>
    <col min="8" max="8" width="15.81640625" customWidth="1"/>
    <col min="9" max="11" width="12.453125" customWidth="1"/>
  </cols>
  <sheetData>
    <row r="1" spans="1:13" ht="29" x14ac:dyDescent="0.35">
      <c r="A1" s="9" t="s">
        <v>0</v>
      </c>
      <c r="B1" s="9" t="s">
        <v>41</v>
      </c>
      <c r="C1" s="10" t="s">
        <v>42</v>
      </c>
      <c r="D1" s="10" t="s">
        <v>43</v>
      </c>
      <c r="E1" s="10" t="s">
        <v>44</v>
      </c>
      <c r="G1" s="9" t="s">
        <v>45</v>
      </c>
      <c r="H1" s="10" t="s">
        <v>46</v>
      </c>
      <c r="I1" s="10" t="s">
        <v>42</v>
      </c>
      <c r="J1" s="10" t="s">
        <v>43</v>
      </c>
      <c r="K1" s="10" t="s">
        <v>44</v>
      </c>
    </row>
    <row r="2" spans="1:13" x14ac:dyDescent="0.35">
      <c r="A2" s="2" t="s">
        <v>115</v>
      </c>
      <c r="B2" s="2">
        <v>57.26</v>
      </c>
      <c r="C2" s="11">
        <f>ROUNDDOWN(B2,0)</f>
        <v>57</v>
      </c>
      <c r="D2" s="11">
        <f>ROUNDUP(B2,0)</f>
        <v>58</v>
      </c>
      <c r="E2" s="11">
        <f>ROUND(B2,0)</f>
        <v>57</v>
      </c>
      <c r="G2" s="2" t="s">
        <v>47</v>
      </c>
      <c r="H2" s="11">
        <v>1150</v>
      </c>
      <c r="I2" s="3">
        <f>FLOOR(H2,100)</f>
        <v>1100</v>
      </c>
      <c r="J2" s="17">
        <f>CEILING(H2,100)</f>
        <v>1200</v>
      </c>
      <c r="K2" s="17">
        <f>MROUND(H2,100)</f>
        <v>1200</v>
      </c>
      <c r="M2" s="7" t="s">
        <v>54</v>
      </c>
    </row>
    <row r="3" spans="1:13" x14ac:dyDescent="0.35">
      <c r="A3" s="2" t="s">
        <v>134</v>
      </c>
      <c r="B3" s="2">
        <v>84.15</v>
      </c>
      <c r="C3" s="11">
        <f t="shared" ref="C3:C11" si="0">ROUNDDOWN(B3,0)</f>
        <v>84</v>
      </c>
      <c r="D3" s="11">
        <f t="shared" ref="D3:D11" si="1">ROUNDUP(B3,0)</f>
        <v>85</v>
      </c>
      <c r="E3" s="11">
        <f t="shared" ref="E3:E11" si="2">ROUND(B3,0)</f>
        <v>84</v>
      </c>
      <c r="G3" s="2" t="s">
        <v>48</v>
      </c>
      <c r="H3" s="11">
        <v>560</v>
      </c>
      <c r="I3" s="3">
        <f t="shared" ref="I3:I6" si="3">FLOOR(H3,100)</f>
        <v>500</v>
      </c>
      <c r="J3" s="17">
        <f t="shared" ref="J3:J6" si="4">CEILING(H3,100)</f>
        <v>600</v>
      </c>
      <c r="K3" s="17">
        <f t="shared" ref="K3:K6" si="5">MROUND(H3,100)</f>
        <v>600</v>
      </c>
      <c r="M3" s="7" t="s">
        <v>55</v>
      </c>
    </row>
    <row r="4" spans="1:13" x14ac:dyDescent="0.35">
      <c r="A4" s="2" t="s">
        <v>135</v>
      </c>
      <c r="B4" s="2">
        <v>75.89</v>
      </c>
      <c r="C4" s="11">
        <f t="shared" si="0"/>
        <v>75</v>
      </c>
      <c r="D4" s="11">
        <f t="shared" si="1"/>
        <v>76</v>
      </c>
      <c r="E4" s="11">
        <f t="shared" si="2"/>
        <v>76</v>
      </c>
      <c r="G4" s="2" t="s">
        <v>49</v>
      </c>
      <c r="H4" s="11">
        <v>86</v>
      </c>
      <c r="I4" s="3">
        <f t="shared" si="3"/>
        <v>0</v>
      </c>
      <c r="J4" s="17">
        <f t="shared" si="4"/>
        <v>100</v>
      </c>
      <c r="K4" s="17">
        <f t="shared" si="5"/>
        <v>100</v>
      </c>
      <c r="M4" s="7" t="s">
        <v>56</v>
      </c>
    </row>
    <row r="5" spans="1:13" x14ac:dyDescent="0.35">
      <c r="A5" s="2" t="s">
        <v>136</v>
      </c>
      <c r="B5" s="2">
        <v>91.29</v>
      </c>
      <c r="C5" s="11">
        <f t="shared" si="0"/>
        <v>91</v>
      </c>
      <c r="D5" s="11">
        <f t="shared" si="1"/>
        <v>92</v>
      </c>
      <c r="E5" s="11">
        <f t="shared" si="2"/>
        <v>91</v>
      </c>
      <c r="G5" s="2" t="s">
        <v>50</v>
      </c>
      <c r="H5" s="11">
        <v>125</v>
      </c>
      <c r="I5" s="3">
        <f t="shared" si="3"/>
        <v>100</v>
      </c>
      <c r="J5" s="17">
        <f t="shared" si="4"/>
        <v>200</v>
      </c>
      <c r="K5" s="17">
        <f t="shared" si="5"/>
        <v>100</v>
      </c>
      <c r="M5" s="7" t="s">
        <v>52</v>
      </c>
    </row>
    <row r="6" spans="1:13" x14ac:dyDescent="0.35">
      <c r="A6" s="2" t="s">
        <v>137</v>
      </c>
      <c r="B6" s="2">
        <v>64.489999999999995</v>
      </c>
      <c r="C6" s="11">
        <f t="shared" si="0"/>
        <v>64</v>
      </c>
      <c r="D6" s="11">
        <f t="shared" si="1"/>
        <v>65</v>
      </c>
      <c r="E6" s="11">
        <f t="shared" si="2"/>
        <v>64</v>
      </c>
      <c r="G6" s="2" t="s">
        <v>51</v>
      </c>
      <c r="H6" s="11">
        <v>968</v>
      </c>
      <c r="I6" s="3">
        <f t="shared" si="3"/>
        <v>900</v>
      </c>
      <c r="J6" s="17">
        <f t="shared" si="4"/>
        <v>1000</v>
      </c>
      <c r="K6" s="17">
        <f t="shared" si="5"/>
        <v>1000</v>
      </c>
      <c r="M6" s="7" t="s">
        <v>53</v>
      </c>
    </row>
    <row r="7" spans="1:13" x14ac:dyDescent="0.35">
      <c r="A7" s="2" t="s">
        <v>138</v>
      </c>
      <c r="B7" s="2">
        <v>59.55</v>
      </c>
      <c r="C7" s="11">
        <f t="shared" si="0"/>
        <v>59</v>
      </c>
      <c r="D7" s="11">
        <f t="shared" si="1"/>
        <v>60</v>
      </c>
      <c r="E7" s="11">
        <f t="shared" si="2"/>
        <v>60</v>
      </c>
      <c r="H7" s="12"/>
      <c r="M7" s="7" t="s">
        <v>57</v>
      </c>
    </row>
    <row r="8" spans="1:13" x14ac:dyDescent="0.35">
      <c r="A8" s="2" t="s">
        <v>139</v>
      </c>
      <c r="B8" s="2">
        <v>67.42</v>
      </c>
      <c r="C8" s="11">
        <f t="shared" si="0"/>
        <v>67</v>
      </c>
      <c r="D8" s="11">
        <f t="shared" si="1"/>
        <v>68</v>
      </c>
      <c r="E8" s="11">
        <f t="shared" si="2"/>
        <v>67</v>
      </c>
      <c r="H8" s="12"/>
    </row>
    <row r="9" spans="1:13" x14ac:dyDescent="0.35">
      <c r="A9" s="2" t="s">
        <v>120</v>
      </c>
      <c r="B9" s="2">
        <v>98.05</v>
      </c>
      <c r="C9" s="11">
        <f t="shared" si="0"/>
        <v>98</v>
      </c>
      <c r="D9" s="11">
        <f t="shared" si="1"/>
        <v>99</v>
      </c>
      <c r="E9" s="11">
        <f t="shared" si="2"/>
        <v>98</v>
      </c>
      <c r="H9" s="12"/>
    </row>
    <row r="10" spans="1:13" x14ac:dyDescent="0.35">
      <c r="A10" s="2" t="s">
        <v>122</v>
      </c>
      <c r="B10" s="2">
        <v>63.45</v>
      </c>
      <c r="C10" s="11">
        <f t="shared" si="0"/>
        <v>63</v>
      </c>
      <c r="D10" s="11">
        <f t="shared" si="1"/>
        <v>64</v>
      </c>
      <c r="E10" s="11">
        <f t="shared" si="2"/>
        <v>63</v>
      </c>
      <c r="H10" s="12"/>
    </row>
    <row r="11" spans="1:13" x14ac:dyDescent="0.35">
      <c r="A11" s="2" t="s">
        <v>140</v>
      </c>
      <c r="B11" s="2">
        <v>79.13</v>
      </c>
      <c r="C11" s="11">
        <f t="shared" si="0"/>
        <v>79</v>
      </c>
      <c r="D11" s="11">
        <f t="shared" si="1"/>
        <v>80</v>
      </c>
      <c r="E11" s="11">
        <f t="shared" si="2"/>
        <v>79</v>
      </c>
      <c r="H11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activeCell="G12" sqref="G12"/>
    </sheetView>
  </sheetViews>
  <sheetFormatPr defaultRowHeight="14.5" x14ac:dyDescent="0.35"/>
  <cols>
    <col min="1" max="1" width="18.7265625" bestFit="1" customWidth="1"/>
    <col min="2" max="2" width="15" bestFit="1" customWidth="1"/>
    <col min="3" max="3" width="15.26953125" bestFit="1" customWidth="1"/>
    <col min="4" max="4" width="17.453125" customWidth="1"/>
    <col min="5" max="5" width="16.26953125" bestFit="1" customWidth="1"/>
  </cols>
  <sheetData>
    <row r="1" spans="1:8" x14ac:dyDescent="0.35">
      <c r="A1" s="9" t="s">
        <v>70</v>
      </c>
      <c r="B1" s="9" t="s">
        <v>71</v>
      </c>
      <c r="C1" s="9" t="s">
        <v>72</v>
      </c>
      <c r="D1" s="9" t="s">
        <v>73</v>
      </c>
      <c r="E1" s="9" t="s">
        <v>74</v>
      </c>
    </row>
    <row r="2" spans="1:8" x14ac:dyDescent="0.35">
      <c r="A2" s="13">
        <v>46087</v>
      </c>
      <c r="B2" s="14">
        <v>106</v>
      </c>
      <c r="C2" s="2" t="str">
        <f>VLOOKUP(B2,Referensi!$A$1:$D$11,2,0)</f>
        <v>Asad</v>
      </c>
      <c r="D2" s="2" t="str">
        <f>VLOOKUP(B2,Referensi!$A$1:$D$11,4,0)</f>
        <v>Surabaya</v>
      </c>
      <c r="E2" s="2" t="str">
        <f>HLOOKUP('5'!D2,Referensi!$A$14:$E$15,2,0)</f>
        <v>2 Hari</v>
      </c>
      <c r="H2" s="7" t="s">
        <v>82</v>
      </c>
    </row>
    <row r="3" spans="1:8" x14ac:dyDescent="0.35">
      <c r="A3" s="13">
        <v>46083</v>
      </c>
      <c r="B3" s="14">
        <v>102</v>
      </c>
      <c r="C3" s="6" t="str">
        <f>VLOOKUP(B3,Referensi!$A$1:$D$11,2,0)</f>
        <v>Jasmine</v>
      </c>
      <c r="D3" s="6" t="str">
        <f>VLOOKUP(B3,Referensi!$A$1:$D$11,4,0)</f>
        <v>Surabaya</v>
      </c>
      <c r="E3" s="6" t="str">
        <f>HLOOKUP('5'!D3,Referensi!$A$14:$E$15,2,0)</f>
        <v>2 Hari</v>
      </c>
      <c r="H3" s="7" t="s">
        <v>83</v>
      </c>
    </row>
    <row r="4" spans="1:8" x14ac:dyDescent="0.35">
      <c r="A4" s="13">
        <v>46085</v>
      </c>
      <c r="B4" s="14">
        <v>104</v>
      </c>
      <c r="C4" s="6" t="str">
        <f>VLOOKUP(B4,Referensi!$A$1:$D$11,2,0)</f>
        <v>Isnadia</v>
      </c>
      <c r="D4" s="6" t="str">
        <f>VLOOKUP(B4,Referensi!$A$1:$D$11,4,0)</f>
        <v>Surabaya</v>
      </c>
      <c r="E4" s="6" t="str">
        <f>HLOOKUP('5'!D4,Referensi!$A$14:$E$15,2,0)</f>
        <v>2 Hari</v>
      </c>
      <c r="H4" s="7" t="s">
        <v>84</v>
      </c>
    </row>
    <row r="5" spans="1:8" x14ac:dyDescent="0.35">
      <c r="A5" s="13">
        <v>46086</v>
      </c>
      <c r="B5" s="14">
        <v>105</v>
      </c>
      <c r="C5" s="6" t="str">
        <f>VLOOKUP(B5,Referensi!$A$1:$D$11,2,0)</f>
        <v>Angga Fahrul</v>
      </c>
      <c r="D5" s="6" t="str">
        <f>VLOOKUP(B5,Referensi!$A$1:$D$11,4,0)</f>
        <v>Tuban</v>
      </c>
      <c r="E5" s="6" t="str">
        <f>HLOOKUP('5'!D5,Referensi!$A$14:$E$15,2,0)</f>
        <v>3 Hari</v>
      </c>
    </row>
    <row r="6" spans="1:8" x14ac:dyDescent="0.35">
      <c r="A6" s="13">
        <v>46091</v>
      </c>
      <c r="B6" s="14">
        <v>110</v>
      </c>
      <c r="C6" s="6" t="str">
        <f>VLOOKUP(B6,Referensi!$A$1:$D$11,2,0)</f>
        <v>Farhan</v>
      </c>
      <c r="D6" s="6" t="str">
        <f>VLOOKUP(B6,Referensi!$A$1:$D$11,4,0)</f>
        <v>Tuban</v>
      </c>
      <c r="E6" s="6" t="str">
        <f>HLOOKUP('5'!D6,Referensi!$A$14:$E$15,2,0)</f>
        <v>3 Hari</v>
      </c>
    </row>
    <row r="7" spans="1:8" x14ac:dyDescent="0.35">
      <c r="A7" s="13">
        <v>46084</v>
      </c>
      <c r="B7" s="14">
        <v>103</v>
      </c>
      <c r="C7" s="6" t="str">
        <f>VLOOKUP(B7,Referensi!$A$1:$D$11,2,0)</f>
        <v>Renita</v>
      </c>
      <c r="D7" s="6" t="str">
        <f>VLOOKUP(B7,Referensi!$A$1:$D$11,4,0)</f>
        <v>Wonosobo</v>
      </c>
      <c r="E7" s="6" t="str">
        <f>HLOOKUP('5'!D7,Referensi!$A$14:$E$15,2,0)</f>
        <v>2 Hari</v>
      </c>
    </row>
    <row r="8" spans="1:8" x14ac:dyDescent="0.35">
      <c r="A8" s="13">
        <v>46089</v>
      </c>
      <c r="B8" s="14">
        <v>108</v>
      </c>
      <c r="C8" s="6" t="str">
        <f>VLOOKUP(B8,Referensi!$A$1:$D$11,2,0)</f>
        <v>Nahdhudin</v>
      </c>
      <c r="D8" s="6" t="str">
        <f>VLOOKUP(B8,Referensi!$A$1:$D$11,4,0)</f>
        <v>Semarang</v>
      </c>
      <c r="E8" s="6" t="str">
        <f>HLOOKUP('5'!D8,Referensi!$A$14:$E$15,2,0)</f>
        <v>4 Hari</v>
      </c>
    </row>
    <row r="9" spans="1:8" x14ac:dyDescent="0.35">
      <c r="A9" s="13">
        <v>46090</v>
      </c>
      <c r="B9" s="14">
        <v>109</v>
      </c>
      <c r="C9" s="6" t="str">
        <f>VLOOKUP(B9,Referensi!$A$1:$D$11,2,0)</f>
        <v>Zakiyah</v>
      </c>
      <c r="D9" s="6" t="str">
        <f>VLOOKUP(B9,Referensi!$A$1:$D$11,4,0)</f>
        <v>Wonosobo</v>
      </c>
      <c r="E9" s="6" t="str">
        <f>HLOOKUP('5'!D9,Referensi!$A$14:$E$15,2,0)</f>
        <v>2 Hari</v>
      </c>
    </row>
    <row r="10" spans="1:8" x14ac:dyDescent="0.35">
      <c r="A10" s="13">
        <v>46082</v>
      </c>
      <c r="B10" s="14">
        <v>101</v>
      </c>
      <c r="C10" s="6" t="str">
        <f>VLOOKUP(B10,Referensi!$A$1:$D$11,2,0)</f>
        <v>Febrian</v>
      </c>
      <c r="D10" s="6" t="str">
        <f>VLOOKUP(B10,Referensi!$A$1:$D$11,4,0)</f>
        <v>Semarang</v>
      </c>
      <c r="E10" s="6" t="str">
        <f>HLOOKUP('5'!D10,Referensi!$A$14:$E$15,2,0)</f>
        <v>4 Hari</v>
      </c>
    </row>
    <row r="11" spans="1:8" x14ac:dyDescent="0.35">
      <c r="A11" s="13">
        <v>46088</v>
      </c>
      <c r="B11" s="14">
        <v>112</v>
      </c>
      <c r="C11" s="6" t="str">
        <f>IFERROR(VLOOKUP(B11,Referensi!$A$1:$D$11,2,0),"Tidak Ada")</f>
        <v>Tidak Ada</v>
      </c>
      <c r="D11" s="6" t="str">
        <f>IFERROR(VLOOKUP(B11,Referensi!$A$1:$D$11,4,0),"Tidak Ada")</f>
        <v>Tidak Ada</v>
      </c>
      <c r="E11" s="6" t="str">
        <f>IFERROR(HLOOKUP('5'!D11,Referensi!$A$14:$E$15,2,0),"Tidak Ada")</f>
        <v>Tidak Ada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115" zoomScaleNormal="115" workbookViewId="0">
      <selection activeCell="D4" sqref="D4"/>
    </sheetView>
  </sheetViews>
  <sheetFormatPr defaultRowHeight="14.5" x14ac:dyDescent="0.35"/>
  <cols>
    <col min="1" max="1" width="16.26953125" bestFit="1" customWidth="1"/>
    <col min="2" max="5" width="15.54296875" customWidth="1"/>
  </cols>
  <sheetData>
    <row r="1" spans="1:8" x14ac:dyDescent="0.35">
      <c r="A1" s="9" t="s">
        <v>71</v>
      </c>
      <c r="B1" s="9" t="s">
        <v>72</v>
      </c>
      <c r="C1" s="9" t="s">
        <v>75</v>
      </c>
      <c r="D1" s="9" t="s">
        <v>73</v>
      </c>
    </row>
    <row r="2" spans="1:8" x14ac:dyDescent="0.35">
      <c r="A2" s="14">
        <v>101</v>
      </c>
      <c r="B2" s="18" t="s">
        <v>115</v>
      </c>
      <c r="C2" s="15" t="s">
        <v>76</v>
      </c>
      <c r="D2" s="15" t="s">
        <v>142</v>
      </c>
    </row>
    <row r="3" spans="1:8" x14ac:dyDescent="0.35">
      <c r="A3" s="14">
        <v>102</v>
      </c>
      <c r="B3" s="18" t="s">
        <v>134</v>
      </c>
      <c r="C3" s="15" t="s">
        <v>77</v>
      </c>
      <c r="D3" s="15" t="s">
        <v>78</v>
      </c>
    </row>
    <row r="4" spans="1:8" x14ac:dyDescent="0.35">
      <c r="A4" s="14">
        <v>103</v>
      </c>
      <c r="B4" s="18" t="s">
        <v>135</v>
      </c>
      <c r="C4" s="15" t="s">
        <v>77</v>
      </c>
      <c r="D4" s="15" t="s">
        <v>143</v>
      </c>
    </row>
    <row r="5" spans="1:8" x14ac:dyDescent="0.35">
      <c r="A5" s="14">
        <v>104</v>
      </c>
      <c r="B5" s="18" t="s">
        <v>136</v>
      </c>
      <c r="C5" s="15" t="s">
        <v>77</v>
      </c>
      <c r="D5" s="15" t="s">
        <v>78</v>
      </c>
    </row>
    <row r="6" spans="1:8" x14ac:dyDescent="0.35">
      <c r="A6" s="14">
        <v>105</v>
      </c>
      <c r="B6" s="18" t="s">
        <v>137</v>
      </c>
      <c r="C6" s="15" t="s">
        <v>76</v>
      </c>
      <c r="D6" s="15" t="s">
        <v>141</v>
      </c>
    </row>
    <row r="7" spans="1:8" x14ac:dyDescent="0.35">
      <c r="A7" s="14">
        <v>106</v>
      </c>
      <c r="B7" s="18" t="s">
        <v>138</v>
      </c>
      <c r="C7" s="15" t="s">
        <v>76</v>
      </c>
      <c r="D7" s="15" t="s">
        <v>78</v>
      </c>
    </row>
    <row r="8" spans="1:8" x14ac:dyDescent="0.35">
      <c r="A8" s="14">
        <v>107</v>
      </c>
      <c r="B8" s="18" t="s">
        <v>139</v>
      </c>
      <c r="C8" s="15" t="s">
        <v>77</v>
      </c>
      <c r="D8" s="15" t="s">
        <v>141</v>
      </c>
    </row>
    <row r="9" spans="1:8" x14ac:dyDescent="0.35">
      <c r="A9" s="14">
        <v>108</v>
      </c>
      <c r="B9" s="18" t="s">
        <v>120</v>
      </c>
      <c r="C9" s="15" t="s">
        <v>76</v>
      </c>
      <c r="D9" s="15" t="s">
        <v>142</v>
      </c>
    </row>
    <row r="10" spans="1:8" x14ac:dyDescent="0.35">
      <c r="A10" s="14">
        <v>109</v>
      </c>
      <c r="B10" s="18" t="s">
        <v>122</v>
      </c>
      <c r="C10" s="15" t="s">
        <v>77</v>
      </c>
      <c r="D10" s="15" t="s">
        <v>143</v>
      </c>
    </row>
    <row r="11" spans="1:8" x14ac:dyDescent="0.35">
      <c r="A11" s="14">
        <v>110</v>
      </c>
      <c r="B11" s="18" t="s">
        <v>140</v>
      </c>
      <c r="C11" s="15" t="s">
        <v>76</v>
      </c>
      <c r="D11" s="15" t="s">
        <v>141</v>
      </c>
    </row>
    <row r="14" spans="1:8" x14ac:dyDescent="0.35">
      <c r="A14" s="16" t="s">
        <v>79</v>
      </c>
      <c r="B14" s="2" t="s">
        <v>142</v>
      </c>
      <c r="C14" s="2" t="s">
        <v>78</v>
      </c>
      <c r="D14" s="2" t="s">
        <v>143</v>
      </c>
      <c r="E14" s="18" t="s">
        <v>141</v>
      </c>
      <c r="F14" s="40"/>
      <c r="G14" s="40"/>
      <c r="H14" s="40"/>
    </row>
    <row r="15" spans="1:8" x14ac:dyDescent="0.35">
      <c r="A15" s="16" t="s">
        <v>74</v>
      </c>
      <c r="B15" s="2" t="s">
        <v>144</v>
      </c>
      <c r="C15" s="2" t="s">
        <v>80</v>
      </c>
      <c r="D15" s="2" t="s">
        <v>80</v>
      </c>
      <c r="E15" s="18" t="s">
        <v>81</v>
      </c>
      <c r="F15" s="40"/>
      <c r="G15" s="40"/>
      <c r="H15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Summary</vt:lpstr>
      <vt:lpstr>1</vt:lpstr>
      <vt:lpstr>2</vt:lpstr>
      <vt:lpstr>3</vt:lpstr>
      <vt:lpstr>4</vt:lpstr>
      <vt:lpstr>5</vt:lpstr>
      <vt:lpstr>Referensi</vt:lpstr>
      <vt:lpstr>Summary!Print_Area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2026-07-23T05:26:10Z</cp:lastPrinted>
  <dcterms:created xsi:type="dcterms:W3CDTF">2021-03-19T10:04:42Z</dcterms:created>
  <dcterms:modified xsi:type="dcterms:W3CDTF">2026-07-23T05:27:18Z</dcterms:modified>
</cp:coreProperties>
</file>