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7480" windowHeight="3230"/>
  </bookViews>
  <sheets>
    <sheet name="Worksheet" sheetId="1" r:id="rId1"/>
    <sheet name="Data Customer" sheetId="2" r:id="rId2"/>
  </sheets>
  <definedNames>
    <definedName name="_xlnm._FilterDatabase" localSheetId="0" hidden="1">Worksheet!$A$1:$E$19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9" i="1"/>
  <c r="E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18" i="1"/>
  <c r="D19" i="1"/>
  <c r="D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B2" i="1" l="1"/>
  <c r="C11" i="1" l="1"/>
  <c r="C7" i="1"/>
  <c r="C4" i="1"/>
  <c r="B4" i="1"/>
  <c r="B5" i="1" s="1"/>
  <c r="B6" i="1" s="1"/>
  <c r="B7" i="1" s="1"/>
  <c r="B8" i="1" s="1"/>
  <c r="B3" i="1"/>
  <c r="C8" i="1"/>
  <c r="C12" i="1"/>
  <c r="C13" i="1"/>
  <c r="C16" i="1"/>
  <c r="C2" i="1"/>
  <c r="C6" i="1"/>
  <c r="C10" i="1"/>
  <c r="C17" i="1"/>
  <c r="C5" i="1"/>
  <c r="C9" i="1"/>
  <c r="C19" i="1"/>
  <c r="C15" i="1"/>
  <c r="C14" i="1"/>
  <c r="C18" i="1"/>
  <c r="C3" i="1"/>
  <c r="B9" i="1" l="1"/>
  <c r="B11" i="1" s="1"/>
  <c r="B12" i="1" s="1"/>
  <c r="B10" i="1"/>
  <c r="B13" i="1" l="1"/>
  <c r="B15" i="1" s="1"/>
  <c r="B16" i="1" s="1"/>
  <c r="B17" i="1" s="1"/>
  <c r="B18" i="1" s="1"/>
  <c r="B19" i="1" s="1"/>
  <c r="B14" i="1"/>
</calcChain>
</file>

<file path=xl/sharedStrings.xml><?xml version="1.0" encoding="utf-8"?>
<sst xmlns="http://schemas.openxmlformats.org/spreadsheetml/2006/main" count="61" uniqueCount="44">
  <si>
    <t>No. Pemesanan</t>
  </si>
  <si>
    <t>Tanggal Pemesanan</t>
  </si>
  <si>
    <t>Nilai Pembelian</t>
  </si>
  <si>
    <t>Domisili</t>
  </si>
  <si>
    <t>Nama Customer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</si>
  <si>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</si>
  <si>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</si>
  <si>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</si>
  <si>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</si>
  <si>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</si>
  <si>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</si>
  <si>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</si>
  <si>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</si>
  <si>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</si>
  <si>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</si>
  <si>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Sorong</t>
  </si>
  <si>
    <t xml:space="preserve"> </t>
  </si>
  <si>
    <t>Eko</t>
  </si>
  <si>
    <t>Makassar</t>
  </si>
  <si>
    <t>Fiona</t>
  </si>
  <si>
    <t>Pekanbaru</t>
  </si>
  <si>
    <t>Gina</t>
  </si>
  <si>
    <t>Hesti</t>
  </si>
  <si>
    <t>Tasikmalaya</t>
  </si>
  <si>
    <t xml:space="preserve">            </t>
  </si>
  <si>
    <t>Igna</t>
  </si>
  <si>
    <t>Semarang</t>
  </si>
  <si>
    <t>Juned</t>
  </si>
  <si>
    <t>Solo</t>
  </si>
  <si>
    <t xml:space="preserve">                 </t>
  </si>
  <si>
    <t>Kelly</t>
  </si>
  <si>
    <t>Yogyakarta</t>
  </si>
  <si>
    <t>Lukas</t>
  </si>
  <si>
    <t>Denpasar</t>
  </si>
  <si>
    <t>Merry</t>
  </si>
  <si>
    <t>Mataram</t>
  </si>
  <si>
    <t>Nino</t>
  </si>
  <si>
    <t>Pontianak</t>
  </si>
  <si>
    <t>Osa</t>
  </si>
  <si>
    <t>Ambon</t>
  </si>
  <si>
    <t>Instruksi:</t>
  </si>
  <si>
    <t>2. Jika ada data yang error, tambahkan iferror di rumus kalian</t>
  </si>
  <si>
    <t>3. Dengan cara yang sama, sekarang coba kalian isi domisilinya</t>
  </si>
  <si>
    <t>1. Gunakan Vlookup untuk mengetahui nama customer (data referensi ada di sheet berbeda)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</si>
</sst>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[$-409]d\-m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66" fontId="0" fillId="0" borderId="1" xfId="0" applyNumberFormat="1" applyBorder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5" zoomScaleNormal="85" workbookViewId="0">
      <selection activeCell="G18" sqref="G18"/>
    </sheetView>
  </sheetViews>
  <sheetFormatPr defaultRowHeight="14.5" x14ac:dyDescent="0.35"/>
  <cols>
    <col min="1" max="1" width="11" style="1" customWidth="1"/>
    <col min="2" max="2" width="12.1796875" style="6" customWidth="1"/>
    <col min="3" max="3" width="12.54296875" customWidth="1"/>
    <col min="4" max="5" width="16" customWidth="1"/>
  </cols>
  <sheetData>
    <row r="1" spans="1:8" s="9" customFormat="1" ht="30.75" customHeight="1" x14ac:dyDescent="0.35">
      <c r="A1" s="7" t="s">
        <v>0</v>
      </c>
      <c r="B1" s="8" t="s">
        <v>1</v>
      </c>
      <c r="C1" s="7" t="s">
        <v>2</v>
      </c>
      <c r="D1" s="7" t="s">
        <v>4</v>
      </c>
      <c r="E1" s="7" t="s">
        <v>3</v>
      </c>
      <c r="H1" s="9" t="s">
        <v>40</v>
      </c>
    </row>
    <row r="2" spans="1:8" x14ac:dyDescent="0.35">
      <c r="A2" s="2">
        <v>101</v>
      </c>
      <c r="B2" s="5">
        <f ca="1">TODAY()</f>
        <v>46227</v>
      </c>
      <c r="C2" s="4">
        <f t="shared" ref="C2:C19" si="0">A2*10000</f>
        <v>1010000</v>
      </c>
      <c r="D2" s="3" t="str">
        <f>VLOOKUP(A2,'Data Customer'!$A$1:$D$16,2,0)</f>
        <v>Andi</v>
      </c>
      <c r="E2" s="3" t="str">
        <f>VLOOKUP(A2,'Data Customer'!$A$1:$D$16,4,0)</f>
        <v>Bandung</v>
      </c>
      <c r="H2" t="s">
        <v>43</v>
      </c>
    </row>
    <row r="3" spans="1:8" x14ac:dyDescent="0.35">
      <c r="A3" s="2">
        <v>102</v>
      </c>
      <c r="B3" s="5">
        <f ca="1">TODAY()</f>
        <v>46227</v>
      </c>
      <c r="C3" s="4">
        <f t="shared" si="0"/>
        <v>1020000</v>
      </c>
      <c r="D3" s="3" t="str">
        <f>VLOOKUP(A3,'Data Customer'!$A$1:$D$16,2,0)</f>
        <v>Budi</v>
      </c>
      <c r="E3" s="3" t="str">
        <f>VLOOKUP(A3,'Data Customer'!$A$1:$D$16,4,0)</f>
        <v>Jakarta</v>
      </c>
      <c r="H3" t="s">
        <v>41</v>
      </c>
    </row>
    <row r="4" spans="1:8" x14ac:dyDescent="0.35">
      <c r="A4" s="2">
        <v>103</v>
      </c>
      <c r="B4" s="5">
        <f ca="1">TODAY()</f>
        <v>46227</v>
      </c>
      <c r="C4" s="4">
        <f t="shared" si="0"/>
        <v>1030000</v>
      </c>
      <c r="D4" s="3" t="str">
        <f>VLOOKUP(A4,'Data Customer'!$A$1:$D$16,2,0)</f>
        <v>Clara</v>
      </c>
      <c r="E4" s="3" t="str">
        <f>VLOOKUP(A4,'Data Customer'!$A$1:$D$16,4,0)</f>
        <v>Palembang</v>
      </c>
      <c r="H4" t="s">
        <v>42</v>
      </c>
    </row>
    <row r="5" spans="1:8" x14ac:dyDescent="0.35">
      <c r="A5" s="2">
        <v>104</v>
      </c>
      <c r="B5" s="5">
        <f ca="1">B4+1</f>
        <v>46228</v>
      </c>
      <c r="C5" s="4">
        <f t="shared" si="0"/>
        <v>1040000</v>
      </c>
      <c r="D5" s="3" t="str">
        <f>VLOOKUP(A5,'Data Customer'!$A$1:$D$16,2,0)</f>
        <v>Dewi</v>
      </c>
      <c r="E5" s="3" t="str">
        <f>VLOOKUP(A5,'Data Customer'!$A$1:$D$16,4,0)</f>
        <v>Sorong</v>
      </c>
    </row>
    <row r="6" spans="1:8" x14ac:dyDescent="0.35">
      <c r="A6" s="2">
        <v>105</v>
      </c>
      <c r="B6" s="5">
        <f ca="1">B5+1</f>
        <v>46229</v>
      </c>
      <c r="C6" s="4">
        <f t="shared" si="0"/>
        <v>1050000</v>
      </c>
      <c r="D6" s="3" t="str">
        <f>VLOOKUP(A6,'Data Customer'!$A$1:$D$16,2,0)</f>
        <v>Eko</v>
      </c>
      <c r="E6" s="3" t="str">
        <f>VLOOKUP(A6,'Data Customer'!$A$1:$D$16,4,0)</f>
        <v>Makassar</v>
      </c>
    </row>
    <row r="7" spans="1:8" x14ac:dyDescent="0.35">
      <c r="A7" s="2">
        <v>106</v>
      </c>
      <c r="B7" s="5">
        <f ca="1">B6+1</f>
        <v>46230</v>
      </c>
      <c r="C7" s="4">
        <f t="shared" si="0"/>
        <v>1060000</v>
      </c>
      <c r="D7" s="3" t="str">
        <f>VLOOKUP(A7,'Data Customer'!$A$1:$D$16,2,0)</f>
        <v>Fiona</v>
      </c>
      <c r="E7" s="3" t="str">
        <f>VLOOKUP(A7,'Data Customer'!$A$1:$D$16,4,0)</f>
        <v>Pekanbaru</v>
      </c>
    </row>
    <row r="8" spans="1:8" x14ac:dyDescent="0.35">
      <c r="A8" s="2">
        <v>107</v>
      </c>
      <c r="B8" s="5">
        <f ca="1">B7+1</f>
        <v>46231</v>
      </c>
      <c r="C8" s="4">
        <f t="shared" si="0"/>
        <v>1070000</v>
      </c>
      <c r="D8" s="3" t="str">
        <f>VLOOKUP(A8,'Data Customer'!$A$1:$D$16,2,0)</f>
        <v>Gina</v>
      </c>
      <c r="E8" s="3" t="str">
        <f>VLOOKUP(A8,'Data Customer'!$A$1:$D$16,4,0)</f>
        <v>Jakarta</v>
      </c>
    </row>
    <row r="9" spans="1:8" x14ac:dyDescent="0.35">
      <c r="A9" s="2">
        <v>108</v>
      </c>
      <c r="B9" s="5">
        <f ca="1">B8+1</f>
        <v>46232</v>
      </c>
      <c r="C9" s="4">
        <f t="shared" si="0"/>
        <v>1080000</v>
      </c>
      <c r="D9" s="3" t="str">
        <f>VLOOKUP(A9,'Data Customer'!$A$1:$D$16,2,0)</f>
        <v>Hesti</v>
      </c>
      <c r="E9" s="3" t="str">
        <f>VLOOKUP(A9,'Data Customer'!$A$1:$D$16,4,0)</f>
        <v>Tasikmalaya</v>
      </c>
    </row>
    <row r="10" spans="1:8" x14ac:dyDescent="0.35">
      <c r="A10" s="2">
        <v>109</v>
      </c>
      <c r="B10" s="5">
        <f ca="1">B8+1</f>
        <v>46232</v>
      </c>
      <c r="C10" s="4">
        <f t="shared" si="0"/>
        <v>1090000</v>
      </c>
      <c r="D10" s="3" t="str">
        <f>VLOOKUP(A10,'Data Customer'!$A$1:$D$16,2,0)</f>
        <v>Igna</v>
      </c>
      <c r="E10" s="3" t="str">
        <f>VLOOKUP(A10,'Data Customer'!$A$1:$D$16,4,0)</f>
        <v>Semarang</v>
      </c>
    </row>
    <row r="11" spans="1:8" x14ac:dyDescent="0.35">
      <c r="A11" s="2">
        <v>110</v>
      </c>
      <c r="B11" s="5">
        <f ca="1">B9+1</f>
        <v>46233</v>
      </c>
      <c r="C11" s="4">
        <f t="shared" si="0"/>
        <v>1100000</v>
      </c>
      <c r="D11" s="3" t="str">
        <f>VLOOKUP(A11,'Data Customer'!$A$1:$D$16,2,0)</f>
        <v>Juned</v>
      </c>
      <c r="E11" s="3" t="str">
        <f>VLOOKUP(A11,'Data Customer'!$A$1:$D$16,4,0)</f>
        <v>Solo</v>
      </c>
    </row>
    <row r="12" spans="1:8" x14ac:dyDescent="0.35">
      <c r="A12" s="2">
        <v>111</v>
      </c>
      <c r="B12" s="5">
        <f ca="1">B11+1</f>
        <v>46234</v>
      </c>
      <c r="C12" s="4">
        <f t="shared" si="0"/>
        <v>1110000</v>
      </c>
      <c r="D12" s="3" t="str">
        <f>VLOOKUP(A12,'Data Customer'!$A$1:$D$16,2,0)</f>
        <v>Kelly</v>
      </c>
      <c r="E12" s="3" t="str">
        <f>VLOOKUP(A12,'Data Customer'!$A$1:$D$16,4,0)</f>
        <v>Yogyakarta</v>
      </c>
    </row>
    <row r="13" spans="1:8" x14ac:dyDescent="0.35">
      <c r="A13" s="2">
        <v>112</v>
      </c>
      <c r="B13" s="5">
        <f ca="1">B12+1</f>
        <v>46235</v>
      </c>
      <c r="C13" s="4">
        <f t="shared" si="0"/>
        <v>1120000</v>
      </c>
      <c r="D13" s="3" t="str">
        <f>VLOOKUP(A13,'Data Customer'!$A$1:$D$16,2,0)</f>
        <v>Lukas</v>
      </c>
      <c r="E13" s="3" t="str">
        <f>VLOOKUP(A13,'Data Customer'!$A$1:$D$16,4,0)</f>
        <v>Denpasar</v>
      </c>
    </row>
    <row r="14" spans="1:8" x14ac:dyDescent="0.35">
      <c r="A14" s="2">
        <v>113</v>
      </c>
      <c r="B14" s="5">
        <f ca="1">B12+1</f>
        <v>46235</v>
      </c>
      <c r="C14" s="4">
        <f t="shared" si="0"/>
        <v>1130000</v>
      </c>
      <c r="D14" s="3" t="str">
        <f>VLOOKUP(A14,'Data Customer'!$A$1:$D$16,2,0)</f>
        <v>Merry</v>
      </c>
      <c r="E14" s="3" t="str">
        <f>VLOOKUP(A14,'Data Customer'!$A$1:$D$16,4,0)</f>
        <v>Mataram</v>
      </c>
    </row>
    <row r="15" spans="1:8" x14ac:dyDescent="0.35">
      <c r="A15" s="2">
        <v>114</v>
      </c>
      <c r="B15" s="5">
        <f ca="1">B13+1</f>
        <v>46236</v>
      </c>
      <c r="C15" s="4">
        <f t="shared" si="0"/>
        <v>1140000</v>
      </c>
      <c r="D15" s="3" t="str">
        <f>VLOOKUP(A15,'Data Customer'!$A$1:$D$16,2,0)</f>
        <v>Nino</v>
      </c>
      <c r="E15" s="3" t="str">
        <f>VLOOKUP(A15,'Data Customer'!$A$1:$D$16,4,0)</f>
        <v>Pontianak</v>
      </c>
    </row>
    <row r="16" spans="1:8" x14ac:dyDescent="0.35">
      <c r="A16" s="2">
        <v>115</v>
      </c>
      <c r="B16" s="5">
        <f ca="1">B15+1</f>
        <v>46237</v>
      </c>
      <c r="C16" s="4">
        <f t="shared" si="0"/>
        <v>1150000</v>
      </c>
      <c r="D16" s="3" t="str">
        <f>VLOOKUP(A16,'Data Customer'!$A$1:$D$16,2,0)</f>
        <v>Osa</v>
      </c>
      <c r="E16" s="3" t="str">
        <f>VLOOKUP(A16,'Data Customer'!$A$1:$D$16,4,0)</f>
        <v>Ambon</v>
      </c>
    </row>
    <row r="17" spans="1:5" x14ac:dyDescent="0.35">
      <c r="A17" s="2">
        <v>116</v>
      </c>
      <c r="B17" s="5">
        <f ca="1">B16+1</f>
        <v>46238</v>
      </c>
      <c r="C17" s="4">
        <f t="shared" si="0"/>
        <v>1160000</v>
      </c>
      <c r="D17" s="3" t="str">
        <f>IFERROR(VLOOKUP(A17,'Data Customer'!$A$1:$D$16,2,0),"Tidak Ditemukan")</f>
        <v>Tidak Ditemukan</v>
      </c>
      <c r="E17" s="3" t="str">
        <f>IFERROR(VLOOKUP(A17,'Data Customer'!$A$1:$D$16,4,0),"Tidak Ada Domisili")</f>
        <v>Tidak Ada Domisili</v>
      </c>
    </row>
    <row r="18" spans="1:5" x14ac:dyDescent="0.35">
      <c r="A18" s="2">
        <v>117</v>
      </c>
      <c r="B18" s="5">
        <f ca="1">B17+1</f>
        <v>46239</v>
      </c>
      <c r="C18" s="4">
        <f t="shared" si="0"/>
        <v>1170000</v>
      </c>
      <c r="D18" s="3" t="str">
        <f>IFERROR(VLOOKUP(A18,'Data Customer'!$A$1:$D$16,2,0),"Tidak Ditemukan")</f>
        <v>Tidak Ditemukan</v>
      </c>
      <c r="E18" s="3" t="str">
        <f>IFERROR(VLOOKUP(A18,'Data Customer'!$A$1:$D$16,4,0),"Tidak Ada Domisili")</f>
        <v>Tidak Ada Domisili</v>
      </c>
    </row>
    <row r="19" spans="1:5" x14ac:dyDescent="0.35">
      <c r="A19" s="2">
        <v>118</v>
      </c>
      <c r="B19" s="5">
        <f ca="1">B18+1</f>
        <v>46240</v>
      </c>
      <c r="C19" s="4">
        <f t="shared" si="0"/>
        <v>1180000</v>
      </c>
      <c r="D19" s="3" t="str">
        <f>IFERROR(VLOOKUP(A19,'Data Customer'!$A$1:$D$16,2,0),"Tidak Ditemukan")</f>
        <v>Tidak Ditemukan</v>
      </c>
      <c r="E19" s="3" t="str">
        <f>IFERROR(VLOOKUP(A19,'Data Customer'!$A$1:$D$16,4,0),"Tidak Ada Domisili")</f>
        <v>Tidak Ada Domisili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F22" sqref="F22"/>
    </sheetView>
  </sheetViews>
  <sheetFormatPr defaultRowHeight="14.5" x14ac:dyDescent="0.35"/>
  <cols>
    <col min="1" max="1" width="12" style="13" customWidth="1"/>
    <col min="2" max="2" width="12" style="9" customWidth="1"/>
    <col min="3" max="3" width="12.81640625" style="9" customWidth="1"/>
    <col min="4" max="4" width="12" style="9" customWidth="1"/>
  </cols>
  <sheetData>
    <row r="1" spans="1:5" ht="29" x14ac:dyDescent="0.35">
      <c r="A1" s="10" t="s">
        <v>0</v>
      </c>
      <c r="B1" s="10" t="s">
        <v>4</v>
      </c>
      <c r="C1" s="10" t="s">
        <v>5</v>
      </c>
      <c r="D1" s="10" t="s">
        <v>3</v>
      </c>
    </row>
    <row r="2" spans="1:5" x14ac:dyDescent="0.35">
      <c r="A2" s="11">
        <v>101</v>
      </c>
      <c r="B2" s="12" t="s">
        <v>6</v>
      </c>
      <c r="C2" s="12" t="s">
        <v>7</v>
      </c>
      <c r="D2" s="12" t="s">
        <v>8</v>
      </c>
    </row>
    <row r="3" spans="1:5" x14ac:dyDescent="0.35">
      <c r="A3" s="11">
        <v>102</v>
      </c>
      <c r="B3" s="12" t="s">
        <v>9</v>
      </c>
      <c r="C3" s="12" t="s">
        <v>7</v>
      </c>
      <c r="D3" s="12" t="s">
        <v>10</v>
      </c>
    </row>
    <row r="4" spans="1:5" x14ac:dyDescent="0.35">
      <c r="A4" s="11">
        <v>103</v>
      </c>
      <c r="B4" s="12" t="s">
        <v>11</v>
      </c>
      <c r="C4" s="12" t="s">
        <v>12</v>
      </c>
      <c r="D4" s="12" t="s">
        <v>13</v>
      </c>
    </row>
    <row r="5" spans="1:5" x14ac:dyDescent="0.35">
      <c r="A5" s="11">
        <v>104</v>
      </c>
      <c r="B5" s="12" t="s">
        <v>14</v>
      </c>
      <c r="C5" s="12" t="s">
        <v>12</v>
      </c>
      <c r="D5" s="12" t="s">
        <v>15</v>
      </c>
      <c r="E5" t="s">
        <v>16</v>
      </c>
    </row>
    <row r="6" spans="1:5" x14ac:dyDescent="0.35">
      <c r="A6" s="11">
        <v>105</v>
      </c>
      <c r="B6" s="12" t="s">
        <v>17</v>
      </c>
      <c r="C6" s="12" t="s">
        <v>7</v>
      </c>
      <c r="D6" s="12" t="s">
        <v>18</v>
      </c>
    </row>
    <row r="7" spans="1:5" x14ac:dyDescent="0.35">
      <c r="A7" s="11">
        <v>106</v>
      </c>
      <c r="B7" s="12" t="s">
        <v>19</v>
      </c>
      <c r="C7" s="12" t="s">
        <v>12</v>
      </c>
      <c r="D7" s="12" t="s">
        <v>20</v>
      </c>
    </row>
    <row r="8" spans="1:5" x14ac:dyDescent="0.35">
      <c r="A8" s="11">
        <v>107</v>
      </c>
      <c r="B8" s="12" t="s">
        <v>21</v>
      </c>
      <c r="C8" s="12" t="s">
        <v>12</v>
      </c>
      <c r="D8" s="12" t="s">
        <v>10</v>
      </c>
    </row>
    <row r="9" spans="1:5" x14ac:dyDescent="0.35">
      <c r="A9" s="11">
        <v>108</v>
      </c>
      <c r="B9" s="12" t="s">
        <v>22</v>
      </c>
      <c r="C9" s="12" t="s">
        <v>12</v>
      </c>
      <c r="D9" s="12" t="s">
        <v>23</v>
      </c>
      <c r="E9" t="s">
        <v>24</v>
      </c>
    </row>
    <row r="10" spans="1:5" x14ac:dyDescent="0.35">
      <c r="A10" s="11">
        <v>109</v>
      </c>
      <c r="B10" s="12" t="s">
        <v>25</v>
      </c>
      <c r="C10" s="12" t="s">
        <v>7</v>
      </c>
      <c r="D10" s="12" t="s">
        <v>26</v>
      </c>
    </row>
    <row r="11" spans="1:5" x14ac:dyDescent="0.35">
      <c r="A11" s="11">
        <v>110</v>
      </c>
      <c r="B11" s="12" t="s">
        <v>27</v>
      </c>
      <c r="C11" s="12" t="s">
        <v>7</v>
      </c>
      <c r="D11" s="12" t="s">
        <v>28</v>
      </c>
      <c r="E11" t="s">
        <v>29</v>
      </c>
    </row>
    <row r="12" spans="1:5" x14ac:dyDescent="0.35">
      <c r="A12" s="11">
        <v>111</v>
      </c>
      <c r="B12" s="12" t="s">
        <v>30</v>
      </c>
      <c r="C12" s="12" t="s">
        <v>12</v>
      </c>
      <c r="D12" s="12" t="s">
        <v>31</v>
      </c>
    </row>
    <row r="13" spans="1:5" x14ac:dyDescent="0.35">
      <c r="A13" s="11">
        <v>112</v>
      </c>
      <c r="B13" s="12" t="s">
        <v>32</v>
      </c>
      <c r="C13" s="12" t="s">
        <v>7</v>
      </c>
      <c r="D13" s="12" t="s">
        <v>33</v>
      </c>
    </row>
    <row r="14" spans="1:5" x14ac:dyDescent="0.35">
      <c r="A14" s="11">
        <v>113</v>
      </c>
      <c r="B14" s="12" t="s">
        <v>34</v>
      </c>
      <c r="C14" s="12" t="s">
        <v>12</v>
      </c>
      <c r="D14" s="12" t="s">
        <v>35</v>
      </c>
    </row>
    <row r="15" spans="1:5" x14ac:dyDescent="0.35">
      <c r="A15" s="11">
        <v>114</v>
      </c>
      <c r="B15" s="12" t="s">
        <v>36</v>
      </c>
      <c r="C15" s="12" t="s">
        <v>7</v>
      </c>
      <c r="D15" s="12" t="s">
        <v>37</v>
      </c>
    </row>
    <row r="16" spans="1:5" x14ac:dyDescent="0.35">
      <c r="A16" s="11">
        <v>115</v>
      </c>
      <c r="B16" s="12" t="s">
        <v>38</v>
      </c>
      <c r="C16" s="12" t="s">
        <v>12</v>
      </c>
      <c r="D16" s="12" t="s">
        <v>39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Data Customer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2021-02-12T13:46:25Z</dcterms:created>
  <dcterms:modified xsi:type="dcterms:W3CDTF">2026-07-24T08:39:47Z</dcterms:modified>
</cp:coreProperties>
</file>